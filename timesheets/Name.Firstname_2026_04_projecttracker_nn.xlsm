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DieseArbeitsmappe" hidePivotFieldList="1"/>
  <mc:AlternateContent xmlns:mc="http://schemas.openxmlformats.org/markup-compatibility/2006">
    <mc:Choice Requires="x15">
      <x15ac:absPath xmlns:x15ac="http://schemas.microsoft.com/office/spreadsheetml/2010/11/ac" url="https://4flowconsulting-my.sharepoint.com/personal/a_kennedy_4flow_com/Documents/Documents/burocracy/"/>
    </mc:Choice>
  </mc:AlternateContent>
  <xr:revisionPtr revIDLastSave="84" documentId="13_ncr:1_{740454B8-C912-40D2-A79E-5B0F4010007A}" xr6:coauthVersionLast="47" xr6:coauthVersionMax="47" xr10:uidLastSave="{A6C81A72-D518-4F7D-A5F9-ACD992DEC9F2}"/>
  <bookViews>
    <workbookView xWindow="-120" yWindow="-120" windowWidth="29040" windowHeight="17520" tabRatio="698" xr2:uid="{00000000-000D-0000-FFFF-FFFF00000000}"/>
  </bookViews>
  <sheets>
    <sheet name="Tracker" sheetId="29" r:id="rId1"/>
    <sheet name="Projectlist" sheetId="87" state="hidden" r:id="rId2"/>
    <sheet name="internal cost center" sheetId="86" r:id="rId3"/>
    <sheet name="holidays" sheetId="88" state="hidden" r:id="rId4"/>
    <sheet name="parameters" sheetId="67" state="hidden" r:id="rId5"/>
  </sheets>
  <functionGroups builtInGroupCount="19"/>
  <externalReferences>
    <externalReference r:id="rId6"/>
    <externalReference r:id="rId7"/>
    <externalReference r:id="rId8"/>
    <externalReference r:id="rId9"/>
    <externalReference r:id="rId10"/>
  </externalReferences>
  <definedNames>
    <definedName name="_xlnm._FilterDatabase" localSheetId="1" hidden="1">Projectlist!$A$3:$T$2740</definedName>
    <definedName name="_xlnm._FilterDatabase" localSheetId="0" hidden="1">Tracker!$I$4:$O$4</definedName>
    <definedName name="_KAW999929" localSheetId="3" hidden="1">#REF!</definedName>
    <definedName name="_KAW999929" hidden="1">#REF!</definedName>
    <definedName name="_KAW999934" localSheetId="3" hidden="1">#REF!</definedName>
    <definedName name="_KAW999934" hidden="1">#REF!</definedName>
    <definedName name="_xleta.IF" hidden="1" xlm="1">#NAME?</definedName>
    <definedName name="_xleta.OR" hidden="1" xlm="1">#NAME?</definedName>
    <definedName name="BUD_FROM_MT" localSheetId="3">#REF!</definedName>
    <definedName name="BUD_FROM_OA" localSheetId="3">#REF!</definedName>
    <definedName name="BUD_FROM_PD" localSheetId="3">#REF!</definedName>
    <definedName name="BUD_TO_ADJ" localSheetId="3">#REF!</definedName>
    <definedName name="BUD_TO_AT" localSheetId="3">#REF!</definedName>
    <definedName name="BUD_TO_BS" localSheetId="3">#REF!</definedName>
    <definedName name="BUD_TO_BT" localSheetId="3">#REF!</definedName>
    <definedName name="BUD_TO_CS" localSheetId="3">#REF!</definedName>
    <definedName name="BUD_TO_CT" localSheetId="3">#REF!</definedName>
    <definedName name="BUD_TO_DF" localSheetId="3">#REF!</definedName>
    <definedName name="BUD_TO_FC" localSheetId="3">#REF!</definedName>
    <definedName name="BUD_TO_MT" localSheetId="3">#REF!</definedName>
    <definedName name="BUD_TO_OA" localSheetId="3">#REF!</definedName>
    <definedName name="BUD_TO_PD" localSheetId="3">#REF!</definedName>
    <definedName name="ChangeDate" localSheetId="3">#REF!</definedName>
    <definedName name="ChangeUser" localSheetId="3">#REF!</definedName>
    <definedName name="CombinedCostCenterIDs">Tracker!$AB$5:$AB$66</definedName>
    <definedName name="CombinedCostCenterIDsSummary">Tracker!$AB$71:$AB$85</definedName>
    <definedName name="Comment" localSheetId="3">[1]Overview_KPI!#REF!</definedName>
    <definedName name="CORPFCDESCR_FC" localSheetId="3">#REF!</definedName>
    <definedName name="CORPFCTECHID_FC" localSheetId="3">#REF!</definedName>
    <definedName name="Country">Tracker!$A$2</definedName>
    <definedName name="Cubes" localSheetId="3">#REF!</definedName>
    <definedName name="D" localSheetId="3">#REF!</definedName>
    <definedName name="Data_Version_Descript" localSheetId="3">'[2]COLUMN LEGEND'!#REF!</definedName>
    <definedName name="ddCountry">Table1[Country]</definedName>
    <definedName name="ddEntities">Table1[4flowCompanies]</definedName>
    <definedName name="ddLocation">tblLocation[location]</definedName>
    <definedName name="Debitor" localSheetId="3">#REF!</definedName>
    <definedName name="Dimension" localSheetId="3">#REF!</definedName>
    <definedName name="Dimensions" localSheetId="3">#REF!</definedName>
    <definedName name="drp_cc">parameters!$B$2</definedName>
    <definedName name="E" localSheetId="3">#REF!</definedName>
    <definedName name="Element" localSheetId="3">#REF!</definedName>
    <definedName name="EMTXT_ADJ" localSheetId="3">#REF!</definedName>
    <definedName name="EMTXT_AT" localSheetId="3">#REF!</definedName>
    <definedName name="EMTXT_BT" localSheetId="3">#REF!</definedName>
    <definedName name="EMTXT_CS" localSheetId="3">#REF!</definedName>
    <definedName name="EMTXT_CT" localSheetId="3">#REF!</definedName>
    <definedName name="EMTXT_DF" localSheetId="3">#REF!</definedName>
    <definedName name="EMTXT_FC" localSheetId="3">#REF!</definedName>
    <definedName name="EMTXT_MT" localSheetId="3">#REF!</definedName>
    <definedName name="EMTXT_OA" localSheetId="3">#REF!</definedName>
    <definedName name="EMTXT_PD" localSheetId="3">#REF!</definedName>
    <definedName name="EMTXT_PLE" localSheetId="3">#REF!</definedName>
    <definedName name="EMTXT_VS" localSheetId="3">#REF!</definedName>
    <definedName name="ESTXT_ADJ" localSheetId="3">#REF!</definedName>
    <definedName name="ESTXT_AT" localSheetId="3">#REF!</definedName>
    <definedName name="ESTXT_BT" localSheetId="3">#REF!</definedName>
    <definedName name="ESTXT_CS" localSheetId="3">#REF!</definedName>
    <definedName name="ESTXT_CT" localSheetId="3">#REF!</definedName>
    <definedName name="ESTXT_DF" localSheetId="3">#REF!</definedName>
    <definedName name="ESTXT_FC" localSheetId="3">#REF!</definedName>
    <definedName name="ESTXT_MT" localSheetId="3">#REF!</definedName>
    <definedName name="ESTXT_OA" localSheetId="3">#REF!</definedName>
    <definedName name="ESTXT_PD" localSheetId="3">#REF!</definedName>
    <definedName name="ESTXT_PLE" localSheetId="3">#REF!</definedName>
    <definedName name="ESTXT_VS" localSheetId="3">#REF!</definedName>
    <definedName name="ExactAddinConnection" hidden="1">"778"</definedName>
    <definedName name="ExactAddinConnection.778" hidden="1">"sql;778;knelles;0"</definedName>
    <definedName name="export_mode">Tracker!$N$70</definedName>
    <definedName name="export_range">Tracker!$N$71:$N$85</definedName>
    <definedName name="F" localSheetId="3">#REF!</definedName>
    <definedName name="FaktorWGaap2004" localSheetId="3">#REF!</definedName>
    <definedName name="FaktorWGaap2005" localSheetId="3">#REF!</definedName>
    <definedName name="FaktorWGaap2006" localSheetId="3">#REF!</definedName>
    <definedName name="FC_FROM_ADJ" localSheetId="3">#REF!</definedName>
    <definedName name="FC_FROM_AT" localSheetId="3">#REF!</definedName>
    <definedName name="FC_FROM_BS" localSheetId="3">#REF!</definedName>
    <definedName name="FC_FROM_BT" localSheetId="3">#REF!</definedName>
    <definedName name="FC_FROM_CS" localSheetId="3">#REF!</definedName>
    <definedName name="FC_FROM_CT" localSheetId="3">#REF!</definedName>
    <definedName name="FC_FROM_DF" localSheetId="3">#REF!</definedName>
    <definedName name="FC_FROM_FC" localSheetId="3">#REF!</definedName>
    <definedName name="FC_FROM_MT" localSheetId="3">#REF!</definedName>
    <definedName name="FC_FROM_OA" localSheetId="3">#REF!</definedName>
    <definedName name="FC_FROM_PD" localSheetId="3">#REF!</definedName>
    <definedName name="FC_TO_ADJ" localSheetId="3">#REF!</definedName>
    <definedName name="FC_TO_AT" localSheetId="3">#REF!</definedName>
    <definedName name="FC_TO_BS" localSheetId="3">#REF!</definedName>
    <definedName name="FC_TO_BT" localSheetId="3">#REF!</definedName>
    <definedName name="FC_TO_CS" localSheetId="3">#REF!</definedName>
    <definedName name="FC_TO_CT" localSheetId="3">#REF!</definedName>
    <definedName name="FC_TO_DF" localSheetId="3">#REF!</definedName>
    <definedName name="FC_TO_FC" localSheetId="3">#REF!</definedName>
    <definedName name="FC_TO_MT" localSheetId="3">#REF!</definedName>
    <definedName name="FC_TO_OA" localSheetId="3">#REF!</definedName>
    <definedName name="FC_TO_PD" localSheetId="3">#REF!</definedName>
    <definedName name="Feeders" localSheetId="3">#REF!</definedName>
    <definedName name="Firma">[3]Daten!$I$1:$I$6</definedName>
    <definedName name="FirstName">Tracker!$L$2</definedName>
    <definedName name="FROM_CALENDAR_WEEK">Tracker!$B$10</definedName>
    <definedName name="Gehalt" localSheetId="3">#REF!,#REF!,#REF!</definedName>
    <definedName name="Gesamt">Tracker!$A$4:$O$66</definedName>
    <definedName name="Gesamt04" localSheetId="3">#REF!</definedName>
    <definedName name="GesamtD04" localSheetId="3">#REF!</definedName>
    <definedName name="GF" localSheetId="3">#REF!</definedName>
    <definedName name="gg" localSheetId="3">#REF!,#REF!,#REF!</definedName>
    <definedName name="GMTXT_ADJ" localSheetId="3">#REF!</definedName>
    <definedName name="GMTXT_AT" localSheetId="3">#REF!</definedName>
    <definedName name="GMTXT_BT" localSheetId="3">#REF!</definedName>
    <definedName name="GMTXT_CS" localSheetId="3">#REF!</definedName>
    <definedName name="GMTXT_CT" localSheetId="3">#REF!</definedName>
    <definedName name="GMTXT_DF" localSheetId="3">#REF!</definedName>
    <definedName name="GMTXT_FC" localSheetId="3">#REF!</definedName>
    <definedName name="GMTXT_MT" localSheetId="3">#REF!</definedName>
    <definedName name="GMTXT_OA" localSheetId="3">#REF!</definedName>
    <definedName name="GMTXT_PD" localSheetId="3">#REF!</definedName>
    <definedName name="GMTXT_PLE" localSheetId="3">#REF!</definedName>
    <definedName name="GMTXT_VS" localSheetId="3">#REF!</definedName>
    <definedName name="GSTXT_ADJ" localSheetId="3">#REF!</definedName>
    <definedName name="GSTXT_AT" localSheetId="3">#REF!</definedName>
    <definedName name="GSTXT_BT" localSheetId="3">#REF!</definedName>
    <definedName name="GSTXT_CS" localSheetId="3">#REF!</definedName>
    <definedName name="GSTXT_CT" localSheetId="3">#REF!</definedName>
    <definedName name="GSTXT_DF" localSheetId="3">#REF!</definedName>
    <definedName name="GSTXT_FC" localSheetId="3">#REF!</definedName>
    <definedName name="GSTXT_MT" localSheetId="3">#REF!</definedName>
    <definedName name="GSTXT_OA" localSheetId="3">#REF!</definedName>
    <definedName name="GSTXT_PD" localSheetId="3">#REF!</definedName>
    <definedName name="GSTXT_PLE" localSheetId="3">#REF!</definedName>
    <definedName name="GSTXT_VS" localSheetId="3">#REF!</definedName>
    <definedName name="GTXT_AE" localSheetId="3">#REF!</definedName>
    <definedName name="GTXT_AM" localSheetId="3">#REF!</definedName>
    <definedName name="GTXT_AO" localSheetId="3">#REF!</definedName>
    <definedName name="GTXT_BS" localSheetId="3">'[2]P&amp;L'!#REF!</definedName>
    <definedName name="GTXT_NK" localSheetId="3">'[2]Notes &amp; KPIs'!#REF!</definedName>
    <definedName name="GTXT_PL" localSheetId="3">'[2]P&amp;L'!#REF!</definedName>
    <definedName name="H" localSheetId="3">#REF!</definedName>
    <definedName name="Haupt_Zielgruppe" localSheetId="3">#REF!</definedName>
    <definedName name="hier" localSheetId="3">#REF!</definedName>
    <definedName name="Hierarchy" localSheetId="3">#REF!</definedName>
    <definedName name="I" localSheetId="3">#REF!</definedName>
    <definedName name="Inactive" localSheetId="3">#REF!</definedName>
    <definedName name="INTEREST_BS" localSheetId="3">#REF!</definedName>
    <definedName name="Kategorie" localSheetId="3">#REF!</definedName>
    <definedName name="KeyFigureSegments" localSheetId="3">#REF!</definedName>
    <definedName name="kk" localSheetId="3">#REF!,#REF!,#REF!</definedName>
    <definedName name="Kunde_Kostenstelle" localSheetId="3">#REF!</definedName>
    <definedName name="LastName">Tracker!$L$3</definedName>
    <definedName name="LEGENT_CUST" localSheetId="3">'[2]COLUMN LEGEND'!#REF!</definedName>
    <definedName name="LEGENT_MVMT" localSheetId="3">'[2]COLUMN LEGEND'!#REF!</definedName>
    <definedName name="LEVEL1_ADJ" localSheetId="3">#REF!</definedName>
    <definedName name="LEVEL1_AE" localSheetId="3">#REF!</definedName>
    <definedName name="LEVEL1_AM" localSheetId="3">#REF!</definedName>
    <definedName name="LEVEL1_AO" localSheetId="3">#REF!</definedName>
    <definedName name="LEVEL1_AT" localSheetId="3">#REF!</definedName>
    <definedName name="LEVEL1_BS" localSheetId="3">#REF!</definedName>
    <definedName name="LEVEL1_BT" localSheetId="3">#REF!</definedName>
    <definedName name="LEVEL1_CS" localSheetId="3">#REF!</definedName>
    <definedName name="LEVEL1_CT" localSheetId="3">#REF!</definedName>
    <definedName name="LEVEL1_DF" localSheetId="3">#REF!</definedName>
    <definedName name="LEVEL1_FC" localSheetId="3">#REF!</definedName>
    <definedName name="LEVEL1_LC" localSheetId="3">#REF!</definedName>
    <definedName name="LEVEL1_PD" localSheetId="3">#REF!</definedName>
    <definedName name="LEVEL1_PLE" localSheetId="3">#REF!</definedName>
    <definedName name="LEVEL1_VS" localSheetId="3">#REF!</definedName>
    <definedName name="LEVEL10_AE" localSheetId="3">#REF!</definedName>
    <definedName name="LEVEL10_AM" localSheetId="3">#REF!</definedName>
    <definedName name="LEVEL10_AO" localSheetId="3">#REF!</definedName>
    <definedName name="LEVEL10_DF" localSheetId="3">'[2]DET. FUNC. - MAIL'!#REF!</definedName>
    <definedName name="LEVEL10_FC" localSheetId="3">#REF!</definedName>
    <definedName name="LEVEL10_LC" localSheetId="3">#REF!</definedName>
    <definedName name="LEVEL10_PD" localSheetId="3">#REF!</definedName>
    <definedName name="LEVEL11_AE" localSheetId="3">#REF!</definedName>
    <definedName name="LEVEL11_AM" localSheetId="3">#REF!</definedName>
    <definedName name="LEVEL11_AO" localSheetId="3">#REF!</definedName>
    <definedName name="LEVEL11_DF" localSheetId="3">'[2]DET. FUNC. - MAIL'!#REF!</definedName>
    <definedName name="LEVEL11_FC" localSheetId="3">#REF!</definedName>
    <definedName name="LEVEL11_LC" localSheetId="3">#REF!</definedName>
    <definedName name="LEVEL11_PD" localSheetId="3">#REF!</definedName>
    <definedName name="LEVEL12_AE" localSheetId="3">#REF!</definedName>
    <definedName name="LEVEL12_AM" localSheetId="3">#REF!</definedName>
    <definedName name="LEVEL12_AO" localSheetId="3">#REF!</definedName>
    <definedName name="LEVEL12_DF" localSheetId="3">'[2]DET. FUNC. - MAIL'!#REF!</definedName>
    <definedName name="LEVEL12_LC" localSheetId="3">#REF!</definedName>
    <definedName name="LEVEL12_PD" localSheetId="3">#REF!</definedName>
    <definedName name="LEVEL13_AE" localSheetId="3">#REF!</definedName>
    <definedName name="LEVEL13_AM" localSheetId="3">#REF!</definedName>
    <definedName name="LEVEL13_AO" localSheetId="3">#REF!</definedName>
    <definedName name="LEVEL13_LC" localSheetId="3">#REF!</definedName>
    <definedName name="LEVEL13_PD" localSheetId="3">#REF!</definedName>
    <definedName name="LEVEL14_AM" localSheetId="3">#REF!</definedName>
    <definedName name="LEVEL14_AO" localSheetId="3">#REF!</definedName>
    <definedName name="LEVEL14_LC" localSheetId="3">#REF!</definedName>
    <definedName name="LEVEL14_PL" localSheetId="3">'[2]P&amp;L'!#REF!</definedName>
    <definedName name="LEVEL15_AE" localSheetId="3">'[2]ALT-HIER EXPRESS'!#REF!</definedName>
    <definedName name="LEVEL15_AM" localSheetId="3">#REF!</definedName>
    <definedName name="LEVEL15_AO" localSheetId="3">#REF!</definedName>
    <definedName name="LEVEL15_LC" localSheetId="3">#REF!</definedName>
    <definedName name="LEVEL16_AE" localSheetId="3">'[2]ALT-HIER EXPRESS'!#REF!</definedName>
    <definedName name="LEVEL2_ADJ" localSheetId="3">#REF!</definedName>
    <definedName name="LEVEL2_AE" localSheetId="3">#REF!</definedName>
    <definedName name="LEVEL2_AM" localSheetId="3">#REF!</definedName>
    <definedName name="LEVEL2_AO" localSheetId="3">#REF!</definedName>
    <definedName name="LEVEL2_AT" localSheetId="3">#REF!</definedName>
    <definedName name="LEVEL2_BS" localSheetId="3">#REF!</definedName>
    <definedName name="LEVEL2_BT" localSheetId="3">#REF!</definedName>
    <definedName name="LEVEL2_CS" localSheetId="3">#REF!</definedName>
    <definedName name="LEVEL2_CT" localSheetId="3">#REF!</definedName>
    <definedName name="LEVEL2_DF" localSheetId="3">#REF!</definedName>
    <definedName name="LEVEL2_FC" localSheetId="3">#REF!</definedName>
    <definedName name="LEVEL2_LC" localSheetId="3">#REF!</definedName>
    <definedName name="LEVEL2_PD" localSheetId="3">#REF!</definedName>
    <definedName name="LEVEL2_PLE" localSheetId="3">#REF!</definedName>
    <definedName name="LEVEL2_VS" localSheetId="3">#REF!</definedName>
    <definedName name="LEVEL3_ADJ" localSheetId="3">#REF!</definedName>
    <definedName name="LEVEL3_AE" localSheetId="3">#REF!</definedName>
    <definedName name="LEVEL3_AM" localSheetId="3">#REF!</definedName>
    <definedName name="LEVEL3_AO" localSheetId="3">#REF!</definedName>
    <definedName name="LEVEL3_AT" localSheetId="3">#REF!</definedName>
    <definedName name="LEVEL3_BS" localSheetId="3">#REF!</definedName>
    <definedName name="LEVEL3_CS" localSheetId="3">#REF!</definedName>
    <definedName name="LEVEL3_CT" localSheetId="3">#REF!</definedName>
    <definedName name="LEVEL3_DF" localSheetId="3">#REF!</definedName>
    <definedName name="LEVEL3_FC" localSheetId="3">#REF!</definedName>
    <definedName name="LEVEL3_LC" localSheetId="3">#REF!</definedName>
    <definedName name="LEVEL3_PD" localSheetId="3">#REF!</definedName>
    <definedName name="LEVEL3_PLE" localSheetId="3">#REF!</definedName>
    <definedName name="LEVEL3_VS" localSheetId="3">#REF!</definedName>
    <definedName name="LEVEL4_ADJ" localSheetId="3">'[2]ADJ. TYPES'!#REF!</definedName>
    <definedName name="LEVEL4_AE" localSheetId="3">#REF!</definedName>
    <definedName name="LEVEL4_AM" localSheetId="3">#REF!</definedName>
    <definedName name="LEVEL4_AO" localSheetId="3">#REF!</definedName>
    <definedName name="LEVEL4_AT" localSheetId="3">#REF!</definedName>
    <definedName name="LEVEL4_BS" localSheetId="3">#REF!</definedName>
    <definedName name="LEVEL4_CS" localSheetId="3">#REF!</definedName>
    <definedName name="LEVEL4_CT" localSheetId="3">#REF!</definedName>
    <definedName name="LEVEL4_DF" localSheetId="3">#REF!</definedName>
    <definedName name="LEVEL4_FC" localSheetId="3">#REF!</definedName>
    <definedName name="LEVEL4_LC" localSheetId="3">#REF!</definedName>
    <definedName name="LEVEL4_PD" localSheetId="3">#REF!</definedName>
    <definedName name="LEVEL4_PLE" localSheetId="3">#REF!</definedName>
    <definedName name="LEVEL4_VS" localSheetId="3">#REF!</definedName>
    <definedName name="LEVEL5_ADJ" localSheetId="3">'[2]ADJ. TYPES'!#REF!</definedName>
    <definedName name="LEVEL5_AE" localSheetId="3">#REF!</definedName>
    <definedName name="LEVEL5_AM" localSheetId="3">#REF!</definedName>
    <definedName name="LEVEL5_AO" localSheetId="3">#REF!</definedName>
    <definedName name="LEVEL5_BS" localSheetId="3">#REF!</definedName>
    <definedName name="LEVEL5_CS" localSheetId="3">#REF!</definedName>
    <definedName name="LEVEL5_CT" localSheetId="3">#REF!</definedName>
    <definedName name="LEVEL5_DF" localSheetId="3">#REF!</definedName>
    <definedName name="LEVEL5_FC" localSheetId="3">#REF!</definedName>
    <definedName name="LEVEL5_LC" localSheetId="3">#REF!</definedName>
    <definedName name="LEVEL5_PD" localSheetId="3">#REF!</definedName>
    <definedName name="LEVEL5_VS" localSheetId="3">#REF!</definedName>
    <definedName name="LEVEL6_AE" localSheetId="3">#REF!</definedName>
    <definedName name="LEVEL6_AM" localSheetId="3">#REF!</definedName>
    <definedName name="LEVEL6_AO" localSheetId="3">#REF!</definedName>
    <definedName name="LEVEL6_BS" localSheetId="3">#REF!</definedName>
    <definedName name="LEVEL6_CS" localSheetId="3">#REF!</definedName>
    <definedName name="LEVEL6_CT" localSheetId="3">#REF!</definedName>
    <definedName name="LEVEL6_DF" localSheetId="3">#REF!</definedName>
    <definedName name="LEVEL6_FC" localSheetId="3">#REF!</definedName>
    <definedName name="LEVEL6_LC" localSheetId="3">#REF!</definedName>
    <definedName name="LEVEL6_PD" localSheetId="3">#REF!</definedName>
    <definedName name="LEVEL7_AE" localSheetId="3">#REF!</definedName>
    <definedName name="LEVEL7_AM" localSheetId="3">#REF!</definedName>
    <definedName name="LEVEL7_AO" localSheetId="3">#REF!</definedName>
    <definedName name="LEVEL7_BS" localSheetId="3">#REF!</definedName>
    <definedName name="LEVEL7_CT" localSheetId="3">#REF!</definedName>
    <definedName name="LEVEL7_DF" localSheetId="3">#REF!</definedName>
    <definedName name="LEVEL7_FC" localSheetId="3">#REF!</definedName>
    <definedName name="LEVEL7_LC" localSheetId="3">#REF!</definedName>
    <definedName name="LEVEL7_PD" localSheetId="3">#REF!</definedName>
    <definedName name="LEVEL8_AE" localSheetId="3">#REF!</definedName>
    <definedName name="LEVEL8_AM" localSheetId="3">#REF!</definedName>
    <definedName name="LEVEL8_AO" localSheetId="3">#REF!</definedName>
    <definedName name="LEVEL8_BS" localSheetId="3">#REF!</definedName>
    <definedName name="LEVEL8_CT" localSheetId="3">#REF!</definedName>
    <definedName name="LEVEL8_DF" localSheetId="3">#REF!</definedName>
    <definedName name="LEVEL8_FC" localSheetId="3">#REF!</definedName>
    <definedName name="LEVEL8_LC" localSheetId="3">#REF!</definedName>
    <definedName name="LEVEL8_PD" localSheetId="3">#REF!</definedName>
    <definedName name="LEVEL9_AE" localSheetId="3">#REF!</definedName>
    <definedName name="LEVEL9_AM" localSheetId="3">#REF!</definedName>
    <definedName name="LEVEL9_AO" localSheetId="3">#REF!</definedName>
    <definedName name="LEVEL9_BS" localSheetId="3">[2]BS!#REF!</definedName>
    <definedName name="LEVEL9_FC" localSheetId="3">#REF!</definedName>
    <definedName name="LEVEL9_LC" localSheetId="3">#REF!</definedName>
    <definedName name="LEVEL9_PD" localSheetId="3">#REF!</definedName>
    <definedName name="liste" localSheetId="3">#REF!</definedName>
    <definedName name="LK_ADJ" localSheetId="3">#REF!</definedName>
    <definedName name="LK_AE" localSheetId="3">#REF!</definedName>
    <definedName name="LK_AL" localSheetId="3">'[2]ALT-HIER LOGISTICS'!#REF!</definedName>
    <definedName name="LK_AM" localSheetId="3">#REF!</definedName>
    <definedName name="LK_AO" localSheetId="3">#REF!</definedName>
    <definedName name="LK_AT" localSheetId="3">#REF!</definedName>
    <definedName name="LK_BS" localSheetId="3">#REF!</definedName>
    <definedName name="LK_BT" localSheetId="3">#REF!</definedName>
    <definedName name="LK_CS" localSheetId="3">#REF!</definedName>
    <definedName name="LK_CT" localSheetId="3">#REF!</definedName>
    <definedName name="LK_DF" localSheetId="3">#REF!</definedName>
    <definedName name="LK_FC" localSheetId="3">#REF!</definedName>
    <definedName name="LK_LC" localSheetId="3">#REF!</definedName>
    <definedName name="LK_PD" localSheetId="3">#REF!</definedName>
    <definedName name="LK_PLE" localSheetId="3">#REF!</definedName>
    <definedName name="LK_VS" localSheetId="3">#REF!</definedName>
    <definedName name="LOG1A_ADJ" localSheetId="3">#REF!</definedName>
    <definedName name="LOG1A_AT" localSheetId="3">#REF!</definedName>
    <definedName name="LOG1A_BS" localSheetId="3">#REF!</definedName>
    <definedName name="LOG1A_BT" localSheetId="3">#REF!</definedName>
    <definedName name="LOG1A_CS" localSheetId="3">#REF!</definedName>
    <definedName name="LOG1A_CT" localSheetId="3">#REF!</definedName>
    <definedName name="LOG1A_DF" localSheetId="3">#REF!</definedName>
    <definedName name="LOG1A_FC" localSheetId="3">#REF!</definedName>
    <definedName name="LOG1A_MT" localSheetId="3">#REF!</definedName>
    <definedName name="LOG1A_OA" localSheetId="3">#REF!</definedName>
    <definedName name="LOG1A_PD" localSheetId="3">#REF!</definedName>
    <definedName name="LOG1B_ADJ" localSheetId="3">#REF!</definedName>
    <definedName name="LOG1B_AT" localSheetId="3">#REF!</definedName>
    <definedName name="LOG1B_BS" localSheetId="3">#REF!</definedName>
    <definedName name="LOG1B_BT" localSheetId="3">#REF!</definedName>
    <definedName name="LOG1B_CS" localSheetId="3">#REF!</definedName>
    <definedName name="LOG1B_CT" localSheetId="3">#REF!</definedName>
    <definedName name="LOG1B_DF" localSheetId="3">#REF!</definedName>
    <definedName name="LOG1B_FC" localSheetId="3">#REF!</definedName>
    <definedName name="LOG1B_MT" localSheetId="3">#REF!</definedName>
    <definedName name="LOG1B_OA" localSheetId="3">#REF!</definedName>
    <definedName name="LOG1B_PD" localSheetId="3">#REF!</definedName>
    <definedName name="LOG2A_ADJ" localSheetId="3">#REF!</definedName>
    <definedName name="LOG2A_AT" localSheetId="3">#REF!</definedName>
    <definedName name="LOG2A_BS" localSheetId="3">#REF!</definedName>
    <definedName name="LOG2A_CT" localSheetId="3">#REF!</definedName>
    <definedName name="LOG2A_DF" localSheetId="3">#REF!</definedName>
    <definedName name="LOG2A_FC" localSheetId="3">#REF!</definedName>
    <definedName name="LOG2A_MT" localSheetId="3">#REF!</definedName>
    <definedName name="LOG2A_NK" localSheetId="3">'[2]Notes &amp; KPIs'!#REF!</definedName>
    <definedName name="LOG2A_OA" localSheetId="3">#REF!</definedName>
    <definedName name="LOG2A_PD" localSheetId="3">#REF!</definedName>
    <definedName name="LOG2A_PL" localSheetId="3">'[2]P&amp;L'!#REF!</definedName>
    <definedName name="LOG2B_ADJ" localSheetId="3">#REF!</definedName>
    <definedName name="LOG2B_AT" localSheetId="3">#REF!</definedName>
    <definedName name="LOG2B_BS" localSheetId="3">#REF!</definedName>
    <definedName name="LOG2B_CT" localSheetId="3">#REF!</definedName>
    <definedName name="LOG2B_DF" localSheetId="3">#REF!</definedName>
    <definedName name="LOG2B_FC" localSheetId="3">#REF!</definedName>
    <definedName name="LOG2B_MT" localSheetId="3">#REF!</definedName>
    <definedName name="LOG2B_NK" localSheetId="3">'[2]Notes &amp; KPIs'!#REF!</definedName>
    <definedName name="LOG2B_OA" localSheetId="3">#REF!</definedName>
    <definedName name="LOG2B_PD" localSheetId="3">#REF!</definedName>
    <definedName name="LOG2B_PL" localSheetId="3">'[2]P&amp;L'!#REF!</definedName>
    <definedName name="LOG3A_ADJ" localSheetId="3">#REF!</definedName>
    <definedName name="LOG3A_AT" localSheetId="3">#REF!</definedName>
    <definedName name="LOG3A_BS" localSheetId="3">#REF!</definedName>
    <definedName name="LOG3A_CS" localSheetId="3">#REF!</definedName>
    <definedName name="LOG3A_CT" localSheetId="3">#REF!</definedName>
    <definedName name="LOG3A_DF" localSheetId="3">#REF!</definedName>
    <definedName name="LOG3A_FC" localSheetId="3">#REF!</definedName>
    <definedName name="LOG3A_MT" localSheetId="3">#REF!</definedName>
    <definedName name="LOG3A_NK" localSheetId="3">'[2]Notes &amp; KPIs'!#REF!</definedName>
    <definedName name="LOG3A_OA" localSheetId="3">#REF!</definedName>
    <definedName name="LOG3A_PD" localSheetId="3">#REF!</definedName>
    <definedName name="LOG3A_PL" localSheetId="3">'[2]P&amp;L'!#REF!</definedName>
    <definedName name="LOG3B_ADJ" localSheetId="3">#REF!</definedName>
    <definedName name="LOG3B_AT" localSheetId="3">#REF!</definedName>
    <definedName name="LOG3B_BS" localSheetId="3">#REF!</definedName>
    <definedName name="LOG3B_CS" localSheetId="3">#REF!</definedName>
    <definedName name="LOG3B_CT" localSheetId="3">#REF!</definedName>
    <definedName name="LOG3B_DF" localSheetId="3">#REF!</definedName>
    <definedName name="LOG3B_FC" localSheetId="3">#REF!</definedName>
    <definedName name="LOG3B_MT" localSheetId="3">#REF!</definedName>
    <definedName name="LOG3B_NK" localSheetId="3">'[2]Notes &amp; KPIs'!#REF!</definedName>
    <definedName name="LOG3B_OA" localSheetId="3">#REF!</definedName>
    <definedName name="LOG3B_PD" localSheetId="3">#REF!</definedName>
    <definedName name="LOG3B_PL" localSheetId="3">'[2]P&amp;L'!#REF!</definedName>
    <definedName name="LOG4A_NK" localSheetId="3">'[2]Notes &amp; KPIs'!#REF!</definedName>
    <definedName name="LOG4B_NK" localSheetId="3">'[2]Notes &amp; KPIs'!#REF!</definedName>
    <definedName name="Mapping_DP_GBC" localSheetId="3">#REF!</definedName>
    <definedName name="Mapping_view_10_GBC_1" localSheetId="3">#REF!</definedName>
    <definedName name="MAPS" localSheetId="3">#REF!</definedName>
    <definedName name="matrix" localSheetId="3">#REF!</definedName>
    <definedName name="MEDIUMTEXT_D" localSheetId="3">'[4]Customer (ZBCBMCUST)'!#REF!</definedName>
    <definedName name="MEDIUMTEXT_E" localSheetId="3">'[4]Customer (ZBCBMCUST)'!#REF!</definedName>
    <definedName name="Month">Tracker!$B$5</definedName>
    <definedName name="MOVEMENT_BS" localSheetId="3">#REF!</definedName>
    <definedName name="Name" localSheetId="3">#REF!</definedName>
    <definedName name="NameEmployee">Tracker!$C$1</definedName>
    <definedName name="NameMitarbeiter" localSheetId="3">#REF!</definedName>
    <definedName name="Namen04" localSheetId="3">#REF!</definedName>
    <definedName name="NamenD04" localSheetId="3">#REF!</definedName>
    <definedName name="NETWORKOWNER_BS" localSheetId="3">#REF!</definedName>
    <definedName name="NumerationOfProjectNumbers">Tracker!$Q$8:$Q$22</definedName>
    <definedName name="para_time">parameters!$F$3:$F$4</definedName>
    <definedName name="PARENT" localSheetId="3">'[4]Customer (ZBCBMCUST)'!#REF!</definedName>
    <definedName name="PARENT_ADJ" localSheetId="3">#REF!</definedName>
    <definedName name="PARENT_AE" localSheetId="3">#REF!</definedName>
    <definedName name="PARENT_AM" localSheetId="3">#REF!</definedName>
    <definedName name="PARENT_AO" localSheetId="3">#REF!</definedName>
    <definedName name="PARENT_AT" localSheetId="3">#REF!</definedName>
    <definedName name="PARENT_BS" localSheetId="3">#REF!</definedName>
    <definedName name="PARENT_BT" localSheetId="3">#REF!</definedName>
    <definedName name="PARENT_CS" localSheetId="3">#REF!</definedName>
    <definedName name="PARENT_CT" localSheetId="3">#REF!</definedName>
    <definedName name="PARENT_DF" localSheetId="3">#REF!</definedName>
    <definedName name="PARENT_FC" localSheetId="3">#REF!</definedName>
    <definedName name="PARENT_LC" localSheetId="3">#REF!</definedName>
    <definedName name="PARENT_PD" localSheetId="3">#REF!</definedName>
    <definedName name="PARENT_PLE" localSheetId="3">#REF!</definedName>
    <definedName name="PARENT_VS" localSheetId="3">#REF!</definedName>
    <definedName name="PARENTNAME2" localSheetId="3">'[4]Customer (ZBCBMCUST)'!#REF!</definedName>
    <definedName name="PART_VAL_BS" localSheetId="3">[2]BS!#REF!</definedName>
    <definedName name="PART_VAL_PL" localSheetId="3">'[2]P&amp;L'!#REF!</definedName>
    <definedName name="PARTNERING_BS" localSheetId="3">#REF!</definedName>
    <definedName name="Praktikant" localSheetId="3">#REF!</definedName>
    <definedName name="_xlnm.Print_Area" localSheetId="0">Tracker!$A$1:$M$89</definedName>
    <definedName name="ProjectInformation">Tracker!$L$71:$M$85</definedName>
    <definedName name="ProjectNumberList">Tracker!$I$5:$J$66</definedName>
    <definedName name="ProjectNumberSummary">Tracker!$I$71:$J$85</definedName>
    <definedName name="ProjectNumberSummary_prevMonth">Tracker!$R$8:$V$22</definedName>
    <definedName name="Slicer_Business_Line">#N/A</definedName>
    <definedName name="Slicer_Customer">#N/A</definedName>
    <definedName name="spec_4flow_cc">parameters!#REF!</definedName>
    <definedName name="spec_4flow_na">ddSpecification[Specification]</definedName>
    <definedName name="spec_consulting_cc">parameters!$O$3:$O$15</definedName>
    <definedName name="spec_consulting_proj">parameters!$O$3:$O$14</definedName>
    <definedName name="spec_CorporateServices_cc">parameters!#REF!</definedName>
    <definedName name="spec_management_cc">parameters!$P$3:$P$12</definedName>
    <definedName name="spec_management_proj">parameters!$P$3:$P$11</definedName>
    <definedName name="spec_overhead_na">parameters!$N$30</definedName>
    <definedName name="spec_research_cc">parameters!$O$3:$O$15</definedName>
    <definedName name="spec_research_proj">ddSpecification[Specification]</definedName>
    <definedName name="spec_software_cc">parameters!$Q$6:$Q$17</definedName>
    <definedName name="spec_software_proj">parameters!$Q$3:$Q$5</definedName>
    <definedName name="Status1" localSheetId="3">#REF!</definedName>
    <definedName name="suchbereich" localSheetId="3">#REF!</definedName>
    <definedName name="TO_CALENDAR_WEEK">Tracker!$B$11</definedName>
    <definedName name="varAuswertung">Tracker!$I$70:$K$87</definedName>
    <definedName name="varEntity" localSheetId="1">[5]Settings!$C$3</definedName>
    <definedName name="varErrorCC">Tracker!$P$7</definedName>
    <definedName name="varProjectlistFile">Projectlist!$F$1</definedName>
    <definedName name="varProjectlistPath">Projectlist!$F$2</definedName>
    <definedName name="varTarget">Tracker!$K$102</definedName>
    <definedName name="varWorkdays">Tracker!$B$7</definedName>
    <definedName name="varWorkingDaysAdj">Tracker!$B$8</definedName>
    <definedName name="Year">Tracker!$B$4</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B71" i="29" l="1"/>
  <c r="AB72" i="29"/>
  <c r="AB73" i="29"/>
  <c r="AB74" i="29"/>
  <c r="AB75" i="29"/>
  <c r="AB76" i="29"/>
  <c r="AB77" i="29"/>
  <c r="AB78" i="29"/>
  <c r="AB79" i="29"/>
  <c r="AB80" i="29"/>
  <c r="AB81" i="29"/>
  <c r="AB82" i="29"/>
  <c r="AB83" i="29"/>
  <c r="AB84" i="29"/>
  <c r="AB85" i="29"/>
  <c r="AB5" i="29"/>
  <c r="AB6" i="29"/>
  <c r="AB7" i="29"/>
  <c r="AB8" i="29"/>
  <c r="AB9" i="29"/>
  <c r="AB10" i="29"/>
  <c r="AB11" i="29"/>
  <c r="AB12" i="29"/>
  <c r="AB13" i="29"/>
  <c r="AB14" i="29"/>
  <c r="AB15" i="29"/>
  <c r="AB16" i="29"/>
  <c r="AB17" i="29"/>
  <c r="AB18" i="29"/>
  <c r="AB19" i="29"/>
  <c r="AB20" i="29"/>
  <c r="AB21" i="29"/>
  <c r="AB22" i="29"/>
  <c r="AB23" i="29"/>
  <c r="AB24" i="29"/>
  <c r="AB25" i="29"/>
  <c r="AB26" i="29"/>
  <c r="AB27" i="29"/>
  <c r="AB28" i="29"/>
  <c r="AB29" i="29"/>
  <c r="AB30" i="29"/>
  <c r="AB31" i="29"/>
  <c r="AB32" i="29"/>
  <c r="AB33" i="29"/>
  <c r="AB34" i="29"/>
  <c r="AB35" i="29"/>
  <c r="AB36" i="29"/>
  <c r="AB37" i="29"/>
  <c r="AB38" i="29"/>
  <c r="AB39" i="29"/>
  <c r="AB40" i="29"/>
  <c r="AB41" i="29"/>
  <c r="AB42" i="29"/>
  <c r="AB43" i="29"/>
  <c r="AB44" i="29"/>
  <c r="AB45" i="29"/>
  <c r="AB46" i="29"/>
  <c r="AB47" i="29"/>
  <c r="AB48" i="29"/>
  <c r="AB49" i="29"/>
  <c r="AB50" i="29"/>
  <c r="AB51" i="29"/>
  <c r="AB52" i="29"/>
  <c r="AB53" i="29"/>
  <c r="AB54" i="29"/>
  <c r="AB55" i="29"/>
  <c r="AB56" i="29"/>
  <c r="AB57" i="29"/>
  <c r="AB58" i="29"/>
  <c r="AB59" i="29"/>
  <c r="AB60" i="29"/>
  <c r="AB61" i="29"/>
  <c r="AB62" i="29"/>
  <c r="AB63" i="29"/>
  <c r="AB64" i="29"/>
  <c r="AB65" i="29"/>
  <c r="AB66" i="29"/>
  <c r="AA5" i="29"/>
  <c r="AA6" i="29"/>
  <c r="AA7" i="29"/>
  <c r="AA8" i="29"/>
  <c r="AA9" i="29"/>
  <c r="AA10" i="29"/>
  <c r="AA11" i="29"/>
  <c r="AA12" i="29"/>
  <c r="AA13" i="29"/>
  <c r="AA14" i="29"/>
  <c r="AA15" i="29"/>
  <c r="AA16" i="29"/>
  <c r="AA17" i="29"/>
  <c r="AA18" i="29"/>
  <c r="AA19" i="29"/>
  <c r="AA20" i="29"/>
  <c r="AA21" i="29"/>
  <c r="AA22" i="29"/>
  <c r="AA23" i="29"/>
  <c r="AA24" i="29"/>
  <c r="AA25" i="29"/>
  <c r="AA26" i="29"/>
  <c r="AA27" i="29"/>
  <c r="AA28" i="29"/>
  <c r="AA29" i="29"/>
  <c r="AA30" i="29"/>
  <c r="AA31" i="29"/>
  <c r="AA32" i="29"/>
  <c r="AA33" i="29"/>
  <c r="AA34" i="29"/>
  <c r="AA35" i="29"/>
  <c r="AA36" i="29"/>
  <c r="AA37" i="29"/>
  <c r="AA38" i="29"/>
  <c r="AA39" i="29"/>
  <c r="AA40" i="29"/>
  <c r="AA41" i="29"/>
  <c r="AA42" i="29"/>
  <c r="AA43" i="29"/>
  <c r="AA44" i="29"/>
  <c r="AA45" i="29"/>
  <c r="AA46" i="29"/>
  <c r="AA47" i="29"/>
  <c r="AA48" i="29"/>
  <c r="AA49" i="29"/>
  <c r="AA50" i="29"/>
  <c r="AA51" i="29"/>
  <c r="AA52" i="29"/>
  <c r="AA53" i="29"/>
  <c r="AA54" i="29"/>
  <c r="AA55" i="29"/>
  <c r="AA56" i="29"/>
  <c r="AA57" i="29"/>
  <c r="AA58" i="29"/>
  <c r="AA59" i="29"/>
  <c r="AA60" i="29"/>
  <c r="AA61" i="29"/>
  <c r="AA62" i="29"/>
  <c r="AA63" i="29"/>
  <c r="AA64" i="29"/>
  <c r="AA65" i="29"/>
  <c r="AA66" i="29"/>
  <c r="Z5" i="29"/>
  <c r="Z6" i="29"/>
  <c r="Z7" i="29"/>
  <c r="Z8" i="29"/>
  <c r="Z9" i="29"/>
  <c r="Z10" i="29"/>
  <c r="Z11" i="29"/>
  <c r="Z12" i="29"/>
  <c r="Z13" i="29"/>
  <c r="Z14" i="29"/>
  <c r="Z15" i="29"/>
  <c r="Z16" i="29"/>
  <c r="Z17" i="29"/>
  <c r="Z18" i="29"/>
  <c r="Z19" i="29"/>
  <c r="Z20" i="29"/>
  <c r="Z21" i="29"/>
  <c r="Z22" i="29"/>
  <c r="Z23" i="29"/>
  <c r="Z24" i="29"/>
  <c r="Z25" i="29"/>
  <c r="Z26" i="29"/>
  <c r="Z27" i="29"/>
  <c r="Z28" i="29"/>
  <c r="Z29" i="29"/>
  <c r="Z30" i="29"/>
  <c r="Z31" i="29"/>
  <c r="Z32" i="29"/>
  <c r="Z33" i="29"/>
  <c r="Z34" i="29"/>
  <c r="Z35" i="29"/>
  <c r="Z36" i="29"/>
  <c r="Z37" i="29"/>
  <c r="Z38" i="29"/>
  <c r="Z39" i="29"/>
  <c r="Z40" i="29"/>
  <c r="Z41" i="29"/>
  <c r="Z42" i="29"/>
  <c r="Z43" i="29"/>
  <c r="Z44" i="29"/>
  <c r="Z45" i="29"/>
  <c r="Z46" i="29"/>
  <c r="Z47" i="29"/>
  <c r="Z48" i="29"/>
  <c r="Z49" i="29"/>
  <c r="Z50" i="29"/>
  <c r="Z51" i="29"/>
  <c r="Z52" i="29"/>
  <c r="Z53" i="29"/>
  <c r="Z54" i="29"/>
  <c r="Z55" i="29"/>
  <c r="Z56" i="29"/>
  <c r="Z57" i="29"/>
  <c r="Z58" i="29"/>
  <c r="Z59" i="29"/>
  <c r="Z60" i="29"/>
  <c r="Z61" i="29"/>
  <c r="Z62" i="29"/>
  <c r="Z63" i="29"/>
  <c r="Z64" i="29"/>
  <c r="Z65" i="29"/>
  <c r="Z66" i="29"/>
  <c r="AC19" i="29" l="1"/>
  <c r="AC12" i="29" l="1"/>
  <c r="AC14" i="29"/>
  <c r="AC11" i="29"/>
  <c r="AC13" i="29"/>
  <c r="AC15" i="29"/>
  <c r="AC9" i="29"/>
  <c r="AC7" i="29"/>
  <c r="AC8" i="29"/>
  <c r="AC10" i="29"/>
  <c r="A3" i="29" l="1"/>
  <c r="D5" i="29" l="1"/>
  <c r="AC26" i="29" l="1"/>
  <c r="AC28" i="29"/>
  <c r="AC40" i="29"/>
  <c r="AC42" i="29"/>
  <c r="AC54" i="29"/>
  <c r="AC56" i="29"/>
  <c r="AC66" i="29"/>
  <c r="AC65" i="29"/>
  <c r="AC43" i="29"/>
  <c r="AC45" i="29"/>
  <c r="AC59" i="29"/>
  <c r="AC57" i="29"/>
  <c r="AC31" i="29"/>
  <c r="AC17" i="29"/>
  <c r="AC29" i="29"/>
  <c r="AC63" i="29"/>
  <c r="AC61" i="29"/>
  <c r="AC55" i="29"/>
  <c r="AC51" i="29"/>
  <c r="AC49" i="29"/>
  <c r="AC53" i="29"/>
  <c r="AC47" i="29"/>
  <c r="AC39" i="29"/>
  <c r="AC33" i="29"/>
  <c r="AC41" i="29"/>
  <c r="AC37" i="29"/>
  <c r="AC35" i="29"/>
  <c r="AC25" i="29"/>
  <c r="AC27" i="29"/>
  <c r="AC23" i="29"/>
  <c r="AC21" i="29"/>
  <c r="AC5" i="29"/>
  <c r="AC64" i="29"/>
  <c r="AC52" i="29"/>
  <c r="AC50" i="29"/>
  <c r="AC38" i="29"/>
  <c r="AC36" i="29"/>
  <c r="AC16" i="29"/>
  <c r="AC18" i="29"/>
  <c r="AC20" i="29"/>
  <c r="AC22" i="29"/>
  <c r="AC24" i="29"/>
  <c r="AC30" i="29"/>
  <c r="AC62" i="29"/>
  <c r="AC60" i="29"/>
  <c r="AC58" i="29"/>
  <c r="AC48" i="29"/>
  <c r="AC46" i="29"/>
  <c r="AC44" i="29"/>
  <c r="AC34" i="29"/>
  <c r="AC32" i="29"/>
  <c r="AC6" i="29"/>
  <c r="O3" i="29" l="1"/>
  <c r="T36" i="29"/>
  <c r="M76" i="29" l="1" a="1"/>
  <c r="M76" i="29" s="1"/>
  <c r="O6" i="29"/>
  <c r="O7" i="29"/>
  <c r="O8" i="29"/>
  <c r="O10" i="29"/>
  <c r="O11" i="29"/>
  <c r="O12" i="29"/>
  <c r="O13" i="29"/>
  <c r="O14" i="29"/>
  <c r="O16" i="29"/>
  <c r="O17" i="29"/>
  <c r="O18" i="29"/>
  <c r="O19" i="29"/>
  <c r="O20" i="29"/>
  <c r="O21" i="29"/>
  <c r="O22" i="29"/>
  <c r="O23" i="29"/>
  <c r="O24" i="29"/>
  <c r="O25" i="29"/>
  <c r="O26" i="29"/>
  <c r="O27" i="29"/>
  <c r="O28" i="29"/>
  <c r="O29" i="29"/>
  <c r="O30" i="29"/>
  <c r="O31" i="29"/>
  <c r="O32" i="29"/>
  <c r="O33" i="29"/>
  <c r="O34" i="29"/>
  <c r="O35" i="29"/>
  <c r="O36" i="29"/>
  <c r="O37" i="29"/>
  <c r="O38" i="29"/>
  <c r="O39" i="29"/>
  <c r="O40" i="29"/>
  <c r="O41" i="29"/>
  <c r="O42" i="29"/>
  <c r="O43" i="29"/>
  <c r="O44" i="29"/>
  <c r="O45" i="29"/>
  <c r="O46" i="29"/>
  <c r="O47" i="29"/>
  <c r="O48" i="29"/>
  <c r="O49" i="29"/>
  <c r="O50" i="29"/>
  <c r="O51" i="29"/>
  <c r="O52" i="29"/>
  <c r="O53" i="29"/>
  <c r="O54" i="29"/>
  <c r="O55" i="29"/>
  <c r="O56" i="29"/>
  <c r="O57" i="29"/>
  <c r="O58" i="29"/>
  <c r="O59" i="29"/>
  <c r="O60" i="29"/>
  <c r="O61" i="29"/>
  <c r="O62" i="29"/>
  <c r="O63" i="29"/>
  <c r="O64" i="29"/>
  <c r="O65" i="29"/>
  <c r="O66" i="29"/>
  <c r="O5" i="29"/>
  <c r="O9" i="29" l="1"/>
  <c r="O15" i="29"/>
  <c r="M72" i="29" a="1"/>
  <c r="M72" i="29" s="1"/>
  <c r="M73" i="29" a="1"/>
  <c r="M73" i="29" s="1"/>
  <c r="M74" i="29" a="1"/>
  <c r="M74" i="29" s="1"/>
  <c r="M75" i="29" a="1"/>
  <c r="M75" i="29" s="1"/>
  <c r="M77" i="29" a="1"/>
  <c r="M77" i="29" s="1"/>
  <c r="M78" i="29" a="1"/>
  <c r="M78" i="29" s="1"/>
  <c r="M79" i="29" a="1"/>
  <c r="M79" i="29" s="1"/>
  <c r="M80" i="29" a="1"/>
  <c r="M80" i="29" s="1"/>
  <c r="M81" i="29" a="1"/>
  <c r="M81" i="29" s="1"/>
  <c r="M82" i="29" a="1"/>
  <c r="M82" i="29" s="1"/>
  <c r="M83" i="29" a="1"/>
  <c r="M83" i="29" s="1"/>
  <c r="M84" i="29" a="1"/>
  <c r="M84" i="29" s="1"/>
  <c r="M85" i="29" a="1"/>
  <c r="M85" i="29" s="1"/>
  <c r="M71" i="29" a="1"/>
  <c r="M71" i="29" s="1"/>
  <c r="S36" i="29" l="1"/>
  <c r="K77" i="29" l="1"/>
  <c r="K78" i="29"/>
  <c r="K79" i="29"/>
  <c r="K80" i="29"/>
  <c r="K81" i="29"/>
  <c r="K82" i="29"/>
  <c r="K83" i="29"/>
  <c r="K84" i="29"/>
  <c r="K85" i="29"/>
  <c r="S1" i="29"/>
  <c r="L72" i="29" l="1"/>
  <c r="L73" i="29"/>
  <c r="L74" i="29"/>
  <c r="L75" i="29"/>
  <c r="L76" i="29"/>
  <c r="L77" i="29"/>
  <c r="L78" i="29"/>
  <c r="L79" i="29"/>
  <c r="L80" i="29"/>
  <c r="L81" i="29"/>
  <c r="L82" i="29"/>
  <c r="L83" i="29"/>
  <c r="L84" i="29"/>
  <c r="L85" i="29"/>
  <c r="L71" i="29"/>
  <c r="A4272" i="87" l="1"/>
  <c r="A4273" i="87"/>
  <c r="A4274" i="87"/>
  <c r="A4275" i="87"/>
  <c r="A4276" i="87"/>
  <c r="A4277" i="87"/>
  <c r="A4278" i="87"/>
  <c r="A4279" i="87"/>
  <c r="A4280" i="87"/>
  <c r="A4281" i="87"/>
  <c r="A4282" i="87"/>
  <c r="A4283" i="87"/>
  <c r="A4284" i="87"/>
  <c r="A4285" i="87"/>
  <c r="A4286" i="87"/>
  <c r="A4287" i="87"/>
  <c r="A4288" i="87"/>
  <c r="A4289" i="87"/>
  <c r="A4290" i="87"/>
  <c r="A4291" i="87"/>
  <c r="A4292" i="87"/>
  <c r="A4293" i="87"/>
  <c r="A4294" i="87"/>
  <c r="A4295" i="87"/>
  <c r="A4296" i="87"/>
  <c r="A4297" i="87"/>
  <c r="A4298" i="87"/>
  <c r="A4299" i="87"/>
  <c r="A4300" i="87"/>
  <c r="A4301" i="87"/>
  <c r="A4302" i="87"/>
  <c r="A4303" i="87"/>
  <c r="A4304" i="87"/>
  <c r="A4305" i="87"/>
  <c r="A4306" i="87"/>
  <c r="A4307" i="87"/>
  <c r="A4308" i="87"/>
  <c r="A4309" i="87"/>
  <c r="A4310" i="87"/>
  <c r="A4311" i="87"/>
  <c r="A4312" i="87"/>
  <c r="A4313" i="87"/>
  <c r="A4314" i="87"/>
  <c r="A4315" i="87"/>
  <c r="A4316" i="87"/>
  <c r="A4317" i="87"/>
  <c r="A4318" i="87"/>
  <c r="A4319" i="87"/>
  <c r="A4320" i="87"/>
  <c r="A4321" i="87"/>
  <c r="A4322" i="87"/>
  <c r="A4323" i="87"/>
  <c r="A4324" i="87"/>
  <c r="A4325" i="87"/>
  <c r="A4326" i="87"/>
  <c r="A4327" i="87"/>
  <c r="A4328" i="87"/>
  <c r="A4329" i="87"/>
  <c r="A4330" i="87"/>
  <c r="A4331" i="87"/>
  <c r="A4332" i="87"/>
  <c r="A4333" i="87"/>
  <c r="A4334" i="87"/>
  <c r="A4335" i="87"/>
  <c r="A4336" i="87"/>
  <c r="A4337" i="87"/>
  <c r="A4338" i="87"/>
  <c r="A4339" i="87"/>
  <c r="A4340" i="87"/>
  <c r="A4341" i="87"/>
  <c r="A4342" i="87"/>
  <c r="A4343" i="87"/>
  <c r="A4344" i="87"/>
  <c r="A4345" i="87"/>
  <c r="A4346" i="87"/>
  <c r="A4347" i="87"/>
  <c r="A4348" i="87"/>
  <c r="A4349" i="87"/>
  <c r="A4350" i="87"/>
  <c r="A4351" i="87"/>
  <c r="A4352" i="87"/>
  <c r="A4353" i="87"/>
  <c r="A4354" i="87"/>
  <c r="A4355" i="87"/>
  <c r="A4356" i="87"/>
  <c r="A4357" i="87"/>
  <c r="A4358" i="87"/>
  <c r="A4359" i="87"/>
  <c r="A4360" i="87"/>
  <c r="A4361" i="87"/>
  <c r="A4362" i="87"/>
  <c r="A4363" i="87"/>
  <c r="A4364" i="87"/>
  <c r="A4365" i="87"/>
  <c r="A4366" i="87"/>
  <c r="A4367" i="87"/>
  <c r="A4368" i="87"/>
  <c r="A4369" i="87"/>
  <c r="A4370" i="87"/>
  <c r="A4371" i="87"/>
  <c r="A4372" i="87"/>
  <c r="A4373" i="87"/>
  <c r="A4374" i="87"/>
  <c r="A4375" i="87"/>
  <c r="A4376" i="87"/>
  <c r="A4377" i="87"/>
  <c r="A4378" i="87"/>
  <c r="A4379" i="87"/>
  <c r="A4380" i="87"/>
  <c r="A4381" i="87"/>
  <c r="A4382" i="87"/>
  <c r="A4383" i="87"/>
  <c r="A4384" i="87"/>
  <c r="A4385" i="87"/>
  <c r="A4386" i="87"/>
  <c r="A4387" i="87"/>
  <c r="A4388" i="87"/>
  <c r="A4389" i="87"/>
  <c r="A4390" i="87"/>
  <c r="A4391" i="87"/>
  <c r="A4392" i="87"/>
  <c r="A4393" i="87"/>
  <c r="A4394" i="87"/>
  <c r="A4395" i="87"/>
  <c r="A4396" i="87"/>
  <c r="A4397" i="87"/>
  <c r="A4398" i="87"/>
  <c r="A4399" i="87"/>
  <c r="A4400" i="87"/>
  <c r="A4401" i="87"/>
  <c r="A4402" i="87"/>
  <c r="A4403" i="87"/>
  <c r="A4404" i="87"/>
  <c r="A4405" i="87"/>
  <c r="A4406" i="87"/>
  <c r="A4407" i="87"/>
  <c r="A4408" i="87"/>
  <c r="A4409" i="87"/>
  <c r="A4410" i="87"/>
  <c r="A4411" i="87"/>
  <c r="A4412" i="87"/>
  <c r="A4413" i="87"/>
  <c r="A4414" i="87"/>
  <c r="A4415" i="87"/>
  <c r="A4416" i="87"/>
  <c r="A4417" i="87"/>
  <c r="A4418" i="87"/>
  <c r="A4419" i="87"/>
  <c r="A4420" i="87"/>
  <c r="A4421" i="87"/>
  <c r="A4422" i="87"/>
  <c r="A4423" i="87"/>
  <c r="A4424" i="87"/>
  <c r="A4425" i="87"/>
  <c r="A4426" i="87"/>
  <c r="A4427" i="87"/>
  <c r="A4428" i="87"/>
  <c r="A4429" i="87"/>
  <c r="A4430" i="87"/>
  <c r="A4431" i="87"/>
  <c r="A4432" i="87"/>
  <c r="A4433" i="87"/>
  <c r="A4434" i="87"/>
  <c r="A4435" i="87"/>
  <c r="A4436" i="87"/>
  <c r="A4437" i="87"/>
  <c r="A4438" i="87"/>
  <c r="A4439" i="87"/>
  <c r="A4440" i="87"/>
  <c r="A4441" i="87"/>
  <c r="A4442" i="87"/>
  <c r="A4443" i="87"/>
  <c r="A4444" i="87"/>
  <c r="A4445" i="87"/>
  <c r="A4446" i="87"/>
  <c r="A4447" i="87"/>
  <c r="A4448" i="87"/>
  <c r="A4449" i="87"/>
  <c r="A4450" i="87"/>
  <c r="A4451" i="87"/>
  <c r="A4452" i="87"/>
  <c r="A4453" i="87"/>
  <c r="A4454" i="87"/>
  <c r="A4455" i="87"/>
  <c r="A4456" i="87"/>
  <c r="A4457" i="87"/>
  <c r="A4458" i="87"/>
  <c r="A4459" i="87"/>
  <c r="A4460" i="87"/>
  <c r="A4461" i="87"/>
  <c r="A4462" i="87"/>
  <c r="A4463" i="87"/>
  <c r="A4464" i="87"/>
  <c r="A4465" i="87"/>
  <c r="A4466" i="87"/>
  <c r="A4467" i="87"/>
  <c r="A4468" i="87"/>
  <c r="A4469" i="87"/>
  <c r="A4470" i="87"/>
  <c r="A4471" i="87"/>
  <c r="A4472" i="87"/>
  <c r="A4473" i="87"/>
  <c r="A4474" i="87"/>
  <c r="A4475" i="87"/>
  <c r="A4476" i="87"/>
  <c r="A4477" i="87"/>
  <c r="A4478" i="87"/>
  <c r="A4479" i="87"/>
  <c r="A4480" i="87"/>
  <c r="A4481" i="87"/>
  <c r="A4482" i="87"/>
  <c r="A4483" i="87"/>
  <c r="A4484" i="87"/>
  <c r="A4485" i="87"/>
  <c r="A4486" i="87"/>
  <c r="A4487" i="87"/>
  <c r="A4488" i="87"/>
  <c r="A4489" i="87"/>
  <c r="A4490" i="87"/>
  <c r="A4491" i="87"/>
  <c r="A4492" i="87"/>
  <c r="A4493" i="87"/>
  <c r="A4494" i="87"/>
  <c r="A4495" i="87"/>
  <c r="A4496" i="87"/>
  <c r="A4497" i="87"/>
  <c r="A4498" i="87"/>
  <c r="A4499" i="87"/>
  <c r="A4500" i="87"/>
  <c r="A4501" i="87"/>
  <c r="A4502" i="87"/>
  <c r="A4503" i="87"/>
  <c r="A4504" i="87"/>
  <c r="A4505" i="87"/>
  <c r="A4506" i="87"/>
  <c r="A4507" i="87"/>
  <c r="A4508" i="87"/>
  <c r="A4509" i="87"/>
  <c r="A4510" i="87"/>
  <c r="A4511" i="87"/>
  <c r="A4512" i="87"/>
  <c r="A4513" i="87"/>
  <c r="A4514" i="87"/>
  <c r="A4515" i="87"/>
  <c r="A4516" i="87"/>
  <c r="A4517" i="87"/>
  <c r="A4518" i="87"/>
  <c r="A4519" i="87"/>
  <c r="A4520" i="87"/>
  <c r="A4521" i="87"/>
  <c r="A4522" i="87"/>
  <c r="A4523" i="87"/>
  <c r="A4524" i="87"/>
  <c r="A4525" i="87"/>
  <c r="A4526" i="87"/>
  <c r="A4527" i="87"/>
  <c r="A4528" i="87"/>
  <c r="A4529" i="87"/>
  <c r="A4530" i="87"/>
  <c r="A4531" i="87"/>
  <c r="A4532" i="87"/>
  <c r="A4533" i="87"/>
  <c r="A4534" i="87"/>
  <c r="A4535" i="87"/>
  <c r="A4536" i="87"/>
  <c r="A4537" i="87"/>
  <c r="A4538" i="87"/>
  <c r="A4539" i="87"/>
  <c r="A4540" i="87"/>
  <c r="A4541" i="87"/>
  <c r="A4542" i="87"/>
  <c r="A4543" i="87"/>
  <c r="A4544" i="87"/>
  <c r="A4545" i="87"/>
  <c r="A4546" i="87"/>
  <c r="A4547" i="87"/>
  <c r="A4548" i="87"/>
  <c r="A4549" i="87"/>
  <c r="A4550" i="87"/>
  <c r="A4551" i="87"/>
  <c r="A4552" i="87"/>
  <c r="A4553" i="87"/>
  <c r="A4554" i="87"/>
  <c r="A4555" i="87"/>
  <c r="A4556" i="87"/>
  <c r="A4557" i="87"/>
  <c r="A4558" i="87"/>
  <c r="A4559" i="87"/>
  <c r="A4560" i="87"/>
  <c r="A4561" i="87"/>
  <c r="A4562" i="87"/>
  <c r="A4563" i="87"/>
  <c r="A4564" i="87"/>
  <c r="A4565" i="87"/>
  <c r="A4566" i="87"/>
  <c r="A4567" i="87"/>
  <c r="A4568" i="87"/>
  <c r="A4569" i="87"/>
  <c r="A4570" i="87"/>
  <c r="A4571" i="87"/>
  <c r="A4572" i="87"/>
  <c r="A4573" i="87"/>
  <c r="A4574" i="87"/>
  <c r="A4575" i="87"/>
  <c r="A4576" i="87"/>
  <c r="A4577" i="87"/>
  <c r="A4578" i="87"/>
  <c r="A4579" i="87"/>
  <c r="A4580" i="87"/>
  <c r="A4581" i="87"/>
  <c r="A4582" i="87"/>
  <c r="A4583" i="87"/>
  <c r="A4584" i="87"/>
  <c r="A4585" i="87"/>
  <c r="A4586" i="87"/>
  <c r="A4587" i="87"/>
  <c r="A4588" i="87"/>
  <c r="A4589" i="87"/>
  <c r="A4590" i="87"/>
  <c r="A4591" i="87"/>
  <c r="A4592" i="87"/>
  <c r="A4593" i="87"/>
  <c r="A4594" i="87"/>
  <c r="A4595" i="87"/>
  <c r="A4596" i="87"/>
  <c r="A4597" i="87"/>
  <c r="A4598" i="87"/>
  <c r="A4599" i="87"/>
  <c r="A4600" i="87"/>
  <c r="A4601" i="87"/>
  <c r="A4602" i="87"/>
  <c r="A4603" i="87"/>
  <c r="A4604" i="87"/>
  <c r="A4605" i="87"/>
  <c r="A4606" i="87"/>
  <c r="A4607" i="87"/>
  <c r="A4608" i="87"/>
  <c r="A4609" i="87"/>
  <c r="A4610" i="87"/>
  <c r="A4611" i="87"/>
  <c r="A4612" i="87"/>
  <c r="A4613" i="87"/>
  <c r="A4614" i="87"/>
  <c r="A4615" i="87"/>
  <c r="A4616" i="87"/>
  <c r="A4617" i="87"/>
  <c r="A4618" i="87"/>
  <c r="A4619" i="87"/>
  <c r="A4620" i="87"/>
  <c r="A4621" i="87"/>
  <c r="A4622" i="87"/>
  <c r="A4623" i="87"/>
  <c r="A4624" i="87"/>
  <c r="A4625" i="87"/>
  <c r="A4626" i="87"/>
  <c r="A4627" i="87"/>
  <c r="A4628" i="87"/>
  <c r="A4629" i="87"/>
  <c r="A4630" i="87"/>
  <c r="A4631" i="87"/>
  <c r="A4632" i="87"/>
  <c r="A4633" i="87"/>
  <c r="A4634" i="87"/>
  <c r="A4635" i="87"/>
  <c r="A4636" i="87"/>
  <c r="A4637" i="87"/>
  <c r="A4638" i="87"/>
  <c r="A4639" i="87"/>
  <c r="A4640" i="87"/>
  <c r="A4641" i="87"/>
  <c r="A4642" i="87"/>
  <c r="A4643" i="87"/>
  <c r="A4644" i="87"/>
  <c r="A4645" i="87"/>
  <c r="A4646" i="87"/>
  <c r="A4647" i="87"/>
  <c r="A4648" i="87"/>
  <c r="A4649" i="87"/>
  <c r="A4650" i="87"/>
  <c r="A4651" i="87"/>
  <c r="A4652" i="87"/>
  <c r="A4653" i="87"/>
  <c r="A4654" i="87"/>
  <c r="A4655" i="87"/>
  <c r="A4656" i="87"/>
  <c r="A4657" i="87"/>
  <c r="A4658" i="87"/>
  <c r="A4659" i="87"/>
  <c r="A4660" i="87"/>
  <c r="A4661" i="87"/>
  <c r="A4662" i="87"/>
  <c r="A4663" i="87"/>
  <c r="A4664" i="87"/>
  <c r="A4665" i="87"/>
  <c r="A4666" i="87"/>
  <c r="A4667" i="87"/>
  <c r="A4668" i="87"/>
  <c r="A4669" i="87"/>
  <c r="A4670" i="87"/>
  <c r="A4671" i="87"/>
  <c r="A4672" i="87"/>
  <c r="A4673" i="87"/>
  <c r="A4674" i="87"/>
  <c r="A4675" i="87"/>
  <c r="A4676" i="87"/>
  <c r="A4677" i="87"/>
  <c r="A4678" i="87"/>
  <c r="A4679" i="87"/>
  <c r="A4680" i="87"/>
  <c r="A4681" i="87"/>
  <c r="A4682" i="87"/>
  <c r="A4683" i="87"/>
  <c r="A4684" i="87"/>
  <c r="A4685" i="87"/>
  <c r="A4686" i="87"/>
  <c r="A4687" i="87"/>
  <c r="A4688" i="87"/>
  <c r="A4689" i="87"/>
  <c r="A4690" i="87"/>
  <c r="A4691" i="87"/>
  <c r="A4692" i="87"/>
  <c r="A4693" i="87"/>
  <c r="A4694" i="87"/>
  <c r="A4695" i="87"/>
  <c r="A4696" i="87"/>
  <c r="A4697" i="87"/>
  <c r="A4698" i="87"/>
  <c r="A4699" i="87"/>
  <c r="A4700" i="87"/>
  <c r="A4701" i="87"/>
  <c r="A4702" i="87"/>
  <c r="A4703" i="87"/>
  <c r="A4704" i="87"/>
  <c r="A4705" i="87"/>
  <c r="A4706" i="87"/>
  <c r="A4707" i="87"/>
  <c r="A4708" i="87"/>
  <c r="A4709" i="87"/>
  <c r="A4710" i="87"/>
  <c r="A4711" i="87"/>
  <c r="A4712" i="87"/>
  <c r="A4713" i="87"/>
  <c r="A4714" i="87"/>
  <c r="A4715" i="87"/>
  <c r="A4716" i="87"/>
  <c r="A4717" i="87"/>
  <c r="A4718" i="87"/>
  <c r="A4719" i="87"/>
  <c r="A4720" i="87"/>
  <c r="A4721" i="87"/>
  <c r="A4722" i="87"/>
  <c r="A4723" i="87"/>
  <c r="A4724" i="87"/>
  <c r="A4725" i="87"/>
  <c r="A4726" i="87"/>
  <c r="A4727" i="87"/>
  <c r="A4728" i="87"/>
  <c r="A4729" i="87"/>
  <c r="A4730" i="87"/>
  <c r="A4731" i="87"/>
  <c r="A4732" i="87"/>
  <c r="A4733" i="87"/>
  <c r="A4734" i="87"/>
  <c r="A4735" i="87"/>
  <c r="A4736" i="87"/>
  <c r="A4737" i="87"/>
  <c r="A4738" i="87"/>
  <c r="A4739" i="87"/>
  <c r="A4740" i="87"/>
  <c r="A4741" i="87"/>
  <c r="A4742" i="87"/>
  <c r="A4743" i="87"/>
  <c r="A4744" i="87"/>
  <c r="A4745" i="87"/>
  <c r="A4746" i="87"/>
  <c r="A4747" i="87"/>
  <c r="A4748" i="87"/>
  <c r="A4749" i="87"/>
  <c r="A4750" i="87"/>
  <c r="A4751" i="87"/>
  <c r="A4752" i="87"/>
  <c r="A4753" i="87"/>
  <c r="A4754" i="87"/>
  <c r="A4755" i="87"/>
  <c r="A4756" i="87"/>
  <c r="A4757" i="87"/>
  <c r="A4758" i="87"/>
  <c r="A4759" i="87"/>
  <c r="A4760" i="87"/>
  <c r="A4761" i="87"/>
  <c r="A4762" i="87"/>
  <c r="A4763" i="87"/>
  <c r="A4764" i="87"/>
  <c r="A4765" i="87"/>
  <c r="A4766" i="87"/>
  <c r="A4767" i="87"/>
  <c r="A4768" i="87"/>
  <c r="A4769" i="87"/>
  <c r="A4770" i="87"/>
  <c r="A4771" i="87"/>
  <c r="A4772" i="87"/>
  <c r="A4773" i="87"/>
  <c r="A4774" i="87"/>
  <c r="A4775" i="87"/>
  <c r="A4776" i="87"/>
  <c r="A4777" i="87"/>
  <c r="A4778" i="87"/>
  <c r="A4779" i="87"/>
  <c r="A4780" i="87"/>
  <c r="A4781" i="87"/>
  <c r="A4782" i="87"/>
  <c r="A4783" i="87"/>
  <c r="A4784" i="87"/>
  <c r="A4785" i="87"/>
  <c r="A4786" i="87"/>
  <c r="A4787" i="87"/>
  <c r="A4788" i="87"/>
  <c r="A4789" i="87"/>
  <c r="A4790" i="87"/>
  <c r="A4791" i="87"/>
  <c r="A4792" i="87"/>
  <c r="A4793" i="87"/>
  <c r="A4794" i="87"/>
  <c r="A4795" i="87"/>
  <c r="A4796" i="87"/>
  <c r="A4797" i="87"/>
  <c r="A4798" i="87"/>
  <c r="A4799" i="87"/>
  <c r="A4800" i="87"/>
  <c r="A4801" i="87"/>
  <c r="A4802" i="87"/>
  <c r="A4803" i="87"/>
  <c r="A4804" i="87"/>
  <c r="A4805" i="87"/>
  <c r="A4806" i="87"/>
  <c r="A4807" i="87"/>
  <c r="A4808" i="87"/>
  <c r="A4809" i="87"/>
  <c r="A4810" i="87"/>
  <c r="A4811" i="87"/>
  <c r="A4812" i="87"/>
  <c r="A4813" i="87"/>
  <c r="A4814" i="87"/>
  <c r="A4815" i="87"/>
  <c r="A4816" i="87"/>
  <c r="A4817" i="87"/>
  <c r="A4818" i="87"/>
  <c r="A4819" i="87"/>
  <c r="A4820" i="87"/>
  <c r="A4821" i="87"/>
  <c r="A4822" i="87"/>
  <c r="A4823" i="87"/>
  <c r="A4824" i="87"/>
  <c r="A4825" i="87"/>
  <c r="A4826" i="87"/>
  <c r="A4827" i="87"/>
  <c r="A4828" i="87"/>
  <c r="A4829" i="87"/>
  <c r="A4830" i="87"/>
  <c r="A4831" i="87"/>
  <c r="A4832" i="87"/>
  <c r="A4833" i="87"/>
  <c r="A4834" i="87"/>
  <c r="A4835" i="87"/>
  <c r="A4836" i="87"/>
  <c r="A4837" i="87"/>
  <c r="A4838" i="87"/>
  <c r="A4839" i="87"/>
  <c r="A4840" i="87"/>
  <c r="A4841" i="87"/>
  <c r="A4842" i="87"/>
  <c r="A4843" i="87"/>
  <c r="A4844" i="87"/>
  <c r="A4845" i="87"/>
  <c r="A4846" i="87"/>
  <c r="A4847" i="87"/>
  <c r="A4848" i="87"/>
  <c r="A4849" i="87"/>
  <c r="A4850" i="87"/>
  <c r="A4851" i="87"/>
  <c r="A4852" i="87"/>
  <c r="A4853" i="87"/>
  <c r="A4854" i="87"/>
  <c r="A4855" i="87"/>
  <c r="A4856" i="87"/>
  <c r="A4857" i="87"/>
  <c r="A4858" i="87"/>
  <c r="A4859" i="87"/>
  <c r="A4860" i="87"/>
  <c r="A4861" i="87"/>
  <c r="A4862" i="87"/>
  <c r="A4863" i="87"/>
  <c r="A4864" i="87"/>
  <c r="A4865" i="87"/>
  <c r="A4866" i="87"/>
  <c r="A4867" i="87"/>
  <c r="A4868" i="87"/>
  <c r="A4869" i="87"/>
  <c r="A4870" i="87"/>
  <c r="A4871" i="87"/>
  <c r="A4872" i="87"/>
  <c r="A4873" i="87"/>
  <c r="A4874" i="87"/>
  <c r="A4875" i="87"/>
  <c r="A4876" i="87"/>
  <c r="A4877" i="87"/>
  <c r="A4878" i="87"/>
  <c r="A4879" i="87"/>
  <c r="A4880" i="87"/>
  <c r="A4881" i="87"/>
  <c r="A4882" i="87"/>
  <c r="A4883" i="87"/>
  <c r="A4884" i="87"/>
  <c r="A4885" i="87"/>
  <c r="A4886" i="87"/>
  <c r="A4887" i="87"/>
  <c r="A4888" i="87"/>
  <c r="A4889" i="87"/>
  <c r="A4890" i="87"/>
  <c r="A4891" i="87"/>
  <c r="A4892" i="87"/>
  <c r="A4893" i="87"/>
  <c r="A4894" i="87"/>
  <c r="A4895" i="87"/>
  <c r="A4896" i="87"/>
  <c r="A4897" i="87"/>
  <c r="A4898" i="87"/>
  <c r="A4899" i="87"/>
  <c r="A4900" i="87"/>
  <c r="A4901" i="87"/>
  <c r="A4902" i="87"/>
  <c r="A4903" i="87"/>
  <c r="A4904" i="87"/>
  <c r="A4905" i="87"/>
  <c r="A4906" i="87"/>
  <c r="A4907" i="87"/>
  <c r="A4908" i="87"/>
  <c r="A4909" i="87"/>
  <c r="A4910" i="87"/>
  <c r="A4911" i="87"/>
  <c r="A4912" i="87"/>
  <c r="A4913" i="87"/>
  <c r="A4914" i="87"/>
  <c r="A4915" i="87"/>
  <c r="A4916" i="87"/>
  <c r="A4917" i="87"/>
  <c r="A4918" i="87"/>
  <c r="A4919" i="87"/>
  <c r="A4920" i="87"/>
  <c r="A4921" i="87"/>
  <c r="A4922" i="87"/>
  <c r="A4923" i="87"/>
  <c r="A4924" i="87"/>
  <c r="A4925" i="87"/>
  <c r="A4926" i="87"/>
  <c r="A4927" i="87"/>
  <c r="A4928" i="87"/>
  <c r="A4929" i="87"/>
  <c r="A4930" i="87"/>
  <c r="A4931" i="87"/>
  <c r="A4932" i="87"/>
  <c r="A4933" i="87"/>
  <c r="A4934" i="87"/>
  <c r="A4935" i="87"/>
  <c r="A4936" i="87"/>
  <c r="A4937" i="87"/>
  <c r="A4938" i="87"/>
  <c r="A4939" i="87"/>
  <c r="A4940" i="87"/>
  <c r="A4941" i="87"/>
  <c r="A4942" i="87"/>
  <c r="A4943" i="87"/>
  <c r="A4944" i="87"/>
  <c r="A4945" i="87"/>
  <c r="A4946" i="87"/>
  <c r="A4947" i="87"/>
  <c r="A4948" i="87"/>
  <c r="A4949" i="87"/>
  <c r="A4950" i="87"/>
  <c r="A4951" i="87"/>
  <c r="A4952" i="87"/>
  <c r="A4953" i="87"/>
  <c r="A4954" i="87"/>
  <c r="A4955" i="87"/>
  <c r="A4956" i="87"/>
  <c r="A4957" i="87"/>
  <c r="A4958" i="87"/>
  <c r="A4959" i="87"/>
  <c r="A4960" i="87"/>
  <c r="A4961" i="87"/>
  <c r="A4962" i="87"/>
  <c r="A4963" i="87"/>
  <c r="A4964" i="87"/>
  <c r="A4965" i="87"/>
  <c r="A4966" i="87"/>
  <c r="A4967" i="87"/>
  <c r="A4968" i="87"/>
  <c r="A4969" i="87"/>
  <c r="A4970" i="87"/>
  <c r="A4971" i="87"/>
  <c r="A4972" i="87"/>
  <c r="A4973" i="87"/>
  <c r="A4974" i="87"/>
  <c r="A4975" i="87"/>
  <c r="A4976" i="87"/>
  <c r="A4977" i="87"/>
  <c r="A4978" i="87"/>
  <c r="A4979" i="87"/>
  <c r="A4980" i="87"/>
  <c r="A4981" i="87"/>
  <c r="A4982" i="87"/>
  <c r="A4983" i="87"/>
  <c r="A4984" i="87"/>
  <c r="A4985" i="87"/>
  <c r="A4986" i="87"/>
  <c r="A4987" i="87"/>
  <c r="A4988" i="87"/>
  <c r="A4989" i="87"/>
  <c r="A4990" i="87"/>
  <c r="A4991" i="87"/>
  <c r="A4992" i="87"/>
  <c r="A4993" i="87"/>
  <c r="A4994" i="87"/>
  <c r="A4995" i="87"/>
  <c r="A4996" i="87"/>
  <c r="A4997" i="87"/>
  <c r="A4998" i="87"/>
  <c r="A4999" i="87"/>
  <c r="A5000" i="87"/>
  <c r="A5001" i="87"/>
  <c r="A5002" i="87"/>
  <c r="A5003" i="87"/>
  <c r="A5004" i="87"/>
  <c r="A5005" i="87"/>
  <c r="A5006" i="87"/>
  <c r="A5007" i="87"/>
  <c r="A5008" i="87"/>
  <c r="A5009" i="87"/>
  <c r="A5010" i="87"/>
  <c r="A5011" i="87"/>
  <c r="A5012" i="87"/>
  <c r="A5013" i="87"/>
  <c r="A5014" i="87"/>
  <c r="A5015" i="87"/>
  <c r="A5016" i="87"/>
  <c r="A5017" i="87"/>
  <c r="A5018" i="87"/>
  <c r="A5019" i="87"/>
  <c r="A5020" i="87"/>
  <c r="A5021" i="87"/>
  <c r="A5022" i="87"/>
  <c r="A5023" i="87"/>
  <c r="A5024" i="87"/>
  <c r="A5025" i="87"/>
  <c r="A5026" i="87"/>
  <c r="A5027" i="87"/>
  <c r="A5028" i="87"/>
  <c r="A5029" i="87"/>
  <c r="A5030" i="87"/>
  <c r="A5031" i="87"/>
  <c r="A5032" i="87"/>
  <c r="A5033" i="87"/>
  <c r="A5034" i="87"/>
  <c r="A5035" i="87"/>
  <c r="A5036" i="87"/>
  <c r="A5037" i="87"/>
  <c r="A5038" i="87"/>
  <c r="A5039" i="87"/>
  <c r="A5040" i="87"/>
  <c r="A5041" i="87"/>
  <c r="A5042" i="87"/>
  <c r="A5043" i="87"/>
  <c r="A5044" i="87"/>
  <c r="A5045" i="87"/>
  <c r="A5046" i="87"/>
  <c r="A5047" i="87"/>
  <c r="A5048" i="87"/>
  <c r="A5049" i="87"/>
  <c r="A5050" i="87"/>
  <c r="A5051" i="87"/>
  <c r="A5052" i="87"/>
  <c r="A5053" i="87"/>
  <c r="A5054" i="87"/>
  <c r="A5055" i="87"/>
  <c r="A5056" i="87"/>
  <c r="A5057" i="87"/>
  <c r="A5058" i="87"/>
  <c r="A5059" i="87"/>
  <c r="A5060" i="87"/>
  <c r="A5061" i="87"/>
  <c r="A5062" i="87"/>
  <c r="A5063" i="87"/>
  <c r="A5064" i="87"/>
  <c r="A5065" i="87"/>
  <c r="A5066" i="87"/>
  <c r="A5067" i="87"/>
  <c r="A5068" i="87"/>
  <c r="A5069" i="87"/>
  <c r="A5070" i="87"/>
  <c r="A5071" i="87"/>
  <c r="A5072" i="87"/>
  <c r="A5073" i="87"/>
  <c r="A5074" i="87"/>
  <c r="A5075" i="87"/>
  <c r="A5076" i="87"/>
  <c r="A5077" i="87"/>
  <c r="A5078" i="87"/>
  <c r="A5079" i="87"/>
  <c r="A5080" i="87"/>
  <c r="A5081" i="87"/>
  <c r="A5082" i="87"/>
  <c r="A5083" i="87"/>
  <c r="A5084" i="87"/>
  <c r="A5085" i="87"/>
  <c r="A5086" i="87"/>
  <c r="A5087" i="87"/>
  <c r="A5088" i="87"/>
  <c r="A5089" i="87"/>
  <c r="A5090" i="87"/>
  <c r="A5091" i="87"/>
  <c r="A5092" i="87"/>
  <c r="A5093" i="87"/>
  <c r="A5094" i="87"/>
  <c r="A5095" i="87"/>
  <c r="A5096" i="87"/>
  <c r="A5097" i="87"/>
  <c r="A5098" i="87"/>
  <c r="A5099" i="87"/>
  <c r="A5100" i="87"/>
  <c r="A5101" i="87"/>
  <c r="A5102" i="87"/>
  <c r="A5103" i="87"/>
  <c r="A5104" i="87"/>
  <c r="A5105" i="87"/>
  <c r="A5106" i="87"/>
  <c r="A5107" i="87"/>
  <c r="A5108" i="87"/>
  <c r="A5109" i="87"/>
  <c r="A5110" i="87"/>
  <c r="A5111" i="87"/>
  <c r="A5112" i="87"/>
  <c r="A5113" i="87"/>
  <c r="A5114" i="87"/>
  <c r="A5115" i="87"/>
  <c r="A5116" i="87"/>
  <c r="A5117" i="87"/>
  <c r="A5118" i="87"/>
  <c r="A5119" i="87"/>
  <c r="A5120" i="87"/>
  <c r="A5121" i="87"/>
  <c r="A5122" i="87"/>
  <c r="A5123" i="87"/>
  <c r="A5124" i="87"/>
  <c r="A5125" i="87"/>
  <c r="A5126" i="87"/>
  <c r="A5127" i="87"/>
  <c r="A5128" i="87"/>
  <c r="A5129" i="87"/>
  <c r="A5130" i="87"/>
  <c r="A5131" i="87"/>
  <c r="A5132" i="87"/>
  <c r="A5133" i="87"/>
  <c r="A5134" i="87"/>
  <c r="A5135" i="87"/>
  <c r="A5136" i="87"/>
  <c r="A5137" i="87"/>
  <c r="A5138" i="87"/>
  <c r="A5139" i="87"/>
  <c r="A5140" i="87"/>
  <c r="A5141" i="87"/>
  <c r="A5142" i="87"/>
  <c r="A5143" i="87"/>
  <c r="A5144" i="87"/>
  <c r="A5145" i="87"/>
  <c r="K86" i="29" l="1"/>
  <c r="K87" i="29"/>
  <c r="C6" i="67"/>
  <c r="C7" i="67"/>
  <c r="C8" i="67"/>
  <c r="C9" i="67"/>
  <c r="C10" i="67"/>
  <c r="C11" i="67"/>
  <c r="C12" i="67"/>
  <c r="C13" i="67"/>
  <c r="C14" i="67"/>
  <c r="C15" i="67"/>
  <c r="C16" i="67"/>
  <c r="C17" i="67"/>
  <c r="C18" i="67"/>
  <c r="C19" i="67"/>
  <c r="T9" i="29"/>
  <c r="T10" i="29"/>
  <c r="T11" i="29"/>
  <c r="T12" i="29"/>
  <c r="T13" i="29"/>
  <c r="T14" i="29"/>
  <c r="T15" i="29"/>
  <c r="T16" i="29"/>
  <c r="T17" i="29"/>
  <c r="T18" i="29"/>
  <c r="T19" i="29"/>
  <c r="T20" i="29"/>
  <c r="T21" i="29"/>
  <c r="T22" i="29"/>
  <c r="W9" i="29"/>
  <c r="T8" i="29"/>
  <c r="B2" i="67" l="1" a="1"/>
  <c r="B2" i="67" s="1"/>
  <c r="X9" i="29"/>
  <c r="X10" i="29"/>
  <c r="X11" i="29"/>
  <c r="X12" i="29"/>
  <c r="X13" i="29"/>
  <c r="X14" i="29"/>
  <c r="X15" i="29"/>
  <c r="X16" i="29"/>
  <c r="X17" i="29"/>
  <c r="X18" i="29"/>
  <c r="X19" i="29"/>
  <c r="X20" i="29"/>
  <c r="X21" i="29"/>
  <c r="X22" i="29"/>
  <c r="X8" i="29"/>
  <c r="W10" i="29"/>
  <c r="W11" i="29"/>
  <c r="W12" i="29"/>
  <c r="W13" i="29"/>
  <c r="W14" i="29"/>
  <c r="W15" i="29"/>
  <c r="W16" i="29"/>
  <c r="W17" i="29"/>
  <c r="W18" i="29"/>
  <c r="W19" i="29"/>
  <c r="W20" i="29"/>
  <c r="W21" i="29"/>
  <c r="W22" i="29"/>
  <c r="W8" i="29"/>
  <c r="K76" i="29" l="1"/>
  <c r="A4246" i="87"/>
  <c r="A4247" i="87"/>
  <c r="A4248" i="87"/>
  <c r="A4249" i="87"/>
  <c r="A4250" i="87"/>
  <c r="A4251" i="87"/>
  <c r="A4252" i="87"/>
  <c r="A4253" i="87"/>
  <c r="A4254" i="87"/>
  <c r="A4255" i="87"/>
  <c r="A4256" i="87"/>
  <c r="A4257" i="87"/>
  <c r="A4258" i="87"/>
  <c r="A4259" i="87"/>
  <c r="A4260" i="87"/>
  <c r="A4261" i="87"/>
  <c r="A4262" i="87"/>
  <c r="A4263" i="87"/>
  <c r="A4264" i="87"/>
  <c r="A4265" i="87"/>
  <c r="A4266" i="87"/>
  <c r="A4267" i="87"/>
  <c r="A4268" i="87"/>
  <c r="A4269" i="87"/>
  <c r="A4270" i="87"/>
  <c r="A4271" i="87"/>
  <c r="A4244" i="87"/>
  <c r="A4245" i="87"/>
  <c r="A4242" i="87"/>
  <c r="A4243" i="87"/>
  <c r="A4239" i="87"/>
  <c r="A4240" i="87"/>
  <c r="A4241" i="87"/>
  <c r="A4233" i="87"/>
  <c r="A4234" i="87"/>
  <c r="A4235" i="87"/>
  <c r="A4236" i="87"/>
  <c r="A4237" i="87"/>
  <c r="A4238" i="87"/>
  <c r="A4230" i="87"/>
  <c r="A4231" i="87"/>
  <c r="A4232" i="87"/>
  <c r="A4228" i="87"/>
  <c r="A4229" i="87"/>
  <c r="A4227" i="87"/>
  <c r="K75" i="29" l="1"/>
  <c r="K74" i="29"/>
  <c r="K73" i="29"/>
  <c r="K72" i="29"/>
  <c r="K71" i="29"/>
  <c r="A128" i="87"/>
  <c r="A174" i="87"/>
  <c r="A198" i="87"/>
  <c r="A216" i="87"/>
  <c r="A217" i="87"/>
  <c r="A218" i="87"/>
  <c r="A219" i="87"/>
  <c r="A221" i="87"/>
  <c r="A246" i="87"/>
  <c r="A247" i="87"/>
  <c r="A248" i="87"/>
  <c r="A268" i="87"/>
  <c r="A270" i="87"/>
  <c r="A271" i="87"/>
  <c r="A274" i="87"/>
  <c r="A302" i="87"/>
  <c r="A305" i="87"/>
  <c r="A308" i="87"/>
  <c r="A309" i="87"/>
  <c r="A310" i="87"/>
  <c r="A342" i="87"/>
  <c r="A345" i="87"/>
  <c r="A346" i="87"/>
  <c r="A347" i="87"/>
  <c r="A348" i="87"/>
  <c r="A351" i="87"/>
  <c r="A379" i="87"/>
  <c r="A380" i="87"/>
  <c r="A382" i="87"/>
  <c r="A384" i="87"/>
  <c r="A385" i="87"/>
  <c r="A389" i="87"/>
  <c r="A390" i="87"/>
  <c r="A391" i="87"/>
  <c r="A395" i="87"/>
  <c r="A417" i="87"/>
  <c r="A418" i="87"/>
  <c r="A434" i="87"/>
  <c r="A435" i="87"/>
  <c r="A436" i="87"/>
  <c r="A438" i="87"/>
  <c r="A439" i="87"/>
  <c r="A490" i="87"/>
  <c r="A538" i="87"/>
  <c r="A557" i="87"/>
  <c r="A575" i="87"/>
  <c r="A576" i="87"/>
  <c r="A577" i="87"/>
  <c r="A580" i="87"/>
  <c r="A619" i="87"/>
  <c r="A622" i="87"/>
  <c r="A623" i="87"/>
  <c r="A624" i="87"/>
  <c r="A630" i="87"/>
  <c r="A645" i="87"/>
  <c r="A646" i="87"/>
  <c r="A647" i="87"/>
  <c r="A648" i="87"/>
  <c r="A661" i="87"/>
  <c r="A671" i="87"/>
  <c r="A676" i="87"/>
  <c r="A677" i="87"/>
  <c r="A687" i="87"/>
  <c r="A690" i="87"/>
  <c r="A692" i="87"/>
  <c r="A693" i="87"/>
  <c r="A694" i="87"/>
  <c r="A697" i="87"/>
  <c r="A714" i="87"/>
  <c r="A717" i="87"/>
  <c r="A718" i="87"/>
  <c r="A719" i="87"/>
  <c r="A729" i="87"/>
  <c r="A730" i="87"/>
  <c r="A732" i="87"/>
  <c r="A735" i="87"/>
  <c r="A737" i="87"/>
  <c r="A738" i="87"/>
  <c r="A739" i="87"/>
  <c r="A740" i="87"/>
  <c r="A741" i="87"/>
  <c r="A761" i="87"/>
  <c r="A763" i="87"/>
  <c r="A765" i="87"/>
  <c r="A776" i="87"/>
  <c r="A777" i="87"/>
  <c r="A778" i="87"/>
  <c r="A779" i="87"/>
  <c r="A780" i="87"/>
  <c r="A781" i="87"/>
  <c r="A782" i="87"/>
  <c r="A783" i="87"/>
  <c r="A784" i="87"/>
  <c r="A785" i="87"/>
  <c r="A786" i="87"/>
  <c r="A787" i="87"/>
  <c r="A788" i="87"/>
  <c r="A791" i="87"/>
  <c r="A792" i="87"/>
  <c r="A793" i="87"/>
  <c r="A795" i="87"/>
  <c r="A796" i="87"/>
  <c r="A797" i="87"/>
  <c r="A799" i="87"/>
  <c r="A800" i="87"/>
  <c r="A810" i="87"/>
  <c r="A821" i="87"/>
  <c r="A822" i="87"/>
  <c r="A823" i="87"/>
  <c r="A824" i="87"/>
  <c r="A859" i="87"/>
  <c r="A860" i="87"/>
  <c r="A861" i="87"/>
  <c r="A863" i="87"/>
  <c r="A864" i="87"/>
  <c r="A865" i="87"/>
  <c r="A867" i="87"/>
  <c r="A868" i="87"/>
  <c r="A872" i="87"/>
  <c r="A873" i="87"/>
  <c r="A877" i="87"/>
  <c r="A881" i="87"/>
  <c r="A882" i="87"/>
  <c r="A905" i="87"/>
  <c r="A906" i="87"/>
  <c r="A910" i="87"/>
  <c r="A913" i="87"/>
  <c r="A914" i="87"/>
  <c r="A943" i="87"/>
  <c r="A950" i="87"/>
  <c r="A951" i="87"/>
  <c r="A966" i="87"/>
  <c r="A978" i="87"/>
  <c r="A979" i="87"/>
  <c r="A980" i="87"/>
  <c r="A981" i="87"/>
  <c r="A982" i="87"/>
  <c r="A990" i="87"/>
  <c r="A1006" i="87"/>
  <c r="A1011" i="87"/>
  <c r="A1018" i="87"/>
  <c r="A1050" i="87"/>
  <c r="A1004" i="87"/>
  <c r="A1058" i="87"/>
  <c r="A1068" i="87"/>
  <c r="A1073" i="87"/>
  <c r="A1095" i="87"/>
  <c r="A1096" i="87"/>
  <c r="A1124" i="87"/>
  <c r="A1127" i="87"/>
  <c r="A1129" i="87"/>
  <c r="A1145" i="87"/>
  <c r="A1151" i="87"/>
  <c r="A1153" i="87"/>
  <c r="A1154" i="87"/>
  <c r="A1155" i="87"/>
  <c r="A1156" i="87"/>
  <c r="A1157" i="87"/>
  <c r="A1158" i="87"/>
  <c r="A1159" i="87"/>
  <c r="A1160" i="87"/>
  <c r="A1161" i="87"/>
  <c r="A1163" i="87"/>
  <c r="A1164" i="87"/>
  <c r="A1167" i="87"/>
  <c r="A1168" i="87"/>
  <c r="A1169" i="87"/>
  <c r="A1170" i="87"/>
  <c r="A1171" i="87"/>
  <c r="A1173" i="87"/>
  <c r="A1174" i="87"/>
  <c r="A1175" i="87"/>
  <c r="A1178" i="87"/>
  <c r="A1180" i="87"/>
  <c r="A1181" i="87"/>
  <c r="A1182" i="87"/>
  <c r="A1755" i="87"/>
  <c r="A1192" i="87"/>
  <c r="A1193" i="87"/>
  <c r="A1194" i="87"/>
  <c r="A1195" i="87"/>
  <c r="A1201" i="87"/>
  <c r="A1202" i="87"/>
  <c r="A1203" i="87"/>
  <c r="A1206" i="87"/>
  <c r="A1215" i="87"/>
  <c r="A1216" i="87"/>
  <c r="A1218" i="87"/>
  <c r="A1219" i="87"/>
  <c r="A1222" i="87"/>
  <c r="A1223" i="87"/>
  <c r="A1225" i="87"/>
  <c r="A1227" i="87"/>
  <c r="A1229" i="87"/>
  <c r="A1250" i="87"/>
  <c r="A1268" i="87"/>
  <c r="A1272" i="87"/>
  <c r="A1289" i="87"/>
  <c r="A1290" i="87"/>
  <c r="A1291" i="87"/>
  <c r="A1295" i="87"/>
  <c r="A1297" i="87"/>
  <c r="A1299" i="87"/>
  <c r="A1310" i="87"/>
  <c r="A1313" i="87"/>
  <c r="A1314" i="87"/>
  <c r="A1318" i="87"/>
  <c r="A1343" i="87"/>
  <c r="A1344" i="87"/>
  <c r="A1345" i="87"/>
  <c r="A1347" i="87"/>
  <c r="A1348" i="87"/>
  <c r="A1350" i="87"/>
  <c r="A1351" i="87"/>
  <c r="A1354" i="87"/>
  <c r="A1356" i="87"/>
  <c r="A1357" i="87"/>
  <c r="A1358" i="87"/>
  <c r="A1361" i="87"/>
  <c r="A1362" i="87"/>
  <c r="A1363" i="87"/>
  <c r="A1364" i="87"/>
  <c r="A1365" i="87"/>
  <c r="A1366" i="87"/>
  <c r="A1367" i="87"/>
  <c r="A1368" i="87"/>
  <c r="A1369" i="87"/>
  <c r="A1373" i="87"/>
  <c r="A1374" i="87"/>
  <c r="A1375" i="87"/>
  <c r="A1376" i="87"/>
  <c r="A1381" i="87"/>
  <c r="A1385" i="87"/>
  <c r="A1386" i="87"/>
  <c r="A1387" i="87"/>
  <c r="A1388" i="87"/>
  <c r="A1389" i="87"/>
  <c r="A1390" i="87"/>
  <c r="A1396" i="87"/>
  <c r="A1397" i="87"/>
  <c r="A1398" i="87"/>
  <c r="A1400" i="87"/>
  <c r="A1402" i="87"/>
  <c r="A1403" i="87"/>
  <c r="A1411" i="87"/>
  <c r="A1421" i="87"/>
  <c r="A1433" i="87"/>
  <c r="A1434" i="87"/>
  <c r="A1435" i="87"/>
  <c r="A1436" i="87"/>
  <c r="A1437" i="87"/>
  <c r="A1438" i="87"/>
  <c r="A1439" i="87"/>
  <c r="A1448" i="87"/>
  <c r="A1450" i="87"/>
  <c r="A1451" i="87"/>
  <c r="A1453" i="87"/>
  <c r="A1458" i="87"/>
  <c r="A1460" i="87"/>
  <c r="A1461" i="87"/>
  <c r="A1462" i="87"/>
  <c r="A1463" i="87"/>
  <c r="A1464" i="87"/>
  <c r="A1465" i="87"/>
  <c r="A1466" i="87"/>
  <c r="A1477" i="87"/>
  <c r="A1480" i="87"/>
  <c r="A1489" i="87"/>
  <c r="A1492" i="87"/>
  <c r="A1493" i="87"/>
  <c r="A1494" i="87"/>
  <c r="A1495" i="87"/>
  <c r="A1497" i="87"/>
  <c r="A1512" i="87"/>
  <c r="A1515" i="87"/>
  <c r="A1516" i="87"/>
  <c r="A1517" i="87"/>
  <c r="A1518" i="87"/>
  <c r="A1520" i="87"/>
  <c r="A1536" i="87"/>
  <c r="A1537" i="87"/>
  <c r="A1538" i="87"/>
  <c r="A1539" i="87"/>
  <c r="A1541" i="87"/>
  <c r="A1542" i="87"/>
  <c r="A1547" i="87"/>
  <c r="A1549" i="87"/>
  <c r="A1550" i="87"/>
  <c r="A1558" i="87"/>
  <c r="A1559" i="87"/>
  <c r="A1560" i="87"/>
  <c r="A1565" i="87"/>
  <c r="A1566" i="87"/>
  <c r="A1567" i="87"/>
  <c r="A1568" i="87"/>
  <c r="A1569" i="87"/>
  <c r="A1570" i="87"/>
  <c r="A1574" i="87"/>
  <c r="A1575" i="87"/>
  <c r="A1576" i="87"/>
  <c r="A1598" i="87"/>
  <c r="A1599" i="87"/>
  <c r="A1612" i="87"/>
  <c r="A1615" i="87"/>
  <c r="A1616" i="87"/>
  <c r="A1617" i="87"/>
  <c r="A1626" i="87"/>
  <c r="A1627" i="87"/>
  <c r="A1628" i="87"/>
  <c r="A1629" i="87"/>
  <c r="A1630" i="87"/>
  <c r="A1635" i="87"/>
  <c r="A1636" i="87"/>
  <c r="A1637" i="87"/>
  <c r="A1639" i="87"/>
  <c r="A1641" i="87"/>
  <c r="A1648" i="87"/>
  <c r="A1668" i="87"/>
  <c r="A1672" i="87"/>
  <c r="A1673" i="87"/>
  <c r="A1691" i="87"/>
  <c r="A1692" i="87"/>
  <c r="A1693" i="87"/>
  <c r="A1694" i="87"/>
  <c r="A1695" i="87"/>
  <c r="A1697" i="87"/>
  <c r="A1711" i="87"/>
  <c r="A1718" i="87"/>
  <c r="A1732" i="87"/>
  <c r="A1733" i="87"/>
  <c r="A1738" i="87"/>
  <c r="A1747" i="87"/>
  <c r="A1748" i="87"/>
  <c r="A1750" i="87"/>
  <c r="A1768" i="87"/>
  <c r="A1769" i="87"/>
  <c r="A1790" i="87"/>
  <c r="A1793" i="87"/>
  <c r="A1795" i="87"/>
  <c r="A1796" i="87"/>
  <c r="A1800" i="87"/>
  <c r="A1801" i="87"/>
  <c r="A1802" i="87"/>
  <c r="A1803" i="87"/>
  <c r="A1804" i="87"/>
  <c r="A1805" i="87"/>
  <c r="A1806" i="87"/>
  <c r="A1807" i="87"/>
  <c r="A1808" i="87"/>
  <c r="A1818" i="87"/>
  <c r="A1819" i="87"/>
  <c r="A1820" i="87"/>
  <c r="A1832" i="87"/>
  <c r="A1833" i="87"/>
  <c r="A1834" i="87"/>
  <c r="A1835" i="87"/>
  <c r="A1836" i="87"/>
  <c r="A1843" i="87"/>
  <c r="A1844" i="87"/>
  <c r="A1852" i="87"/>
  <c r="A1853" i="87"/>
  <c r="A1854" i="87"/>
  <c r="A1856" i="87"/>
  <c r="A1857" i="87"/>
  <c r="A1858" i="87"/>
  <c r="A1859" i="87"/>
  <c r="A1861" i="87"/>
  <c r="A1862" i="87"/>
  <c r="A1863" i="87"/>
  <c r="A1864" i="87"/>
  <c r="A1865" i="87"/>
  <c r="A1866" i="87"/>
  <c r="A1867" i="87"/>
  <c r="A1868" i="87"/>
  <c r="A1869" i="87"/>
  <c r="A1873" i="87"/>
  <c r="A1882" i="87"/>
  <c r="A1884" i="87"/>
  <c r="A1886" i="87"/>
  <c r="A1887" i="87"/>
  <c r="A1888" i="87"/>
  <c r="A1890" i="87"/>
  <c r="A1891" i="87"/>
  <c r="A1901" i="87"/>
  <c r="A1932" i="87"/>
  <c r="A1934" i="87"/>
  <c r="A1935" i="87"/>
  <c r="A1936" i="87"/>
  <c r="A1937" i="87"/>
  <c r="A1938" i="87"/>
  <c r="A1939" i="87"/>
  <c r="A1940" i="87"/>
  <c r="A1941" i="87"/>
  <c r="A1942" i="87"/>
  <c r="A1943" i="87"/>
  <c r="A1944" i="87"/>
  <c r="A1946" i="87"/>
  <c r="A1947" i="87"/>
  <c r="A1948" i="87"/>
  <c r="A1968" i="87"/>
  <c r="A1978" i="87"/>
  <c r="A1981" i="87"/>
  <c r="A1988" i="87"/>
  <c r="A1995" i="87"/>
  <c r="A2017" i="87"/>
  <c r="A2030" i="87"/>
  <c r="A2031" i="87"/>
  <c r="A2032" i="87"/>
  <c r="A2038" i="87"/>
  <c r="A2039" i="87"/>
  <c r="A2040" i="87"/>
  <c r="A2041" i="87"/>
  <c r="A2044" i="87"/>
  <c r="A2046" i="87"/>
  <c r="A2073" i="87"/>
  <c r="A2074" i="87"/>
  <c r="A2075" i="87"/>
  <c r="A2076" i="87"/>
  <c r="A2077" i="87"/>
  <c r="A2078" i="87"/>
  <c r="A2079" i="87"/>
  <c r="A2088" i="87"/>
  <c r="A2089" i="87"/>
  <c r="A2102" i="87"/>
  <c r="A2103" i="87"/>
  <c r="A2105" i="87"/>
  <c r="A2107" i="87"/>
  <c r="A2116" i="87"/>
  <c r="A2117" i="87"/>
  <c r="A2131" i="87"/>
  <c r="A2132" i="87"/>
  <c r="A2134" i="87"/>
  <c r="A2135" i="87"/>
  <c r="A2136" i="87"/>
  <c r="A2137" i="87"/>
  <c r="A2138" i="87"/>
  <c r="A2139" i="87"/>
  <c r="A2140" i="87"/>
  <c r="A2141" i="87"/>
  <c r="A2149" i="87"/>
  <c r="A2150" i="87"/>
  <c r="A2151" i="87"/>
  <c r="A2153" i="87"/>
  <c r="A2157" i="87"/>
  <c r="A2158" i="87"/>
  <c r="A2159" i="87"/>
  <c r="A2160" i="87"/>
  <c r="A2161" i="87"/>
  <c r="A2162" i="87"/>
  <c r="A2174" i="87"/>
  <c r="A2177" i="87"/>
  <c r="A2178" i="87"/>
  <c r="A2179" i="87"/>
  <c r="A2187" i="87"/>
  <c r="A2203" i="87"/>
  <c r="A2206" i="87"/>
  <c r="A2209" i="87"/>
  <c r="A2212" i="87"/>
  <c r="A2217" i="87"/>
  <c r="A2235" i="87"/>
  <c r="A2237" i="87"/>
  <c r="A2236" i="87"/>
  <c r="A2238" i="87"/>
  <c r="A2239" i="87"/>
  <c r="A2240" i="87"/>
  <c r="A2241" i="87"/>
  <c r="A2242" i="87"/>
  <c r="A2243" i="87"/>
  <c r="A2244" i="87"/>
  <c r="A2245" i="87"/>
  <c r="A2246" i="87"/>
  <c r="A2247" i="87"/>
  <c r="A2248" i="87"/>
  <c r="A2249" i="87"/>
  <c r="A2250" i="87"/>
  <c r="A2251" i="87"/>
  <c r="A2252" i="87"/>
  <c r="A2253" i="87"/>
  <c r="A2254" i="87"/>
  <c r="A2255" i="87"/>
  <c r="A2326" i="87"/>
  <c r="A2349" i="87"/>
  <c r="A2350" i="87"/>
  <c r="A2561" i="87"/>
  <c r="A2565" i="87"/>
  <c r="A193" i="87"/>
  <c r="A194" i="87"/>
  <c r="A195" i="87"/>
  <c r="A196" i="87"/>
  <c r="A197" i="87"/>
  <c r="A199" i="87"/>
  <c r="A200" i="87"/>
  <c r="A201" i="87"/>
  <c r="A202" i="87"/>
  <c r="A203" i="87"/>
  <c r="A204" i="87"/>
  <c r="A206" i="87"/>
  <c r="A207" i="87"/>
  <c r="A209" i="87"/>
  <c r="A212" i="87"/>
  <c r="A214" i="87"/>
  <c r="A215" i="87"/>
  <c r="A220" i="87"/>
  <c r="A222" i="87"/>
  <c r="A223" i="87"/>
  <c r="A224" i="87"/>
  <c r="A225" i="87"/>
  <c r="A228" i="87"/>
  <c r="A229" i="87"/>
  <c r="A231" i="87"/>
  <c r="A232" i="87"/>
  <c r="A233" i="87"/>
  <c r="A235" i="87"/>
  <c r="A236" i="87"/>
  <c r="A237" i="87"/>
  <c r="A238" i="87"/>
  <c r="A239" i="87"/>
  <c r="A240" i="87"/>
  <c r="A241" i="87"/>
  <c r="A242" i="87"/>
  <c r="A244" i="87"/>
  <c r="A245" i="87"/>
  <c r="A249" i="87"/>
  <c r="A250" i="87"/>
  <c r="A252" i="87"/>
  <c r="A253" i="87"/>
  <c r="A254" i="87"/>
  <c r="A256" i="87"/>
  <c r="A257" i="87"/>
  <c r="A258" i="87"/>
  <c r="A259" i="87"/>
  <c r="A260" i="87"/>
  <c r="A261" i="87"/>
  <c r="A262" i="87"/>
  <c r="A264" i="87"/>
  <c r="A266" i="87"/>
  <c r="A267" i="87"/>
  <c r="A269" i="87"/>
  <c r="A272" i="87"/>
  <c r="A273" i="87"/>
  <c r="A275" i="87"/>
  <c r="A276" i="87"/>
  <c r="A277" i="87"/>
  <c r="A278" i="87"/>
  <c r="A279" i="87"/>
  <c r="A280" i="87"/>
  <c r="A281" i="87"/>
  <c r="A282" i="87"/>
  <c r="A283" i="87"/>
  <c r="A284" i="87"/>
  <c r="A285" i="87"/>
  <c r="A286" i="87"/>
  <c r="A287" i="87"/>
  <c r="A288" i="87"/>
  <c r="A289" i="87"/>
  <c r="A290" i="87"/>
  <c r="A292" i="87"/>
  <c r="A294" i="87"/>
  <c r="A296" i="87"/>
  <c r="A297" i="87"/>
  <c r="A298" i="87"/>
  <c r="A299" i="87"/>
  <c r="A300" i="87"/>
  <c r="A301" i="87"/>
  <c r="A303" i="87"/>
  <c r="A304" i="87"/>
  <c r="A306" i="87"/>
  <c r="A307" i="87"/>
  <c r="A311" i="87"/>
  <c r="A312" i="87"/>
  <c r="A313" i="87"/>
  <c r="A314" i="87"/>
  <c r="A315" i="87"/>
  <c r="A316" i="87"/>
  <c r="A318" i="87"/>
  <c r="A319" i="87"/>
  <c r="A320" i="87"/>
  <c r="A321" i="87"/>
  <c r="A322" i="87"/>
  <c r="A323" i="87"/>
  <c r="A324" i="87"/>
  <c r="A325" i="87"/>
  <c r="A326" i="87"/>
  <c r="A327" i="87"/>
  <c r="A328" i="87"/>
  <c r="A329" i="87"/>
  <c r="A330" i="87"/>
  <c r="A331" i="87"/>
  <c r="A332" i="87"/>
  <c r="A333" i="87"/>
  <c r="A334" i="87"/>
  <c r="A335" i="87"/>
  <c r="A336" i="87"/>
  <c r="A337" i="87"/>
  <c r="A338" i="87"/>
  <c r="A339" i="87"/>
  <c r="A340" i="87"/>
  <c r="A341" i="87"/>
  <c r="A343" i="87"/>
  <c r="A344" i="87"/>
  <c r="A349" i="87"/>
  <c r="A350" i="87"/>
  <c r="A352" i="87"/>
  <c r="A353" i="87"/>
  <c r="A354" i="87"/>
  <c r="A355" i="87"/>
  <c r="A356" i="87"/>
  <c r="A357" i="87"/>
  <c r="A358" i="87"/>
  <c r="A359" i="87"/>
  <c r="A360" i="87"/>
  <c r="A361" i="87"/>
  <c r="A362" i="87"/>
  <c r="A363" i="87"/>
  <c r="A364" i="87"/>
  <c r="A365" i="87"/>
  <c r="A366" i="87"/>
  <c r="A367" i="87"/>
  <c r="A368" i="87"/>
  <c r="A369" i="87"/>
  <c r="A370" i="87"/>
  <c r="A371" i="87"/>
  <c r="A372" i="87"/>
  <c r="A373" i="87"/>
  <c r="A374" i="87"/>
  <c r="A375" i="87"/>
  <c r="A376" i="87"/>
  <c r="A377" i="87"/>
  <c r="A378" i="87"/>
  <c r="A381" i="87"/>
  <c r="A383" i="87"/>
  <c r="A386" i="87"/>
  <c r="A387" i="87"/>
  <c r="A388" i="87"/>
  <c r="A392" i="87"/>
  <c r="A393" i="87"/>
  <c r="A396" i="87"/>
  <c r="A397" i="87"/>
  <c r="A398" i="87"/>
  <c r="A399" i="87"/>
  <c r="A400" i="87"/>
  <c r="A401" i="87"/>
  <c r="A402" i="87"/>
  <c r="A403" i="87"/>
  <c r="A404" i="87"/>
  <c r="A405" i="87"/>
  <c r="A406" i="87"/>
  <c r="A407" i="87"/>
  <c r="A408" i="87"/>
  <c r="A409" i="87"/>
  <c r="A410" i="87"/>
  <c r="A411" i="87"/>
  <c r="A412" i="87"/>
  <c r="A413" i="87"/>
  <c r="A414" i="87"/>
  <c r="A415" i="87"/>
  <c r="A416" i="87"/>
  <c r="A419" i="87"/>
  <c r="A420" i="87"/>
  <c r="A421" i="87"/>
  <c r="A422" i="87"/>
  <c r="A423" i="87"/>
  <c r="A424" i="87"/>
  <c r="A425" i="87"/>
  <c r="A426" i="87"/>
  <c r="A427" i="87"/>
  <c r="A428" i="87"/>
  <c r="A429" i="87"/>
  <c r="A430" i="87"/>
  <c r="A431" i="87"/>
  <c r="A432" i="87"/>
  <c r="A433" i="87"/>
  <c r="A437" i="87"/>
  <c r="A440" i="87"/>
  <c r="A441" i="87"/>
  <c r="A442" i="87"/>
  <c r="A444" i="87"/>
  <c r="A446" i="87"/>
  <c r="A448" i="87"/>
  <c r="A450" i="87"/>
  <c r="A452" i="87"/>
  <c r="A453" i="87"/>
  <c r="A454" i="87"/>
  <c r="A458" i="87"/>
  <c r="A460" i="87"/>
  <c r="A462" i="87"/>
  <c r="A464" i="87"/>
  <c r="A465" i="87"/>
  <c r="A466" i="87"/>
  <c r="A467" i="87"/>
  <c r="A468" i="87"/>
  <c r="A470" i="87"/>
  <c r="A471" i="87"/>
  <c r="A472" i="87"/>
  <c r="A473" i="87"/>
  <c r="A479" i="87"/>
  <c r="A481" i="87"/>
  <c r="A482" i="87"/>
  <c r="A484" i="87"/>
  <c r="A485" i="87"/>
  <c r="A486" i="87"/>
  <c r="A487" i="87"/>
  <c r="A488" i="87"/>
  <c r="A489" i="87"/>
  <c r="A491" i="87"/>
  <c r="A492" i="87"/>
  <c r="A493" i="87"/>
  <c r="A494" i="87"/>
  <c r="A495" i="87"/>
  <c r="A496" i="87"/>
  <c r="A497" i="87"/>
  <c r="A499" i="87"/>
  <c r="A501" i="87"/>
  <c r="A502" i="87"/>
  <c r="A503" i="87"/>
  <c r="A504" i="87"/>
  <c r="A505" i="87"/>
  <c r="A506" i="87"/>
  <c r="A507" i="87"/>
  <c r="A508" i="87"/>
  <c r="A511" i="87"/>
  <c r="A512" i="87"/>
  <c r="A513" i="87"/>
  <c r="A514" i="87"/>
  <c r="A515" i="87"/>
  <c r="A516" i="87"/>
  <c r="A517" i="87"/>
  <c r="A518" i="87"/>
  <c r="A519" i="87"/>
  <c r="A523" i="87"/>
  <c r="A524" i="87"/>
  <c r="A525" i="87"/>
  <c r="A526" i="87"/>
  <c r="A527" i="87"/>
  <c r="A528" i="87"/>
  <c r="A529" i="87"/>
  <c r="A530" i="87"/>
  <c r="A531" i="87"/>
  <c r="A532" i="87"/>
  <c r="A533" i="87"/>
  <c r="A534" i="87"/>
  <c r="A535" i="87"/>
  <c r="A536" i="87"/>
  <c r="A537" i="87"/>
  <c r="A539" i="87"/>
  <c r="A540" i="87"/>
  <c r="A544" i="87"/>
  <c r="A545" i="87"/>
  <c r="A546" i="87"/>
  <c r="A547" i="87"/>
  <c r="A548" i="87"/>
  <c r="A555" i="87"/>
  <c r="A556" i="87"/>
  <c r="A558" i="87"/>
  <c r="A559" i="87"/>
  <c r="A560" i="87"/>
  <c r="A563" i="87"/>
  <c r="A564" i="87"/>
  <c r="A565" i="87"/>
  <c r="A566" i="87"/>
  <c r="A567" i="87"/>
  <c r="A568" i="87"/>
  <c r="A569" i="87"/>
  <c r="A570" i="87"/>
  <c r="A571" i="87"/>
  <c r="A572" i="87"/>
  <c r="A573" i="87"/>
  <c r="A574" i="87"/>
  <c r="A578" i="87"/>
  <c r="A579" i="87"/>
  <c r="A581" i="87"/>
  <c r="A583" i="87"/>
  <c r="A585" i="87"/>
  <c r="A586" i="87"/>
  <c r="A587" i="87"/>
  <c r="A588" i="87"/>
  <c r="A589" i="87"/>
  <c r="A590" i="87"/>
  <c r="A591" i="87"/>
  <c r="A592" i="87"/>
  <c r="A593" i="87"/>
  <c r="A594" i="87"/>
  <c r="A600" i="87"/>
  <c r="A601" i="87"/>
  <c r="A603" i="87"/>
  <c r="A604" i="87"/>
  <c r="A605" i="87"/>
  <c r="A609" i="87"/>
  <c r="A610" i="87"/>
  <c r="A615" i="87"/>
  <c r="A616" i="87"/>
  <c r="A620" i="87"/>
  <c r="A621" i="87"/>
  <c r="A625" i="87"/>
  <c r="A626" i="87"/>
  <c r="A627" i="87"/>
  <c r="A628" i="87"/>
  <c r="A629" i="87"/>
  <c r="A631" i="87"/>
  <c r="A632" i="87"/>
  <c r="A633" i="87"/>
  <c r="A634" i="87"/>
  <c r="A635" i="87"/>
  <c r="A636" i="87"/>
  <c r="A637" i="87"/>
  <c r="A641" i="87"/>
  <c r="A642" i="87"/>
  <c r="A644" i="87"/>
  <c r="A649" i="87"/>
  <c r="A650" i="87"/>
  <c r="A651" i="87"/>
  <c r="A652" i="87"/>
  <c r="A653" i="87"/>
  <c r="A654" i="87"/>
  <c r="A655" i="87"/>
  <c r="A656" i="87"/>
  <c r="A657" i="87"/>
  <c r="A658" i="87"/>
  <c r="A659" i="87"/>
  <c r="A660" i="87"/>
  <c r="A662" i="87"/>
  <c r="A663" i="87"/>
  <c r="A664" i="87"/>
  <c r="A667" i="87"/>
  <c r="A668" i="87"/>
  <c r="A669" i="87"/>
  <c r="A670" i="87"/>
  <c r="A672" i="87"/>
  <c r="A673" i="87"/>
  <c r="A674" i="87"/>
  <c r="A675" i="87"/>
  <c r="A678" i="87"/>
  <c r="A680" i="87"/>
  <c r="A681" i="87"/>
  <c r="A682" i="87"/>
  <c r="A683" i="87"/>
  <c r="A684" i="87"/>
  <c r="A685" i="87"/>
  <c r="A686" i="87"/>
  <c r="A688" i="87"/>
  <c r="A689" i="87"/>
  <c r="A691" i="87"/>
  <c r="A695" i="87"/>
  <c r="A696" i="87"/>
  <c r="A698" i="87"/>
  <c r="A699" i="87"/>
  <c r="A703" i="87"/>
  <c r="A704" i="87"/>
  <c r="A705" i="87"/>
  <c r="A707" i="87"/>
  <c r="A708" i="87"/>
  <c r="A709" i="87"/>
  <c r="A710" i="87"/>
  <c r="A713" i="87"/>
  <c r="A715" i="87"/>
  <c r="A716" i="87"/>
  <c r="A720" i="87"/>
  <c r="A721" i="87"/>
  <c r="A722" i="87"/>
  <c r="A723" i="87"/>
  <c r="A725" i="87"/>
  <c r="A726" i="87"/>
  <c r="A727" i="87"/>
  <c r="A728" i="87"/>
  <c r="A731" i="87"/>
  <c r="A733" i="87"/>
  <c r="A734" i="87"/>
  <c r="A736" i="87"/>
  <c r="A742" i="87"/>
  <c r="A743" i="87"/>
  <c r="A744" i="87"/>
  <c r="A745" i="87"/>
  <c r="A746" i="87"/>
  <c r="A748" i="87"/>
  <c r="A752" i="87"/>
  <c r="A755" i="87"/>
  <c r="A756" i="87"/>
  <c r="A757" i="87"/>
  <c r="A759" i="87"/>
  <c r="A760" i="87"/>
  <c r="A762" i="87"/>
  <c r="A764" i="87"/>
  <c r="A766" i="87"/>
  <c r="A767" i="87"/>
  <c r="A768" i="87"/>
  <c r="A769" i="87"/>
  <c r="A770" i="87"/>
  <c r="A771" i="87"/>
  <c r="A772" i="87"/>
  <c r="A773" i="87"/>
  <c r="A774" i="87"/>
  <c r="A775" i="87"/>
  <c r="A789" i="87"/>
  <c r="A790" i="87"/>
  <c r="A794" i="87"/>
  <c r="A798" i="87"/>
  <c r="A801" i="87"/>
  <c r="A802" i="87"/>
  <c r="A803" i="87"/>
  <c r="A804" i="87"/>
  <c r="A807" i="87"/>
  <c r="A808" i="87"/>
  <c r="A809" i="87"/>
  <c r="A811" i="87"/>
  <c r="A812" i="87"/>
  <c r="A813" i="87"/>
  <c r="A814" i="87"/>
  <c r="A815" i="87"/>
  <c r="A816" i="87"/>
  <c r="A817" i="87"/>
  <c r="A818" i="87"/>
  <c r="A819" i="87"/>
  <c r="A820" i="87"/>
  <c r="A825" i="87"/>
  <c r="A826" i="87"/>
  <c r="A829" i="87"/>
  <c r="A830" i="87"/>
  <c r="A831" i="87"/>
  <c r="A832" i="87"/>
  <c r="A833" i="87"/>
  <c r="A834" i="87"/>
  <c r="A837" i="87"/>
  <c r="A838" i="87"/>
  <c r="A839" i="87"/>
  <c r="A840" i="87"/>
  <c r="A841" i="87"/>
  <c r="A842" i="87"/>
  <c r="A843" i="87"/>
  <c r="A844" i="87"/>
  <c r="A845" i="87"/>
  <c r="A846" i="87"/>
  <c r="A850" i="87"/>
  <c r="A851" i="87"/>
  <c r="A852" i="87"/>
  <c r="A853" i="87"/>
  <c r="A856" i="87"/>
  <c r="A857" i="87"/>
  <c r="A858" i="87"/>
  <c r="A862" i="87"/>
  <c r="A866" i="87"/>
  <c r="A869" i="87"/>
  <c r="A870" i="87"/>
  <c r="A874" i="87"/>
  <c r="A875" i="87"/>
  <c r="A876" i="87"/>
  <c r="A878" i="87"/>
  <c r="A879" i="87"/>
  <c r="A880" i="87"/>
  <c r="A883" i="87"/>
  <c r="A884" i="87"/>
  <c r="A885" i="87"/>
  <c r="A886" i="87"/>
  <c r="A887" i="87"/>
  <c r="A888" i="87"/>
  <c r="A889" i="87"/>
  <c r="A890" i="87"/>
  <c r="A891" i="87"/>
  <c r="A894" i="87"/>
  <c r="A895" i="87"/>
  <c r="A896" i="87"/>
  <c r="A897" i="87"/>
  <c r="A898" i="87"/>
  <c r="A899" i="87"/>
  <c r="A900" i="87"/>
  <c r="A902" i="87"/>
  <c r="A903" i="87"/>
  <c r="A904" i="87"/>
  <c r="A915" i="87"/>
  <c r="A916" i="87"/>
  <c r="A918" i="87"/>
  <c r="A919" i="87"/>
  <c r="A920" i="87"/>
  <c r="A921" i="87"/>
  <c r="A922" i="87"/>
  <c r="A923" i="87"/>
  <c r="A926" i="87"/>
  <c r="A927" i="87"/>
  <c r="A929" i="87"/>
  <c r="A930" i="87"/>
  <c r="A931" i="87"/>
  <c r="A932" i="87"/>
  <c r="A933" i="87"/>
  <c r="A934" i="87"/>
  <c r="A935" i="87"/>
  <c r="A936" i="87"/>
  <c r="A937" i="87"/>
  <c r="A938" i="87"/>
  <c r="A939" i="87"/>
  <c r="A940" i="87"/>
  <c r="A941" i="87"/>
  <c r="A942" i="87"/>
  <c r="A944" i="87"/>
  <c r="A945" i="87"/>
  <c r="A946" i="87"/>
  <c r="A947" i="87"/>
  <c r="A948" i="87"/>
  <c r="A949" i="87"/>
  <c r="A952" i="87"/>
  <c r="A953" i="87"/>
  <c r="A954" i="87"/>
  <c r="A955" i="87"/>
  <c r="A956" i="87"/>
  <c r="A957" i="87"/>
  <c r="A958" i="87"/>
  <c r="A959" i="87"/>
  <c r="A960" i="87"/>
  <c r="A961" i="87"/>
  <c r="A962" i="87"/>
  <c r="A963" i="87"/>
  <c r="A964" i="87"/>
  <c r="A965" i="87"/>
  <c r="A967" i="87"/>
  <c r="A968" i="87"/>
  <c r="A969" i="87"/>
  <c r="A970" i="87"/>
  <c r="A971" i="87"/>
  <c r="A972" i="87"/>
  <c r="A974" i="87"/>
  <c r="A975" i="87"/>
  <c r="A976" i="87"/>
  <c r="A977" i="87"/>
  <c r="A983" i="87"/>
  <c r="A984" i="87"/>
  <c r="A985" i="87"/>
  <c r="A986" i="87"/>
  <c r="A989" i="87"/>
  <c r="A991" i="87"/>
  <c r="A992" i="87"/>
  <c r="A993" i="87"/>
  <c r="A994" i="87"/>
  <c r="A996" i="87"/>
  <c r="A997" i="87"/>
  <c r="A999" i="87"/>
  <c r="A1000" i="87"/>
  <c r="A1001" i="87"/>
  <c r="A1002" i="87"/>
  <c r="A1003" i="87"/>
  <c r="A1005" i="87"/>
  <c r="A1007" i="87"/>
  <c r="A1008" i="87"/>
  <c r="A1009" i="87"/>
  <c r="A1010" i="87"/>
  <c r="A1012" i="87"/>
  <c r="A1013" i="87"/>
  <c r="A1014" i="87"/>
  <c r="A1015" i="87"/>
  <c r="A1016" i="87"/>
  <c r="A1017" i="87"/>
  <c r="A1019" i="87"/>
  <c r="A1020" i="87"/>
  <c r="A1021" i="87"/>
  <c r="A1022" i="87"/>
  <c r="A1025" i="87"/>
  <c r="A1026" i="87"/>
  <c r="A1027" i="87"/>
  <c r="A1028" i="87"/>
  <c r="A1029" i="87"/>
  <c r="A1030" i="87"/>
  <c r="A1032" i="87"/>
  <c r="A1033" i="87"/>
  <c r="A1034" i="87"/>
  <c r="A1035" i="87"/>
  <c r="A1036" i="87"/>
  <c r="A1037" i="87"/>
  <c r="A1038" i="87"/>
  <c r="A1039" i="87"/>
  <c r="A1040" i="87"/>
  <c r="A1041" i="87"/>
  <c r="A1042" i="87"/>
  <c r="A1043" i="87"/>
  <c r="A1044" i="87"/>
  <c r="A1045" i="87"/>
  <c r="A1047" i="87"/>
  <c r="A1049" i="87"/>
  <c r="A1051" i="87"/>
  <c r="A1052" i="87"/>
  <c r="A1053" i="87"/>
  <c r="A1054" i="87"/>
  <c r="A1055" i="87"/>
  <c r="A1056" i="87"/>
  <c r="A1059" i="87"/>
  <c r="A1060" i="87"/>
  <c r="A1061" i="87"/>
  <c r="A1062" i="87"/>
  <c r="A1063" i="87"/>
  <c r="A1064" i="87"/>
  <c r="A1066" i="87"/>
  <c r="A1067" i="87"/>
  <c r="A1069" i="87"/>
  <c r="A1070" i="87"/>
  <c r="A1071" i="87"/>
  <c r="A1072" i="87"/>
  <c r="A1074" i="87"/>
  <c r="A1076" i="87"/>
  <c r="A1078" i="87"/>
  <c r="A1079" i="87"/>
  <c r="A1081" i="87"/>
  <c r="A1082" i="87"/>
  <c r="A1084" i="87"/>
  <c r="A1086" i="87"/>
  <c r="A1088" i="87"/>
  <c r="A1089" i="87"/>
  <c r="A1091" i="87"/>
  <c r="A1093" i="87"/>
  <c r="A1094" i="87"/>
  <c r="A1097" i="87"/>
  <c r="A1098" i="87"/>
  <c r="A1099" i="87"/>
  <c r="A1100" i="87"/>
  <c r="A1101" i="87"/>
  <c r="A1102" i="87"/>
  <c r="A1103" i="87"/>
  <c r="A1104" i="87"/>
  <c r="A1105" i="87"/>
  <c r="A1106" i="87"/>
  <c r="A1107" i="87"/>
  <c r="A1108" i="87"/>
  <c r="A1109" i="87"/>
  <c r="A1110" i="87"/>
  <c r="A1111" i="87"/>
  <c r="A1112" i="87"/>
  <c r="A1113" i="87"/>
  <c r="A1114" i="87"/>
  <c r="A1115" i="87"/>
  <c r="A1116" i="87"/>
  <c r="A1117" i="87"/>
  <c r="A1118" i="87"/>
  <c r="A1120" i="87"/>
  <c r="A1122" i="87"/>
  <c r="A1123" i="87"/>
  <c r="A1125" i="87"/>
  <c r="A1126" i="87"/>
  <c r="A1128" i="87"/>
  <c r="A1130" i="87"/>
  <c r="A1131" i="87"/>
  <c r="A1132" i="87"/>
  <c r="A1133" i="87"/>
  <c r="A1134" i="87"/>
  <c r="A1135" i="87"/>
  <c r="A1137" i="87"/>
  <c r="A1138" i="87"/>
  <c r="A1139" i="87"/>
  <c r="A1140" i="87"/>
  <c r="A1141" i="87"/>
  <c r="A1142" i="87"/>
  <c r="A1143" i="87"/>
  <c r="A1144" i="87"/>
  <c r="A1146" i="87"/>
  <c r="A1147" i="87"/>
  <c r="A1148" i="87"/>
  <c r="A1149" i="87"/>
  <c r="A1150" i="87"/>
  <c r="A1152" i="87"/>
  <c r="A1162" i="87"/>
  <c r="A1165" i="87"/>
  <c r="A1166" i="87"/>
  <c r="A1172" i="87"/>
  <c r="A1176" i="87"/>
  <c r="A1179" i="87"/>
  <c r="A1177" i="87"/>
  <c r="A1183" i="87"/>
  <c r="A1184" i="87"/>
  <c r="A1185" i="87"/>
  <c r="A1187" i="87"/>
  <c r="A1188" i="87"/>
  <c r="A1189" i="87"/>
  <c r="A1190" i="87"/>
  <c r="A1191" i="87"/>
  <c r="A1196" i="87"/>
  <c r="A1197" i="87"/>
  <c r="A1198" i="87"/>
  <c r="A1199" i="87"/>
  <c r="A1200" i="87"/>
  <c r="A1204" i="87"/>
  <c r="A1205" i="87"/>
  <c r="A1207" i="87"/>
  <c r="A1208" i="87"/>
  <c r="A1209" i="87"/>
  <c r="A1210" i="87"/>
  <c r="A1211" i="87"/>
  <c r="A1212" i="87"/>
  <c r="A1213" i="87"/>
  <c r="A1214" i="87"/>
  <c r="A1217" i="87"/>
  <c r="A1220" i="87"/>
  <c r="A1221" i="87"/>
  <c r="A1224" i="87"/>
  <c r="A1226" i="87"/>
  <c r="A1228" i="87"/>
  <c r="A1230" i="87"/>
  <c r="A1231" i="87"/>
  <c r="A1232" i="87"/>
  <c r="A1233" i="87"/>
  <c r="A1234" i="87"/>
  <c r="A1235" i="87"/>
  <c r="A1236" i="87"/>
  <c r="A1238" i="87"/>
  <c r="A1239" i="87"/>
  <c r="A1240" i="87"/>
  <c r="A1242" i="87"/>
  <c r="A1243" i="87"/>
  <c r="A1244" i="87"/>
  <c r="A1246" i="87"/>
  <c r="A1248" i="87"/>
  <c r="A1251" i="87"/>
  <c r="A1253" i="87"/>
  <c r="A1254" i="87"/>
  <c r="A1255" i="87"/>
  <c r="A1256" i="87"/>
  <c r="A1257" i="87"/>
  <c r="A1258" i="87"/>
  <c r="A1259" i="87"/>
  <c r="A1260" i="87"/>
  <c r="A1261" i="87"/>
  <c r="A1262" i="87"/>
  <c r="A1264" i="87"/>
  <c r="A1266" i="87"/>
  <c r="A1267" i="87"/>
  <c r="A1269" i="87"/>
  <c r="A1270" i="87"/>
  <c r="A1271" i="87"/>
  <c r="A1273" i="87"/>
  <c r="A1274" i="87"/>
  <c r="A1275" i="87"/>
  <c r="A1276" i="87"/>
  <c r="A1277" i="87"/>
  <c r="A1278" i="87"/>
  <c r="A1280" i="87"/>
  <c r="A1281" i="87"/>
  <c r="A1282" i="87"/>
  <c r="A1283" i="87"/>
  <c r="A1284" i="87"/>
  <c r="A1288" i="87"/>
  <c r="A1292" i="87"/>
  <c r="A1293" i="87"/>
  <c r="A1294" i="87"/>
  <c r="A1296" i="87"/>
  <c r="A1298" i="87"/>
  <c r="A1300" i="87"/>
  <c r="A1301" i="87"/>
  <c r="A1302" i="87"/>
  <c r="A1307" i="87"/>
  <c r="A1308" i="87"/>
  <c r="A1309" i="87"/>
  <c r="A1311" i="87"/>
  <c r="A1312" i="87"/>
  <c r="A1315" i="87"/>
  <c r="A1316" i="87"/>
  <c r="A1317" i="87"/>
  <c r="A1319" i="87"/>
  <c r="A1320" i="87"/>
  <c r="A1321" i="87"/>
  <c r="A1322" i="87"/>
  <c r="A1323" i="87"/>
  <c r="A1324" i="87"/>
  <c r="A1325" i="87"/>
  <c r="A1326" i="87"/>
  <c r="A1327" i="87"/>
  <c r="A1328" i="87"/>
  <c r="A1329" i="87"/>
  <c r="A1330" i="87"/>
  <c r="A1331" i="87"/>
  <c r="A1332" i="87"/>
  <c r="A1333" i="87"/>
  <c r="A1334" i="87"/>
  <c r="A1339" i="87"/>
  <c r="A1340" i="87"/>
  <c r="A1341" i="87"/>
  <c r="A1342" i="87"/>
  <c r="A1346" i="87"/>
  <c r="A1349" i="87"/>
  <c r="A1352" i="87"/>
  <c r="A1353" i="87"/>
  <c r="A1355" i="87"/>
  <c r="A1359" i="87"/>
  <c r="A1360" i="87"/>
  <c r="A1370" i="87"/>
  <c r="A1371" i="87"/>
  <c r="A1372" i="87"/>
  <c r="A1377" i="87"/>
  <c r="A1378" i="87"/>
  <c r="A1379" i="87"/>
  <c r="A1380" i="87"/>
  <c r="A1382" i="87"/>
  <c r="A1383" i="87"/>
  <c r="A1384" i="87"/>
  <c r="A1391" i="87"/>
  <c r="A1393" i="87"/>
  <c r="A1394" i="87"/>
  <c r="A1399" i="87"/>
  <c r="A1401" i="87"/>
  <c r="A1404" i="87"/>
  <c r="A1405" i="87"/>
  <c r="A1406" i="87"/>
  <c r="A1407" i="87"/>
  <c r="A1408" i="87"/>
  <c r="A1409" i="87"/>
  <c r="A1410" i="87"/>
  <c r="A1412" i="87"/>
  <c r="A1413" i="87"/>
  <c r="A1414" i="87"/>
  <c r="A1415" i="87"/>
  <c r="A1417" i="87"/>
  <c r="A1418" i="87"/>
  <c r="A1419" i="87"/>
  <c r="A1420" i="87"/>
  <c r="A1422" i="87"/>
  <c r="A1423" i="87"/>
  <c r="A1424" i="87"/>
  <c r="A1426" i="87"/>
  <c r="A1427" i="87"/>
  <c r="A1428" i="87"/>
  <c r="A1429" i="87"/>
  <c r="A1430" i="87"/>
  <c r="A1431" i="87"/>
  <c r="A1432" i="87"/>
  <c r="A1440" i="87"/>
  <c r="A1441" i="87"/>
  <c r="A1443" i="87"/>
  <c r="A1444" i="87"/>
  <c r="A1446" i="87"/>
  <c r="A1449" i="87"/>
  <c r="A1452" i="87"/>
  <c r="A1454" i="87"/>
  <c r="A1455" i="87"/>
  <c r="A1456" i="87"/>
  <c r="A1457" i="87"/>
  <c r="A1459" i="87"/>
  <c r="A1467" i="87"/>
  <c r="A1468" i="87"/>
  <c r="A1469" i="87"/>
  <c r="A1472" i="87"/>
  <c r="A1473" i="87"/>
  <c r="A1474" i="87"/>
  <c r="A1475" i="87"/>
  <c r="A1476" i="87"/>
  <c r="A1478" i="87"/>
  <c r="A1479" i="87"/>
  <c r="A1481" i="87"/>
  <c r="A1482" i="87"/>
  <c r="A1483" i="87"/>
  <c r="A1484" i="87"/>
  <c r="A1485" i="87"/>
  <c r="A1486" i="87"/>
  <c r="A1490" i="87"/>
  <c r="A1496" i="87"/>
  <c r="A1498" i="87"/>
  <c r="A1499" i="87"/>
  <c r="A1500" i="87"/>
  <c r="A1501" i="87"/>
  <c r="A1502" i="87"/>
  <c r="A1506" i="87"/>
  <c r="A1507" i="87"/>
  <c r="A1508" i="87"/>
  <c r="A1509" i="87"/>
  <c r="A1510" i="87"/>
  <c r="A1511" i="87"/>
  <c r="A1513" i="87"/>
  <c r="A1514" i="87"/>
  <c r="A1519" i="87"/>
  <c r="A1521" i="87"/>
  <c r="A1522" i="87"/>
  <c r="A1523" i="87"/>
  <c r="A1524" i="87"/>
  <c r="A1525" i="87"/>
  <c r="A1526" i="87"/>
  <c r="A1527" i="87"/>
  <c r="A1528" i="87"/>
  <c r="A1529" i="87"/>
  <c r="A1530" i="87"/>
  <c r="A1531" i="87"/>
  <c r="A1532" i="87"/>
  <c r="A1533" i="87"/>
  <c r="A1534" i="87"/>
  <c r="A1535" i="87"/>
  <c r="A1540" i="87"/>
  <c r="A1543" i="87"/>
  <c r="A1544" i="87"/>
  <c r="A1545" i="87"/>
  <c r="A1546" i="87"/>
  <c r="A1548" i="87"/>
  <c r="A1551" i="87"/>
  <c r="A1552" i="87"/>
  <c r="A1553" i="87"/>
  <c r="A1554" i="87"/>
  <c r="A1555" i="87"/>
  <c r="A1556" i="87"/>
  <c r="A1557" i="87"/>
  <c r="A1561" i="87"/>
  <c r="A1562" i="87"/>
  <c r="A1563" i="87"/>
  <c r="A1564" i="87"/>
  <c r="A1571" i="87"/>
  <c r="A1572" i="87"/>
  <c r="A1573" i="87"/>
  <c r="A1577" i="87"/>
  <c r="A1578" i="87"/>
  <c r="A1579" i="87"/>
  <c r="A1580" i="87"/>
  <c r="A1581" i="87"/>
  <c r="A1582" i="87"/>
  <c r="A1583" i="87"/>
  <c r="A1584" i="87"/>
  <c r="A1585" i="87"/>
  <c r="A1587" i="87"/>
  <c r="A1588" i="87"/>
  <c r="A1590" i="87"/>
  <c r="A1593" i="87"/>
  <c r="A1595" i="87"/>
  <c r="A1596" i="87"/>
  <c r="A1597" i="87"/>
  <c r="A1600" i="87"/>
  <c r="A1601" i="87"/>
  <c r="A1602" i="87"/>
  <c r="A1603" i="87"/>
  <c r="A1604" i="87"/>
  <c r="A1605" i="87"/>
  <c r="A1606" i="87"/>
  <c r="A1607" i="87"/>
  <c r="A1608" i="87"/>
  <c r="A1609" i="87"/>
  <c r="A1610" i="87"/>
  <c r="A1611" i="87"/>
  <c r="A1613" i="87"/>
  <c r="A1614" i="87"/>
  <c r="A1618" i="87"/>
  <c r="A1619" i="87"/>
  <c r="A1620" i="87"/>
  <c r="A1621" i="87"/>
  <c r="A1622" i="87"/>
  <c r="A1623" i="87"/>
  <c r="A1624" i="87"/>
  <c r="A1625" i="87"/>
  <c r="A1631" i="87"/>
  <c r="A1632" i="87"/>
  <c r="A1633" i="87"/>
  <c r="A1634" i="87"/>
  <c r="A1638" i="87"/>
  <c r="A1640" i="87"/>
  <c r="A1642" i="87"/>
  <c r="A1643" i="87"/>
  <c r="A1644" i="87"/>
  <c r="A1645" i="87"/>
  <c r="A1646" i="87"/>
  <c r="A1647" i="87"/>
  <c r="A1649" i="87"/>
  <c r="A1650" i="87"/>
  <c r="A1651" i="87"/>
  <c r="A1652" i="87"/>
  <c r="A1653" i="87"/>
  <c r="A1654" i="87"/>
  <c r="A1655" i="87"/>
  <c r="A1656" i="87"/>
  <c r="A1657" i="87"/>
  <c r="A1658" i="87"/>
  <c r="A1659" i="87"/>
  <c r="A1660" i="87"/>
  <c r="A1661" i="87"/>
  <c r="A1662" i="87"/>
  <c r="A1663" i="87"/>
  <c r="A1665" i="87"/>
  <c r="A1666" i="87"/>
  <c r="A1669" i="87"/>
  <c r="A1670" i="87"/>
  <c r="A1671" i="87"/>
  <c r="A1674" i="87"/>
  <c r="A1675" i="87"/>
  <c r="A1676" i="87"/>
  <c r="A1677" i="87"/>
  <c r="A1679" i="87"/>
  <c r="A1680" i="87"/>
  <c r="A1682" i="87"/>
  <c r="A1683" i="87"/>
  <c r="A1685" i="87"/>
  <c r="A1687" i="87"/>
  <c r="A1689" i="87"/>
  <c r="A1690" i="87"/>
  <c r="A1696" i="87"/>
  <c r="A1698" i="87"/>
  <c r="A1699" i="87"/>
  <c r="A1700" i="87"/>
  <c r="A1701" i="87"/>
  <c r="A1702" i="87"/>
  <c r="A1703" i="87"/>
  <c r="A1704" i="87"/>
  <c r="A1705" i="87"/>
  <c r="A1706" i="87"/>
  <c r="A1707" i="87"/>
  <c r="A1709" i="87"/>
  <c r="A1712" i="87"/>
  <c r="A1713" i="87"/>
  <c r="A1714" i="87"/>
  <c r="A1715" i="87"/>
  <c r="A1716" i="87"/>
  <c r="A1717" i="87"/>
  <c r="A1719" i="87"/>
  <c r="A1720" i="87"/>
  <c r="A1721" i="87"/>
  <c r="A1722" i="87"/>
  <c r="A1723" i="87"/>
  <c r="A1724" i="87"/>
  <c r="A1725" i="87"/>
  <c r="A1726" i="87"/>
  <c r="A1727" i="87"/>
  <c r="A1728" i="87"/>
  <c r="A1729" i="87"/>
  <c r="A1730" i="87"/>
  <c r="A1731" i="87"/>
  <c r="A1734" i="87"/>
  <c r="A1735" i="87"/>
  <c r="A1736" i="87"/>
  <c r="A1737" i="87"/>
  <c r="A1739" i="87"/>
  <c r="A1740" i="87"/>
  <c r="A1741" i="87"/>
  <c r="A1743" i="87"/>
  <c r="A1744" i="87"/>
  <c r="A1745" i="87"/>
  <c r="A1746" i="87"/>
  <c r="A1749" i="87"/>
  <c r="A1751" i="87"/>
  <c r="A1752" i="87"/>
  <c r="A1753" i="87"/>
  <c r="A1754" i="87"/>
  <c r="A1756" i="87"/>
  <c r="A1757" i="87"/>
  <c r="A1758" i="87"/>
  <c r="A1759" i="87"/>
  <c r="A1760" i="87"/>
  <c r="A1761" i="87"/>
  <c r="A1762" i="87"/>
  <c r="A1763" i="87"/>
  <c r="A1764" i="87"/>
  <c r="A1765" i="87"/>
  <c r="A1766" i="87"/>
  <c r="A1767" i="87"/>
  <c r="A1770" i="87"/>
  <c r="A1771" i="87"/>
  <c r="A1772" i="87"/>
  <c r="A1773" i="87"/>
  <c r="A1774" i="87"/>
  <c r="A1775" i="87"/>
  <c r="A1776" i="87"/>
  <c r="A1777" i="87"/>
  <c r="A1778" i="87"/>
  <c r="A1779" i="87"/>
  <c r="A1780" i="87"/>
  <c r="A1784" i="87"/>
  <c r="A1781" i="87"/>
  <c r="A1782" i="87"/>
  <c r="A1783" i="87"/>
  <c r="A1785" i="87"/>
  <c r="A1786" i="87"/>
  <c r="A1787" i="87"/>
  <c r="A1788" i="87"/>
  <c r="A1789" i="87"/>
  <c r="A1791" i="87"/>
  <c r="A1792" i="87"/>
  <c r="A1794" i="87"/>
  <c r="A1797" i="87"/>
  <c r="A1798" i="87"/>
  <c r="A1799" i="87"/>
  <c r="A1809" i="87"/>
  <c r="A1810" i="87"/>
  <c r="A1811" i="87"/>
  <c r="A1812" i="87"/>
  <c r="A1813" i="87"/>
  <c r="A1815" i="87"/>
  <c r="A1816" i="87"/>
  <c r="A1817" i="87"/>
  <c r="A1821" i="87"/>
  <c r="A1822" i="87"/>
  <c r="A1823" i="87"/>
  <c r="A1824" i="87"/>
  <c r="A1826" i="87"/>
  <c r="A1827" i="87"/>
  <c r="A1828" i="87"/>
  <c r="A1829" i="87"/>
  <c r="A1830" i="87"/>
  <c r="A1831" i="87"/>
  <c r="A1837" i="87"/>
  <c r="A1838" i="87"/>
  <c r="A1839" i="87"/>
  <c r="A1840" i="87"/>
  <c r="A1841" i="87"/>
  <c r="A1842" i="87"/>
  <c r="A1845" i="87"/>
  <c r="A1846" i="87"/>
  <c r="A1847" i="87"/>
  <c r="A1848" i="87"/>
  <c r="A1849" i="87"/>
  <c r="A1850" i="87"/>
  <c r="A1851" i="87"/>
  <c r="A1855" i="87"/>
  <c r="A1860" i="87"/>
  <c r="A1870" i="87"/>
  <c r="A1871" i="87"/>
  <c r="A1872" i="87"/>
  <c r="A1874" i="87"/>
  <c r="A1875" i="87"/>
  <c r="A1876" i="87"/>
  <c r="A1877" i="87"/>
  <c r="A1878" i="87"/>
  <c r="A1879" i="87"/>
  <c r="A1880" i="87"/>
  <c r="A1881" i="87"/>
  <c r="A1883" i="87"/>
  <c r="A1885" i="87"/>
  <c r="A1889" i="87"/>
  <c r="A1892" i="87"/>
  <c r="A1893" i="87"/>
  <c r="A1895" i="87"/>
  <c r="A1897" i="87"/>
  <c r="A1899" i="87"/>
  <c r="A1900" i="87"/>
  <c r="A1902" i="87"/>
  <c r="A1903" i="87"/>
  <c r="A1905" i="87"/>
  <c r="A1907" i="87"/>
  <c r="A1909" i="87"/>
  <c r="A1910" i="87"/>
  <c r="A1912" i="87"/>
  <c r="A1914" i="87"/>
  <c r="A1916" i="87"/>
  <c r="A1917" i="87"/>
  <c r="A1919" i="87"/>
  <c r="A1921" i="87"/>
  <c r="A1922" i="87"/>
  <c r="A1924" i="87"/>
  <c r="A1926" i="87"/>
  <c r="A1927" i="87"/>
  <c r="A1928" i="87"/>
  <c r="A1929" i="87"/>
  <c r="A1930" i="87"/>
  <c r="A1933" i="87"/>
  <c r="A1945" i="87"/>
  <c r="A1949" i="87"/>
  <c r="A1950" i="87"/>
  <c r="A1952" i="87"/>
  <c r="A1953" i="87"/>
  <c r="A1954" i="87"/>
  <c r="A1955" i="87"/>
  <c r="A1956" i="87"/>
  <c r="A1958" i="87"/>
  <c r="A1959" i="87"/>
  <c r="A1961" i="87"/>
  <c r="A1962" i="87"/>
  <c r="A1963" i="87"/>
  <c r="A1964" i="87"/>
  <c r="A1965" i="87"/>
  <c r="A1966" i="87"/>
  <c r="A1967" i="87"/>
  <c r="A1969" i="87"/>
  <c r="A1971" i="87"/>
  <c r="A1973" i="87"/>
  <c r="A1975" i="87"/>
  <c r="A1976" i="87"/>
  <c r="A1977" i="87"/>
  <c r="A1979" i="87"/>
  <c r="A1980" i="87"/>
  <c r="A1982" i="87"/>
  <c r="A1983" i="87"/>
  <c r="A1984" i="87"/>
  <c r="A1985" i="87"/>
  <c r="A1986" i="87"/>
  <c r="A1987" i="87"/>
  <c r="A1989" i="87"/>
  <c r="A1990" i="87"/>
  <c r="A1991" i="87"/>
  <c r="A1992" i="87"/>
  <c r="A1994" i="87"/>
  <c r="A1996" i="87"/>
  <c r="A1997" i="87"/>
  <c r="A1998" i="87"/>
  <c r="A1999" i="87"/>
  <c r="A2000" i="87"/>
  <c r="A2001" i="87"/>
  <c r="A2002" i="87"/>
  <c r="A2003" i="87"/>
  <c r="A2004" i="87"/>
  <c r="A2005" i="87"/>
  <c r="A2006" i="87"/>
  <c r="A2007" i="87"/>
  <c r="A2008" i="87"/>
  <c r="A2009" i="87"/>
  <c r="A2011" i="87"/>
  <c r="A2013" i="87"/>
  <c r="A2014" i="87"/>
  <c r="A2015" i="87"/>
  <c r="A2016" i="87"/>
  <c r="A2018" i="87"/>
  <c r="A2019" i="87"/>
  <c r="A2020" i="87"/>
  <c r="A2021" i="87"/>
  <c r="A2022" i="87"/>
  <c r="A2023" i="87"/>
  <c r="A2026" i="87"/>
  <c r="A2027" i="87"/>
  <c r="A2028" i="87"/>
  <c r="A2029" i="87"/>
  <c r="A2033" i="87"/>
  <c r="A2034" i="87"/>
  <c r="A2036" i="87"/>
  <c r="A2037" i="87"/>
  <c r="A2042" i="87"/>
  <c r="A2043" i="87"/>
  <c r="A2045" i="87"/>
  <c r="A2047" i="87"/>
  <c r="A2048" i="87"/>
  <c r="A2049" i="87"/>
  <c r="A2050" i="87"/>
  <c r="A2052" i="87"/>
  <c r="A2053" i="87"/>
  <c r="A2056" i="87"/>
  <c r="A2057" i="87"/>
  <c r="A2058" i="87"/>
  <c r="A2059" i="87"/>
  <c r="A2060" i="87"/>
  <c r="A2061" i="87"/>
  <c r="A2062" i="87"/>
  <c r="A2063" i="87"/>
  <c r="A2064" i="87"/>
  <c r="A2065" i="87"/>
  <c r="A2067" i="87"/>
  <c r="A2068" i="87"/>
  <c r="A2069" i="87"/>
  <c r="A2070" i="87"/>
  <c r="A2071" i="87"/>
  <c r="A2072" i="87"/>
  <c r="A2080" i="87"/>
  <c r="A2081" i="87"/>
  <c r="A2082" i="87"/>
  <c r="A2084" i="87"/>
  <c r="A2085" i="87"/>
  <c r="A2086" i="87"/>
  <c r="A2087" i="87"/>
  <c r="A2090" i="87"/>
  <c r="A2091" i="87"/>
  <c r="A2092" i="87"/>
  <c r="A2094" i="87"/>
  <c r="A2095" i="87"/>
  <c r="A2096" i="87"/>
  <c r="A2097" i="87"/>
  <c r="A2099" i="87"/>
  <c r="A2100" i="87"/>
  <c r="A2101" i="87"/>
  <c r="A2104" i="87"/>
  <c r="A2106" i="87"/>
  <c r="A2108" i="87"/>
  <c r="A2109" i="87"/>
  <c r="A2110" i="87"/>
  <c r="A2111" i="87"/>
  <c r="A2112" i="87"/>
  <c r="A2113" i="87"/>
  <c r="A2114" i="87"/>
  <c r="A2115" i="87"/>
  <c r="A2118" i="87"/>
  <c r="A2119" i="87"/>
  <c r="A2120" i="87"/>
  <c r="A2121" i="87"/>
  <c r="A2122" i="87"/>
  <c r="A2123" i="87"/>
  <c r="A2125" i="87"/>
  <c r="A2126" i="87"/>
  <c r="A2129" i="87"/>
  <c r="A2133" i="87"/>
  <c r="A2142" i="87"/>
  <c r="A2143" i="87"/>
  <c r="A2144" i="87"/>
  <c r="A2145" i="87"/>
  <c r="A2146" i="87"/>
  <c r="A2147" i="87"/>
  <c r="A2148" i="87"/>
  <c r="A2152" i="87"/>
  <c r="A2154" i="87"/>
  <c r="A2155" i="87"/>
  <c r="A2156" i="87"/>
  <c r="A2163" i="87"/>
  <c r="A2164" i="87"/>
  <c r="A2165" i="87"/>
  <c r="A2166" i="87"/>
  <c r="A2167" i="87"/>
  <c r="A2168" i="87"/>
  <c r="A2169" i="87"/>
  <c r="A2170" i="87"/>
  <c r="A2171" i="87"/>
  <c r="A2172" i="87"/>
  <c r="A2173" i="87"/>
  <c r="A2175" i="87"/>
  <c r="A2176" i="87"/>
  <c r="A2180" i="87"/>
  <c r="A2181" i="87"/>
  <c r="A2182" i="87"/>
  <c r="A2183" i="87"/>
  <c r="A2184" i="87"/>
  <c r="A2185" i="87"/>
  <c r="A2186" i="87"/>
  <c r="A2188" i="87"/>
  <c r="A2190" i="87"/>
  <c r="A2192" i="87"/>
  <c r="A2193" i="87"/>
  <c r="A2194" i="87"/>
  <c r="A2196" i="87"/>
  <c r="A2197" i="87"/>
  <c r="A2198" i="87"/>
  <c r="A2199" i="87"/>
  <c r="A2200" i="87"/>
  <c r="A2201" i="87"/>
  <c r="A2202" i="87"/>
  <c r="A2204" i="87"/>
  <c r="A2205" i="87"/>
  <c r="A2207" i="87"/>
  <c r="A2208" i="87"/>
  <c r="A2210" i="87"/>
  <c r="A2211" i="87"/>
  <c r="A181" i="87"/>
  <c r="A2213" i="87"/>
  <c r="A2214" i="87"/>
  <c r="A2215" i="87"/>
  <c r="A2216" i="87"/>
  <c r="A2218" i="87"/>
  <c r="A2219" i="87"/>
  <c r="A2220" i="87"/>
  <c r="A2221" i="87"/>
  <c r="A2222" i="87"/>
  <c r="A2223" i="87"/>
  <c r="A2224" i="87"/>
  <c r="A2225" i="87"/>
  <c r="A2226" i="87"/>
  <c r="A2227" i="87"/>
  <c r="A2230" i="87"/>
  <c r="A2231" i="87"/>
  <c r="A2232" i="87"/>
  <c r="A2256" i="87"/>
  <c r="A700" i="87"/>
  <c r="A2257" i="87"/>
  <c r="A2258" i="87"/>
  <c r="A617" i="87"/>
  <c r="A618" i="87"/>
  <c r="A2259" i="87"/>
  <c r="A2260" i="87"/>
  <c r="A2261" i="87"/>
  <c r="A2262" i="87"/>
  <c r="A2372" i="87"/>
  <c r="A2263" i="87"/>
  <c r="A2264" i="87"/>
  <c r="A2265" i="87"/>
  <c r="A2266" i="87"/>
  <c r="A2267" i="87"/>
  <c r="A2268" i="87"/>
  <c r="A2269" i="87"/>
  <c r="A2270" i="87"/>
  <c r="A2271" i="87"/>
  <c r="A2272" i="87"/>
  <c r="A2273" i="87"/>
  <c r="A2274" i="87"/>
  <c r="A2275" i="87"/>
  <c r="A2276" i="87"/>
  <c r="A2277" i="87"/>
  <c r="A2278" i="87"/>
  <c r="A911" i="87"/>
  <c r="A2024" i="87"/>
  <c r="A907" i="87"/>
  <c r="A908" i="87"/>
  <c r="A892" i="87"/>
  <c r="A2279" i="87"/>
  <c r="A2280" i="87"/>
  <c r="A2281" i="87"/>
  <c r="A2282" i="87"/>
  <c r="A2283" i="87"/>
  <c r="A2284" i="87"/>
  <c r="A2285" i="87"/>
  <c r="A2286" i="87"/>
  <c r="A2287" i="87"/>
  <c r="A2288" i="87"/>
  <c r="A2289" i="87"/>
  <c r="A2290" i="87"/>
  <c r="A893" i="87"/>
  <c r="A1487" i="87"/>
  <c r="A1488" i="87"/>
  <c r="A2291" i="87"/>
  <c r="A2292" i="87"/>
  <c r="A2293" i="87"/>
  <c r="A2294" i="87"/>
  <c r="A2295" i="87"/>
  <c r="A2296" i="87"/>
  <c r="A2297" i="87"/>
  <c r="A2298" i="87"/>
  <c r="A2299" i="87"/>
  <c r="A2300" i="87"/>
  <c r="A2301" i="87"/>
  <c r="A2302" i="87"/>
  <c r="A2303" i="87"/>
  <c r="A2304" i="87"/>
  <c r="A2305" i="87"/>
  <c r="A2306" i="87"/>
  <c r="A2307" i="87"/>
  <c r="A2308" i="87"/>
  <c r="A2309" i="87"/>
  <c r="A2310" i="87"/>
  <c r="A2311" i="87"/>
  <c r="A2312" i="87"/>
  <c r="A2313" i="87"/>
  <c r="A2314" i="87"/>
  <c r="A2315" i="87"/>
  <c r="A2316" i="87"/>
  <c r="A2317" i="87"/>
  <c r="A2318" i="87"/>
  <c r="A2319" i="87"/>
  <c r="A2320" i="87"/>
  <c r="A2321" i="87"/>
  <c r="A2327" i="87"/>
  <c r="A701" i="87"/>
  <c r="A2329" i="87"/>
  <c r="A2330" i="87"/>
  <c r="A2331" i="87"/>
  <c r="A2351" i="87"/>
  <c r="A2353" i="87"/>
  <c r="A2359" i="87"/>
  <c r="A2361" i="87"/>
  <c r="A2334" i="87"/>
  <c r="A394" i="87"/>
  <c r="A912" i="87"/>
  <c r="A2343" i="87"/>
  <c r="A2345" i="87"/>
  <c r="A2335" i="87"/>
  <c r="A2336" i="87"/>
  <c r="A2337" i="87"/>
  <c r="A2338" i="87"/>
  <c r="A2339" i="87"/>
  <c r="A2340" i="87"/>
  <c r="A2341" i="87"/>
  <c r="A2342" i="87"/>
  <c r="A2344" i="87"/>
  <c r="A2346" i="87"/>
  <c r="A2347" i="87"/>
  <c r="A2348" i="87"/>
  <c r="A2352" i="87"/>
  <c r="A2354" i="87"/>
  <c r="A2355" i="87"/>
  <c r="A2356" i="87"/>
  <c r="A2357" i="87"/>
  <c r="A2360" i="87"/>
  <c r="A2362" i="87"/>
  <c r="A2363" i="87"/>
  <c r="A2364" i="87"/>
  <c r="A2365" i="87"/>
  <c r="A541" i="87"/>
  <c r="A542" i="87"/>
  <c r="A205" i="87"/>
  <c r="A2367" i="87"/>
  <c r="A561" i="87"/>
  <c r="A2368" i="87"/>
  <c r="A2435" i="87"/>
  <c r="A2358" i="87"/>
  <c r="A2370" i="87"/>
  <c r="A2371" i="87"/>
  <c r="A2191" i="87"/>
  <c r="A1974" i="87"/>
  <c r="A2366" i="87"/>
  <c r="A1303" i="87"/>
  <c r="A1304" i="87"/>
  <c r="A1305" i="87"/>
  <c r="A2373" i="87"/>
  <c r="A226" i="87"/>
  <c r="A208" i="87"/>
  <c r="A1678" i="87"/>
  <c r="A1972" i="87"/>
  <c r="A2374" i="87"/>
  <c r="A549" i="87"/>
  <c r="A550" i="87"/>
  <c r="A551" i="87"/>
  <c r="A552" i="87"/>
  <c r="A210" i="87"/>
  <c r="A582" i="87"/>
  <c r="A211" i="87"/>
  <c r="A2124" i="87"/>
  <c r="A2127" i="87"/>
  <c r="A2128" i="87"/>
  <c r="A2130" i="87"/>
  <c r="A227" i="87"/>
  <c r="A1031" i="87"/>
  <c r="A213" i="87"/>
  <c r="A1265" i="87"/>
  <c r="A1263" i="87"/>
  <c r="A2375" i="87"/>
  <c r="A1306" i="87"/>
  <c r="A2436" i="87"/>
  <c r="A553" i="87"/>
  <c r="A554" i="87"/>
  <c r="A1046" i="87"/>
  <c r="A1048" i="87"/>
  <c r="A1447" i="87"/>
  <c r="A2376" i="87"/>
  <c r="A2377" i="87"/>
  <c r="A1335" i="87"/>
  <c r="A1336" i="87"/>
  <c r="A1337" i="87"/>
  <c r="A1338" i="87"/>
  <c r="A2228" i="87"/>
  <c r="A2229" i="87"/>
  <c r="A2378" i="87"/>
  <c r="A909" i="87"/>
  <c r="A2233" i="87"/>
  <c r="A2234" i="87"/>
  <c r="A2379" i="87"/>
  <c r="A711" i="87"/>
  <c r="A712" i="87"/>
  <c r="A2381" i="87"/>
  <c r="A2383" i="87"/>
  <c r="A924" i="87"/>
  <c r="A925" i="87"/>
  <c r="A2385" i="87"/>
  <c r="A1470" i="87"/>
  <c r="A1471" i="87"/>
  <c r="A2387" i="87"/>
  <c r="A847" i="87"/>
  <c r="A2389" i="87"/>
  <c r="A2390" i="87"/>
  <c r="A2012" i="87"/>
  <c r="A509" i="87"/>
  <c r="A2392" i="87"/>
  <c r="A2393" i="87"/>
  <c r="A2394" i="87"/>
  <c r="A2395" i="87"/>
  <c r="A2396" i="87"/>
  <c r="A2397" i="87"/>
  <c r="A2398" i="87"/>
  <c r="A2399" i="87"/>
  <c r="A2400" i="87"/>
  <c r="A724" i="87"/>
  <c r="A2401" i="87"/>
  <c r="A827" i="87"/>
  <c r="A828" i="87"/>
  <c r="A1503" i="87"/>
  <c r="A1504" i="87"/>
  <c r="A2403" i="87"/>
  <c r="A638" i="87"/>
  <c r="A639" i="87"/>
  <c r="A640" i="87"/>
  <c r="A848" i="87"/>
  <c r="A849" i="87"/>
  <c r="A2404" i="87"/>
  <c r="A2405" i="87"/>
  <c r="A2406" i="87"/>
  <c r="A2407" i="87"/>
  <c r="A2409" i="87"/>
  <c r="A2410" i="87"/>
  <c r="A2411" i="87"/>
  <c r="A995" i="87"/>
  <c r="A2412" i="87"/>
  <c r="A2413" i="87"/>
  <c r="A2415" i="87"/>
  <c r="A2417" i="87"/>
  <c r="A2418" i="87"/>
  <c r="A2444" i="87"/>
  <c r="A1442" i="87"/>
  <c r="A243" i="87"/>
  <c r="A2419" i="87"/>
  <c r="A251" i="87"/>
  <c r="A1960" i="87"/>
  <c r="A1957" i="87"/>
  <c r="A1951" i="87"/>
  <c r="A510" i="87"/>
  <c r="A2420" i="87"/>
  <c r="A595" i="87"/>
  <c r="A596" i="87"/>
  <c r="A597" i="87"/>
  <c r="A598" i="87"/>
  <c r="A599" i="87"/>
  <c r="A1023" i="87"/>
  <c r="A1024" i="87"/>
  <c r="A2424" i="87"/>
  <c r="A2083" i="87"/>
  <c r="A702" i="87"/>
  <c r="A2425" i="87"/>
  <c r="A2025" i="87"/>
  <c r="A987" i="87"/>
  <c r="A988" i="87"/>
  <c r="A2426" i="87"/>
  <c r="A2427" i="87"/>
  <c r="A2428" i="87"/>
  <c r="A854" i="87"/>
  <c r="A855" i="87"/>
  <c r="A2430" i="87"/>
  <c r="A2432" i="87"/>
  <c r="A2433" i="87"/>
  <c r="A2054" i="87"/>
  <c r="A2055" i="87"/>
  <c r="A602" i="87"/>
  <c r="A2437" i="87"/>
  <c r="A2438" i="87"/>
  <c r="A2440" i="87"/>
  <c r="A2051" i="87"/>
  <c r="A928" i="87"/>
  <c r="A2441" i="87"/>
  <c r="A1505" i="87"/>
  <c r="A2442" i="87"/>
  <c r="A129" i="87"/>
  <c r="A747" i="87"/>
  <c r="A606" i="87"/>
  <c r="A607" i="87"/>
  <c r="A608" i="87"/>
  <c r="A2443" i="87"/>
  <c r="A706" i="87"/>
  <c r="A2010" i="87"/>
  <c r="A749" i="87"/>
  <c r="A753" i="87"/>
  <c r="A758" i="87"/>
  <c r="A754" i="87"/>
  <c r="A2445" i="87"/>
  <c r="A443" i="87"/>
  <c r="A445" i="87"/>
  <c r="A2446" i="87"/>
  <c r="A2447" i="87"/>
  <c r="A447" i="87"/>
  <c r="A449" i="87"/>
  <c r="A2448" i="87"/>
  <c r="A451" i="87"/>
  <c r="A455" i="87"/>
  <c r="A456" i="87"/>
  <c r="A459" i="87"/>
  <c r="A461" i="87"/>
  <c r="A463" i="87"/>
  <c r="A457" i="87"/>
  <c r="A469" i="87"/>
  <c r="A2449" i="87"/>
  <c r="A2450" i="87"/>
  <c r="A2451" i="87"/>
  <c r="A474" i="87"/>
  <c r="A475" i="87"/>
  <c r="A476" i="87"/>
  <c r="A477" i="87"/>
  <c r="A478" i="87"/>
  <c r="A480" i="87"/>
  <c r="A483" i="87"/>
  <c r="A2452" i="87"/>
  <c r="A2332" i="87"/>
  <c r="A543" i="87"/>
  <c r="A750" i="87"/>
  <c r="A2391" i="87"/>
  <c r="A2416" i="87"/>
  <c r="A2421" i="87"/>
  <c r="A2422" i="87"/>
  <c r="A2429" i="87"/>
  <c r="A2328" i="87"/>
  <c r="A2402" i="87"/>
  <c r="A2431" i="87"/>
  <c r="A562" i="87"/>
  <c r="A2382" i="87"/>
  <c r="A1894" i="87"/>
  <c r="A1896" i="87"/>
  <c r="A2384" i="87"/>
  <c r="A2388" i="87"/>
  <c r="A2386" i="87"/>
  <c r="A2434" i="87"/>
  <c r="A2369" i="87"/>
  <c r="A1898" i="87"/>
  <c r="A1904" i="87"/>
  <c r="A2453" i="87"/>
  <c r="A2454" i="87"/>
  <c r="A2455" i="87"/>
  <c r="A2456" i="87"/>
  <c r="A2458" i="87"/>
  <c r="A1908" i="87"/>
  <c r="A1906" i="87"/>
  <c r="A234" i="87"/>
  <c r="A2439" i="87"/>
  <c r="A1664" i="87"/>
  <c r="A291" i="87"/>
  <c r="A1136" i="87"/>
  <c r="A2465" i="87"/>
  <c r="A498" i="87"/>
  <c r="A500" i="87"/>
  <c r="A1589" i="87"/>
  <c r="A1591" i="87"/>
  <c r="A2459" i="87"/>
  <c r="A1075" i="87"/>
  <c r="A2189" i="87"/>
  <c r="A1119" i="87"/>
  <c r="A1911" i="87"/>
  <c r="A2460" i="87"/>
  <c r="A2461" i="87"/>
  <c r="A2462" i="87"/>
  <c r="A2463" i="87"/>
  <c r="A2464" i="87"/>
  <c r="A2466" i="87"/>
  <c r="A835" i="87"/>
  <c r="A836" i="87"/>
  <c r="A2457" i="87"/>
  <c r="A520" i="87"/>
  <c r="A2467" i="87"/>
  <c r="A2468" i="87"/>
  <c r="A2469" i="87"/>
  <c r="A611" i="87"/>
  <c r="A612" i="87"/>
  <c r="A613" i="87"/>
  <c r="A521" i="87"/>
  <c r="A522" i="87"/>
  <c r="A2470" i="87"/>
  <c r="A2471" i="87"/>
  <c r="A2472" i="87"/>
  <c r="A2473" i="87"/>
  <c r="A2474" i="87"/>
  <c r="A998" i="87"/>
  <c r="A2475" i="87"/>
  <c r="A2476" i="87"/>
  <c r="A805" i="87"/>
  <c r="A806" i="87"/>
  <c r="A2477" i="87"/>
  <c r="A2478" i="87"/>
  <c r="A2479" i="87"/>
  <c r="A2480" i="87"/>
  <c r="A2481" i="87"/>
  <c r="A2482" i="87"/>
  <c r="A2483" i="87"/>
  <c r="A2484" i="87"/>
  <c r="A2485" i="87"/>
  <c r="A2486" i="87"/>
  <c r="A2487" i="87"/>
  <c r="A2488" i="87"/>
  <c r="A2489" i="87"/>
  <c r="A2490" i="87"/>
  <c r="A2491" i="87"/>
  <c r="A2492" i="87"/>
  <c r="A2493" i="87"/>
  <c r="A917" i="87"/>
  <c r="A1186" i="87"/>
  <c r="A2494" i="87"/>
  <c r="A2495" i="87"/>
  <c r="A2496" i="87"/>
  <c r="A2497" i="87"/>
  <c r="A2498" i="87"/>
  <c r="A2499" i="87"/>
  <c r="A2500" i="87"/>
  <c r="A2501" i="87"/>
  <c r="A2502" i="87"/>
  <c r="A2503" i="87"/>
  <c r="A614" i="87"/>
  <c r="A2504" i="87"/>
  <c r="A2505" i="87"/>
  <c r="A2506" i="87"/>
  <c r="A2507" i="87"/>
  <c r="A2508" i="87"/>
  <c r="A2509" i="87"/>
  <c r="A2510" i="87"/>
  <c r="A2511" i="87"/>
  <c r="A2512" i="87"/>
  <c r="A2513" i="87"/>
  <c r="A2514" i="87"/>
  <c r="A2515" i="87"/>
  <c r="A2516" i="87"/>
  <c r="A2517" i="87"/>
  <c r="A2518" i="87"/>
  <c r="A2519" i="87"/>
  <c r="A2520" i="87"/>
  <c r="A2521" i="87"/>
  <c r="A2522" i="87"/>
  <c r="A2523" i="87"/>
  <c r="A2524" i="87"/>
  <c r="A1285" i="87"/>
  <c r="A1279" i="87"/>
  <c r="A1286" i="87"/>
  <c r="A1287" i="87"/>
  <c r="A2525" i="87"/>
  <c r="A2526" i="87"/>
  <c r="A2527" i="87"/>
  <c r="A2528" i="87"/>
  <c r="A2530" i="87"/>
  <c r="A2531" i="87"/>
  <c r="A2532" i="87"/>
  <c r="A2533" i="87"/>
  <c r="A2534" i="87"/>
  <c r="A2535" i="87"/>
  <c r="A2536" i="87"/>
  <c r="A2537" i="87"/>
  <c r="A2538" i="87"/>
  <c r="A2539" i="87"/>
  <c r="A2540" i="87"/>
  <c r="A2541" i="87"/>
  <c r="A2542" i="87"/>
  <c r="A2543" i="87"/>
  <c r="A2544" i="87"/>
  <c r="A2545" i="87"/>
  <c r="A2546" i="87"/>
  <c r="A2547" i="87"/>
  <c r="A2548" i="87"/>
  <c r="A2549" i="87"/>
  <c r="A2550" i="87"/>
  <c r="A2551" i="87"/>
  <c r="A2552" i="87"/>
  <c r="A2553" i="87"/>
  <c r="A2554" i="87"/>
  <c r="A2555" i="87"/>
  <c r="A2556" i="87"/>
  <c r="A317" i="87"/>
  <c r="A2557" i="87"/>
  <c r="A1592" i="87"/>
  <c r="A973" i="87"/>
  <c r="A1077" i="87"/>
  <c r="A1913" i="87"/>
  <c r="A751" i="87"/>
  <c r="A1065" i="87"/>
  <c r="A1080" i="87"/>
  <c r="A293" i="87"/>
  <c r="A1425" i="87"/>
  <c r="A2093" i="87"/>
  <c r="A2035" i="87"/>
  <c r="A255" i="87"/>
  <c r="A1684" i="87"/>
  <c r="A1085" i="87"/>
  <c r="A1594" i="87"/>
  <c r="A1416" i="87"/>
  <c r="A1970" i="87"/>
  <c r="A1681" i="87"/>
  <c r="A584" i="87"/>
  <c r="A1087" i="87"/>
  <c r="A1825" i="87"/>
  <c r="A1121" i="87"/>
  <c r="A871" i="87"/>
  <c r="A1241" i="87"/>
  <c r="A1915" i="87"/>
  <c r="A1686" i="87"/>
  <c r="A1710" i="87"/>
  <c r="A1090" i="87"/>
  <c r="A1245" i="87"/>
  <c r="A1742" i="87"/>
  <c r="A1252" i="87"/>
  <c r="A1918" i="87"/>
  <c r="A263" i="87"/>
  <c r="A1083" i="87"/>
  <c r="A1667" i="87"/>
  <c r="A265" i="87"/>
  <c r="A1708" i="87"/>
  <c r="A1445" i="87"/>
  <c r="A1920" i="87"/>
  <c r="A1586" i="87"/>
  <c r="A2195" i="87"/>
  <c r="A1392" i="87"/>
  <c r="A665" i="87"/>
  <c r="A1923" i="87"/>
  <c r="A1247" i="87"/>
  <c r="A295" i="87"/>
  <c r="A666" i="87"/>
  <c r="A2098" i="87"/>
  <c r="A2066" i="87"/>
  <c r="A2423" i="87"/>
  <c r="A2529" i="87"/>
  <c r="A643" i="87"/>
  <c r="A2558" i="87"/>
  <c r="A679" i="87"/>
  <c r="A1993" i="87"/>
  <c r="A1057" i="87"/>
  <c r="A2559" i="87"/>
  <c r="A230" i="87"/>
  <c r="A2414" i="87"/>
  <c r="A1491" i="87"/>
  <c r="A1395" i="87"/>
  <c r="A1925" i="87"/>
  <c r="A1688" i="87"/>
  <c r="A1814" i="87"/>
  <c r="A1092" i="87"/>
  <c r="A1249" i="87"/>
  <c r="A1931" i="87"/>
  <c r="A2322" i="87"/>
  <c r="A2323" i="87"/>
  <c r="A2324" i="87"/>
  <c r="A2325" i="87"/>
  <c r="A2408" i="87"/>
  <c r="A901" i="87"/>
  <c r="A2560" i="87"/>
  <c r="A1237" i="87"/>
  <c r="A2380" i="87"/>
  <c r="A2562" i="87"/>
  <c r="A2563" i="87"/>
  <c r="A2564" i="87"/>
  <c r="A2333" i="87"/>
  <c r="A5" i="87"/>
  <c r="A4" i="87"/>
  <c r="A6" i="87"/>
  <c r="A7" i="87"/>
  <c r="A8" i="87"/>
  <c r="A9" i="87"/>
  <c r="A10" i="87"/>
  <c r="A11" i="87"/>
  <c r="A65" i="87"/>
  <c r="A12" i="87"/>
  <c r="A13" i="87"/>
  <c r="A14" i="87"/>
  <c r="A15" i="87"/>
  <c r="A16" i="87"/>
  <c r="A17" i="87"/>
  <c r="A18" i="87"/>
  <c r="A20" i="87"/>
  <c r="A19" i="87"/>
  <c r="A21" i="87"/>
  <c r="A22" i="87"/>
  <c r="A23" i="87"/>
  <c r="A24" i="87"/>
  <c r="A57" i="87"/>
  <c r="A25" i="87"/>
  <c r="A26" i="87"/>
  <c r="A27" i="87"/>
  <c r="A28" i="87"/>
  <c r="A29" i="87"/>
  <c r="A30" i="87"/>
  <c r="A31" i="87"/>
  <c r="A33" i="87"/>
  <c r="A34" i="87"/>
  <c r="A35" i="87"/>
  <c r="A36" i="87"/>
  <c r="A37" i="87"/>
  <c r="A38" i="87"/>
  <c r="A39" i="87"/>
  <c r="A40" i="87"/>
  <c r="A41" i="87"/>
  <c r="A42" i="87"/>
  <c r="A43" i="87"/>
  <c r="A44" i="87"/>
  <c r="A45" i="87"/>
  <c r="A46" i="87"/>
  <c r="A47" i="87"/>
  <c r="A48" i="87"/>
  <c r="A49" i="87"/>
  <c r="A51" i="87"/>
  <c r="A52" i="87"/>
  <c r="A50" i="87"/>
  <c r="A53" i="87"/>
  <c r="A54" i="87"/>
  <c r="A55" i="87"/>
  <c r="A56" i="87"/>
  <c r="A58" i="87"/>
  <c r="A59" i="87"/>
  <c r="A60" i="87"/>
  <c r="A61" i="87"/>
  <c r="A62" i="87"/>
  <c r="A63" i="87"/>
  <c r="A64" i="87"/>
  <c r="A66" i="87"/>
  <c r="A67" i="87"/>
  <c r="A68" i="87"/>
  <c r="A69" i="87"/>
  <c r="A114" i="87"/>
  <c r="A70" i="87"/>
  <c r="A71" i="87"/>
  <c r="A72" i="87"/>
  <c r="A73" i="87"/>
  <c r="A74" i="87"/>
  <c r="A75" i="87"/>
  <c r="A76" i="87"/>
  <c r="A77" i="87"/>
  <c r="A78" i="87"/>
  <c r="A79" i="87"/>
  <c r="A80" i="87"/>
  <c r="A81" i="87"/>
  <c r="A82" i="87"/>
  <c r="A83" i="87"/>
  <c r="A89" i="87"/>
  <c r="A84" i="87"/>
  <c r="A85" i="87"/>
  <c r="A91" i="87"/>
  <c r="A86" i="87"/>
  <c r="A94" i="87"/>
  <c r="A87" i="87"/>
  <c r="A88" i="87"/>
  <c r="A90" i="87"/>
  <c r="A92" i="87"/>
  <c r="A93" i="87"/>
  <c r="A95" i="87"/>
  <c r="A96" i="87"/>
  <c r="A97" i="87"/>
  <c r="A98" i="87"/>
  <c r="A99" i="87"/>
  <c r="A100" i="87"/>
  <c r="A101" i="87"/>
  <c r="A102" i="87"/>
  <c r="A103" i="87"/>
  <c r="A107" i="87"/>
  <c r="A104" i="87"/>
  <c r="A108" i="87"/>
  <c r="A115" i="87"/>
  <c r="A110" i="87"/>
  <c r="A111" i="87"/>
  <c r="A112" i="87"/>
  <c r="A113" i="87"/>
  <c r="A116" i="87"/>
  <c r="A105" i="87"/>
  <c r="A117" i="87"/>
  <c r="A118" i="87"/>
  <c r="A119" i="87"/>
  <c r="A120" i="87"/>
  <c r="A121" i="87"/>
  <c r="A123" i="87"/>
  <c r="A122" i="87"/>
  <c r="A124" i="87"/>
  <c r="A125" i="87"/>
  <c r="A126" i="87"/>
  <c r="A130" i="87"/>
  <c r="A132" i="87"/>
  <c r="A133" i="87"/>
  <c r="A134" i="87"/>
  <c r="A135" i="87"/>
  <c r="A127" i="87"/>
  <c r="A137" i="87"/>
  <c r="A131" i="87"/>
  <c r="A139" i="87"/>
  <c r="A136" i="87"/>
  <c r="A140" i="87"/>
  <c r="A138" i="87"/>
  <c r="A141" i="87"/>
  <c r="A142" i="87"/>
  <c r="A143" i="87"/>
  <c r="A144" i="87"/>
  <c r="A145" i="87"/>
  <c r="A146" i="87"/>
  <c r="A147" i="87"/>
  <c r="A148" i="87"/>
  <c r="A149" i="87"/>
  <c r="A151" i="87"/>
  <c r="A152" i="87"/>
  <c r="A153" i="87"/>
  <c r="A155" i="87"/>
  <c r="A156" i="87"/>
  <c r="A157" i="87"/>
  <c r="A158" i="87"/>
  <c r="A159" i="87"/>
  <c r="A160" i="87"/>
  <c r="A161" i="87"/>
  <c r="A162" i="87"/>
  <c r="A163" i="87"/>
  <c r="A164" i="87"/>
  <c r="A165" i="87"/>
  <c r="A166" i="87"/>
  <c r="A167" i="87"/>
  <c r="A168" i="87"/>
  <c r="A169" i="87"/>
  <c r="A171" i="87"/>
  <c r="A173" i="87"/>
  <c r="A175" i="87"/>
  <c r="A176" i="87"/>
  <c r="A177" i="87"/>
  <c r="A178" i="87"/>
  <c r="A179" i="87"/>
  <c r="A180" i="87"/>
  <c r="A182" i="87"/>
  <c r="A183" i="87"/>
  <c r="A184" i="87"/>
  <c r="A185" i="87"/>
  <c r="A106" i="87"/>
  <c r="A186" i="87"/>
  <c r="A187" i="87"/>
  <c r="A109" i="87"/>
  <c r="A188" i="87"/>
  <c r="A189" i="87"/>
  <c r="A150" i="87"/>
  <c r="A190" i="87"/>
  <c r="A154" i="87"/>
  <c r="A170" i="87"/>
  <c r="A191" i="87"/>
  <c r="A172" i="87"/>
  <c r="A192" i="87"/>
  <c r="A32" i="87"/>
  <c r="A2566" i="87"/>
  <c r="A2567" i="87"/>
  <c r="A2568" i="87"/>
  <c r="A2569" i="87"/>
  <c r="A2570" i="87"/>
  <c r="A2571" i="87"/>
  <c r="A2572" i="87"/>
  <c r="A2573" i="87"/>
  <c r="A2574" i="87"/>
  <c r="A2575" i="87"/>
  <c r="A2576" i="87"/>
  <c r="A2577" i="87"/>
  <c r="A2578" i="87"/>
  <c r="A2579" i="87"/>
  <c r="A2580" i="87"/>
  <c r="A2581" i="87"/>
  <c r="A2582" i="87"/>
  <c r="A2583" i="87"/>
  <c r="A2584" i="87"/>
  <c r="A2585" i="87"/>
  <c r="A2586" i="87"/>
  <c r="A2587" i="87"/>
  <c r="A2588" i="87"/>
  <c r="A2589" i="87"/>
  <c r="A2590" i="87"/>
  <c r="A2591" i="87"/>
  <c r="A2592" i="87"/>
  <c r="A2593" i="87"/>
  <c r="A2594" i="87"/>
  <c r="A2595" i="87"/>
  <c r="A2596" i="87"/>
  <c r="A2597" i="87"/>
  <c r="A2598" i="87"/>
  <c r="A2599" i="87"/>
  <c r="A2600" i="87"/>
  <c r="A2601" i="87"/>
  <c r="A2602" i="87"/>
  <c r="A2603" i="87"/>
  <c r="A2604" i="87"/>
  <c r="A2605" i="87"/>
  <c r="A2606" i="87"/>
  <c r="A2607" i="87"/>
  <c r="A2608" i="87"/>
  <c r="A2609" i="87"/>
  <c r="A2610" i="87"/>
  <c r="A2611" i="87"/>
  <c r="A2612" i="87"/>
  <c r="A2613" i="87"/>
  <c r="A2614" i="87"/>
  <c r="A2615" i="87"/>
  <c r="A2616" i="87"/>
  <c r="A2617" i="87"/>
  <c r="A2618" i="87"/>
  <c r="A2619" i="87"/>
  <c r="A2620" i="87"/>
  <c r="A2621" i="87"/>
  <c r="A2622" i="87"/>
  <c r="A2623" i="87"/>
  <c r="A2624" i="87"/>
  <c r="A2625" i="87"/>
  <c r="A2626" i="87"/>
  <c r="A2627" i="87"/>
  <c r="A2628" i="87"/>
  <c r="A2629" i="87"/>
  <c r="A2630" i="87"/>
  <c r="A2631" i="87"/>
  <c r="A2632" i="87"/>
  <c r="A2633" i="87"/>
  <c r="A2634" i="87"/>
  <c r="A2635" i="87"/>
  <c r="A2636" i="87"/>
  <c r="A2637" i="87"/>
  <c r="A2638" i="87"/>
  <c r="A2639" i="87"/>
  <c r="A2640" i="87"/>
  <c r="A2641" i="87"/>
  <c r="A2642" i="87"/>
  <c r="A2643" i="87"/>
  <c r="A2644" i="87"/>
  <c r="A2645" i="87"/>
  <c r="A2646" i="87"/>
  <c r="A2647" i="87"/>
  <c r="A2648" i="87"/>
  <c r="A2649" i="87"/>
  <c r="A2650" i="87"/>
  <c r="A2651" i="87"/>
  <c r="A2652" i="87"/>
  <c r="A2653" i="87"/>
  <c r="A2654" i="87"/>
  <c r="A2655" i="87"/>
  <c r="A2656" i="87"/>
  <c r="A2657" i="87"/>
  <c r="A2658" i="87"/>
  <c r="A2659" i="87"/>
  <c r="A2660" i="87"/>
  <c r="A2661" i="87"/>
  <c r="A2662" i="87"/>
  <c r="A2663" i="87"/>
  <c r="A2664" i="87"/>
  <c r="A2665" i="87"/>
  <c r="A2666" i="87"/>
  <c r="A2667" i="87"/>
  <c r="A2668" i="87"/>
  <c r="A2669" i="87"/>
  <c r="A2670" i="87"/>
  <c r="A2671" i="87"/>
  <c r="A2672" i="87"/>
  <c r="A2673" i="87"/>
  <c r="A2674" i="87"/>
  <c r="A2675" i="87"/>
  <c r="A2676" i="87"/>
  <c r="A2677" i="87"/>
  <c r="A2678" i="87"/>
  <c r="A2679" i="87"/>
  <c r="A2680" i="87"/>
  <c r="A2681" i="87"/>
  <c r="A2682" i="87"/>
  <c r="A2683" i="87"/>
  <c r="A2684" i="87"/>
  <c r="A2685" i="87"/>
  <c r="A2686" i="87"/>
  <c r="A2687" i="87"/>
  <c r="A2688" i="87"/>
  <c r="A2689" i="87"/>
  <c r="A2690" i="87"/>
  <c r="A2691" i="87"/>
  <c r="A2692" i="87"/>
  <c r="A2693" i="87"/>
  <c r="A2694" i="87"/>
  <c r="A2695" i="87"/>
  <c r="A2696" i="87"/>
  <c r="A2697" i="87"/>
  <c r="A2698" i="87"/>
  <c r="A2699" i="87"/>
  <c r="A2700" i="87"/>
  <c r="A2701" i="87"/>
  <c r="A2702" i="87"/>
  <c r="A2703" i="87"/>
  <c r="A2704" i="87"/>
  <c r="A2705" i="87"/>
  <c r="A2706" i="87"/>
  <c r="A2707" i="87"/>
  <c r="A2708" i="87"/>
  <c r="A2709" i="87"/>
  <c r="A2710" i="87"/>
  <c r="A2711" i="87"/>
  <c r="A2712" i="87"/>
  <c r="A2713" i="87"/>
  <c r="A2714" i="87"/>
  <c r="A2715" i="87"/>
  <c r="A2716" i="87"/>
  <c r="A2717" i="87"/>
  <c r="A2718" i="87"/>
  <c r="A2719" i="87"/>
  <c r="A2720" i="87"/>
  <c r="A2721" i="87"/>
  <c r="A2722" i="87"/>
  <c r="A2723" i="87"/>
  <c r="A2724" i="87"/>
  <c r="A2725" i="87"/>
  <c r="A2726" i="87"/>
  <c r="A2727" i="87"/>
  <c r="A2728" i="87"/>
  <c r="A2729" i="87"/>
  <c r="A2730" i="87"/>
  <c r="A2731" i="87"/>
  <c r="A2732" i="87"/>
  <c r="A2733" i="87"/>
  <c r="A2734" i="87"/>
  <c r="A2735" i="87"/>
  <c r="A2736" i="87"/>
  <c r="A2737" i="87"/>
  <c r="A2738" i="87"/>
  <c r="A2739" i="87"/>
  <c r="A2740" i="87"/>
  <c r="A2741" i="87"/>
  <c r="A2742" i="87"/>
  <c r="A2743" i="87"/>
  <c r="A2744" i="87"/>
  <c r="A2745" i="87"/>
  <c r="A2746" i="87"/>
  <c r="A2747" i="87"/>
  <c r="A2748" i="87"/>
  <c r="A2749" i="87"/>
  <c r="A2750" i="87"/>
  <c r="A2751" i="87"/>
  <c r="A2752" i="87"/>
  <c r="A2753" i="87"/>
  <c r="A2754" i="87"/>
  <c r="A2755" i="87"/>
  <c r="A2756" i="87"/>
  <c r="A2757" i="87"/>
  <c r="A2758" i="87"/>
  <c r="A2759" i="87"/>
  <c r="A2760" i="87"/>
  <c r="A2761" i="87"/>
  <c r="A2762" i="87"/>
  <c r="A2763" i="87"/>
  <c r="A2764" i="87"/>
  <c r="A2765" i="87"/>
  <c r="A2766" i="87"/>
  <c r="A2767" i="87"/>
  <c r="A2768" i="87"/>
  <c r="A2769" i="87"/>
  <c r="A2770" i="87"/>
  <c r="A2771" i="87"/>
  <c r="A2772" i="87"/>
  <c r="A2773" i="87"/>
  <c r="A2774" i="87"/>
  <c r="A2775" i="87"/>
  <c r="A2776" i="87"/>
  <c r="A2777" i="87"/>
  <c r="A2778" i="87"/>
  <c r="A2779" i="87"/>
  <c r="A2780" i="87"/>
  <c r="A2781" i="87"/>
  <c r="A2782" i="87"/>
  <c r="A2783" i="87"/>
  <c r="A2784" i="87"/>
  <c r="A2785" i="87"/>
  <c r="A2786" i="87"/>
  <c r="A2787" i="87"/>
  <c r="A2788" i="87"/>
  <c r="A2789" i="87"/>
  <c r="A2790" i="87"/>
  <c r="A2791" i="87"/>
  <c r="A2792" i="87"/>
  <c r="A2793" i="87"/>
  <c r="A2794" i="87"/>
  <c r="A2795" i="87"/>
  <c r="A2796" i="87"/>
  <c r="A2797" i="87"/>
  <c r="A2798" i="87"/>
  <c r="A2799" i="87"/>
  <c r="A2800" i="87"/>
  <c r="A2801" i="87"/>
  <c r="A2802" i="87"/>
  <c r="A2803" i="87"/>
  <c r="A2804" i="87"/>
  <c r="A2805" i="87"/>
  <c r="A2806" i="87"/>
  <c r="A2807" i="87"/>
  <c r="A2808" i="87"/>
  <c r="A2809" i="87"/>
  <c r="A2810" i="87"/>
  <c r="A2811" i="87"/>
  <c r="A2812" i="87"/>
  <c r="A2813" i="87"/>
  <c r="A2814" i="87"/>
  <c r="A2815" i="87"/>
  <c r="A2816" i="87"/>
  <c r="A2817" i="87"/>
  <c r="A2818" i="87"/>
  <c r="A2819" i="87"/>
  <c r="A2820" i="87"/>
  <c r="A2821" i="87"/>
  <c r="A2822" i="87"/>
  <c r="A2823" i="87"/>
  <c r="A2824" i="87"/>
  <c r="A2825" i="87"/>
  <c r="A2826" i="87"/>
  <c r="A2827" i="87"/>
  <c r="A2828" i="87"/>
  <c r="A2829" i="87"/>
  <c r="A2830" i="87"/>
  <c r="A2831" i="87"/>
  <c r="A2832" i="87"/>
  <c r="A2833" i="87"/>
  <c r="A2834" i="87"/>
  <c r="A2835" i="87"/>
  <c r="A2836" i="87"/>
  <c r="A2837" i="87"/>
  <c r="A2838" i="87"/>
  <c r="A2839" i="87"/>
  <c r="A2840" i="87"/>
  <c r="A2841" i="87"/>
  <c r="A2842" i="87"/>
  <c r="A2843" i="87"/>
  <c r="A2844" i="87"/>
  <c r="A2845" i="87"/>
  <c r="A2846" i="87"/>
  <c r="A2847" i="87"/>
  <c r="A2848" i="87"/>
  <c r="A2849" i="87"/>
  <c r="A2850" i="87"/>
  <c r="A2851" i="87"/>
  <c r="A2852" i="87"/>
  <c r="A2853" i="87"/>
  <c r="A2854" i="87"/>
  <c r="A2855" i="87"/>
  <c r="A2856" i="87"/>
  <c r="A2857" i="87"/>
  <c r="A2858" i="87"/>
  <c r="A2859" i="87"/>
  <c r="A2860" i="87"/>
  <c r="A2861" i="87"/>
  <c r="A2862" i="87"/>
  <c r="A2863" i="87"/>
  <c r="A2864" i="87"/>
  <c r="A2865" i="87"/>
  <c r="A2866" i="87"/>
  <c r="A2867" i="87"/>
  <c r="A2868" i="87"/>
  <c r="A2869" i="87"/>
  <c r="A2870" i="87"/>
  <c r="A2871" i="87"/>
  <c r="A2872" i="87"/>
  <c r="A2873" i="87"/>
  <c r="A2874" i="87"/>
  <c r="A2875" i="87"/>
  <c r="A2876" i="87"/>
  <c r="A2877" i="87"/>
  <c r="A2878" i="87"/>
  <c r="A2879" i="87"/>
  <c r="A2880" i="87"/>
  <c r="A2881" i="87"/>
  <c r="A2882" i="87"/>
  <c r="A2883" i="87"/>
  <c r="A2884" i="87"/>
  <c r="A2885" i="87"/>
  <c r="A2886" i="87"/>
  <c r="A2887" i="87"/>
  <c r="A2888" i="87"/>
  <c r="A2889" i="87"/>
  <c r="A2890" i="87"/>
  <c r="A2891" i="87"/>
  <c r="A2892" i="87"/>
  <c r="A2893" i="87"/>
  <c r="A2894" i="87"/>
  <c r="A2895" i="87"/>
  <c r="A2896" i="87"/>
  <c r="A2897" i="87"/>
  <c r="A2898" i="87"/>
  <c r="A2899" i="87"/>
  <c r="A2900" i="87"/>
  <c r="A2901" i="87"/>
  <c r="A2902" i="87"/>
  <c r="A2903" i="87"/>
  <c r="A2904" i="87"/>
  <c r="A2905" i="87"/>
  <c r="A2906" i="87"/>
  <c r="A2907" i="87"/>
  <c r="A2908" i="87"/>
  <c r="A2909" i="87"/>
  <c r="A2910" i="87"/>
  <c r="A2911" i="87"/>
  <c r="A2912" i="87"/>
  <c r="A2913" i="87"/>
  <c r="A2914" i="87"/>
  <c r="A2915" i="87"/>
  <c r="A2916" i="87"/>
  <c r="A2917" i="87"/>
  <c r="A2918" i="87"/>
  <c r="A2919" i="87"/>
  <c r="A2920" i="87"/>
  <c r="A2921" i="87"/>
  <c r="A2922" i="87"/>
  <c r="A2923" i="87"/>
  <c r="A2924" i="87"/>
  <c r="A2925" i="87"/>
  <c r="A2926" i="87"/>
  <c r="A2927" i="87"/>
  <c r="A2928" i="87"/>
  <c r="A2929" i="87"/>
  <c r="A2930" i="87"/>
  <c r="A2931" i="87"/>
  <c r="A2932" i="87"/>
  <c r="A2933" i="87"/>
  <c r="A2934" i="87"/>
  <c r="A2935" i="87"/>
  <c r="A2936" i="87"/>
  <c r="A2937" i="87"/>
  <c r="A2938" i="87"/>
  <c r="A2939" i="87"/>
  <c r="A2940" i="87"/>
  <c r="A2941" i="87"/>
  <c r="A2942" i="87"/>
  <c r="A2943" i="87"/>
  <c r="A2944" i="87"/>
  <c r="A2945" i="87"/>
  <c r="A2946" i="87"/>
  <c r="A2947" i="87"/>
  <c r="A2948" i="87"/>
  <c r="A2949" i="87"/>
  <c r="A2950" i="87"/>
  <c r="A2951" i="87"/>
  <c r="A2952" i="87"/>
  <c r="A2953" i="87"/>
  <c r="A2954" i="87"/>
  <c r="A2955" i="87"/>
  <c r="A2956" i="87"/>
  <c r="A2957" i="87"/>
  <c r="A2958" i="87"/>
  <c r="A2959" i="87"/>
  <c r="A2960" i="87"/>
  <c r="A2961" i="87"/>
  <c r="A2962" i="87"/>
  <c r="A2963" i="87"/>
  <c r="A2964" i="87"/>
  <c r="A2965" i="87"/>
  <c r="A2966" i="87"/>
  <c r="A2967" i="87"/>
  <c r="A2968" i="87"/>
  <c r="A2969" i="87"/>
  <c r="A2970" i="87"/>
  <c r="A2971" i="87"/>
  <c r="A2972" i="87"/>
  <c r="A2973" i="87"/>
  <c r="A2974" i="87"/>
  <c r="A2975" i="87"/>
  <c r="A2976" i="87"/>
  <c r="A2977" i="87"/>
  <c r="A2978" i="87"/>
  <c r="A2979" i="87"/>
  <c r="A2980" i="87"/>
  <c r="A2981" i="87"/>
  <c r="A2982" i="87"/>
  <c r="A2983" i="87"/>
  <c r="A2984" i="87"/>
  <c r="A2985" i="87"/>
  <c r="A2986" i="87"/>
  <c r="A2987" i="87"/>
  <c r="A2988" i="87"/>
  <c r="A2989" i="87"/>
  <c r="A2990" i="87"/>
  <c r="A2991" i="87"/>
  <c r="A2992" i="87"/>
  <c r="A2993" i="87"/>
  <c r="A2994" i="87"/>
  <c r="A2995" i="87"/>
  <c r="A2996" i="87"/>
  <c r="A2997" i="87"/>
  <c r="A2998" i="87"/>
  <c r="A2999" i="87"/>
  <c r="A3000" i="87"/>
  <c r="A3001" i="87"/>
  <c r="A3002" i="87"/>
  <c r="A3003" i="87"/>
  <c r="A3004" i="87"/>
  <c r="A3005" i="87"/>
  <c r="A3006" i="87"/>
  <c r="A3007" i="87"/>
  <c r="A3008" i="87"/>
  <c r="A3009" i="87"/>
  <c r="A3010" i="87"/>
  <c r="A3011" i="87"/>
  <c r="A3012" i="87"/>
  <c r="A3013" i="87"/>
  <c r="A3014" i="87"/>
  <c r="A3015" i="87"/>
  <c r="A3016" i="87"/>
  <c r="A3017" i="87"/>
  <c r="A3018" i="87"/>
  <c r="A3019" i="87"/>
  <c r="A3020" i="87"/>
  <c r="A3021" i="87"/>
  <c r="A3022" i="87"/>
  <c r="A3023" i="87"/>
  <c r="A3024" i="87"/>
  <c r="A3025" i="87"/>
  <c r="A3026" i="87"/>
  <c r="A3027" i="87"/>
  <c r="A3028" i="87"/>
  <c r="A3029" i="87"/>
  <c r="A3030" i="87"/>
  <c r="A3031" i="87"/>
  <c r="A3032" i="87"/>
  <c r="A3033" i="87"/>
  <c r="A3034" i="87"/>
  <c r="A3035" i="87"/>
  <c r="A3036" i="87"/>
  <c r="A3037" i="87"/>
  <c r="A3038" i="87"/>
  <c r="A3039" i="87"/>
  <c r="A3040" i="87"/>
  <c r="A3041" i="87"/>
  <c r="A3042" i="87"/>
  <c r="A3043" i="87"/>
  <c r="A3044" i="87"/>
  <c r="A3045" i="87"/>
  <c r="A3046" i="87"/>
  <c r="A3047" i="87"/>
  <c r="A3048" i="87"/>
  <c r="A3049" i="87"/>
  <c r="A3050" i="87"/>
  <c r="A3051" i="87"/>
  <c r="A3052" i="87"/>
  <c r="A3053" i="87"/>
  <c r="A3054" i="87"/>
  <c r="A3055" i="87"/>
  <c r="A3056" i="87"/>
  <c r="A3057" i="87"/>
  <c r="A3058" i="87"/>
  <c r="A3059" i="87"/>
  <c r="A3060" i="87"/>
  <c r="A3061" i="87"/>
  <c r="A3062" i="87"/>
  <c r="A3063" i="87"/>
  <c r="A3064" i="87"/>
  <c r="A3065" i="87"/>
  <c r="A3066" i="87"/>
  <c r="A3067" i="87"/>
  <c r="A3068" i="87"/>
  <c r="A3069" i="87"/>
  <c r="A3070" i="87"/>
  <c r="A3071" i="87"/>
  <c r="A3072" i="87"/>
  <c r="A3073" i="87"/>
  <c r="A3074" i="87"/>
  <c r="A3075" i="87"/>
  <c r="A3076" i="87"/>
  <c r="A3077" i="87"/>
  <c r="A3078" i="87"/>
  <c r="A3079" i="87"/>
  <c r="A3080" i="87"/>
  <c r="A3081" i="87"/>
  <c r="A3082" i="87"/>
  <c r="A3083" i="87"/>
  <c r="A3084" i="87"/>
  <c r="A3085" i="87"/>
  <c r="A3086" i="87"/>
  <c r="A3087" i="87"/>
  <c r="A3088" i="87"/>
  <c r="A3089" i="87"/>
  <c r="A3090" i="87"/>
  <c r="A3091" i="87"/>
  <c r="A3092" i="87"/>
  <c r="A3093" i="87"/>
  <c r="A3094" i="87"/>
  <c r="A3095" i="87"/>
  <c r="A3096" i="87"/>
  <c r="A3097" i="87"/>
  <c r="A3098" i="87"/>
  <c r="A3099" i="87"/>
  <c r="A3100" i="87"/>
  <c r="A3101" i="87"/>
  <c r="A3102" i="87"/>
  <c r="A3103" i="87"/>
  <c r="A3104" i="87"/>
  <c r="A3105" i="87"/>
  <c r="A3106" i="87"/>
  <c r="A3107" i="87"/>
  <c r="A3108" i="87"/>
  <c r="A3109" i="87"/>
  <c r="A3110" i="87"/>
  <c r="A3111" i="87"/>
  <c r="A3112" i="87"/>
  <c r="A3113" i="87"/>
  <c r="A3114" i="87"/>
  <c r="A3115" i="87"/>
  <c r="A3116" i="87"/>
  <c r="A3117" i="87"/>
  <c r="A3118" i="87"/>
  <c r="A3119" i="87"/>
  <c r="A3120" i="87"/>
  <c r="A3121" i="87"/>
  <c r="A3122" i="87"/>
  <c r="A3123" i="87"/>
  <c r="A3124" i="87"/>
  <c r="A3125" i="87"/>
  <c r="A3126" i="87"/>
  <c r="A3127" i="87"/>
  <c r="A3128" i="87"/>
  <c r="A3129" i="87"/>
  <c r="A3130" i="87"/>
  <c r="A3131" i="87"/>
  <c r="A3132" i="87"/>
  <c r="A3133" i="87"/>
  <c r="A3134" i="87"/>
  <c r="A3135" i="87"/>
  <c r="A3136" i="87"/>
  <c r="A3137" i="87"/>
  <c r="A3138" i="87"/>
  <c r="A3139" i="87"/>
  <c r="A3140" i="87"/>
  <c r="A3141" i="87"/>
  <c r="A3142" i="87"/>
  <c r="A3143" i="87"/>
  <c r="A3144" i="87"/>
  <c r="A3145" i="87"/>
  <c r="A3146" i="87"/>
  <c r="A3147" i="87"/>
  <c r="A3148" i="87"/>
  <c r="A3149" i="87"/>
  <c r="A3150" i="87"/>
  <c r="A3151" i="87"/>
  <c r="A3152" i="87"/>
  <c r="A3153" i="87"/>
  <c r="A3154" i="87"/>
  <c r="A3155" i="87"/>
  <c r="A3156" i="87"/>
  <c r="A3157" i="87"/>
  <c r="A3158" i="87"/>
  <c r="A3159" i="87"/>
  <c r="A3160" i="87"/>
  <c r="A3161" i="87"/>
  <c r="A3162" i="87"/>
  <c r="A3163" i="87"/>
  <c r="A3164" i="87"/>
  <c r="A3165" i="87"/>
  <c r="A3166" i="87"/>
  <c r="A3167" i="87"/>
  <c r="A3168" i="87"/>
  <c r="A3169" i="87"/>
  <c r="A3170" i="87"/>
  <c r="A3171" i="87"/>
  <c r="A3172" i="87"/>
  <c r="A3173" i="87"/>
  <c r="A3174" i="87"/>
  <c r="A3175" i="87"/>
  <c r="A3176" i="87"/>
  <c r="A3177" i="87"/>
  <c r="A3178" i="87"/>
  <c r="A3179" i="87"/>
  <c r="A3180" i="87"/>
  <c r="A3181" i="87"/>
  <c r="A3182" i="87"/>
  <c r="A3183" i="87"/>
  <c r="A3184" i="87"/>
  <c r="A3185" i="87"/>
  <c r="A3186" i="87"/>
  <c r="A3187" i="87"/>
  <c r="A3188" i="87"/>
  <c r="A3189" i="87"/>
  <c r="A3190" i="87"/>
  <c r="A3191" i="87"/>
  <c r="A3192" i="87"/>
  <c r="A3193" i="87"/>
  <c r="A3194" i="87"/>
  <c r="A3195" i="87"/>
  <c r="A3196" i="87"/>
  <c r="A3197" i="87"/>
  <c r="A3198" i="87"/>
  <c r="A3199" i="87"/>
  <c r="A3200" i="87"/>
  <c r="A3201" i="87"/>
  <c r="A3202" i="87"/>
  <c r="A3203" i="87"/>
  <c r="A3204" i="87"/>
  <c r="A3205" i="87"/>
  <c r="A3206" i="87"/>
  <c r="A3207" i="87"/>
  <c r="A3208" i="87"/>
  <c r="A3209" i="87"/>
  <c r="A3210" i="87"/>
  <c r="A3211" i="87"/>
  <c r="A3212" i="87"/>
  <c r="A3213" i="87"/>
  <c r="A3214" i="87"/>
  <c r="A3215" i="87"/>
  <c r="A3216" i="87"/>
  <c r="A3217" i="87"/>
  <c r="A3218" i="87"/>
  <c r="A3219" i="87"/>
  <c r="A3220" i="87"/>
  <c r="A3221" i="87"/>
  <c r="A3222" i="87"/>
  <c r="A3223" i="87"/>
  <c r="A3224" i="87"/>
  <c r="A3225" i="87"/>
  <c r="A3226" i="87"/>
  <c r="A3227" i="87"/>
  <c r="A3228" i="87"/>
  <c r="A3229" i="87"/>
  <c r="A3230" i="87"/>
  <c r="A3231" i="87"/>
  <c r="A3232" i="87"/>
  <c r="A3233" i="87"/>
  <c r="A3234" i="87"/>
  <c r="A3235" i="87"/>
  <c r="A3236" i="87"/>
  <c r="A3237" i="87"/>
  <c r="A3238" i="87"/>
  <c r="A3239" i="87"/>
  <c r="A3240" i="87"/>
  <c r="A3241" i="87"/>
  <c r="A3242" i="87"/>
  <c r="A3243" i="87"/>
  <c r="A3244" i="87"/>
  <c r="A3245" i="87"/>
  <c r="A3246" i="87"/>
  <c r="A3247" i="87"/>
  <c r="A3248" i="87"/>
  <c r="A3249" i="87"/>
  <c r="A3250" i="87"/>
  <c r="A3251" i="87"/>
  <c r="A3252" i="87"/>
  <c r="A3253" i="87"/>
  <c r="A3254" i="87"/>
  <c r="A3255" i="87"/>
  <c r="A3256" i="87"/>
  <c r="A3257" i="87"/>
  <c r="A3258" i="87"/>
  <c r="A3259" i="87"/>
  <c r="A3260" i="87"/>
  <c r="A3261" i="87"/>
  <c r="A3262" i="87"/>
  <c r="A3263" i="87"/>
  <c r="A3264" i="87"/>
  <c r="A3265" i="87"/>
  <c r="A3266" i="87"/>
  <c r="A3267" i="87"/>
  <c r="A3268" i="87"/>
  <c r="A3269" i="87"/>
  <c r="A3270" i="87"/>
  <c r="A3271" i="87"/>
  <c r="A3272" i="87"/>
  <c r="A3273" i="87"/>
  <c r="A3274" i="87"/>
  <c r="A3275" i="87"/>
  <c r="A3276" i="87"/>
  <c r="A3277" i="87"/>
  <c r="A3278" i="87"/>
  <c r="A3279" i="87"/>
  <c r="A3280" i="87"/>
  <c r="A3281" i="87"/>
  <c r="A3282" i="87"/>
  <c r="A3283" i="87"/>
  <c r="A3284" i="87"/>
  <c r="A3285" i="87"/>
  <c r="A3286" i="87"/>
  <c r="A3287" i="87"/>
  <c r="A3288" i="87"/>
  <c r="A3289" i="87"/>
  <c r="A3290" i="87"/>
  <c r="A3291" i="87"/>
  <c r="A3292" i="87"/>
  <c r="A3293" i="87"/>
  <c r="A3294" i="87"/>
  <c r="A3295" i="87"/>
  <c r="A3296" i="87"/>
  <c r="A3297" i="87"/>
  <c r="A3298" i="87"/>
  <c r="A3299" i="87"/>
  <c r="A3300" i="87"/>
  <c r="A3301" i="87"/>
  <c r="A3302" i="87"/>
  <c r="A3303" i="87"/>
  <c r="A3304" i="87"/>
  <c r="A3305" i="87"/>
  <c r="A3306" i="87"/>
  <c r="A3307" i="87"/>
  <c r="A3308" i="87"/>
  <c r="A3309" i="87"/>
  <c r="A3310" i="87"/>
  <c r="A3311" i="87"/>
  <c r="A3312" i="87"/>
  <c r="A3313" i="87"/>
  <c r="A3314" i="87"/>
  <c r="A3315" i="87"/>
  <c r="A3316" i="87"/>
  <c r="A3317" i="87"/>
  <c r="A3318" i="87"/>
  <c r="A3319" i="87"/>
  <c r="A3320" i="87"/>
  <c r="A3321" i="87"/>
  <c r="A3322" i="87"/>
  <c r="A3323" i="87"/>
  <c r="A3324" i="87"/>
  <c r="A3325" i="87"/>
  <c r="A3326" i="87"/>
  <c r="A3327" i="87"/>
  <c r="A3328" i="87"/>
  <c r="A3329" i="87"/>
  <c r="A3330" i="87"/>
  <c r="A3331" i="87"/>
  <c r="A3332" i="87"/>
  <c r="A3333" i="87"/>
  <c r="A3334" i="87"/>
  <c r="A3335" i="87"/>
  <c r="A3336" i="87"/>
  <c r="A3337" i="87"/>
  <c r="A3338" i="87"/>
  <c r="A3339" i="87"/>
  <c r="A3340" i="87"/>
  <c r="A3341" i="87"/>
  <c r="A3342" i="87"/>
  <c r="A3343" i="87"/>
  <c r="A3344" i="87"/>
  <c r="A3345" i="87"/>
  <c r="A3346" i="87"/>
  <c r="A3347" i="87"/>
  <c r="A3348" i="87"/>
  <c r="A3349" i="87"/>
  <c r="A3350" i="87"/>
  <c r="A3351" i="87"/>
  <c r="A3352" i="87"/>
  <c r="A3353" i="87"/>
  <c r="A3354" i="87"/>
  <c r="A3355" i="87"/>
  <c r="A3356" i="87"/>
  <c r="A3357" i="87"/>
  <c r="A3358" i="87"/>
  <c r="A3359" i="87"/>
  <c r="A3360" i="87"/>
  <c r="A3361" i="87"/>
  <c r="A3362" i="87"/>
  <c r="A3363" i="87"/>
  <c r="A3364" i="87"/>
  <c r="A3365" i="87"/>
  <c r="A3366" i="87"/>
  <c r="A3367" i="87"/>
  <c r="A3368" i="87"/>
  <c r="A3369" i="87"/>
  <c r="A3370" i="87"/>
  <c r="A3371" i="87"/>
  <c r="A3372" i="87"/>
  <c r="A3373" i="87"/>
  <c r="A3374" i="87"/>
  <c r="A3375" i="87"/>
  <c r="A3376" i="87"/>
  <c r="A3377" i="87"/>
  <c r="A3378" i="87"/>
  <c r="A3379" i="87"/>
  <c r="A3380" i="87"/>
  <c r="A3381" i="87"/>
  <c r="A3382" i="87"/>
  <c r="A3383" i="87"/>
  <c r="A3384" i="87"/>
  <c r="A3385" i="87"/>
  <c r="A3386" i="87"/>
  <c r="A3387" i="87"/>
  <c r="A3388" i="87"/>
  <c r="A3389" i="87"/>
  <c r="A3390" i="87"/>
  <c r="A3391" i="87"/>
  <c r="A3392" i="87"/>
  <c r="A3393" i="87"/>
  <c r="A3394" i="87"/>
  <c r="A3395" i="87"/>
  <c r="A3396" i="87"/>
  <c r="A3397" i="87"/>
  <c r="A3398" i="87"/>
  <c r="A3399" i="87"/>
  <c r="A3400" i="87"/>
  <c r="A3401" i="87"/>
  <c r="A3402" i="87"/>
  <c r="A3403" i="87"/>
  <c r="A3404" i="87"/>
  <c r="A3405" i="87"/>
  <c r="A3406" i="87"/>
  <c r="A3407" i="87"/>
  <c r="A3408" i="87"/>
  <c r="A3409" i="87"/>
  <c r="A3410" i="87"/>
  <c r="A3411" i="87"/>
  <c r="A3412" i="87"/>
  <c r="A3413" i="87"/>
  <c r="A3414" i="87"/>
  <c r="A3415" i="87"/>
  <c r="A3416" i="87"/>
  <c r="A3417" i="87"/>
  <c r="A3418" i="87"/>
  <c r="A3419" i="87"/>
  <c r="A3420" i="87"/>
  <c r="A3421" i="87"/>
  <c r="A3422" i="87"/>
  <c r="A3423" i="87"/>
  <c r="A3424" i="87"/>
  <c r="A3425" i="87"/>
  <c r="A3426" i="87"/>
  <c r="A3427" i="87"/>
  <c r="A3428" i="87"/>
  <c r="A3429" i="87"/>
  <c r="A3430" i="87"/>
  <c r="A3431" i="87"/>
  <c r="A3432" i="87"/>
  <c r="A3433" i="87"/>
  <c r="A3434" i="87"/>
  <c r="A3435" i="87"/>
  <c r="A3436" i="87"/>
  <c r="A3437" i="87"/>
  <c r="A3438" i="87"/>
  <c r="A3439" i="87"/>
  <c r="A3440" i="87"/>
  <c r="A3441" i="87"/>
  <c r="A3442" i="87"/>
  <c r="A3443" i="87"/>
  <c r="A3444" i="87"/>
  <c r="A3445" i="87"/>
  <c r="A3446" i="87"/>
  <c r="A3447" i="87"/>
  <c r="A3448" i="87"/>
  <c r="A3449" i="87"/>
  <c r="A3450" i="87"/>
  <c r="A3451" i="87"/>
  <c r="A3452" i="87"/>
  <c r="A3453" i="87"/>
  <c r="A3454" i="87"/>
  <c r="A3455" i="87"/>
  <c r="A3456" i="87"/>
  <c r="A3457" i="87"/>
  <c r="A3458" i="87"/>
  <c r="A3459" i="87"/>
  <c r="A3460" i="87"/>
  <c r="A3461" i="87"/>
  <c r="A3462" i="87"/>
  <c r="A3463" i="87"/>
  <c r="A3464" i="87"/>
  <c r="A3465" i="87"/>
  <c r="A3466" i="87"/>
  <c r="A3467" i="87"/>
  <c r="A3468" i="87"/>
  <c r="A3469" i="87"/>
  <c r="A3470" i="87"/>
  <c r="A3471" i="87"/>
  <c r="A3472" i="87"/>
  <c r="A3473" i="87"/>
  <c r="A3474" i="87"/>
  <c r="A3475" i="87"/>
  <c r="A3476" i="87"/>
  <c r="A3477" i="87"/>
  <c r="A3478" i="87"/>
  <c r="A3479" i="87"/>
  <c r="A3480" i="87"/>
  <c r="A3481" i="87"/>
  <c r="A3482" i="87"/>
  <c r="A3483" i="87"/>
  <c r="A3484" i="87"/>
  <c r="A3485" i="87"/>
  <c r="A3486" i="87"/>
  <c r="A3487" i="87"/>
  <c r="A3488" i="87"/>
  <c r="A3489" i="87"/>
  <c r="A3490" i="87"/>
  <c r="A3491" i="87"/>
  <c r="A3492" i="87"/>
  <c r="A3493" i="87"/>
  <c r="A3494" i="87"/>
  <c r="A3495" i="87"/>
  <c r="A3496" i="87"/>
  <c r="A3497" i="87"/>
  <c r="A3498" i="87"/>
  <c r="A3499" i="87"/>
  <c r="A3500" i="87"/>
  <c r="A3501" i="87"/>
  <c r="A3502" i="87"/>
  <c r="A3503" i="87"/>
  <c r="A3504" i="87"/>
  <c r="A3505" i="87"/>
  <c r="A3506" i="87"/>
  <c r="A3507" i="87"/>
  <c r="A3508" i="87"/>
  <c r="A3509" i="87"/>
  <c r="A3510" i="87"/>
  <c r="A3511" i="87"/>
  <c r="A3512" i="87"/>
  <c r="A3513" i="87"/>
  <c r="A3514" i="87"/>
  <c r="A3515" i="87"/>
  <c r="A3516" i="87"/>
  <c r="A3517" i="87"/>
  <c r="A3518" i="87"/>
  <c r="A3519" i="87"/>
  <c r="A3520" i="87"/>
  <c r="A3521" i="87"/>
  <c r="A3522" i="87"/>
  <c r="A3523" i="87"/>
  <c r="A3524" i="87"/>
  <c r="A3525" i="87"/>
  <c r="A3526" i="87"/>
  <c r="A3527" i="87"/>
  <c r="A3528" i="87"/>
  <c r="A3529" i="87"/>
  <c r="A3530" i="87"/>
  <c r="A3531" i="87"/>
  <c r="A3532" i="87"/>
  <c r="A3533" i="87"/>
  <c r="A3534" i="87"/>
  <c r="A3535" i="87"/>
  <c r="A3536" i="87"/>
  <c r="A3537" i="87"/>
  <c r="A3538" i="87"/>
  <c r="A3539" i="87"/>
  <c r="A3540" i="87"/>
  <c r="A3541" i="87"/>
  <c r="A3542" i="87"/>
  <c r="A3543" i="87"/>
  <c r="A3544" i="87"/>
  <c r="A3545" i="87"/>
  <c r="A3546" i="87"/>
  <c r="A3547" i="87"/>
  <c r="A3548" i="87"/>
  <c r="A3549" i="87"/>
  <c r="A3550" i="87"/>
  <c r="A3551" i="87"/>
  <c r="A3552" i="87"/>
  <c r="A3553" i="87"/>
  <c r="A3554" i="87"/>
  <c r="A3555" i="87"/>
  <c r="A3556" i="87"/>
  <c r="A3557" i="87"/>
  <c r="A3558" i="87"/>
  <c r="A3559" i="87"/>
  <c r="A3560" i="87"/>
  <c r="A3561" i="87"/>
  <c r="A3562" i="87"/>
  <c r="A3563" i="87"/>
  <c r="A3564" i="87"/>
  <c r="A3565" i="87"/>
  <c r="A3566" i="87"/>
  <c r="A3567" i="87"/>
  <c r="A3568" i="87"/>
  <c r="A3569" i="87"/>
  <c r="A3570" i="87"/>
  <c r="A3571" i="87"/>
  <c r="A3572" i="87"/>
  <c r="A3573" i="87"/>
  <c r="A3574" i="87"/>
  <c r="A3575" i="87"/>
  <c r="A3576" i="87"/>
  <c r="A3577" i="87"/>
  <c r="A3578" i="87"/>
  <c r="A3579" i="87"/>
  <c r="A3580" i="87"/>
  <c r="A3581" i="87"/>
  <c r="A3582" i="87"/>
  <c r="A3583" i="87"/>
  <c r="A3584" i="87"/>
  <c r="A3585" i="87"/>
  <c r="A3586" i="87"/>
  <c r="A3587" i="87"/>
  <c r="A3588" i="87"/>
  <c r="A3589" i="87"/>
  <c r="A3590" i="87"/>
  <c r="A3591" i="87"/>
  <c r="A3592" i="87"/>
  <c r="A3593" i="87"/>
  <c r="A3594" i="87"/>
  <c r="A3595" i="87"/>
  <c r="A3596" i="87"/>
  <c r="A3597" i="87"/>
  <c r="A3598" i="87"/>
  <c r="A3599" i="87"/>
  <c r="A3600" i="87"/>
  <c r="A3601" i="87"/>
  <c r="A3602" i="87"/>
  <c r="A3603" i="87"/>
  <c r="A3604" i="87"/>
  <c r="A3605" i="87"/>
  <c r="A3606" i="87"/>
  <c r="A3607" i="87"/>
  <c r="A3608" i="87"/>
  <c r="A3609" i="87"/>
  <c r="A3610" i="87"/>
  <c r="A3611" i="87"/>
  <c r="A3612" i="87"/>
  <c r="A3613" i="87"/>
  <c r="A3614" i="87"/>
  <c r="A3615" i="87"/>
  <c r="A3616" i="87"/>
  <c r="A3617" i="87"/>
  <c r="A3618" i="87"/>
  <c r="A3619" i="87"/>
  <c r="A3620" i="87"/>
  <c r="A3621" i="87"/>
  <c r="A3622" i="87"/>
  <c r="A3623" i="87"/>
  <c r="A3624" i="87"/>
  <c r="A3625" i="87"/>
  <c r="A3626" i="87"/>
  <c r="A3627" i="87"/>
  <c r="A3628" i="87"/>
  <c r="A3629" i="87"/>
  <c r="A3630" i="87"/>
  <c r="A3631" i="87"/>
  <c r="A3632" i="87"/>
  <c r="A3633" i="87"/>
  <c r="A3634" i="87"/>
  <c r="A3635" i="87"/>
  <c r="A3636" i="87"/>
  <c r="A3637" i="87"/>
  <c r="A3638" i="87"/>
  <c r="A3639" i="87"/>
  <c r="A3640" i="87"/>
  <c r="A3641" i="87"/>
  <c r="A3642" i="87"/>
  <c r="A3643" i="87"/>
  <c r="A3644" i="87"/>
  <c r="A3645" i="87"/>
  <c r="A3646" i="87"/>
  <c r="A3647" i="87"/>
  <c r="A3648" i="87"/>
  <c r="A3649" i="87"/>
  <c r="A3650" i="87"/>
  <c r="A3651" i="87"/>
  <c r="A3652" i="87"/>
  <c r="A3653" i="87"/>
  <c r="A3654" i="87"/>
  <c r="A3655" i="87"/>
  <c r="A3656" i="87"/>
  <c r="A3657" i="87"/>
  <c r="A3658" i="87"/>
  <c r="A3659" i="87"/>
  <c r="A3660" i="87"/>
  <c r="A3661" i="87"/>
  <c r="A3662" i="87"/>
  <c r="A3663" i="87"/>
  <c r="A3664" i="87"/>
  <c r="A3665" i="87"/>
  <c r="A3666" i="87"/>
  <c r="A3667" i="87"/>
  <c r="A3668" i="87"/>
  <c r="A3669" i="87"/>
  <c r="A3670" i="87"/>
  <c r="A3671" i="87"/>
  <c r="A3672" i="87"/>
  <c r="A3673" i="87"/>
  <c r="A3674" i="87"/>
  <c r="A3675" i="87"/>
  <c r="A3676" i="87"/>
  <c r="A3677" i="87"/>
  <c r="A3678" i="87"/>
  <c r="A3679" i="87"/>
  <c r="A3680" i="87"/>
  <c r="A3681" i="87"/>
  <c r="A3682" i="87"/>
  <c r="A3683" i="87"/>
  <c r="A3684" i="87"/>
  <c r="A3685" i="87"/>
  <c r="A3686" i="87"/>
  <c r="A3687" i="87"/>
  <c r="A3688" i="87"/>
  <c r="A3689" i="87"/>
  <c r="A3690" i="87"/>
  <c r="A3691" i="87"/>
  <c r="A3692" i="87"/>
  <c r="A3693" i="87"/>
  <c r="A3694" i="87"/>
  <c r="A3695" i="87"/>
  <c r="A3696" i="87"/>
  <c r="A3697" i="87"/>
  <c r="A3698" i="87"/>
  <c r="A3699" i="87"/>
  <c r="A3700" i="87"/>
  <c r="A3701" i="87"/>
  <c r="A3702" i="87"/>
  <c r="A3703" i="87"/>
  <c r="A3704" i="87"/>
  <c r="A3705" i="87"/>
  <c r="A3706" i="87"/>
  <c r="A3707" i="87"/>
  <c r="A3708" i="87"/>
  <c r="A3709" i="87"/>
  <c r="A3710" i="87"/>
  <c r="A3711" i="87"/>
  <c r="A3712" i="87"/>
  <c r="A3713" i="87"/>
  <c r="A3714" i="87"/>
  <c r="A3715" i="87"/>
  <c r="A3716" i="87"/>
  <c r="A3717" i="87"/>
  <c r="A3718" i="87"/>
  <c r="A3719" i="87"/>
  <c r="A3720" i="87"/>
  <c r="A3721" i="87"/>
  <c r="A3722" i="87"/>
  <c r="A3723" i="87"/>
  <c r="A3724" i="87"/>
  <c r="A3725" i="87"/>
  <c r="A3726" i="87"/>
  <c r="A3727" i="87"/>
  <c r="A3728" i="87"/>
  <c r="A3729" i="87"/>
  <c r="A3730" i="87"/>
  <c r="A3731" i="87"/>
  <c r="A3732" i="87"/>
  <c r="A3733" i="87"/>
  <c r="A3734" i="87"/>
  <c r="A3735" i="87"/>
  <c r="A3736" i="87"/>
  <c r="A3737" i="87"/>
  <c r="A3738" i="87"/>
  <c r="A3739" i="87"/>
  <c r="A3740" i="87"/>
  <c r="A3741" i="87"/>
  <c r="A3742" i="87"/>
  <c r="A3743" i="87"/>
  <c r="A3744" i="87"/>
  <c r="A3745" i="87"/>
  <c r="A3746" i="87"/>
  <c r="A3747" i="87"/>
  <c r="A3748" i="87"/>
  <c r="A3749" i="87"/>
  <c r="A3750" i="87"/>
  <c r="A3751" i="87"/>
  <c r="A3752" i="87"/>
  <c r="A3753" i="87"/>
  <c r="A3754" i="87"/>
  <c r="A3755" i="87"/>
  <c r="A3756" i="87"/>
  <c r="A3757" i="87"/>
  <c r="A3758" i="87"/>
  <c r="A3759" i="87"/>
  <c r="A3760" i="87"/>
  <c r="A3761" i="87"/>
  <c r="A3762" i="87"/>
  <c r="A3763" i="87"/>
  <c r="A3764" i="87"/>
  <c r="A3765" i="87"/>
  <c r="A3766" i="87"/>
  <c r="A3767" i="87"/>
  <c r="A3768" i="87"/>
  <c r="A3769" i="87"/>
  <c r="A3770" i="87"/>
  <c r="A3771" i="87"/>
  <c r="A3772" i="87"/>
  <c r="A3773" i="87"/>
  <c r="A3774" i="87"/>
  <c r="A3775" i="87"/>
  <c r="A3776" i="87"/>
  <c r="A3777" i="87"/>
  <c r="A3778" i="87"/>
  <c r="A3779" i="87"/>
  <c r="A3780" i="87"/>
  <c r="A3781" i="87"/>
  <c r="A3782" i="87"/>
  <c r="A3783" i="87"/>
  <c r="A3784" i="87"/>
  <c r="A3785" i="87"/>
  <c r="A3786" i="87"/>
  <c r="A3787" i="87"/>
  <c r="A3788" i="87"/>
  <c r="A3789" i="87"/>
  <c r="A3790" i="87"/>
  <c r="A3791" i="87"/>
  <c r="A3792" i="87"/>
  <c r="A3793" i="87"/>
  <c r="A3794" i="87"/>
  <c r="A3795" i="87"/>
  <c r="A3796" i="87"/>
  <c r="A3797" i="87"/>
  <c r="A3798" i="87"/>
  <c r="A3799" i="87"/>
  <c r="A3800" i="87"/>
  <c r="A3801" i="87"/>
  <c r="A3802" i="87"/>
  <c r="A3803" i="87"/>
  <c r="A3804" i="87"/>
  <c r="A3805" i="87"/>
  <c r="A3806" i="87"/>
  <c r="A3807" i="87"/>
  <c r="A3808" i="87"/>
  <c r="A3809" i="87"/>
  <c r="A3810" i="87"/>
  <c r="A3811" i="87"/>
  <c r="A3812" i="87"/>
  <c r="A3813" i="87"/>
  <c r="A3814" i="87"/>
  <c r="A3815" i="87"/>
  <c r="A3816" i="87"/>
  <c r="A3817" i="87"/>
  <c r="A3818" i="87"/>
  <c r="A3819" i="87"/>
  <c r="A3820" i="87"/>
  <c r="A3821" i="87"/>
  <c r="A3822" i="87"/>
  <c r="A3823" i="87"/>
  <c r="A3824" i="87"/>
  <c r="A3825" i="87"/>
  <c r="A3826" i="87"/>
  <c r="A3827" i="87"/>
  <c r="A3828" i="87"/>
  <c r="A3829" i="87"/>
  <c r="A3830" i="87"/>
  <c r="A3831" i="87"/>
  <c r="A3832" i="87"/>
  <c r="A3833" i="87"/>
  <c r="A3834" i="87"/>
  <c r="A3835" i="87"/>
  <c r="A3836" i="87"/>
  <c r="A3837" i="87"/>
  <c r="A3838" i="87"/>
  <c r="A3839" i="87"/>
  <c r="A3840" i="87"/>
  <c r="A3841" i="87"/>
  <c r="A3842" i="87"/>
  <c r="A3843" i="87"/>
  <c r="A3844" i="87"/>
  <c r="A3845" i="87"/>
  <c r="A3846" i="87"/>
  <c r="A3847" i="87"/>
  <c r="A3848" i="87"/>
  <c r="A3849" i="87"/>
  <c r="A3850" i="87"/>
  <c r="A3851" i="87"/>
  <c r="A3852" i="87"/>
  <c r="A3853" i="87"/>
  <c r="A3854" i="87"/>
  <c r="A3855" i="87"/>
  <c r="A3856" i="87"/>
  <c r="A3857" i="87"/>
  <c r="A3858" i="87"/>
  <c r="A3859" i="87"/>
  <c r="A3860" i="87"/>
  <c r="A3861" i="87"/>
  <c r="A3862" i="87"/>
  <c r="A3863" i="87"/>
  <c r="A3864" i="87"/>
  <c r="A3865" i="87"/>
  <c r="A3866" i="87"/>
  <c r="A3867" i="87"/>
  <c r="A3868" i="87"/>
  <c r="A3869" i="87"/>
  <c r="A3870" i="87"/>
  <c r="A3871" i="87"/>
  <c r="A3872" i="87"/>
  <c r="A3873" i="87"/>
  <c r="A3874" i="87"/>
  <c r="A3875" i="87"/>
  <c r="A3876" i="87"/>
  <c r="A3877" i="87"/>
  <c r="A3878" i="87"/>
  <c r="A3879" i="87"/>
  <c r="A3880" i="87"/>
  <c r="A3881" i="87"/>
  <c r="A3882" i="87"/>
  <c r="A3883" i="87"/>
  <c r="A3884" i="87"/>
  <c r="A3885" i="87"/>
  <c r="A3886" i="87"/>
  <c r="A3887" i="87"/>
  <c r="A3888" i="87"/>
  <c r="A3889" i="87"/>
  <c r="A3890" i="87"/>
  <c r="A3891" i="87"/>
  <c r="A3892" i="87"/>
  <c r="A3893" i="87"/>
  <c r="A3894" i="87"/>
  <c r="A3895" i="87"/>
  <c r="A3896" i="87"/>
  <c r="A3897" i="87"/>
  <c r="A3898" i="87"/>
  <c r="A3899" i="87"/>
  <c r="A3900" i="87"/>
  <c r="A3901" i="87"/>
  <c r="A3902" i="87"/>
  <c r="A3903" i="87"/>
  <c r="A3904" i="87"/>
  <c r="A3905" i="87"/>
  <c r="A3906" i="87"/>
  <c r="A3907" i="87"/>
  <c r="A3908" i="87"/>
  <c r="A3909" i="87"/>
  <c r="A3910" i="87"/>
  <c r="A3911" i="87"/>
  <c r="A3912" i="87"/>
  <c r="A3913" i="87"/>
  <c r="A3914" i="87"/>
  <c r="A3915" i="87"/>
  <c r="A3916" i="87"/>
  <c r="A3917" i="87"/>
  <c r="A3918" i="87"/>
  <c r="A3919" i="87"/>
  <c r="A3920" i="87"/>
  <c r="A3921" i="87"/>
  <c r="A3922" i="87"/>
  <c r="A3923" i="87"/>
  <c r="A3924" i="87"/>
  <c r="A3925" i="87"/>
  <c r="A3926" i="87"/>
  <c r="A3927" i="87"/>
  <c r="A3928" i="87"/>
  <c r="A3929" i="87"/>
  <c r="A3930" i="87"/>
  <c r="A3931" i="87"/>
  <c r="A3932" i="87"/>
  <c r="A3933" i="87"/>
  <c r="A3934" i="87"/>
  <c r="A3935" i="87"/>
  <c r="A3936" i="87"/>
  <c r="A3937" i="87"/>
  <c r="A3938" i="87"/>
  <c r="A3939" i="87"/>
  <c r="A3940" i="87"/>
  <c r="A3941" i="87"/>
  <c r="A3942" i="87"/>
  <c r="A3943" i="87"/>
  <c r="A3944" i="87"/>
  <c r="A3945" i="87"/>
  <c r="A3946" i="87"/>
  <c r="A3947" i="87"/>
  <c r="A3948" i="87"/>
  <c r="A3949" i="87"/>
  <c r="A3950" i="87"/>
  <c r="A3951" i="87"/>
  <c r="A3952" i="87"/>
  <c r="A3953" i="87"/>
  <c r="A3954" i="87"/>
  <c r="A3955" i="87"/>
  <c r="A3956" i="87"/>
  <c r="A3957" i="87"/>
  <c r="A3958" i="87"/>
  <c r="A3959" i="87"/>
  <c r="A3960" i="87"/>
  <c r="A3961" i="87"/>
  <c r="A3962" i="87"/>
  <c r="A3963" i="87"/>
  <c r="A3964" i="87"/>
  <c r="A3965" i="87"/>
  <c r="A3966" i="87"/>
  <c r="A3967" i="87"/>
  <c r="A3968" i="87"/>
  <c r="A3969" i="87"/>
  <c r="A3970" i="87"/>
  <c r="A3971" i="87"/>
  <c r="A3972" i="87"/>
  <c r="A3973" i="87"/>
  <c r="A3974" i="87"/>
  <c r="A3975" i="87"/>
  <c r="A3976" i="87"/>
  <c r="A3977" i="87"/>
  <c r="A3978" i="87"/>
  <c r="A3979" i="87"/>
  <c r="A3980" i="87"/>
  <c r="A3981" i="87"/>
  <c r="A3982" i="87"/>
  <c r="A3983" i="87"/>
  <c r="A3984" i="87"/>
  <c r="A3985" i="87"/>
  <c r="A3986" i="87"/>
  <c r="A3987" i="87"/>
  <c r="A3988" i="87"/>
  <c r="A3989" i="87"/>
  <c r="A3990" i="87"/>
  <c r="A3991" i="87"/>
  <c r="A3992" i="87"/>
  <c r="A3993" i="87"/>
  <c r="A3994" i="87"/>
  <c r="A3995" i="87"/>
  <c r="A3996" i="87"/>
  <c r="A3997" i="87"/>
  <c r="A3998" i="87"/>
  <c r="A3999" i="87"/>
  <c r="A4000" i="87"/>
  <c r="A4001" i="87"/>
  <c r="A4002" i="87"/>
  <c r="A4003" i="87"/>
  <c r="A4004" i="87"/>
  <c r="A4005" i="87"/>
  <c r="A4006" i="87"/>
  <c r="A4007" i="87"/>
  <c r="A4008" i="87"/>
  <c r="A4009" i="87"/>
  <c r="A4010" i="87"/>
  <c r="A4011" i="87"/>
  <c r="A4012" i="87"/>
  <c r="A4013" i="87"/>
  <c r="A4014" i="87"/>
  <c r="A4015" i="87"/>
  <c r="A4016" i="87"/>
  <c r="A4017" i="87"/>
  <c r="A4018" i="87"/>
  <c r="A4019" i="87"/>
  <c r="A4020" i="87"/>
  <c r="A4021" i="87"/>
  <c r="A4022" i="87"/>
  <c r="A4023" i="87"/>
  <c r="A4024" i="87"/>
  <c r="A4025" i="87"/>
  <c r="A4026" i="87"/>
  <c r="A4027" i="87"/>
  <c r="A4028" i="87"/>
  <c r="A4029" i="87"/>
  <c r="A4030" i="87"/>
  <c r="A4031" i="87"/>
  <c r="A4032" i="87"/>
  <c r="A4033" i="87"/>
  <c r="A4034" i="87"/>
  <c r="A4035" i="87"/>
  <c r="A4036" i="87"/>
  <c r="A4037" i="87"/>
  <c r="A4038" i="87"/>
  <c r="A4039" i="87"/>
  <c r="A4040" i="87"/>
  <c r="A4041" i="87"/>
  <c r="A4042" i="87"/>
  <c r="A4043" i="87"/>
  <c r="A4044" i="87"/>
  <c r="A4045" i="87"/>
  <c r="A4046" i="87"/>
  <c r="A4047" i="87"/>
  <c r="A4048" i="87"/>
  <c r="A4049" i="87"/>
  <c r="A4050" i="87"/>
  <c r="A4051" i="87"/>
  <c r="A4052" i="87"/>
  <c r="A4053" i="87"/>
  <c r="A4054" i="87"/>
  <c r="A4055" i="87"/>
  <c r="A4056" i="87"/>
  <c r="A4057" i="87"/>
  <c r="A4058" i="87"/>
  <c r="A4059" i="87"/>
  <c r="A4060" i="87"/>
  <c r="A4061" i="87"/>
  <c r="A4062" i="87"/>
  <c r="A4063" i="87"/>
  <c r="A4064" i="87"/>
  <c r="A4065" i="87"/>
  <c r="A4066" i="87"/>
  <c r="A4067" i="87"/>
  <c r="A4068" i="87"/>
  <c r="A4069" i="87"/>
  <c r="A4070" i="87"/>
  <c r="A4071" i="87"/>
  <c r="A4072" i="87"/>
  <c r="A4073" i="87"/>
  <c r="A4074" i="87"/>
  <c r="A4075" i="87"/>
  <c r="A4076" i="87"/>
  <c r="A4077" i="87"/>
  <c r="A4078" i="87"/>
  <c r="A4079" i="87"/>
  <c r="A4080" i="87"/>
  <c r="A4081" i="87"/>
  <c r="A4082" i="87"/>
  <c r="A4083" i="87"/>
  <c r="A4084" i="87"/>
  <c r="A4085" i="87"/>
  <c r="A4086" i="87"/>
  <c r="A4087" i="87"/>
  <c r="A4088" i="87"/>
  <c r="A4089" i="87"/>
  <c r="A4090" i="87"/>
  <c r="A4091" i="87"/>
  <c r="A4092" i="87"/>
  <c r="A4093" i="87"/>
  <c r="A4094" i="87"/>
  <c r="A4095" i="87"/>
  <c r="A4096" i="87"/>
  <c r="A4097" i="87"/>
  <c r="A4098" i="87"/>
  <c r="A4099" i="87"/>
  <c r="A4100" i="87"/>
  <c r="A4101" i="87"/>
  <c r="A4102" i="87"/>
  <c r="A4103" i="87"/>
  <c r="A4104" i="87"/>
  <c r="A4105" i="87"/>
  <c r="A4106" i="87"/>
  <c r="A4107" i="87"/>
  <c r="A4108" i="87"/>
  <c r="A4109" i="87"/>
  <c r="A4110" i="87"/>
  <c r="A4111" i="87"/>
  <c r="A4112" i="87"/>
  <c r="A4113" i="87"/>
  <c r="A4114" i="87"/>
  <c r="A4115" i="87"/>
  <c r="A4116" i="87"/>
  <c r="A4117" i="87"/>
  <c r="A4118" i="87"/>
  <c r="A4119" i="87"/>
  <c r="A4120" i="87"/>
  <c r="A4121" i="87"/>
  <c r="A4122" i="87"/>
  <c r="A4123" i="87"/>
  <c r="A4124" i="87"/>
  <c r="A4125" i="87"/>
  <c r="A4126" i="87"/>
  <c r="A4127" i="87"/>
  <c r="A4128" i="87"/>
  <c r="A4129" i="87"/>
  <c r="A4130" i="87"/>
  <c r="A4131" i="87"/>
  <c r="A4132" i="87"/>
  <c r="A4133" i="87"/>
  <c r="A4134" i="87"/>
  <c r="A4135" i="87"/>
  <c r="A4136" i="87"/>
  <c r="A4137" i="87"/>
  <c r="A4138" i="87"/>
  <c r="A4139" i="87"/>
  <c r="A4140" i="87"/>
  <c r="A4141" i="87"/>
  <c r="A4142" i="87"/>
  <c r="A4143" i="87"/>
  <c r="A4144" i="87"/>
  <c r="A4145" i="87"/>
  <c r="A4146" i="87"/>
  <c r="A4147" i="87"/>
  <c r="A4148" i="87"/>
  <c r="A4149" i="87"/>
  <c r="A4150" i="87"/>
  <c r="A4151" i="87"/>
  <c r="A4152" i="87"/>
  <c r="A4153" i="87"/>
  <c r="A4154" i="87"/>
  <c r="A4155" i="87"/>
  <c r="A4156" i="87"/>
  <c r="A4157" i="87"/>
  <c r="A4158" i="87"/>
  <c r="A4159" i="87"/>
  <c r="A4160" i="87"/>
  <c r="A4161" i="87"/>
  <c r="A4162" i="87"/>
  <c r="A4163" i="87"/>
  <c r="A4164" i="87"/>
  <c r="A4165" i="87"/>
  <c r="A4166" i="87"/>
  <c r="A4167" i="87"/>
  <c r="A4168" i="87"/>
  <c r="A4169" i="87"/>
  <c r="A4170" i="87"/>
  <c r="A4171" i="87"/>
  <c r="A4172" i="87"/>
  <c r="A4173" i="87"/>
  <c r="A4174" i="87"/>
  <c r="A4175" i="87"/>
  <c r="A4176" i="87"/>
  <c r="A4177" i="87"/>
  <c r="A4178" i="87"/>
  <c r="A4179" i="87"/>
  <c r="A4180" i="87"/>
  <c r="A4181" i="87"/>
  <c r="A4182" i="87"/>
  <c r="A4183" i="87"/>
  <c r="A4184" i="87"/>
  <c r="A4185" i="87"/>
  <c r="A4186" i="87"/>
  <c r="A4187" i="87"/>
  <c r="A4188" i="87"/>
  <c r="A4189" i="87"/>
  <c r="A4190" i="87"/>
  <c r="A4191" i="87"/>
  <c r="A4192" i="87"/>
  <c r="A4193" i="87"/>
  <c r="A4194" i="87"/>
  <c r="A4195" i="87"/>
  <c r="A4196" i="87"/>
  <c r="A4197" i="87"/>
  <c r="A4198" i="87"/>
  <c r="A4199" i="87"/>
  <c r="A4200" i="87"/>
  <c r="A4201" i="87"/>
  <c r="A4202" i="87"/>
  <c r="A4203" i="87"/>
  <c r="A4204" i="87"/>
  <c r="A4205" i="87"/>
  <c r="A4206" i="87"/>
  <c r="A4207" i="87"/>
  <c r="A4208" i="87"/>
  <c r="A4209" i="87"/>
  <c r="A4210" i="87"/>
  <c r="A4211" i="87"/>
  <c r="A4212" i="87"/>
  <c r="A4213" i="87"/>
  <c r="A4214" i="87"/>
  <c r="A4215" i="87"/>
  <c r="A4216" i="87"/>
  <c r="A4217" i="87"/>
  <c r="A4218" i="87"/>
  <c r="A4219" i="87"/>
  <c r="A4220" i="87"/>
  <c r="A4221" i="87"/>
  <c r="A4222" i="87"/>
  <c r="A4223" i="87"/>
  <c r="A4224" i="87"/>
  <c r="A4225" i="87"/>
  <c r="A4226" i="87"/>
  <c r="P7" i="29" l="1"/>
  <c r="N71" i="29" l="1"/>
  <c r="N85" i="29" l="1"/>
  <c r="N84" i="29"/>
  <c r="N83" i="29"/>
  <c r="N82" i="29"/>
  <c r="N81" i="29"/>
  <c r="N80" i="29"/>
  <c r="N79" i="29"/>
  <c r="N78" i="29"/>
  <c r="N77" i="29"/>
  <c r="N76" i="29"/>
  <c r="N75" i="29"/>
  <c r="N74" i="29"/>
  <c r="N73" i="29"/>
  <c r="N72" i="29"/>
  <c r="C6" i="29" l="1"/>
  <c r="C8" i="29"/>
  <c r="C10" i="29"/>
  <c r="C12" i="29"/>
  <c r="C14" i="29"/>
  <c r="C16" i="29"/>
  <c r="C18" i="29"/>
  <c r="C20" i="29"/>
  <c r="C22" i="29"/>
  <c r="C24" i="29"/>
  <c r="C26" i="29"/>
  <c r="C28" i="29"/>
  <c r="C30" i="29"/>
  <c r="C32" i="29"/>
  <c r="C34" i="29"/>
  <c r="C36" i="29"/>
  <c r="C38" i="29"/>
  <c r="C40" i="29"/>
  <c r="C42" i="29"/>
  <c r="C44" i="29"/>
  <c r="C46" i="29"/>
  <c r="C48" i="29"/>
  <c r="C50" i="29"/>
  <c r="C52" i="29"/>
  <c r="C54" i="29"/>
  <c r="C56" i="29"/>
  <c r="C58" i="29"/>
  <c r="C60" i="29"/>
  <c r="C62" i="29"/>
  <c r="C64" i="29"/>
  <c r="C66" i="29"/>
  <c r="E5" i="29" l="1"/>
  <c r="B6" i="29"/>
  <c r="H7" i="29" s="1"/>
  <c r="D7" i="29" s="1"/>
  <c r="G5" i="29"/>
  <c r="F5" i="29" l="1"/>
  <c r="E6" i="29"/>
  <c r="G6" i="29"/>
  <c r="F6" i="29" l="1"/>
  <c r="C5" i="29"/>
  <c r="E7" i="29"/>
  <c r="H9" i="29"/>
  <c r="D9" i="29" s="1"/>
  <c r="G7" i="29"/>
  <c r="F7" i="29" l="1"/>
  <c r="C7" i="29" s="1"/>
  <c r="E8" i="29"/>
  <c r="H11" i="29"/>
  <c r="D11" i="29" s="1"/>
  <c r="G8" i="29"/>
  <c r="F8" i="29" l="1"/>
  <c r="E9" i="29"/>
  <c r="H13" i="29"/>
  <c r="D13" i="29" s="1"/>
  <c r="G9" i="29"/>
  <c r="F9" i="29" l="1"/>
  <c r="C9" i="29" s="1"/>
  <c r="E10" i="29"/>
  <c r="H15" i="29"/>
  <c r="D15" i="29" s="1"/>
  <c r="G10" i="29"/>
  <c r="F10" i="29" l="1"/>
  <c r="E11" i="29"/>
  <c r="H17" i="29"/>
  <c r="D17" i="29" s="1"/>
  <c r="G11" i="29"/>
  <c r="M88" i="29" l="1"/>
  <c r="F11" i="29"/>
  <c r="C11" i="29" s="1"/>
  <c r="E12" i="29"/>
  <c r="H19" i="29"/>
  <c r="D19" i="29" s="1"/>
  <c r="G12" i="29"/>
  <c r="F12" i="29" l="1"/>
  <c r="E13" i="29"/>
  <c r="H21" i="29"/>
  <c r="D21" i="29" s="1"/>
  <c r="G13" i="29"/>
  <c r="F13" i="29" l="1"/>
  <c r="C13" i="29" s="1"/>
  <c r="E14" i="29"/>
  <c r="H23" i="29"/>
  <c r="D23" i="29" s="1"/>
  <c r="G14" i="29"/>
  <c r="F14" i="29" l="1"/>
  <c r="E15" i="29"/>
  <c r="H25" i="29"/>
  <c r="D25" i="29" s="1"/>
  <c r="G15" i="29"/>
  <c r="F15" i="29" l="1"/>
  <c r="C15" i="29" s="1"/>
  <c r="E16" i="29"/>
  <c r="H27" i="29"/>
  <c r="D27" i="29" s="1"/>
  <c r="G16" i="29"/>
  <c r="F16" i="29" l="1"/>
  <c r="E17" i="29"/>
  <c r="H29" i="29"/>
  <c r="D29" i="29" s="1"/>
  <c r="G17" i="29"/>
  <c r="F17" i="29" l="1"/>
  <c r="C17" i="29" s="1"/>
  <c r="E18" i="29"/>
  <c r="H31" i="29"/>
  <c r="D31" i="29" s="1"/>
  <c r="G18" i="29"/>
  <c r="F18" i="29" l="1"/>
  <c r="E19" i="29"/>
  <c r="H33" i="29"/>
  <c r="D33" i="29" s="1"/>
  <c r="G19" i="29"/>
  <c r="F19" i="29" l="1"/>
  <c r="C19" i="29" s="1"/>
  <c r="E20" i="29"/>
  <c r="H35" i="29"/>
  <c r="D35" i="29" s="1"/>
  <c r="G20" i="29"/>
  <c r="F20" i="29" l="1"/>
  <c r="E21" i="29"/>
  <c r="H37" i="29"/>
  <c r="D37" i="29" s="1"/>
  <c r="G21" i="29"/>
  <c r="F21" i="29" l="1"/>
  <c r="C21" i="29" s="1"/>
  <c r="E22" i="29"/>
  <c r="H39" i="29"/>
  <c r="D39" i="29" s="1"/>
  <c r="G22" i="29"/>
  <c r="F22" i="29" l="1"/>
  <c r="E23" i="29"/>
  <c r="H41" i="29"/>
  <c r="D41" i="29" s="1"/>
  <c r="G23" i="29"/>
  <c r="F23" i="29" l="1"/>
  <c r="C23" i="29" s="1"/>
  <c r="E24" i="29"/>
  <c r="H43" i="29"/>
  <c r="D43" i="29" s="1"/>
  <c r="G24" i="29"/>
  <c r="F24" i="29" l="1"/>
  <c r="E25" i="29"/>
  <c r="H45" i="29"/>
  <c r="D45" i="29" s="1"/>
  <c r="G25" i="29"/>
  <c r="F25" i="29" l="1"/>
  <c r="C25" i="29" s="1"/>
  <c r="E26" i="29"/>
  <c r="H47" i="29"/>
  <c r="D47" i="29" s="1"/>
  <c r="G26" i="29"/>
  <c r="F26" i="29" l="1"/>
  <c r="E27" i="29"/>
  <c r="H49" i="29"/>
  <c r="D49" i="29" s="1"/>
  <c r="G27" i="29"/>
  <c r="F27" i="29" l="1"/>
  <c r="C27" i="29" s="1"/>
  <c r="E28" i="29"/>
  <c r="H51" i="29"/>
  <c r="D51" i="29" s="1"/>
  <c r="G28" i="29"/>
  <c r="F28" i="29" l="1"/>
  <c r="E29" i="29"/>
  <c r="H53" i="29"/>
  <c r="D53" i="29" s="1"/>
  <c r="G29" i="29"/>
  <c r="F29" i="29" l="1"/>
  <c r="C29" i="29" s="1"/>
  <c r="E30" i="29"/>
  <c r="H55" i="29"/>
  <c r="D55" i="29" s="1"/>
  <c r="G30" i="29"/>
  <c r="F30" i="29" l="1"/>
  <c r="E31" i="29"/>
  <c r="H57" i="29"/>
  <c r="D57" i="29" s="1"/>
  <c r="G31" i="29"/>
  <c r="F31" i="29" l="1"/>
  <c r="C31" i="29" s="1"/>
  <c r="E32" i="29"/>
  <c r="H59" i="29"/>
  <c r="D59" i="29" s="1"/>
  <c r="G32" i="29"/>
  <c r="F32" i="29" l="1"/>
  <c r="E33" i="29"/>
  <c r="H61" i="29"/>
  <c r="D61" i="29" s="1"/>
  <c r="G33" i="29"/>
  <c r="F33" i="29" l="1"/>
  <c r="C33" i="29" s="1"/>
  <c r="E34" i="29"/>
  <c r="H63" i="29"/>
  <c r="D63" i="29" s="1"/>
  <c r="G34" i="29"/>
  <c r="F34" i="29" l="1"/>
  <c r="E35" i="29"/>
  <c r="H65" i="29"/>
  <c r="D65" i="29" s="1"/>
  <c r="G35" i="29"/>
  <c r="F35" i="29" l="1"/>
  <c r="C35" i="29" s="1"/>
  <c r="E36" i="29"/>
  <c r="G36" i="29"/>
  <c r="F36" i="29" l="1"/>
  <c r="E37" i="29"/>
  <c r="G37" i="29"/>
  <c r="F37" i="29" l="1"/>
  <c r="C37" i="29" s="1"/>
  <c r="E38" i="29"/>
  <c r="G38" i="29"/>
  <c r="F38" i="29" l="1"/>
  <c r="E39" i="29"/>
  <c r="G39" i="29"/>
  <c r="F39" i="29" l="1"/>
  <c r="C39" i="29" s="1"/>
  <c r="E40" i="29"/>
  <c r="G40" i="29"/>
  <c r="F40" i="29" l="1"/>
  <c r="E41" i="29"/>
  <c r="G41" i="29"/>
  <c r="F41" i="29" l="1"/>
  <c r="C41" i="29" s="1"/>
  <c r="E42" i="29"/>
  <c r="G42" i="29"/>
  <c r="F42" i="29" l="1"/>
  <c r="E43" i="29"/>
  <c r="G43" i="29"/>
  <c r="F43" i="29" l="1"/>
  <c r="C43" i="29" s="1"/>
  <c r="E44" i="29"/>
  <c r="G44" i="29"/>
  <c r="F44" i="29" l="1"/>
  <c r="E45" i="29"/>
  <c r="G45" i="29"/>
  <c r="F45" i="29" l="1"/>
  <c r="C45" i="29" s="1"/>
  <c r="E46" i="29"/>
  <c r="G46" i="29"/>
  <c r="F46" i="29" l="1"/>
  <c r="E47" i="29"/>
  <c r="G47" i="29"/>
  <c r="F47" i="29" l="1"/>
  <c r="C47" i="29" s="1"/>
  <c r="E48" i="29"/>
  <c r="G48" i="29"/>
  <c r="F48" i="29" l="1"/>
  <c r="E49" i="29"/>
  <c r="G49" i="29"/>
  <c r="F49" i="29" l="1"/>
  <c r="C49" i="29" s="1"/>
  <c r="E50" i="29"/>
  <c r="G50" i="29"/>
  <c r="F50" i="29" l="1"/>
  <c r="E51" i="29"/>
  <c r="G51" i="29"/>
  <c r="F51" i="29" l="1"/>
  <c r="C51" i="29" s="1"/>
  <c r="E52" i="29"/>
  <c r="G52" i="29"/>
  <c r="F52" i="29" l="1"/>
  <c r="E53" i="29"/>
  <c r="G53" i="29"/>
  <c r="F53" i="29" l="1"/>
  <c r="C53" i="29" s="1"/>
  <c r="E54" i="29"/>
  <c r="G54" i="29"/>
  <c r="F54" i="29" l="1"/>
  <c r="E55" i="29"/>
  <c r="G55" i="29"/>
  <c r="F55" i="29" l="1"/>
  <c r="C55" i="29" s="1"/>
  <c r="E56" i="29"/>
  <c r="G56" i="29"/>
  <c r="F56" i="29" l="1"/>
  <c r="E57" i="29"/>
  <c r="G57" i="29"/>
  <c r="F57" i="29" l="1"/>
  <c r="C57" i="29" s="1"/>
  <c r="E58" i="29"/>
  <c r="G58" i="29"/>
  <c r="F58" i="29" l="1"/>
  <c r="E59" i="29"/>
  <c r="G59" i="29"/>
  <c r="F59" i="29" l="1"/>
  <c r="C59" i="29" s="1"/>
  <c r="E60" i="29"/>
  <c r="G60" i="29"/>
  <c r="F60" i="29" l="1"/>
  <c r="E61" i="29"/>
  <c r="G61" i="29"/>
  <c r="F61" i="29" l="1"/>
  <c r="C61" i="29" s="1"/>
  <c r="E62" i="29"/>
  <c r="G62" i="29"/>
  <c r="F62" i="29" l="1"/>
  <c r="E63" i="29"/>
  <c r="G63" i="29"/>
  <c r="F63" i="29" l="1"/>
  <c r="C63" i="29" s="1"/>
  <c r="E64" i="29"/>
  <c r="G64" i="29"/>
  <c r="E65" i="29" l="1"/>
  <c r="F64" i="29"/>
  <c r="G65" i="29"/>
  <c r="F65" i="29" l="1"/>
  <c r="C65" i="29" s="1"/>
  <c r="E66" i="29"/>
  <c r="G66" i="29"/>
  <c r="K102" i="29" l="1"/>
  <c r="F66" i="29"/>
  <c r="B11" i="29" s="1"/>
  <c r="B10" i="29" l="1"/>
  <c r="H95" i="29" s="1"/>
  <c r="I95" i="29" s="1"/>
  <c r="J95" i="29" l="1"/>
  <c r="H96" i="29"/>
  <c r="I96" i="29" l="1"/>
  <c r="J96" i="29"/>
  <c r="K95" i="29"/>
  <c r="H97" i="29"/>
  <c r="I97" i="29" l="1"/>
  <c r="J97" i="29"/>
  <c r="K96" i="29"/>
  <c r="H98" i="29"/>
  <c r="H99" i="29" s="1"/>
  <c r="H100" i="29" s="1"/>
  <c r="I98" i="29" l="1"/>
  <c r="J98" i="29"/>
  <c r="J99" i="29"/>
  <c r="K97" i="29"/>
  <c r="K98" i="29" l="1"/>
  <c r="I99" i="29"/>
  <c r="I100" i="29" l="1"/>
  <c r="J100" i="29"/>
  <c r="K99" i="29"/>
  <c r="K100" i="29" l="1"/>
  <c r="K101" i="29" s="1"/>
  <c r="O2" i="29" l="1"/>
  <c r="M92" i="29" s="1"/>
  <c r="M93" i="2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<sst xmlns="http://schemas.openxmlformats.org/spreadsheetml/2006/main" count="21099" uniqueCount="4746">
  <si>
    <t>software</t>
  </si>
  <si>
    <t>management</t>
  </si>
  <si>
    <t>week</t>
  </si>
  <si>
    <t>location</t>
  </si>
  <si>
    <t>consulting</t>
  </si>
  <si>
    <t>research</t>
  </si>
  <si>
    <t>Germany</t>
  </si>
  <si>
    <t>Czech Republic</t>
  </si>
  <si>
    <t>Belgium</t>
  </si>
  <si>
    <t>China</t>
  </si>
  <si>
    <t>USA</t>
  </si>
  <si>
    <t>Hungary</t>
  </si>
  <si>
    <t>Year</t>
  </si>
  <si>
    <t>Month</t>
  </si>
  <si>
    <t>Days</t>
  </si>
  <si>
    <t>Name of project</t>
  </si>
  <si>
    <t>Brazil</t>
  </si>
  <si>
    <t>day</t>
  </si>
  <si>
    <t>Parameter</t>
  </si>
  <si>
    <t>From CW</t>
  </si>
  <si>
    <t>To CW</t>
  </si>
  <si>
    <t>Total</t>
  </si>
  <si>
    <t>working
days</t>
  </si>
  <si>
    <t>Total
days</t>
  </si>
  <si>
    <t>CW</t>
  </si>
  <si>
    <t>non-working days*</t>
  </si>
  <si>
    <t>* Saturdays, Sundays and holidays</t>
  </si>
  <si>
    <t>Work. Days</t>
  </si>
  <si>
    <t>Validation messages</t>
  </si>
  <si>
    <t>Date</t>
  </si>
  <si>
    <t>Input cost center drop down</t>
  </si>
  <si>
    <t>Manual entries</t>
  </si>
  <si>
    <t>Namespace
"ProjectNumberSummary_prevMonth"</t>
  </si>
  <si>
    <t>Comment</t>
  </si>
  <si>
    <t>Other absence</t>
  </si>
  <si>
    <t>Project number 99983409</t>
  </si>
  <si>
    <t>Project number 99983209</t>
  </si>
  <si>
    <t>Customer</t>
  </si>
  <si>
    <t>ID</t>
  </si>
  <si>
    <t>Entries for column "time"</t>
  </si>
  <si>
    <t>project-no</t>
  </si>
  <si>
    <t>99988129</t>
  </si>
  <si>
    <t>01_AG</t>
  </si>
  <si>
    <t>00_Group</t>
  </si>
  <si>
    <t>Knowledge as a Service</t>
  </si>
  <si>
    <t>4flow research</t>
  </si>
  <si>
    <t>4flow</t>
  </si>
  <si>
    <t>Status</t>
  </si>
  <si>
    <t>Working days instead of weekend</t>
  </si>
  <si>
    <t>Bank holidays</t>
  </si>
  <si>
    <r>
      <t>Project numbers of current &amp; previous month</t>
    </r>
    <r>
      <rPr>
        <sz val="10"/>
        <color rgb="FFFF0000"/>
        <rFont val="Arial"/>
        <family val="2"/>
      </rPr>
      <t/>
    </r>
  </si>
  <si>
    <r>
      <rPr>
        <sz val="10"/>
        <rFont val="Arial"/>
        <family val="2"/>
      </rPr>
      <t xml:space="preserve">Exportmodus </t>
    </r>
    <r>
      <rPr>
        <sz val="10"/>
        <rFont val="Arial"/>
        <family val="2"/>
      </rPr>
      <t>(only for finance team)</t>
    </r>
  </si>
  <si>
    <r>
      <t>Validation</t>
    </r>
    <r>
      <rPr>
        <i/>
        <sz val="10"/>
        <rFont val="Arial"/>
        <family val="2"/>
      </rPr>
      <t xml:space="preserve"> (days entered in project tracker)</t>
    </r>
  </si>
  <si>
    <t>project tracker version:</t>
  </si>
  <si>
    <t>Other absences:</t>
  </si>
  <si>
    <t>Adj. work Days</t>
  </si>
  <si>
    <t>target</t>
  </si>
  <si>
    <t>4flowCompanies</t>
  </si>
  <si>
    <t>02_GmbH</t>
  </si>
  <si>
    <t>03_BVBA</t>
  </si>
  <si>
    <t>04_HK</t>
  </si>
  <si>
    <t>05_SHG</t>
  </si>
  <si>
    <t>07_Inc</t>
  </si>
  <si>
    <t>08_Kft</t>
  </si>
  <si>
    <t>09_Ltda</t>
  </si>
  <si>
    <t>99_Several entities</t>
  </si>
  <si>
    <t>Country</t>
  </si>
  <si>
    <t>Group</t>
  </si>
  <si>
    <t>Project list</t>
  </si>
  <si>
    <t>Cost Center</t>
  </si>
  <si>
    <t>Business Unit</t>
  </si>
  <si>
    <t>filename</t>
  </si>
  <si>
    <t>path</t>
  </si>
  <si>
    <t>Business Line</t>
  </si>
  <si>
    <t>Summary of current month</t>
  </si>
  <si>
    <t>Name of project [Business Line]</t>
  </si>
  <si>
    <t>4flow_Projectnumbers.xlsm</t>
  </si>
  <si>
    <t>days</t>
  </si>
  <si>
    <t>tasks</t>
  </si>
  <si>
    <t>information cost center</t>
  </si>
  <si>
    <t>Column4</t>
  </si>
  <si>
    <t>Column5</t>
  </si>
  <si>
    <t>Column6</t>
  </si>
  <si>
    <t>Column8</t>
  </si>
  <si>
    <t>Column10</t>
  </si>
  <si>
    <t>Customer ID</t>
  </si>
  <si>
    <t>4flow internal special projects</t>
  </si>
  <si>
    <t/>
  </si>
  <si>
    <t>01_DE_Berlin</t>
  </si>
  <si>
    <t>01_DE_Hamburg</t>
  </si>
  <si>
    <t>02_CZ_Pilsen</t>
  </si>
  <si>
    <t>01_DE_Duesseldorf</t>
  </si>
  <si>
    <t>01_DE_Munich</t>
  </si>
  <si>
    <t>10_AT_Vienna</t>
  </si>
  <si>
    <t>04_BE_Westerlo</t>
  </si>
  <si>
    <t>Customer-Groupname</t>
  </si>
  <si>
    <t>Project title</t>
  </si>
  <si>
    <t>educational training - 4flow research</t>
  </si>
  <si>
    <t>4flow study Transportintensity</t>
  </si>
  <si>
    <t>Innovation internal project</t>
  </si>
  <si>
    <t>4flow-internal</t>
  </si>
  <si>
    <t>Vacation or sickness</t>
  </si>
  <si>
    <t>Vacation or sickness:</t>
  </si>
  <si>
    <t>Knowledge as a Service for 4flow software</t>
  </si>
  <si>
    <t>Knowledge as a Service for 4flow consulting</t>
  </si>
  <si>
    <t>Knowledge as a Service for 4flow management</t>
  </si>
  <si>
    <t>France</t>
  </si>
  <si>
    <t>Austria</t>
  </si>
  <si>
    <t>10_Austria</t>
  </si>
  <si>
    <t>11_SAS</t>
  </si>
  <si>
    <t>(All)</t>
  </si>
  <si>
    <t>12_Control Tower GmbH</t>
  </si>
  <si>
    <t>Spain</t>
  </si>
  <si>
    <t>13_Spain</t>
  </si>
  <si>
    <t>05_CN_Shanghai / Changzhou / Beijing</t>
  </si>
  <si>
    <t>Trendmonitor</t>
  </si>
  <si>
    <t>13_ES_Vigo</t>
  </si>
  <si>
    <t>13_ES_Madrid</t>
  </si>
  <si>
    <t>01_DE_Eisenach</t>
  </si>
  <si>
    <t>Projekt Methodenentwicklung und -evaluierung Bestandsoptimierung - Forschungszulage</t>
  </si>
  <si>
    <t>09_BR_Campinas / Sao Paulo</t>
  </si>
  <si>
    <t>11_FR_Paris / France other locations</t>
  </si>
  <si>
    <t>11_FR_Metz / Mulhouse</t>
  </si>
  <si>
    <t>01_DE_Stuttgart / Heidelberg</t>
  </si>
  <si>
    <t>01_DE_Ruesselsheim / Bad Nauheim</t>
  </si>
  <si>
    <t>Transport Market Monitor and Dashboards</t>
  </si>
  <si>
    <t>Inventory Optimization Toolbox</t>
  </si>
  <si>
    <t>Warehouse equipment automization and optimization</t>
  </si>
  <si>
    <t>07_US_Detroit / Atlanta</t>
  </si>
  <si>
    <t>08_HU_Budapest / Szentgotthárd</t>
  </si>
  <si>
    <t>13_ES_Zaragoza / Figueruelas</t>
  </si>
  <si>
    <t>Knowledge Management with Large Language Models</t>
  </si>
  <si>
    <t>marketing - 4flow research</t>
  </si>
  <si>
    <t>01_DE_Dresden</t>
  </si>
  <si>
    <t>Study E-Commerce, Packaging and Sustainability</t>
  </si>
  <si>
    <t>specification</t>
  </si>
  <si>
    <t>Specification</t>
  </si>
  <si>
    <t>Column1</t>
  </si>
  <si>
    <t>Cost center</t>
  </si>
  <si>
    <t>comined cost center</t>
  </si>
  <si>
    <t>4flow-Company (owner)</t>
  </si>
  <si>
    <t>Column2</t>
  </si>
  <si>
    <t>Workday ID</t>
  </si>
  <si>
    <t>Project</t>
  </si>
  <si>
    <t>4flow research - other internal activities</t>
  </si>
  <si>
    <t>Overheads</t>
  </si>
  <si>
    <t>4c_SAP Implementation</t>
  </si>
  <si>
    <t>4c_Intralogistics and Production</t>
  </si>
  <si>
    <t>4c_Strategy</t>
  </si>
  <si>
    <t>4c_IT Strategy</t>
  </si>
  <si>
    <t>4c_Transport and Network</t>
  </si>
  <si>
    <t>4c_Sustainability</t>
  </si>
  <si>
    <t>4c_Logistics Engennering</t>
  </si>
  <si>
    <t>4c_Kinaxis</t>
  </si>
  <si>
    <t>4c_Data Science</t>
  </si>
  <si>
    <t>4c_Business consulting</t>
  </si>
  <si>
    <t>4c_Digital consulting</t>
  </si>
  <si>
    <t>4c_Logistics Enginnering</t>
  </si>
  <si>
    <t>4m_Account Management</t>
  </si>
  <si>
    <t>4m_Business development</t>
  </si>
  <si>
    <t>4m_Execution</t>
  </si>
  <si>
    <t>4m_Invest</t>
  </si>
  <si>
    <t>4m_IT</t>
  </si>
  <si>
    <t>4m_Launch</t>
  </si>
  <si>
    <t>4m_Planning</t>
  </si>
  <si>
    <t>4m_Quality</t>
  </si>
  <si>
    <t>4m_Running</t>
  </si>
  <si>
    <t>4s_Change request</t>
  </si>
  <si>
    <t>4s_Customer project</t>
  </si>
  <si>
    <t>4s_Running fees</t>
  </si>
  <si>
    <t>Specification 4c</t>
  </si>
  <si>
    <t>Specification 4fm</t>
  </si>
  <si>
    <t>Specification 4fs</t>
  </si>
  <si>
    <t>Business Line of Cost Center</t>
  </si>
  <si>
    <t>Object</t>
  </si>
  <si>
    <t>Cost Center / Project</t>
  </si>
  <si>
    <t>HGB group allocation</t>
  </si>
  <si>
    <t>Include in HGB Group allocation</t>
  </si>
  <si>
    <t>combined cost center</t>
  </si>
  <si>
    <t>Column9</t>
  </si>
  <si>
    <t>Exclude in HGB Group allocation</t>
  </si>
  <si>
    <t>10030228</t>
  </si>
  <si>
    <t>10030328</t>
  </si>
  <si>
    <t>10040228</t>
  </si>
  <si>
    <t>10111828</t>
  </si>
  <si>
    <t>10111928</t>
  </si>
  <si>
    <t>10130328</t>
  </si>
  <si>
    <t>10150728</t>
  </si>
  <si>
    <t>10160428</t>
  </si>
  <si>
    <t>10160628</t>
  </si>
  <si>
    <t>10160728</t>
  </si>
  <si>
    <t>10161128</t>
  </si>
  <si>
    <t>10161328</t>
  </si>
  <si>
    <t>10161428</t>
  </si>
  <si>
    <t>10161528</t>
  </si>
  <si>
    <t>10161628</t>
  </si>
  <si>
    <t>10441328</t>
  </si>
  <si>
    <t>05_Shg</t>
  </si>
  <si>
    <t>10660228</t>
  </si>
  <si>
    <t>10760228</t>
  </si>
  <si>
    <t>10770211</t>
  </si>
  <si>
    <t>10770216</t>
  </si>
  <si>
    <t>10770326</t>
  </si>
  <si>
    <t>10770428</t>
  </si>
  <si>
    <t>10770528</t>
  </si>
  <si>
    <t>11060428</t>
  </si>
  <si>
    <t>11060828</t>
  </si>
  <si>
    <t>11060928</t>
  </si>
  <si>
    <t>11071328</t>
  </si>
  <si>
    <t>11100128</t>
  </si>
  <si>
    <t>11105426</t>
  </si>
  <si>
    <t>11107326</t>
  </si>
  <si>
    <t>11107528</t>
  </si>
  <si>
    <t>11107711</t>
  </si>
  <si>
    <t>11107716</t>
  </si>
  <si>
    <t>11107828</t>
  </si>
  <si>
    <t>11107928</t>
  </si>
  <si>
    <t>11131128</t>
  </si>
  <si>
    <t>11180328</t>
  </si>
  <si>
    <t>11180728</t>
  </si>
  <si>
    <t>11181228</t>
  </si>
  <si>
    <t>11181328</t>
  </si>
  <si>
    <t>11181428</t>
  </si>
  <si>
    <t>11243028</t>
  </si>
  <si>
    <t>11243128</t>
  </si>
  <si>
    <t>11243249</t>
  </si>
  <si>
    <t>11561828</t>
  </si>
  <si>
    <t>11561928</t>
  </si>
  <si>
    <t>11562028</t>
  </si>
  <si>
    <t>11562128</t>
  </si>
  <si>
    <t>11562228</t>
  </si>
  <si>
    <t>11900428</t>
  </si>
  <si>
    <t>12010128</t>
  </si>
  <si>
    <t>12025128</t>
  </si>
  <si>
    <t>12025228</t>
  </si>
  <si>
    <t>12025428</t>
  </si>
  <si>
    <t>12025628</t>
  </si>
  <si>
    <t>12025928</t>
  </si>
  <si>
    <t>12026028</t>
  </si>
  <si>
    <t>12026128</t>
  </si>
  <si>
    <t>12026228</t>
  </si>
  <si>
    <t>12034228</t>
  </si>
  <si>
    <t>12034328</t>
  </si>
  <si>
    <t>12034528</t>
  </si>
  <si>
    <t>12034828</t>
  </si>
  <si>
    <t>12034928</t>
  </si>
  <si>
    <t>12035328</t>
  </si>
  <si>
    <t>12035728</t>
  </si>
  <si>
    <t>12035928</t>
  </si>
  <si>
    <t>12036028</t>
  </si>
  <si>
    <t>12036128</t>
  </si>
  <si>
    <t>12036228</t>
  </si>
  <si>
    <t>12036328</t>
  </si>
  <si>
    <t>12036428</t>
  </si>
  <si>
    <t>12040228</t>
  </si>
  <si>
    <t>12040328</t>
  </si>
  <si>
    <t>12040428</t>
  </si>
  <si>
    <t>12040528</t>
  </si>
  <si>
    <t>12040628</t>
  </si>
  <si>
    <t>12410142</t>
  </si>
  <si>
    <t>12410942</t>
  </si>
  <si>
    <t>12410944</t>
  </si>
  <si>
    <t>12410947</t>
  </si>
  <si>
    <t>12410949</t>
  </si>
  <si>
    <t>12411028</t>
  </si>
  <si>
    <t>16_digital</t>
  </si>
  <si>
    <t>12411128</t>
  </si>
  <si>
    <t>12411228</t>
  </si>
  <si>
    <t>12411628</t>
  </si>
  <si>
    <t>12411728</t>
  </si>
  <si>
    <t>12411845</t>
  </si>
  <si>
    <t>12411928</t>
  </si>
  <si>
    <t>12412028</t>
  </si>
  <si>
    <t>12412145</t>
  </si>
  <si>
    <t>12412147</t>
  </si>
  <si>
    <t>12412249</t>
  </si>
  <si>
    <t>12412349</t>
  </si>
  <si>
    <t>12412428</t>
  </si>
  <si>
    <t>12412649</t>
  </si>
  <si>
    <t>12412728</t>
  </si>
  <si>
    <t>12412828</t>
  </si>
  <si>
    <t>12412942</t>
  </si>
  <si>
    <t>12413045</t>
  </si>
  <si>
    <t>12413142</t>
  </si>
  <si>
    <t>12820428</t>
  </si>
  <si>
    <t>13328628</t>
  </si>
  <si>
    <t>13329528</t>
  </si>
  <si>
    <t>13360128</t>
  </si>
  <si>
    <t>13360428</t>
  </si>
  <si>
    <t>13360928</t>
  </si>
  <si>
    <t>13361028</t>
  </si>
  <si>
    <t>13361128</t>
  </si>
  <si>
    <t>13361228</t>
  </si>
  <si>
    <t>13361328</t>
  </si>
  <si>
    <t>13361428</t>
  </si>
  <si>
    <t>13361528</t>
  </si>
  <si>
    <t>13361628</t>
  </si>
  <si>
    <t>13361728</t>
  </si>
  <si>
    <t>13361828</t>
  </si>
  <si>
    <t>13361928</t>
  </si>
  <si>
    <t>13362028</t>
  </si>
  <si>
    <t>13362128</t>
  </si>
  <si>
    <t>13362228</t>
  </si>
  <si>
    <t>13362328</t>
  </si>
  <si>
    <t>13362428</t>
  </si>
  <si>
    <t>13362528</t>
  </si>
  <si>
    <t>13362628</t>
  </si>
  <si>
    <t>13660211</t>
  </si>
  <si>
    <t>13660217</t>
  </si>
  <si>
    <t>13710628</t>
  </si>
  <si>
    <t>13710928</t>
  </si>
  <si>
    <t>15121111</t>
  </si>
  <si>
    <t>15121116</t>
  </si>
  <si>
    <t>15121211</t>
  </si>
  <si>
    <t>15121216</t>
  </si>
  <si>
    <t>15121326</t>
  </si>
  <si>
    <t>15121428</t>
  </si>
  <si>
    <t>15270628</t>
  </si>
  <si>
    <t>15670428</t>
  </si>
  <si>
    <t>15670528</t>
  </si>
  <si>
    <t>15671328</t>
  </si>
  <si>
    <t>15671428</t>
  </si>
  <si>
    <t>15671628</t>
  </si>
  <si>
    <t>15671728</t>
  </si>
  <si>
    <t>15671828</t>
  </si>
  <si>
    <t>15671928</t>
  </si>
  <si>
    <t>15672049</t>
  </si>
  <si>
    <t>15672128</t>
  </si>
  <si>
    <t>15680128</t>
  </si>
  <si>
    <t>15681028</t>
  </si>
  <si>
    <t>15703228</t>
  </si>
  <si>
    <t>15703528</t>
  </si>
  <si>
    <t>15703628</t>
  </si>
  <si>
    <t>15720511</t>
  </si>
  <si>
    <t>15720513</t>
  </si>
  <si>
    <t>15720516</t>
  </si>
  <si>
    <t>15720628</t>
  </si>
  <si>
    <t>15720728</t>
  </si>
  <si>
    <t>17700244</t>
  </si>
  <si>
    <t>12_CT</t>
  </si>
  <si>
    <t>17700247</t>
  </si>
  <si>
    <t>17700444</t>
  </si>
  <si>
    <t>17700544</t>
  </si>
  <si>
    <t>17700744</t>
  </si>
  <si>
    <t>17700843</t>
  </si>
  <si>
    <t>17701143</t>
  </si>
  <si>
    <t>17702342</t>
  </si>
  <si>
    <t>17702343</t>
  </si>
  <si>
    <t>17702344</t>
  </si>
  <si>
    <t>17702544</t>
  </si>
  <si>
    <t>17702644</t>
  </si>
  <si>
    <t>17702744</t>
  </si>
  <si>
    <t>17702843</t>
  </si>
  <si>
    <t>17702844</t>
  </si>
  <si>
    <t>17702944</t>
  </si>
  <si>
    <t>17703044</t>
  </si>
  <si>
    <t>17703144</t>
  </si>
  <si>
    <t>17703242</t>
  </si>
  <si>
    <t>17703243</t>
  </si>
  <si>
    <t>17703244</t>
  </si>
  <si>
    <t>17703247</t>
  </si>
  <si>
    <t>17703343</t>
  </si>
  <si>
    <t>17703842</t>
  </si>
  <si>
    <t>17703844</t>
  </si>
  <si>
    <t>17703944</t>
  </si>
  <si>
    <t>17704044</t>
  </si>
  <si>
    <t>17704144</t>
  </si>
  <si>
    <t>17704244</t>
  </si>
  <si>
    <t>19000128</t>
  </si>
  <si>
    <t>19003316</t>
  </si>
  <si>
    <t>19003428</t>
  </si>
  <si>
    <t>19003528</t>
  </si>
  <si>
    <t>19509628</t>
  </si>
  <si>
    <t>19509728</t>
  </si>
  <si>
    <t>19509828</t>
  </si>
  <si>
    <t>19509928</t>
  </si>
  <si>
    <t>19510549</t>
  </si>
  <si>
    <t>19650226</t>
  </si>
  <si>
    <t>19700743</t>
  </si>
  <si>
    <t>19700744</t>
  </si>
  <si>
    <t>19700747</t>
  </si>
  <si>
    <t>19701143</t>
  </si>
  <si>
    <t>19701144</t>
  </si>
  <si>
    <t>19701147</t>
  </si>
  <si>
    <t>19702643</t>
  </si>
  <si>
    <t>19702644</t>
  </si>
  <si>
    <t>19703543</t>
  </si>
  <si>
    <t>19703544</t>
  </si>
  <si>
    <t>19703643</t>
  </si>
  <si>
    <t>19703644</t>
  </si>
  <si>
    <t>19704344</t>
  </si>
  <si>
    <t>19704447</t>
  </si>
  <si>
    <t>19704547</t>
  </si>
  <si>
    <t>19704647</t>
  </si>
  <si>
    <t>19704743</t>
  </si>
  <si>
    <t>19710211</t>
  </si>
  <si>
    <t>19710212</t>
  </si>
  <si>
    <t>19711341</t>
  </si>
  <si>
    <t>19711342</t>
  </si>
  <si>
    <t>19711343</t>
  </si>
  <si>
    <t>19711344</t>
  </si>
  <si>
    <t>19711347</t>
  </si>
  <si>
    <t>19711547</t>
  </si>
  <si>
    <t>19711628</t>
  </si>
  <si>
    <t>19720311</t>
  </si>
  <si>
    <t>19720312</t>
  </si>
  <si>
    <t>19720313</t>
  </si>
  <si>
    <t>19721728</t>
  </si>
  <si>
    <t>19721928</t>
  </si>
  <si>
    <t>19722226</t>
  </si>
  <si>
    <t>19722428</t>
  </si>
  <si>
    <t>19722528</t>
  </si>
  <si>
    <t>19722641</t>
  </si>
  <si>
    <t>19722642</t>
  </si>
  <si>
    <t>19722643</t>
  </si>
  <si>
    <t>19722644</t>
  </si>
  <si>
    <t>19722647</t>
  </si>
  <si>
    <t>19722747</t>
  </si>
  <si>
    <t>19722749</t>
  </si>
  <si>
    <t>19804726</t>
  </si>
  <si>
    <t>19804828</t>
  </si>
  <si>
    <t>19804928</t>
  </si>
  <si>
    <t>19805026</t>
  </si>
  <si>
    <t>19805128</t>
  </si>
  <si>
    <t>19820411</t>
  </si>
  <si>
    <t>19880128</t>
  </si>
  <si>
    <t>19880628</t>
  </si>
  <si>
    <t>19881811</t>
  </si>
  <si>
    <t>19881812</t>
  </si>
  <si>
    <t>19881813</t>
  </si>
  <si>
    <t>19882043</t>
  </si>
  <si>
    <t>19882111</t>
  </si>
  <si>
    <t>19883311</t>
  </si>
  <si>
    <t>19883313</t>
  </si>
  <si>
    <t>19883316</t>
  </si>
  <si>
    <t>19883413</t>
  </si>
  <si>
    <t>19883416</t>
  </si>
  <si>
    <t>19883911</t>
  </si>
  <si>
    <t>19883916</t>
  </si>
  <si>
    <t>19884026</t>
  </si>
  <si>
    <t>19884144</t>
  </si>
  <si>
    <t>19940228</t>
  </si>
  <si>
    <t>19950944</t>
  </si>
  <si>
    <t>19951011</t>
  </si>
  <si>
    <t>19951126</t>
  </si>
  <si>
    <t>19951228</t>
  </si>
  <si>
    <t>20010228</t>
  </si>
  <si>
    <t>20010328</t>
  </si>
  <si>
    <t>20010428</t>
  </si>
  <si>
    <t>20070742</t>
  </si>
  <si>
    <t>20070743</t>
  </si>
  <si>
    <t>20070744</t>
  </si>
  <si>
    <t>20070747</t>
  </si>
  <si>
    <t>20071011</t>
  </si>
  <si>
    <t>20071016</t>
  </si>
  <si>
    <t>20071149</t>
  </si>
  <si>
    <t>20093828</t>
  </si>
  <si>
    <t>20094011</t>
  </si>
  <si>
    <t>20094016</t>
  </si>
  <si>
    <t>20097128</t>
  </si>
  <si>
    <t>20097528</t>
  </si>
  <si>
    <t>20100328</t>
  </si>
  <si>
    <t>20110228</t>
  </si>
  <si>
    <t>20130228</t>
  </si>
  <si>
    <t>20130328</t>
  </si>
  <si>
    <t>20130428</t>
  </si>
  <si>
    <t>20140228</t>
  </si>
  <si>
    <t>20170128</t>
  </si>
  <si>
    <t>20250128</t>
  </si>
  <si>
    <t>20250228</t>
  </si>
  <si>
    <t>20300228</t>
  </si>
  <si>
    <t>20300328</t>
  </si>
  <si>
    <t>20300428</t>
  </si>
  <si>
    <t>20300528</t>
  </si>
  <si>
    <t>20300628</t>
  </si>
  <si>
    <t>20310228</t>
  </si>
  <si>
    <t>20310328</t>
  </si>
  <si>
    <t>20310428</t>
  </si>
  <si>
    <t>20310528</t>
  </si>
  <si>
    <t>20320228</t>
  </si>
  <si>
    <t>20330228</t>
  </si>
  <si>
    <t>20340628</t>
  </si>
  <si>
    <t>20350228</t>
  </si>
  <si>
    <t>20360211</t>
  </si>
  <si>
    <t>20360216</t>
  </si>
  <si>
    <t>20370228</t>
  </si>
  <si>
    <t>20380228</t>
  </si>
  <si>
    <t>20390226</t>
  </si>
  <si>
    <t>20440244</t>
  </si>
  <si>
    <t>20440249</t>
  </si>
  <si>
    <t>20441444</t>
  </si>
  <si>
    <t>20441449</t>
  </si>
  <si>
    <t>20441744</t>
  </si>
  <si>
    <t>20450643</t>
  </si>
  <si>
    <t>20450644</t>
  </si>
  <si>
    <t>20450647</t>
  </si>
  <si>
    <t>20450648</t>
  </si>
  <si>
    <t>20451744</t>
  </si>
  <si>
    <t>20512144</t>
  </si>
  <si>
    <t>20513143</t>
  </si>
  <si>
    <t>20513144</t>
  </si>
  <si>
    <t>20513147</t>
  </si>
  <si>
    <t>20513212</t>
  </si>
  <si>
    <t>20513343</t>
  </si>
  <si>
    <t>20513447</t>
  </si>
  <si>
    <t>20513547</t>
  </si>
  <si>
    <t>20560228</t>
  </si>
  <si>
    <t>20580228</t>
  </si>
  <si>
    <t>20690544</t>
  </si>
  <si>
    <t>20706543</t>
  </si>
  <si>
    <t>20733211</t>
  </si>
  <si>
    <t>20733311</t>
  </si>
  <si>
    <t>20733716</t>
  </si>
  <si>
    <t>20820226</t>
  </si>
  <si>
    <t>20830628</t>
  </si>
  <si>
    <t>20890728</t>
  </si>
  <si>
    <t>20960228</t>
  </si>
  <si>
    <t>20960428</t>
  </si>
  <si>
    <t>20970843</t>
  </si>
  <si>
    <t>20970844</t>
  </si>
  <si>
    <t>20970847</t>
  </si>
  <si>
    <t>20970849</t>
  </si>
  <si>
    <t>20981712</t>
  </si>
  <si>
    <t>20990428</t>
  </si>
  <si>
    <t>20990628</t>
  </si>
  <si>
    <t>20990728</t>
  </si>
  <si>
    <t>21031028</t>
  </si>
  <si>
    <t>21031428</t>
  </si>
  <si>
    <t>21140628</t>
  </si>
  <si>
    <t>21150242</t>
  </si>
  <si>
    <t>21150243</t>
  </si>
  <si>
    <t>21150244</t>
  </si>
  <si>
    <t>21150247</t>
  </si>
  <si>
    <t>21150343</t>
  </si>
  <si>
    <t>21150344</t>
  </si>
  <si>
    <t>21150444</t>
  </si>
  <si>
    <t>21210228</t>
  </si>
  <si>
    <t>21250328</t>
  </si>
  <si>
    <t>21250428</t>
  </si>
  <si>
    <t>21250528</t>
  </si>
  <si>
    <t>21250628</t>
  </si>
  <si>
    <t>21250728</t>
  </si>
  <si>
    <t>21250828</t>
  </si>
  <si>
    <t>21250928</t>
  </si>
  <si>
    <t>21500843</t>
  </si>
  <si>
    <t>21500844</t>
  </si>
  <si>
    <t>21506447</t>
  </si>
  <si>
    <t>21508641</t>
  </si>
  <si>
    <t>21508642</t>
  </si>
  <si>
    <t>21508643</t>
  </si>
  <si>
    <t>21508644</t>
  </si>
  <si>
    <t>21508647</t>
  </si>
  <si>
    <t>21508847</t>
  </si>
  <si>
    <t>21508947</t>
  </si>
  <si>
    <t>21509028</t>
  </si>
  <si>
    <t>22000149</t>
  </si>
  <si>
    <t>22000341</t>
  </si>
  <si>
    <t>22000343</t>
  </si>
  <si>
    <t>22000344</t>
  </si>
  <si>
    <t>22000347</t>
  </si>
  <si>
    <t>22201442</t>
  </si>
  <si>
    <t>22201443</t>
  </si>
  <si>
    <t>22201444</t>
  </si>
  <si>
    <t>22201447</t>
  </si>
  <si>
    <t>22201744</t>
  </si>
  <si>
    <t>22201943</t>
  </si>
  <si>
    <t>22202044</t>
  </si>
  <si>
    <t>22210228</t>
  </si>
  <si>
    <t>22500128</t>
  </si>
  <si>
    <t>22502426</t>
  </si>
  <si>
    <t>22730528</t>
  </si>
  <si>
    <t>28910211</t>
  </si>
  <si>
    <t>28910311</t>
  </si>
  <si>
    <t>28910316</t>
  </si>
  <si>
    <t>28982211</t>
  </si>
  <si>
    <t>28982311</t>
  </si>
  <si>
    <t>28982411</t>
  </si>
  <si>
    <t>29030443</t>
  </si>
  <si>
    <t>29073747</t>
  </si>
  <si>
    <t>29074047</t>
  </si>
  <si>
    <t>29074242</t>
  </si>
  <si>
    <t>29074344</t>
  </si>
  <si>
    <t>29074347</t>
  </si>
  <si>
    <t>29074528</t>
  </si>
  <si>
    <t>29074647</t>
  </si>
  <si>
    <t>29074743</t>
  </si>
  <si>
    <t>29074847</t>
  </si>
  <si>
    <t>29074947</t>
  </si>
  <si>
    <t>29075047</t>
  </si>
  <si>
    <t>29075128</t>
  </si>
  <si>
    <t>29075328</t>
  </si>
  <si>
    <t>29080243</t>
  </si>
  <si>
    <t>29240342</t>
  </si>
  <si>
    <t>29240343</t>
  </si>
  <si>
    <t>29240344</t>
  </si>
  <si>
    <t>29240347</t>
  </si>
  <si>
    <t>29240349</t>
  </si>
  <si>
    <t>29240542</t>
  </si>
  <si>
    <t>29240644</t>
  </si>
  <si>
    <t>29240842</t>
  </si>
  <si>
    <t>29241241</t>
  </si>
  <si>
    <t>29241341</t>
  </si>
  <si>
    <t>29241841</t>
  </si>
  <si>
    <t>29241843</t>
  </si>
  <si>
    <t>29241941</t>
  </si>
  <si>
    <t>29242043</t>
  </si>
  <si>
    <t>29242143</t>
  </si>
  <si>
    <t>29242243</t>
  </si>
  <si>
    <t>29242328</t>
  </si>
  <si>
    <t>29242428</t>
  </si>
  <si>
    <t>29242541</t>
  </si>
  <si>
    <t>29260126</t>
  </si>
  <si>
    <t>29260128</t>
  </si>
  <si>
    <t>29261128</t>
  </si>
  <si>
    <t>29261228</t>
  </si>
  <si>
    <t>29270928</t>
  </si>
  <si>
    <t>30050443</t>
  </si>
  <si>
    <t>30090528</t>
  </si>
  <si>
    <t>30090628</t>
  </si>
  <si>
    <t>30090728</t>
  </si>
  <si>
    <t>30160128</t>
  </si>
  <si>
    <t>30160428</t>
  </si>
  <si>
    <t>30160628</t>
  </si>
  <si>
    <t>30160728</t>
  </si>
  <si>
    <t>30160928</t>
  </si>
  <si>
    <t>30161028</t>
  </si>
  <si>
    <t>30161128</t>
  </si>
  <si>
    <t>30161228</t>
  </si>
  <si>
    <t>30210428</t>
  </si>
  <si>
    <t>30250241</t>
  </si>
  <si>
    <t>30250244</t>
  </si>
  <si>
    <t>30250247</t>
  </si>
  <si>
    <t>30250744</t>
  </si>
  <si>
    <t>30280242</t>
  </si>
  <si>
    <t>30280243</t>
  </si>
  <si>
    <t>30280244</t>
  </si>
  <si>
    <t>30280247</t>
  </si>
  <si>
    <t>30280942</t>
  </si>
  <si>
    <t>30280944</t>
  </si>
  <si>
    <t>30281242</t>
  </si>
  <si>
    <t>30281344</t>
  </si>
  <si>
    <t>30281444</t>
  </si>
  <si>
    <t>30281549</t>
  </si>
  <si>
    <t>30281649</t>
  </si>
  <si>
    <t>30290128</t>
  </si>
  <si>
    <t>30310228</t>
  </si>
  <si>
    <t>30310328</t>
  </si>
  <si>
    <t>30310428</t>
  </si>
  <si>
    <t>30370728</t>
  </si>
  <si>
    <t>30403226</t>
  </si>
  <si>
    <t>30403328</t>
  </si>
  <si>
    <t>30403428</t>
  </si>
  <si>
    <t>30403528</t>
  </si>
  <si>
    <t>30420328</t>
  </si>
  <si>
    <t>30430228</t>
  </si>
  <si>
    <t>30450228</t>
  </si>
  <si>
    <t>30460543</t>
  </si>
  <si>
    <t>30460544</t>
  </si>
  <si>
    <t>30460547</t>
  </si>
  <si>
    <t>30461247</t>
  </si>
  <si>
    <t>30461344</t>
  </si>
  <si>
    <t>30461444</t>
  </si>
  <si>
    <t>30471526</t>
  </si>
  <si>
    <t>30471628</t>
  </si>
  <si>
    <t>30490228</t>
  </si>
  <si>
    <t>30490328</t>
  </si>
  <si>
    <t>30520228</t>
  </si>
  <si>
    <t>30530228</t>
  </si>
  <si>
    <t>30552128</t>
  </si>
  <si>
    <t>30560128</t>
  </si>
  <si>
    <t>30560228</t>
  </si>
  <si>
    <t>30570128</t>
  </si>
  <si>
    <t>30570228</t>
  </si>
  <si>
    <t>30580211</t>
  </si>
  <si>
    <t>30580216</t>
  </si>
  <si>
    <t>30600728</t>
  </si>
  <si>
    <t>30600828</t>
  </si>
  <si>
    <t>30610228</t>
  </si>
  <si>
    <t>30610328</t>
  </si>
  <si>
    <t>30610428</t>
  </si>
  <si>
    <t>30620211</t>
  </si>
  <si>
    <t>30620216</t>
  </si>
  <si>
    <t>30630128</t>
  </si>
  <si>
    <t>30630228</t>
  </si>
  <si>
    <t>30640228</t>
  </si>
  <si>
    <t>30670228</t>
  </si>
  <si>
    <t>30680228</t>
  </si>
  <si>
    <t>30691028</t>
  </si>
  <si>
    <t>30700328</t>
  </si>
  <si>
    <t>30700528</t>
  </si>
  <si>
    <t>30710228</t>
  </si>
  <si>
    <t>30730428</t>
  </si>
  <si>
    <t>30740528</t>
  </si>
  <si>
    <t>30760328</t>
  </si>
  <si>
    <t>30760428</t>
  </si>
  <si>
    <t>30800226</t>
  </si>
  <si>
    <t>30811828</t>
  </si>
  <si>
    <t>30811911</t>
  </si>
  <si>
    <t>30812028</t>
  </si>
  <si>
    <t>30812128</t>
  </si>
  <si>
    <t>30812228</t>
  </si>
  <si>
    <t>30812328</t>
  </si>
  <si>
    <t>30812428</t>
  </si>
  <si>
    <t>30812528</t>
  </si>
  <si>
    <t>30812628</t>
  </si>
  <si>
    <t>30812728</t>
  </si>
  <si>
    <t>30812828</t>
  </si>
  <si>
    <t>30812928</t>
  </si>
  <si>
    <t>30860328</t>
  </si>
  <si>
    <t>30861149</t>
  </si>
  <si>
    <t>30861228</t>
  </si>
  <si>
    <t>30861328</t>
  </si>
  <si>
    <t>30920845</t>
  </si>
  <si>
    <t>30930228</t>
  </si>
  <si>
    <t>30950244</t>
  </si>
  <si>
    <t>30960211</t>
  </si>
  <si>
    <t>30960216</t>
  </si>
  <si>
    <t>30960328</t>
  </si>
  <si>
    <t>31000211</t>
  </si>
  <si>
    <t>31000216</t>
  </si>
  <si>
    <t>31000328</t>
  </si>
  <si>
    <t>31000428</t>
  </si>
  <si>
    <t>31170326</t>
  </si>
  <si>
    <t>31220243</t>
  </si>
  <si>
    <t>31240528</t>
  </si>
  <si>
    <t>31240628</t>
  </si>
  <si>
    <t>31240726</t>
  </si>
  <si>
    <t>31240828</t>
  </si>
  <si>
    <t>31240926</t>
  </si>
  <si>
    <t>31241028</t>
  </si>
  <si>
    <t>31320128</t>
  </si>
  <si>
    <t>31320528</t>
  </si>
  <si>
    <t>31340128</t>
  </si>
  <si>
    <t>31340328</t>
  </si>
  <si>
    <t>31350228</t>
  </si>
  <si>
    <t>31370244</t>
  </si>
  <si>
    <t>31380228</t>
  </si>
  <si>
    <t>31390243</t>
  </si>
  <si>
    <t>31400228</t>
  </si>
  <si>
    <t>31410228</t>
  </si>
  <si>
    <t>31420243</t>
  </si>
  <si>
    <t>31430228</t>
  </si>
  <si>
    <t>31440228</t>
  </si>
  <si>
    <t>31450228</t>
  </si>
  <si>
    <t>31460228</t>
  </si>
  <si>
    <t>31470228</t>
  </si>
  <si>
    <t>31480228</t>
  </si>
  <si>
    <t>32280243</t>
  </si>
  <si>
    <t>32280244</t>
  </si>
  <si>
    <t>32280247</t>
  </si>
  <si>
    <t>32280342</t>
  </si>
  <si>
    <t>32280444</t>
  </si>
  <si>
    <t>32280543</t>
  </si>
  <si>
    <t>40020628</t>
  </si>
  <si>
    <t>40020728</t>
  </si>
  <si>
    <t>40050228</t>
  </si>
  <si>
    <t>40060228</t>
  </si>
  <si>
    <t>40070243</t>
  </si>
  <si>
    <t>41010226</t>
  </si>
  <si>
    <t>41020228</t>
  </si>
  <si>
    <t>41030228</t>
  </si>
  <si>
    <t>41130228</t>
  </si>
  <si>
    <t>41140228</t>
  </si>
  <si>
    <t>41150428</t>
  </si>
  <si>
    <t>41150528</t>
  </si>
  <si>
    <t>41160228</t>
  </si>
  <si>
    <t>60010241</t>
  </si>
  <si>
    <t>60100228</t>
  </si>
  <si>
    <t>60180244</t>
  </si>
  <si>
    <t>60190128</t>
  </si>
  <si>
    <t>60190828</t>
  </si>
  <si>
    <t>60190928</t>
  </si>
  <si>
    <t>60191028</t>
  </si>
  <si>
    <t>60191111</t>
  </si>
  <si>
    <t>60191228</t>
  </si>
  <si>
    <t>60200928</t>
  </si>
  <si>
    <t>60220228</t>
  </si>
  <si>
    <t>60220328</t>
  </si>
  <si>
    <t>60220428</t>
  </si>
  <si>
    <t>60230328</t>
  </si>
  <si>
    <t>60231628</t>
  </si>
  <si>
    <t>60231728</t>
  </si>
  <si>
    <t>60231828</t>
  </si>
  <si>
    <t>60240226</t>
  </si>
  <si>
    <t>60240344</t>
  </si>
  <si>
    <t>60240428</t>
  </si>
  <si>
    <t>60250228</t>
  </si>
  <si>
    <t>60260228</t>
  </si>
  <si>
    <t>60270726</t>
  </si>
  <si>
    <t>60270826</t>
  </si>
  <si>
    <t>60270928</t>
  </si>
  <si>
    <t>60290228</t>
  </si>
  <si>
    <t>60370316</t>
  </si>
  <si>
    <t>60400216</t>
  </si>
  <si>
    <t>60410228</t>
  </si>
  <si>
    <t>60420228</t>
  </si>
  <si>
    <t>60430228</t>
  </si>
  <si>
    <t>60520426</t>
  </si>
  <si>
    <t>60550241</t>
  </si>
  <si>
    <t>60550242</t>
  </si>
  <si>
    <t>60550244</t>
  </si>
  <si>
    <t>60550246</t>
  </si>
  <si>
    <t>60550247</t>
  </si>
  <si>
    <t>60550341</t>
  </si>
  <si>
    <t>60550343</t>
  </si>
  <si>
    <t>60550344</t>
  </si>
  <si>
    <t>60550346</t>
  </si>
  <si>
    <t>60550347</t>
  </si>
  <si>
    <t>60550447</t>
  </si>
  <si>
    <t>60600128</t>
  </si>
  <si>
    <t>60600228</t>
  </si>
  <si>
    <t>60600328</t>
  </si>
  <si>
    <t>60700228</t>
  </si>
  <si>
    <t>60740243</t>
  </si>
  <si>
    <t>60740244</t>
  </si>
  <si>
    <t>60740249</t>
  </si>
  <si>
    <t>60740444</t>
  </si>
  <si>
    <t>60740543</t>
  </si>
  <si>
    <t>60740643</t>
  </si>
  <si>
    <t>60800228</t>
  </si>
  <si>
    <t>60850228</t>
  </si>
  <si>
    <t>60920228</t>
  </si>
  <si>
    <t>60930228</t>
  </si>
  <si>
    <t>60930328</t>
  </si>
  <si>
    <t>60940128</t>
  </si>
  <si>
    <t>60940228</t>
  </si>
  <si>
    <t>60950211</t>
  </si>
  <si>
    <t>60960243</t>
  </si>
  <si>
    <t>60970228</t>
  </si>
  <si>
    <t>60980228</t>
  </si>
  <si>
    <t>60990241</t>
  </si>
  <si>
    <t>60990243</t>
  </si>
  <si>
    <t>60990244</t>
  </si>
  <si>
    <t>60990249</t>
  </si>
  <si>
    <t>61010228</t>
  </si>
  <si>
    <t>61020226</t>
  </si>
  <si>
    <t>61030228</t>
  </si>
  <si>
    <t>61080228</t>
  </si>
  <si>
    <t>63020226</t>
  </si>
  <si>
    <t>63020328</t>
  </si>
  <si>
    <t>63020428</t>
  </si>
  <si>
    <t>63030244</t>
  </si>
  <si>
    <t>63070328</t>
  </si>
  <si>
    <t>63130428</t>
  </si>
  <si>
    <t>63130528</t>
  </si>
  <si>
    <t>63130628</t>
  </si>
  <si>
    <t>63130728</t>
  </si>
  <si>
    <t>63150511</t>
  </si>
  <si>
    <t>63150517</t>
  </si>
  <si>
    <t>63150626</t>
  </si>
  <si>
    <t>64030228</t>
  </si>
  <si>
    <t>64050228</t>
  </si>
  <si>
    <t>64070228</t>
  </si>
  <si>
    <t>64080228</t>
  </si>
  <si>
    <t>64080328</t>
  </si>
  <si>
    <t>64240428</t>
  </si>
  <si>
    <t>64250128</t>
  </si>
  <si>
    <t>64252928</t>
  </si>
  <si>
    <t>64253328</t>
  </si>
  <si>
    <t>64253428</t>
  </si>
  <si>
    <t>64253528</t>
  </si>
  <si>
    <t>64253628</t>
  </si>
  <si>
    <t>64253728</t>
  </si>
  <si>
    <t>64261126</t>
  </si>
  <si>
    <t>64261228</t>
  </si>
  <si>
    <t>64261328</t>
  </si>
  <si>
    <t>64261428</t>
  </si>
  <si>
    <t>64261528</t>
  </si>
  <si>
    <t>66030226</t>
  </si>
  <si>
    <t>66050228</t>
  </si>
  <si>
    <t>66060528</t>
  </si>
  <si>
    <t>66060628</t>
  </si>
  <si>
    <t>66060728</t>
  </si>
  <si>
    <t>66070343</t>
  </si>
  <si>
    <t>66070344</t>
  </si>
  <si>
    <t>66070347</t>
  </si>
  <si>
    <t>66071644</t>
  </si>
  <si>
    <t>66071828</t>
  </si>
  <si>
    <t>66071943</t>
  </si>
  <si>
    <t>66072043</t>
  </si>
  <si>
    <t>66072143</t>
  </si>
  <si>
    <t>66080243</t>
  </si>
  <si>
    <t>66120243</t>
  </si>
  <si>
    <t>66130228</t>
  </si>
  <si>
    <t>66130328</t>
  </si>
  <si>
    <t>66140228</t>
  </si>
  <si>
    <t>66150241</t>
  </si>
  <si>
    <t>66150243</t>
  </si>
  <si>
    <t>66150244</t>
  </si>
  <si>
    <t>66160228</t>
  </si>
  <si>
    <t>66170228</t>
  </si>
  <si>
    <t>66190316</t>
  </si>
  <si>
    <t>66190543</t>
  </si>
  <si>
    <t>66190544</t>
  </si>
  <si>
    <t>66190547</t>
  </si>
  <si>
    <t>66190549</t>
  </si>
  <si>
    <t>66191442</t>
  </si>
  <si>
    <t>66192447</t>
  </si>
  <si>
    <t>66192547</t>
  </si>
  <si>
    <t>66192847</t>
  </si>
  <si>
    <t>66192928</t>
  </si>
  <si>
    <t>66280243</t>
  </si>
  <si>
    <t>66370444</t>
  </si>
  <si>
    <t>66380428</t>
  </si>
  <si>
    <t>66460726</t>
  </si>
  <si>
    <t>66460928</t>
  </si>
  <si>
    <t>66461328</t>
  </si>
  <si>
    <t>66461428</t>
  </si>
  <si>
    <t>66461528</t>
  </si>
  <si>
    <t>66461628</t>
  </si>
  <si>
    <t>66461726</t>
  </si>
  <si>
    <t>66461826</t>
  </si>
  <si>
    <t>66490228</t>
  </si>
  <si>
    <t>66490428</t>
  </si>
  <si>
    <t>66490528</t>
  </si>
  <si>
    <t>66490628</t>
  </si>
  <si>
    <t>66560328</t>
  </si>
  <si>
    <t>66570228</t>
  </si>
  <si>
    <t>66590328</t>
  </si>
  <si>
    <t>66600343</t>
  </si>
  <si>
    <t>66600426</t>
  </si>
  <si>
    <t>66640228</t>
  </si>
  <si>
    <t>70100228</t>
  </si>
  <si>
    <t>70100328</t>
  </si>
  <si>
    <t>70100411</t>
  </si>
  <si>
    <t>70110128</t>
  </si>
  <si>
    <t>70110228</t>
  </si>
  <si>
    <t>70110311</t>
  </si>
  <si>
    <t>70110316</t>
  </si>
  <si>
    <t>70120217</t>
  </si>
  <si>
    <t>70120311</t>
  </si>
  <si>
    <t>70120316</t>
  </si>
  <si>
    <t>70130228</t>
  </si>
  <si>
    <t>70140228</t>
  </si>
  <si>
    <t>70150228</t>
  </si>
  <si>
    <t>70221328</t>
  </si>
  <si>
    <t>70221528</t>
  </si>
  <si>
    <t>70221828</t>
  </si>
  <si>
    <t>70221928</t>
  </si>
  <si>
    <t>70222028</t>
  </si>
  <si>
    <t>70222128</t>
  </si>
  <si>
    <t>70250417</t>
  </si>
  <si>
    <t>70260528</t>
  </si>
  <si>
    <t>70260628</t>
  </si>
  <si>
    <t>70310211</t>
  </si>
  <si>
    <t>70310216</t>
  </si>
  <si>
    <t>70310326</t>
  </si>
  <si>
    <t>70310428</t>
  </si>
  <si>
    <t>70350228</t>
  </si>
  <si>
    <t>70350328</t>
  </si>
  <si>
    <t>70360228</t>
  </si>
  <si>
    <t>70370528</t>
  </si>
  <si>
    <t>70400226</t>
  </si>
  <si>
    <t>70410228</t>
  </si>
  <si>
    <t>70420228</t>
  </si>
  <si>
    <t>70430228</t>
  </si>
  <si>
    <t>70430328</t>
  </si>
  <si>
    <t>70440228</t>
  </si>
  <si>
    <t>70450328</t>
  </si>
  <si>
    <t>70450528</t>
  </si>
  <si>
    <t>70450628</t>
  </si>
  <si>
    <t>70460228</t>
  </si>
  <si>
    <t>70580211</t>
  </si>
  <si>
    <t>70590211</t>
  </si>
  <si>
    <t>70590217</t>
  </si>
  <si>
    <t>70660216</t>
  </si>
  <si>
    <t>70660311</t>
  </si>
  <si>
    <t>70660316</t>
  </si>
  <si>
    <t>73980226</t>
  </si>
  <si>
    <t>73990626</t>
  </si>
  <si>
    <t>74000212</t>
  </si>
  <si>
    <t>74040226</t>
  </si>
  <si>
    <t>74063328</t>
  </si>
  <si>
    <t>74100426</t>
  </si>
  <si>
    <t>74351028</t>
  </si>
  <si>
    <t>74500428</t>
  </si>
  <si>
    <t>74510311</t>
  </si>
  <si>
    <t>74900428</t>
  </si>
  <si>
    <t>75000211</t>
  </si>
  <si>
    <t>75000216</t>
  </si>
  <si>
    <t>75053228</t>
  </si>
  <si>
    <t>75053828</t>
  </si>
  <si>
    <t>75053928</t>
  </si>
  <si>
    <t>75054228</t>
  </si>
  <si>
    <t>75054328</t>
  </si>
  <si>
    <t>75054428</t>
  </si>
  <si>
    <t>75054528</t>
  </si>
  <si>
    <t>75060211</t>
  </si>
  <si>
    <t>75060328</t>
  </si>
  <si>
    <t>75080228</t>
  </si>
  <si>
    <t>75100216</t>
  </si>
  <si>
    <t>75130128</t>
  </si>
  <si>
    <t>75130328</t>
  </si>
  <si>
    <t>75130428</t>
  </si>
  <si>
    <t>75130528</t>
  </si>
  <si>
    <t>75130628</t>
  </si>
  <si>
    <t>75130728</t>
  </si>
  <si>
    <t>75130828</t>
  </si>
  <si>
    <t>75130928</t>
  </si>
  <si>
    <t>75180328</t>
  </si>
  <si>
    <t>75241228</t>
  </si>
  <si>
    <t>75250228</t>
  </si>
  <si>
    <t>75270128</t>
  </si>
  <si>
    <t>75270228</t>
  </si>
  <si>
    <t>75280228</t>
  </si>
  <si>
    <t>75300128</t>
  </si>
  <si>
    <t>75300228</t>
  </si>
  <si>
    <t>75320228</t>
  </si>
  <si>
    <t>75330128</t>
  </si>
  <si>
    <t>75330228</t>
  </si>
  <si>
    <t>75340228</t>
  </si>
  <si>
    <t>75360211</t>
  </si>
  <si>
    <t>75370228</t>
  </si>
  <si>
    <t>75380428</t>
  </si>
  <si>
    <t>75400228</t>
  </si>
  <si>
    <t>75400328</t>
  </si>
  <si>
    <t>75400428</t>
  </si>
  <si>
    <t>75410128</t>
  </si>
  <si>
    <t>75410228</t>
  </si>
  <si>
    <t>75500128</t>
  </si>
  <si>
    <t>75502128</t>
  </si>
  <si>
    <t>75502228</t>
  </si>
  <si>
    <t>75502328</t>
  </si>
  <si>
    <t>75620211</t>
  </si>
  <si>
    <t>75620216</t>
  </si>
  <si>
    <t>75620217</t>
  </si>
  <si>
    <t>75680128</t>
  </si>
  <si>
    <t>75680328</t>
  </si>
  <si>
    <t>75710244</t>
  </si>
  <si>
    <t>75710328</t>
  </si>
  <si>
    <t>75720243</t>
  </si>
  <si>
    <t>75730428</t>
  </si>
  <si>
    <t>75810249</t>
  </si>
  <si>
    <t>75830728</t>
  </si>
  <si>
    <t>75830828</t>
  </si>
  <si>
    <t>75870226</t>
  </si>
  <si>
    <t>75870328</t>
  </si>
  <si>
    <t>75920728</t>
  </si>
  <si>
    <t>75920928</t>
  </si>
  <si>
    <t>75960228</t>
  </si>
  <si>
    <t>76010128</t>
  </si>
  <si>
    <t>76010528</t>
  </si>
  <si>
    <t>76030243</t>
  </si>
  <si>
    <t>76040228</t>
  </si>
  <si>
    <t>76040328</t>
  </si>
  <si>
    <t>76050228</t>
  </si>
  <si>
    <t>76050328</t>
  </si>
  <si>
    <t>76050428</t>
  </si>
  <si>
    <t>76050528</t>
  </si>
  <si>
    <t>76050628</t>
  </si>
  <si>
    <t>76050728</t>
  </si>
  <si>
    <t>76050828</t>
  </si>
  <si>
    <t>76070228</t>
  </si>
  <si>
    <t>76100228</t>
  </si>
  <si>
    <t>76110228</t>
  </si>
  <si>
    <t>76120211</t>
  </si>
  <si>
    <t>76120216</t>
  </si>
  <si>
    <t>76130228</t>
  </si>
  <si>
    <t>76140228</t>
  </si>
  <si>
    <t>76150228</t>
  </si>
  <si>
    <t>76160228</t>
  </si>
  <si>
    <t>76160328</t>
  </si>
  <si>
    <t>76180228</t>
  </si>
  <si>
    <t>76190428</t>
  </si>
  <si>
    <t>76200228</t>
  </si>
  <si>
    <t>76210228</t>
  </si>
  <si>
    <t>76220228</t>
  </si>
  <si>
    <t>76280228</t>
  </si>
  <si>
    <t>76290226</t>
  </si>
  <si>
    <t>76360128</t>
  </si>
  <si>
    <t>76362128</t>
  </si>
  <si>
    <t>76362328</t>
  </si>
  <si>
    <t>76362928</t>
  </si>
  <si>
    <t>76363028</t>
  </si>
  <si>
    <t>76363128</t>
  </si>
  <si>
    <t>76363228</t>
  </si>
  <si>
    <t>76430528</t>
  </si>
  <si>
    <t>76450216</t>
  </si>
  <si>
    <t>76480328</t>
  </si>
  <si>
    <t>76530428</t>
  </si>
  <si>
    <t>76550328</t>
  </si>
  <si>
    <t>76550428</t>
  </si>
  <si>
    <t>76550528</t>
  </si>
  <si>
    <t>76550628</t>
  </si>
  <si>
    <t>76550728</t>
  </si>
  <si>
    <t>76550828</t>
  </si>
  <si>
    <t>76580528</t>
  </si>
  <si>
    <t>76580628</t>
  </si>
  <si>
    <t>76590328</t>
  </si>
  <si>
    <t>76590428</t>
  </si>
  <si>
    <t>76900226</t>
  </si>
  <si>
    <t>76950228</t>
  </si>
  <si>
    <t>76950328</t>
  </si>
  <si>
    <t>77000528</t>
  </si>
  <si>
    <t>77000628</t>
  </si>
  <si>
    <t>77000728</t>
  </si>
  <si>
    <t>77020328</t>
  </si>
  <si>
    <t>77020428</t>
  </si>
  <si>
    <t>77071728</t>
  </si>
  <si>
    <t>77071828</t>
  </si>
  <si>
    <t>78020411</t>
  </si>
  <si>
    <t>78020511</t>
  </si>
  <si>
    <t>78020911</t>
  </si>
  <si>
    <t>78021628</t>
  </si>
  <si>
    <t>78021728</t>
  </si>
  <si>
    <t>78021828</t>
  </si>
  <si>
    <t>78022111</t>
  </si>
  <si>
    <t>78022511</t>
  </si>
  <si>
    <t>78022711</t>
  </si>
  <si>
    <t>78022928</t>
  </si>
  <si>
    <t>78023011</t>
  </si>
  <si>
    <t>78023128</t>
  </si>
  <si>
    <t>78023211</t>
  </si>
  <si>
    <t>78023328</t>
  </si>
  <si>
    <t>78023411</t>
  </si>
  <si>
    <t>78023528</t>
  </si>
  <si>
    <t>78023628</t>
  </si>
  <si>
    <t>78023728</t>
  </si>
  <si>
    <t>78023828</t>
  </si>
  <si>
    <t>78023928</t>
  </si>
  <si>
    <t>78024028</t>
  </si>
  <si>
    <t>78024111</t>
  </si>
  <si>
    <t>78024116</t>
  </si>
  <si>
    <t>78024228</t>
  </si>
  <si>
    <t>78110812</t>
  </si>
  <si>
    <t>78117412</t>
  </si>
  <si>
    <t>78117611</t>
  </si>
  <si>
    <t>78117712</t>
  </si>
  <si>
    <t>78118712</t>
  </si>
  <si>
    <t>78119012</t>
  </si>
  <si>
    <t>78119112</t>
  </si>
  <si>
    <t>78119511</t>
  </si>
  <si>
    <t>78119616</t>
  </si>
  <si>
    <t>78120711</t>
  </si>
  <si>
    <t>78120816</t>
  </si>
  <si>
    <t>78120916</t>
  </si>
  <si>
    <t>78121011</t>
  </si>
  <si>
    <t>78121016</t>
  </si>
  <si>
    <t>78121116</t>
  </si>
  <si>
    <t>79020228</t>
  </si>
  <si>
    <t>79030316</t>
  </si>
  <si>
    <t>79040216</t>
  </si>
  <si>
    <t>79100226</t>
  </si>
  <si>
    <t>79500256</t>
  </si>
  <si>
    <t>79520228</t>
  </si>
  <si>
    <t>79560712</t>
  </si>
  <si>
    <t>79580812</t>
  </si>
  <si>
    <t>79680327</t>
  </si>
  <si>
    <t>79720211</t>
  </si>
  <si>
    <t>80010128</t>
  </si>
  <si>
    <t>80010228</t>
  </si>
  <si>
    <t>80010328</t>
  </si>
  <si>
    <t>80010428</t>
  </si>
  <si>
    <t>80010528</t>
  </si>
  <si>
    <t>80030228</t>
  </si>
  <si>
    <t>80040628</t>
  </si>
  <si>
    <t>80050226</t>
  </si>
  <si>
    <t>80070311</t>
  </si>
  <si>
    <t>80070316</t>
  </si>
  <si>
    <t>80100226</t>
  </si>
  <si>
    <t>80110228</t>
  </si>
  <si>
    <t>80180128</t>
  </si>
  <si>
    <t>80180741</t>
  </si>
  <si>
    <t>80180742</t>
  </si>
  <si>
    <t>80180743</t>
  </si>
  <si>
    <t>80180744</t>
  </si>
  <si>
    <t>80180747</t>
  </si>
  <si>
    <t>80180843</t>
  </si>
  <si>
    <t>80180928</t>
  </si>
  <si>
    <t>80181028</t>
  </si>
  <si>
    <t>80181143</t>
  </si>
  <si>
    <t>80181228</t>
  </si>
  <si>
    <t>80210244</t>
  </si>
  <si>
    <t>80210342</t>
  </si>
  <si>
    <t>80210343</t>
  </si>
  <si>
    <t>80210344</t>
  </si>
  <si>
    <t>80210347</t>
  </si>
  <si>
    <t>80210428</t>
  </si>
  <si>
    <t>80210547</t>
  </si>
  <si>
    <t>80220228</t>
  </si>
  <si>
    <t>80260128</t>
  </si>
  <si>
    <t>80301028</t>
  </si>
  <si>
    <t>80311628</t>
  </si>
  <si>
    <t>80311728</t>
  </si>
  <si>
    <t>80311828</t>
  </si>
  <si>
    <t>80352711</t>
  </si>
  <si>
    <t>80450528</t>
  </si>
  <si>
    <t>80630743</t>
  </si>
  <si>
    <t>80630744</t>
  </si>
  <si>
    <t>80630747</t>
  </si>
  <si>
    <t>80630843</t>
  </si>
  <si>
    <t>80630844</t>
  </si>
  <si>
    <t>80631244</t>
  </si>
  <si>
    <t>80631343</t>
  </si>
  <si>
    <t>80631443</t>
  </si>
  <si>
    <t>80631544</t>
  </si>
  <si>
    <t>80801328</t>
  </si>
  <si>
    <t>80801528</t>
  </si>
  <si>
    <t>80802028</t>
  </si>
  <si>
    <t>80802328</t>
  </si>
  <si>
    <t>80802428</t>
  </si>
  <si>
    <t>80802526</t>
  </si>
  <si>
    <t>80802628</t>
  </si>
  <si>
    <t>80802728</t>
  </si>
  <si>
    <t>80802828</t>
  </si>
  <si>
    <t>80802928</t>
  </si>
  <si>
    <t>80803028</t>
  </si>
  <si>
    <t>80803128</t>
  </si>
  <si>
    <t>80870243</t>
  </si>
  <si>
    <t>80870244</t>
  </si>
  <si>
    <t>80870247</t>
  </si>
  <si>
    <t>80872028</t>
  </si>
  <si>
    <t>80872143</t>
  </si>
  <si>
    <t>80872244</t>
  </si>
  <si>
    <t>80960328</t>
  </si>
  <si>
    <t>81020828</t>
  </si>
  <si>
    <t>81081628</t>
  </si>
  <si>
    <t>81081828</t>
  </si>
  <si>
    <t>81081928</t>
  </si>
  <si>
    <t>81082028</t>
  </si>
  <si>
    <t>81082128</t>
  </si>
  <si>
    <t>81082228</t>
  </si>
  <si>
    <t>81082328</t>
  </si>
  <si>
    <t>81160326</t>
  </si>
  <si>
    <t>81170228</t>
  </si>
  <si>
    <t>81170328</t>
  </si>
  <si>
    <t>81170628</t>
  </si>
  <si>
    <t>81180328</t>
  </si>
  <si>
    <t>81220328</t>
  </si>
  <si>
    <t>81280228</t>
  </si>
  <si>
    <t>81290228</t>
  </si>
  <si>
    <t>81290328</t>
  </si>
  <si>
    <t>81800428</t>
  </si>
  <si>
    <t>81810328</t>
  </si>
  <si>
    <t>81820328</t>
  </si>
  <si>
    <t>81830328</t>
  </si>
  <si>
    <t>81840228</t>
  </si>
  <si>
    <t>88030226</t>
  </si>
  <si>
    <t>88030411</t>
  </si>
  <si>
    <t>88030416</t>
  </si>
  <si>
    <t>88030516</t>
  </si>
  <si>
    <t>88060242</t>
  </si>
  <si>
    <t>88270328</t>
  </si>
  <si>
    <t>88340328</t>
  </si>
  <si>
    <t>88340428</t>
  </si>
  <si>
    <t>88351228</t>
  </si>
  <si>
    <t>88480528</t>
  </si>
  <si>
    <t>88512928</t>
  </si>
  <si>
    <t>88580526</t>
  </si>
  <si>
    <t>88580628</t>
  </si>
  <si>
    <t>88580728</t>
  </si>
  <si>
    <t>88590128</t>
  </si>
  <si>
    <t>88590528</t>
  </si>
  <si>
    <t>88640228</t>
  </si>
  <si>
    <t>88640328</t>
  </si>
  <si>
    <t>88660426</t>
  </si>
  <si>
    <t>88660528</t>
  </si>
  <si>
    <t>88670328</t>
  </si>
  <si>
    <t>88680343</t>
  </si>
  <si>
    <t>88690328</t>
  </si>
  <si>
    <t>88690428</t>
  </si>
  <si>
    <t>88690528</t>
  </si>
  <si>
    <t>88791928</t>
  </si>
  <si>
    <t>88792028</t>
  </si>
  <si>
    <t>88983228</t>
  </si>
  <si>
    <t>88984328</t>
  </si>
  <si>
    <t>88990428</t>
  </si>
  <si>
    <t>88990528</t>
  </si>
  <si>
    <t>89020528</t>
  </si>
  <si>
    <t>89030428</t>
  </si>
  <si>
    <t>89030528</t>
  </si>
  <si>
    <t>89110628</t>
  </si>
  <si>
    <t>89110711</t>
  </si>
  <si>
    <t>89110926</t>
  </si>
  <si>
    <t>89111026</t>
  </si>
  <si>
    <t>89111128</t>
  </si>
  <si>
    <t>89111228</t>
  </si>
  <si>
    <t>89111328</t>
  </si>
  <si>
    <t>89111411</t>
  </si>
  <si>
    <t>89111528</t>
  </si>
  <si>
    <t>89120228</t>
  </si>
  <si>
    <t>99510756</t>
  </si>
  <si>
    <t>99520128</t>
  </si>
  <si>
    <t>99520228</t>
  </si>
  <si>
    <t>99520328</t>
  </si>
  <si>
    <t>99560556</t>
  </si>
  <si>
    <t>99600256</t>
  </si>
  <si>
    <t>99600356</t>
  </si>
  <si>
    <t>99620216</t>
  </si>
  <si>
    <t>99620328</t>
  </si>
  <si>
    <t>99620428</t>
  </si>
  <si>
    <t>99620516</t>
  </si>
  <si>
    <t>99620628</t>
  </si>
  <si>
    <t>99620711</t>
  </si>
  <si>
    <t>99620713</t>
  </si>
  <si>
    <t>99620811</t>
  </si>
  <si>
    <t>99620911</t>
  </si>
  <si>
    <t>99620913</t>
  </si>
  <si>
    <t>99630213</t>
  </si>
  <si>
    <t>99630344</t>
  </si>
  <si>
    <t>99630411</t>
  </si>
  <si>
    <t>99630416</t>
  </si>
  <si>
    <t>99630511</t>
  </si>
  <si>
    <t>99630516</t>
  </si>
  <si>
    <t>99630613</t>
  </si>
  <si>
    <t>99630713</t>
  </si>
  <si>
    <t>99630813</t>
  </si>
  <si>
    <t>99630911</t>
  </si>
  <si>
    <t>99631044</t>
  </si>
  <si>
    <t>99631111</t>
  </si>
  <si>
    <t>99631113</t>
  </si>
  <si>
    <t>99631213</t>
  </si>
  <si>
    <t>99631311</t>
  </si>
  <si>
    <t>99631413</t>
  </si>
  <si>
    <t>99631511</t>
  </si>
  <si>
    <t>99631611</t>
  </si>
  <si>
    <t>99631711</t>
  </si>
  <si>
    <t>99631811</t>
  </si>
  <si>
    <t>99631816</t>
  </si>
  <si>
    <t>99631916</t>
  </si>
  <si>
    <t>99632011</t>
  </si>
  <si>
    <t>99632013</t>
  </si>
  <si>
    <t>99632113</t>
  </si>
  <si>
    <t>99632216</t>
  </si>
  <si>
    <t>99632344</t>
  </si>
  <si>
    <t>99632442</t>
  </si>
  <si>
    <t>99632544</t>
  </si>
  <si>
    <t>99632644</t>
  </si>
  <si>
    <t>99632726</t>
  </si>
  <si>
    <t>99632813</t>
  </si>
  <si>
    <t>99632913</t>
  </si>
  <si>
    <t>99633013</t>
  </si>
  <si>
    <t>99633111</t>
  </si>
  <si>
    <t>99633213</t>
  </si>
  <si>
    <t>99633313</t>
  </si>
  <si>
    <t>99633411</t>
  </si>
  <si>
    <t>99633513</t>
  </si>
  <si>
    <t>99633611</t>
  </si>
  <si>
    <t>99633711</t>
  </si>
  <si>
    <t>99633716</t>
  </si>
  <si>
    <t>99633844</t>
  </si>
  <si>
    <t>99633943</t>
  </si>
  <si>
    <t>99633944</t>
  </si>
  <si>
    <t>99634013</t>
  </si>
  <si>
    <t>99634111</t>
  </si>
  <si>
    <t>99634116</t>
  </si>
  <si>
    <t>99634213</t>
  </si>
  <si>
    <t>99634311</t>
  </si>
  <si>
    <t>99810712</t>
  </si>
  <si>
    <t>99812844</t>
  </si>
  <si>
    <t>99813311</t>
  </si>
  <si>
    <t>99815011</t>
  </si>
  <si>
    <t>99843611</t>
  </si>
  <si>
    <t>99843711</t>
  </si>
  <si>
    <t>99845911</t>
  </si>
  <si>
    <t>99846011</t>
  </si>
  <si>
    <t>99846713</t>
  </si>
  <si>
    <t>99846811</t>
  </si>
  <si>
    <t>99847011</t>
  </si>
  <si>
    <t>99847111</t>
  </si>
  <si>
    <t>99850311</t>
  </si>
  <si>
    <t>99850711</t>
  </si>
  <si>
    <t>99850811</t>
  </si>
  <si>
    <t>99850911</t>
  </si>
  <si>
    <t>99851211</t>
  </si>
  <si>
    <t>99851311</t>
  </si>
  <si>
    <t>99851411</t>
  </si>
  <si>
    <t>99851511</t>
  </si>
  <si>
    <t>99851611</t>
  </si>
  <si>
    <t>99851711</t>
  </si>
  <si>
    <t>99851811</t>
  </si>
  <si>
    <t>99851911</t>
  </si>
  <si>
    <t>99857411</t>
  </si>
  <si>
    <t>99857511</t>
  </si>
  <si>
    <t>99857611</t>
  </si>
  <si>
    <t>99857911</t>
  </si>
  <si>
    <t>99858111</t>
  </si>
  <si>
    <t>99858811</t>
  </si>
  <si>
    <t>99858911</t>
  </si>
  <si>
    <t>99859311</t>
  </si>
  <si>
    <t>99859511</t>
  </si>
  <si>
    <t>99859811</t>
  </si>
  <si>
    <t>99860811</t>
  </si>
  <si>
    <t>99860812</t>
  </si>
  <si>
    <t>99860928</t>
  </si>
  <si>
    <t>99861447</t>
  </si>
  <si>
    <t>99861611</t>
  </si>
  <si>
    <t>99861647</t>
  </si>
  <si>
    <t>99864544</t>
  </si>
  <si>
    <t>99864711</t>
  </si>
  <si>
    <t>99865011</t>
  </si>
  <si>
    <t>99865816</t>
  </si>
  <si>
    <t>99865928</t>
  </si>
  <si>
    <t>99866016</t>
  </si>
  <si>
    <t>99866111</t>
  </si>
  <si>
    <t>99866141</t>
  </si>
  <si>
    <t>99866143</t>
  </si>
  <si>
    <t>99866144</t>
  </si>
  <si>
    <t>99866613</t>
  </si>
  <si>
    <t>99867211</t>
  </si>
  <si>
    <t>99867328</t>
  </si>
  <si>
    <t>99867516</t>
  </si>
  <si>
    <t>99867616</t>
  </si>
  <si>
    <t>99867713</t>
  </si>
  <si>
    <t>99867841</t>
  </si>
  <si>
    <t>99867842</t>
  </si>
  <si>
    <t>99867843</t>
  </si>
  <si>
    <t>99867844</t>
  </si>
  <si>
    <t>99868028</t>
  </si>
  <si>
    <t>99868128</t>
  </si>
  <si>
    <t>99868228</t>
  </si>
  <si>
    <t>99868328</t>
  </si>
  <si>
    <t>99868411</t>
  </si>
  <si>
    <t>99868416</t>
  </si>
  <si>
    <t>99868516</t>
  </si>
  <si>
    <t>99868611</t>
  </si>
  <si>
    <t>99868728</t>
  </si>
  <si>
    <t>99868828</t>
  </si>
  <si>
    <t>99868916</t>
  </si>
  <si>
    <t>99869016</t>
  </si>
  <si>
    <t>99869028</t>
  </si>
  <si>
    <t>99869144</t>
  </si>
  <si>
    <t>99869244</t>
  </si>
  <si>
    <t>99869343</t>
  </si>
  <si>
    <t>99869344</t>
  </si>
  <si>
    <t>99869528</t>
  </si>
  <si>
    <t>99869728</t>
  </si>
  <si>
    <t>99869811</t>
  </si>
  <si>
    <t>99869816</t>
  </si>
  <si>
    <t>99869841</t>
  </si>
  <si>
    <t>99869843</t>
  </si>
  <si>
    <t>99869844</t>
  </si>
  <si>
    <t>99869849</t>
  </si>
  <si>
    <t>99869911</t>
  </si>
  <si>
    <t>99869913</t>
  </si>
  <si>
    <t>99871241</t>
  </si>
  <si>
    <t>99871344</t>
  </si>
  <si>
    <t>99871411</t>
  </si>
  <si>
    <t>99871413</t>
  </si>
  <si>
    <t>99881411</t>
  </si>
  <si>
    <t>99881643</t>
  </si>
  <si>
    <t>99881644</t>
  </si>
  <si>
    <t>99881911</t>
  </si>
  <si>
    <t>99882511</t>
  </si>
  <si>
    <t>99882543</t>
  </si>
  <si>
    <t>99882544</t>
  </si>
  <si>
    <t>99882611</t>
  </si>
  <si>
    <t>99885643</t>
  </si>
  <si>
    <t>99885644</t>
  </si>
  <si>
    <t>99886911</t>
  </si>
  <si>
    <t>99886943</t>
  </si>
  <si>
    <t>99888411</t>
  </si>
  <si>
    <t>99888413</t>
  </si>
  <si>
    <t>99890443</t>
  </si>
  <si>
    <t>99890943</t>
  </si>
  <si>
    <t>10_AT</t>
  </si>
  <si>
    <t>99892411</t>
  </si>
  <si>
    <t>99892513</t>
  </si>
  <si>
    <t>99892611</t>
  </si>
  <si>
    <t>99893411</t>
  </si>
  <si>
    <t>99893511</t>
  </si>
  <si>
    <t>99893611</t>
  </si>
  <si>
    <t>99893711</t>
  </si>
  <si>
    <t>99893811</t>
  </si>
  <si>
    <t>99894011</t>
  </si>
  <si>
    <t>99894543</t>
  </si>
  <si>
    <t>99894611</t>
  </si>
  <si>
    <t>99894943</t>
  </si>
  <si>
    <t>99894944</t>
  </si>
  <si>
    <t>99895043</t>
  </si>
  <si>
    <t>99895044</t>
  </si>
  <si>
    <t>99896011</t>
  </si>
  <si>
    <t>99896042</t>
  </si>
  <si>
    <t>99896043</t>
  </si>
  <si>
    <t>99896044</t>
  </si>
  <si>
    <t>99896243</t>
  </si>
  <si>
    <t>99896244</t>
  </si>
  <si>
    <t>99896311</t>
  </si>
  <si>
    <t>99896316</t>
  </si>
  <si>
    <t>99896611</t>
  </si>
  <si>
    <t>99896613</t>
  </si>
  <si>
    <t>99896811</t>
  </si>
  <si>
    <t>99897011</t>
  </si>
  <si>
    <t>99897019</t>
  </si>
  <si>
    <t>99897044</t>
  </si>
  <si>
    <t>99897211</t>
  </si>
  <si>
    <t>99898311</t>
  </si>
  <si>
    <t>99899011</t>
  </si>
  <si>
    <t>99899411</t>
  </si>
  <si>
    <t>99899413</t>
  </si>
  <si>
    <t>99900411</t>
  </si>
  <si>
    <t>99900528</t>
  </si>
  <si>
    <t>99901316</t>
  </si>
  <si>
    <t>99902048</t>
  </si>
  <si>
    <t>99907128</t>
  </si>
  <si>
    <t>99908616</t>
  </si>
  <si>
    <t>99909512</t>
  </si>
  <si>
    <t>99909712</t>
  </si>
  <si>
    <t>99910444</t>
  </si>
  <si>
    <t>99910511</t>
  </si>
  <si>
    <t>99910711</t>
  </si>
  <si>
    <t>99910712</t>
  </si>
  <si>
    <t>99910713</t>
  </si>
  <si>
    <t>99910716</t>
  </si>
  <si>
    <t>99910717</t>
  </si>
  <si>
    <t>99910843</t>
  </si>
  <si>
    <t>99910844</t>
  </si>
  <si>
    <t>99910913</t>
  </si>
  <si>
    <t>99911444</t>
  </si>
  <si>
    <t>99911644</t>
  </si>
  <si>
    <t>99911828</t>
  </si>
  <si>
    <t>99912044</t>
  </si>
  <si>
    <t>99912541</t>
  </si>
  <si>
    <t>99912544</t>
  </si>
  <si>
    <t>99912613</t>
  </si>
  <si>
    <t>99912711</t>
  </si>
  <si>
    <t>99912716</t>
  </si>
  <si>
    <t>99912743</t>
  </si>
  <si>
    <t>99912744</t>
  </si>
  <si>
    <t>99912911</t>
  </si>
  <si>
    <t>99913111</t>
  </si>
  <si>
    <t>99914111</t>
  </si>
  <si>
    <t>99914243</t>
  </si>
  <si>
    <t>99914244</t>
  </si>
  <si>
    <t>99914711</t>
  </si>
  <si>
    <t>99914911</t>
  </si>
  <si>
    <t>99915111</t>
  </si>
  <si>
    <t>99915211</t>
  </si>
  <si>
    <t>99916144</t>
  </si>
  <si>
    <t>99916644</t>
  </si>
  <si>
    <t>99917043</t>
  </si>
  <si>
    <t>99917811</t>
  </si>
  <si>
    <t>99918041</t>
  </si>
  <si>
    <t>99918216</t>
  </si>
  <si>
    <t>99918311</t>
  </si>
  <si>
    <t>99918313</t>
  </si>
  <si>
    <t>99918316</t>
  </si>
  <si>
    <t>99919211</t>
  </si>
  <si>
    <t>99919344</t>
  </si>
  <si>
    <t>99919444</t>
  </si>
  <si>
    <t>99919511</t>
  </si>
  <si>
    <t>99919611</t>
  </si>
  <si>
    <t>99919711</t>
  </si>
  <si>
    <t>99919911</t>
  </si>
  <si>
    <t>99920227</t>
  </si>
  <si>
    <t>99920344</t>
  </si>
  <si>
    <t>99920444</t>
  </si>
  <si>
    <t>99920511</t>
  </si>
  <si>
    <t>99920513</t>
  </si>
  <si>
    <t>99920644</t>
  </si>
  <si>
    <t>99920743</t>
  </si>
  <si>
    <t>99921016</t>
  </si>
  <si>
    <t>99921043</t>
  </si>
  <si>
    <t>99922142</t>
  </si>
  <si>
    <t>99922144</t>
  </si>
  <si>
    <t>99922444</t>
  </si>
  <si>
    <t>99922544</t>
  </si>
  <si>
    <t>99922644</t>
  </si>
  <si>
    <t>99922843</t>
  </si>
  <si>
    <t>99922944</t>
  </si>
  <si>
    <t>99923211</t>
  </si>
  <si>
    <t>99923213</t>
  </si>
  <si>
    <t>99923216</t>
  </si>
  <si>
    <t>99923242</t>
  </si>
  <si>
    <t>99923243</t>
  </si>
  <si>
    <t>99923244</t>
  </si>
  <si>
    <t>99923247</t>
  </si>
  <si>
    <t>99923443</t>
  </si>
  <si>
    <t>99924043</t>
  </si>
  <si>
    <t>99924142</t>
  </si>
  <si>
    <t>99924228</t>
  </si>
  <si>
    <t>99931311</t>
  </si>
  <si>
    <t>99931411</t>
  </si>
  <si>
    <t>99931511</t>
  </si>
  <si>
    <t>99931611</t>
  </si>
  <si>
    <t>99931711</t>
  </si>
  <si>
    <t>99931811</t>
  </si>
  <si>
    <t>99931817</t>
  </si>
  <si>
    <t>99931911</t>
  </si>
  <si>
    <t>99932011</t>
  </si>
  <si>
    <t>99932211</t>
  </si>
  <si>
    <t>99932411</t>
  </si>
  <si>
    <t>99932711</t>
  </si>
  <si>
    <t>99933011</t>
  </si>
  <si>
    <t>99933111</t>
  </si>
  <si>
    <t>99934211</t>
  </si>
  <si>
    <t>99934311</t>
  </si>
  <si>
    <t>99934511</t>
  </si>
  <si>
    <t>99938511</t>
  </si>
  <si>
    <t>99938611</t>
  </si>
  <si>
    <t>99940411</t>
  </si>
  <si>
    <t>99940511</t>
  </si>
  <si>
    <t>99941528</t>
  </si>
  <si>
    <t>99941628</t>
  </si>
  <si>
    <t>99942043</t>
  </si>
  <si>
    <t>99942143</t>
  </si>
  <si>
    <t>99942145</t>
  </si>
  <si>
    <t>99943443</t>
  </si>
  <si>
    <t>99944911</t>
  </si>
  <si>
    <t>99945011</t>
  </si>
  <si>
    <t>99945128</t>
  </si>
  <si>
    <t>99946511</t>
  </si>
  <si>
    <t>99946828</t>
  </si>
  <si>
    <t>99947428</t>
  </si>
  <si>
    <t>99947528</t>
  </si>
  <si>
    <t>99947928</t>
  </si>
  <si>
    <t>99948128</t>
  </si>
  <si>
    <t>99948328</t>
  </si>
  <si>
    <t>99948428</t>
  </si>
  <si>
    <t>99948928</t>
  </si>
  <si>
    <t>99949128</t>
  </si>
  <si>
    <t>99949228</t>
  </si>
  <si>
    <t>99949328</t>
  </si>
  <si>
    <t>99949911</t>
  </si>
  <si>
    <t>99950211</t>
  </si>
  <si>
    <t>99950216</t>
  </si>
  <si>
    <t>99950311</t>
  </si>
  <si>
    <t>99950511</t>
  </si>
  <si>
    <t>99950516</t>
  </si>
  <si>
    <t>99950528</t>
  </si>
  <si>
    <t>99950543</t>
  </si>
  <si>
    <t>99950544</t>
  </si>
  <si>
    <t>99950643</t>
  </si>
  <si>
    <t>99950744</t>
  </si>
  <si>
    <t>99950911</t>
  </si>
  <si>
    <t>99951311</t>
  </si>
  <si>
    <t>99951313</t>
  </si>
  <si>
    <t>99951513</t>
  </si>
  <si>
    <t>99951516</t>
  </si>
  <si>
    <t>99951517</t>
  </si>
  <si>
    <t>99951643</t>
  </si>
  <si>
    <t>99951644</t>
  </si>
  <si>
    <t>99951711</t>
  </si>
  <si>
    <t>99951713</t>
  </si>
  <si>
    <t>99951911</t>
  </si>
  <si>
    <t>99952013</t>
  </si>
  <si>
    <t>99952113</t>
  </si>
  <si>
    <t>99952442</t>
  </si>
  <si>
    <t>99952611</t>
  </si>
  <si>
    <t>99952711</t>
  </si>
  <si>
    <t>99952743</t>
  </si>
  <si>
    <t>99952744</t>
  </si>
  <si>
    <t>99952816</t>
  </si>
  <si>
    <t>99952913</t>
  </si>
  <si>
    <t>99953111</t>
  </si>
  <si>
    <t>99953216</t>
  </si>
  <si>
    <t>99953316</t>
  </si>
  <si>
    <t>99953416</t>
  </si>
  <si>
    <t>99953516</t>
  </si>
  <si>
    <t>99953611</t>
  </si>
  <si>
    <t>99953613</t>
  </si>
  <si>
    <t>99953711</t>
  </si>
  <si>
    <t>99953716</t>
  </si>
  <si>
    <t>99953913</t>
  </si>
  <si>
    <t>99954013</t>
  </si>
  <si>
    <t>99954313</t>
  </si>
  <si>
    <t>99954413</t>
  </si>
  <si>
    <t>99954513</t>
  </si>
  <si>
    <t>99954613</t>
  </si>
  <si>
    <t>99954844</t>
  </si>
  <si>
    <t>99954911</t>
  </si>
  <si>
    <t>99954916</t>
  </si>
  <si>
    <t>99955011</t>
  </si>
  <si>
    <t>99955013</t>
  </si>
  <si>
    <t>99955111</t>
  </si>
  <si>
    <t>99955116</t>
  </si>
  <si>
    <t>99955211</t>
  </si>
  <si>
    <t>99955216</t>
  </si>
  <si>
    <t>99955311</t>
  </si>
  <si>
    <t>99955513</t>
  </si>
  <si>
    <t>99955611</t>
  </si>
  <si>
    <t>99955713</t>
  </si>
  <si>
    <t>99955811</t>
  </si>
  <si>
    <t>99955813</t>
  </si>
  <si>
    <t>99955913</t>
  </si>
  <si>
    <t>99956011</t>
  </si>
  <si>
    <t>99956013</t>
  </si>
  <si>
    <t>99956113</t>
  </si>
  <si>
    <t>99956213</t>
  </si>
  <si>
    <t>99956316</t>
  </si>
  <si>
    <t>99956413</t>
  </si>
  <si>
    <t>99956513</t>
  </si>
  <si>
    <t>99956613</t>
  </si>
  <si>
    <t>99956713</t>
  </si>
  <si>
    <t>99956813</t>
  </si>
  <si>
    <t>99956913</t>
  </si>
  <si>
    <t>99957013</t>
  </si>
  <si>
    <t>99957113</t>
  </si>
  <si>
    <t>99957213</t>
  </si>
  <si>
    <t>99957313</t>
  </si>
  <si>
    <t>99957413</t>
  </si>
  <si>
    <t>99957516</t>
  </si>
  <si>
    <t>99957641</t>
  </si>
  <si>
    <t>99957642</t>
  </si>
  <si>
    <t>99957643</t>
  </si>
  <si>
    <t>99957644</t>
  </si>
  <si>
    <t>99957713</t>
  </si>
  <si>
    <t>99957811</t>
  </si>
  <si>
    <t>99957813</t>
  </si>
  <si>
    <t>99957816</t>
  </si>
  <si>
    <t>99957913</t>
  </si>
  <si>
    <t>99958016</t>
  </si>
  <si>
    <t>99958113</t>
  </si>
  <si>
    <t>99958216</t>
  </si>
  <si>
    <t>99958411</t>
  </si>
  <si>
    <t>99958511</t>
  </si>
  <si>
    <t>99958513</t>
  </si>
  <si>
    <t>99958613</t>
  </si>
  <si>
    <t>99958711</t>
  </si>
  <si>
    <t>99958816</t>
  </si>
  <si>
    <t>99958911</t>
  </si>
  <si>
    <t>99958916</t>
  </si>
  <si>
    <t>99959011</t>
  </si>
  <si>
    <t>99959013</t>
  </si>
  <si>
    <t>99959111</t>
  </si>
  <si>
    <t>99959113</t>
  </si>
  <si>
    <t>99959228</t>
  </si>
  <si>
    <t>99959313</t>
  </si>
  <si>
    <t>99959413</t>
  </si>
  <si>
    <t>99959513</t>
  </si>
  <si>
    <t>99959611</t>
  </si>
  <si>
    <t>99959613</t>
  </si>
  <si>
    <t>99959711</t>
  </si>
  <si>
    <t>99959716</t>
  </si>
  <si>
    <t>99959845</t>
  </si>
  <si>
    <t>99959928</t>
  </si>
  <si>
    <t>99960228</t>
  </si>
  <si>
    <t>99960328</t>
  </si>
  <si>
    <t>99960428</t>
  </si>
  <si>
    <t>99960628</t>
  </si>
  <si>
    <t>99960811</t>
  </si>
  <si>
    <t>99961028</t>
  </si>
  <si>
    <t>99961128</t>
  </si>
  <si>
    <t>99961228</t>
  </si>
  <si>
    <t>99961328</t>
  </si>
  <si>
    <t>99961428</t>
  </si>
  <si>
    <t>99961528</t>
  </si>
  <si>
    <t>99961628</t>
  </si>
  <si>
    <t>99961728</t>
  </si>
  <si>
    <t>99961828</t>
  </si>
  <si>
    <t>99961928</t>
  </si>
  <si>
    <t>99962028</t>
  </si>
  <si>
    <t>99962128</t>
  </si>
  <si>
    <t>99962228</t>
  </si>
  <si>
    <t>99962328</t>
  </si>
  <si>
    <t>99962428</t>
  </si>
  <si>
    <t>99962528</t>
  </si>
  <si>
    <t>99962728</t>
  </si>
  <si>
    <t>99962828</t>
  </si>
  <si>
    <t>11_FR</t>
  </si>
  <si>
    <t>99962928</t>
  </si>
  <si>
    <t>99963028</t>
  </si>
  <si>
    <t>99963128</t>
  </si>
  <si>
    <t>99963211</t>
  </si>
  <si>
    <t>99963328</t>
  </si>
  <si>
    <t>99963428</t>
  </si>
  <si>
    <t>99963528</t>
  </si>
  <si>
    <t>99963828</t>
  </si>
  <si>
    <t>99963928</t>
  </si>
  <si>
    <t>99964026</t>
  </si>
  <si>
    <t>99964111</t>
  </si>
  <si>
    <t>99964228</t>
  </si>
  <si>
    <t>99964328</t>
  </si>
  <si>
    <t>99964428</t>
  </si>
  <si>
    <t>99964628</t>
  </si>
  <si>
    <t>99964728</t>
  </si>
  <si>
    <t>99964828</t>
  </si>
  <si>
    <t>99964928</t>
  </si>
  <si>
    <t>99965028</t>
  </si>
  <si>
    <t>99965128</t>
  </si>
  <si>
    <t>99965228</t>
  </si>
  <si>
    <t>99965328</t>
  </si>
  <si>
    <t>99965428</t>
  </si>
  <si>
    <t>99965528</t>
  </si>
  <si>
    <t>99965628</t>
  </si>
  <si>
    <t>99965728</t>
  </si>
  <si>
    <t>99965828</t>
  </si>
  <si>
    <t>99965928</t>
  </si>
  <si>
    <t>99966026</t>
  </si>
  <si>
    <t>99966113</t>
  </si>
  <si>
    <t>99966213</t>
  </si>
  <si>
    <t>99966516</t>
  </si>
  <si>
    <t>99966549</t>
  </si>
  <si>
    <t>99966628</t>
  </si>
  <si>
    <t>99966728</t>
  </si>
  <si>
    <t>99966828</t>
  </si>
  <si>
    <t>99966948</t>
  </si>
  <si>
    <t>99967028</t>
  </si>
  <si>
    <t>99967111</t>
  </si>
  <si>
    <t>99967228</t>
  </si>
  <si>
    <t>99967328</t>
  </si>
  <si>
    <t>99967428</t>
  </si>
  <si>
    <t>99967528</t>
  </si>
  <si>
    <t>99967628</t>
  </si>
  <si>
    <t>99967728</t>
  </si>
  <si>
    <t>99967826</t>
  </si>
  <si>
    <t>99967928</t>
  </si>
  <si>
    <t>99968028</t>
  </si>
  <si>
    <t>99968113</t>
  </si>
  <si>
    <t>99968213</t>
  </si>
  <si>
    <t>99968328</t>
  </si>
  <si>
    <t>99968545</t>
  </si>
  <si>
    <t>99968628</t>
  </si>
  <si>
    <t>99968811</t>
  </si>
  <si>
    <t>99968911</t>
  </si>
  <si>
    <t>99980000</t>
  </si>
  <si>
    <t>99980100</t>
  </si>
  <si>
    <t>99980200</t>
  </si>
  <si>
    <t>99980300</t>
  </si>
  <si>
    <t>99981000</t>
  </si>
  <si>
    <t>99981029</t>
  </si>
  <si>
    <t>99981049</t>
  </si>
  <si>
    <t>99981500</t>
  </si>
  <si>
    <t>99982000</t>
  </si>
  <si>
    <t>99982009</t>
  </si>
  <si>
    <t>99982029</t>
  </si>
  <si>
    <t>99982049</t>
  </si>
  <si>
    <t>99982059</t>
  </si>
  <si>
    <t>99982100</t>
  </si>
  <si>
    <t>99982149</t>
  </si>
  <si>
    <t>99983000</t>
  </si>
  <si>
    <t>99983009</t>
  </si>
  <si>
    <t>99983100</t>
  </si>
  <si>
    <t>99983200</t>
  </si>
  <si>
    <t>99983229</t>
  </si>
  <si>
    <t>99983400</t>
  </si>
  <si>
    <t>99983429</t>
  </si>
  <si>
    <t>99983449</t>
  </si>
  <si>
    <t>99983500</t>
  </si>
  <si>
    <t>99983600</t>
  </si>
  <si>
    <t>99983700</t>
  </si>
  <si>
    <t>99983800</t>
  </si>
  <si>
    <t>99983900</t>
  </si>
  <si>
    <t>99984029</t>
  </si>
  <si>
    <t>99984049</t>
  </si>
  <si>
    <t>99984059</t>
  </si>
  <si>
    <t>99985000</t>
  </si>
  <si>
    <t>99985109</t>
  </si>
  <si>
    <t>99985200</t>
  </si>
  <si>
    <t>99985209</t>
  </si>
  <si>
    <t>99986000</t>
  </si>
  <si>
    <t>99986100</t>
  </si>
  <si>
    <t>99986200</t>
  </si>
  <si>
    <t>99986300</t>
  </si>
  <si>
    <t>99987000</t>
  </si>
  <si>
    <t>99987109</t>
  </si>
  <si>
    <t>99987200</t>
  </si>
  <si>
    <t>99987209</t>
  </si>
  <si>
    <t>99987300</t>
  </si>
  <si>
    <t>99987309</t>
  </si>
  <si>
    <t>99987400</t>
  </si>
  <si>
    <t>99987500</t>
  </si>
  <si>
    <t>99987600</t>
  </si>
  <si>
    <t>99987700</t>
  </si>
  <si>
    <t>99987800</t>
  </si>
  <si>
    <t>99987919</t>
  </si>
  <si>
    <t>99988000</t>
  </si>
  <si>
    <t>99988019</t>
  </si>
  <si>
    <t>99988029</t>
  </si>
  <si>
    <t>99988049</t>
  </si>
  <si>
    <t>99988059</t>
  </si>
  <si>
    <t>99988149</t>
  </si>
  <si>
    <t>99988229</t>
  </si>
  <si>
    <t>99988249</t>
  </si>
  <si>
    <t>99988349</t>
  </si>
  <si>
    <t>99988429</t>
  </si>
  <si>
    <t>99988449</t>
  </si>
  <si>
    <t>99988529</t>
  </si>
  <si>
    <t>99988549</t>
  </si>
  <si>
    <t>99988619</t>
  </si>
  <si>
    <t>99988629</t>
  </si>
  <si>
    <t>99988649</t>
  </si>
  <si>
    <t>99988719</t>
  </si>
  <si>
    <t>99988729</t>
  </si>
  <si>
    <t>99988819</t>
  </si>
  <si>
    <t>99988829</t>
  </si>
  <si>
    <t>99988929</t>
  </si>
  <si>
    <t>99989029</t>
  </si>
  <si>
    <t>99989049</t>
  </si>
  <si>
    <t>99989129</t>
  </si>
  <si>
    <t>99989149</t>
  </si>
  <si>
    <t>99989159</t>
  </si>
  <si>
    <t>99989229</t>
  </si>
  <si>
    <t>99989249</t>
  </si>
  <si>
    <t>99989329</t>
  </si>
  <si>
    <t>99989349</t>
  </si>
  <si>
    <t>99989359</t>
  </si>
  <si>
    <t>99989429</t>
  </si>
  <si>
    <t>99989529</t>
  </si>
  <si>
    <t>99989559</t>
  </si>
  <si>
    <t>99989629</t>
  </si>
  <si>
    <t>99989659</t>
  </si>
  <si>
    <t>99989759</t>
  </si>
  <si>
    <t>99989859</t>
  </si>
  <si>
    <t>99990249</t>
  </si>
  <si>
    <t>99990349</t>
  </si>
  <si>
    <t>99990441</t>
  </si>
  <si>
    <t>99990447</t>
  </si>
  <si>
    <t>99991119</t>
  </si>
  <si>
    <t>99991319</t>
  </si>
  <si>
    <t>99991519</t>
  </si>
  <si>
    <t>99991619</t>
  </si>
  <si>
    <t>99991719</t>
  </si>
  <si>
    <t>99991819</t>
  </si>
  <si>
    <t>99991919</t>
  </si>
  <si>
    <t>99992119</t>
  </si>
  <si>
    <t>99992319</t>
  </si>
  <si>
    <t>99992819</t>
  </si>
  <si>
    <t>99992919</t>
  </si>
  <si>
    <t>99993119</t>
  </si>
  <si>
    <t>99993819</t>
  </si>
  <si>
    <t>99994041</t>
  </si>
  <si>
    <t>99994047</t>
  </si>
  <si>
    <t>99994141</t>
  </si>
  <si>
    <t>99994241</t>
  </si>
  <si>
    <t>99994249</t>
  </si>
  <si>
    <t>99994729</t>
  </si>
  <si>
    <t>99994829</t>
  </si>
  <si>
    <t>99995119</t>
  </si>
  <si>
    <t>99995129</t>
  </si>
  <si>
    <t>99995229</t>
  </si>
  <si>
    <t>99995319</t>
  </si>
  <si>
    <t>99995329</t>
  </si>
  <si>
    <t>99995729</t>
  </si>
  <si>
    <t>99995841</t>
  </si>
  <si>
    <t>99995847</t>
  </si>
  <si>
    <t>99995929</t>
  </si>
  <si>
    <t>99995941</t>
  </si>
  <si>
    <t>99995947</t>
  </si>
  <si>
    <t>99996029</t>
  </si>
  <si>
    <t>99996041</t>
  </si>
  <si>
    <t>99996047</t>
  </si>
  <si>
    <t>99996129</t>
  </si>
  <si>
    <t>99996141</t>
  </si>
  <si>
    <t>99996147</t>
  </si>
  <si>
    <t>99996229</t>
  </si>
  <si>
    <t>99996241</t>
  </si>
  <si>
    <t>99996247</t>
  </si>
  <si>
    <t>99996341</t>
  </si>
  <si>
    <t>99996347</t>
  </si>
  <si>
    <t>99996441</t>
  </si>
  <si>
    <t>99996447</t>
  </si>
  <si>
    <t>99996649</t>
  </si>
  <si>
    <t>99996741</t>
  </si>
  <si>
    <t>99996749</t>
  </si>
  <si>
    <t>99996841</t>
  </si>
  <si>
    <t>99996849</t>
  </si>
  <si>
    <t>99996941</t>
  </si>
  <si>
    <t>99996949</t>
  </si>
  <si>
    <t>99997059</t>
  </si>
  <si>
    <t>99997159</t>
  </si>
  <si>
    <t>99997259</t>
  </si>
  <si>
    <t>99997359</t>
  </si>
  <si>
    <t>99997459</t>
  </si>
  <si>
    <t>99997559</t>
  </si>
  <si>
    <t>99997629</t>
  </si>
  <si>
    <t>99997659</t>
  </si>
  <si>
    <t>99997729</t>
  </si>
  <si>
    <t>99997829</t>
  </si>
  <si>
    <t>99998319</t>
  </si>
  <si>
    <t>99998329</t>
  </si>
  <si>
    <t>99998519</t>
  </si>
  <si>
    <t>99998556</t>
  </si>
  <si>
    <t>99998656</t>
  </si>
  <si>
    <t>99999999</t>
  </si>
  <si>
    <t>general</t>
  </si>
  <si>
    <t>digital</t>
  </si>
  <si>
    <t>Supply Chain+</t>
  </si>
  <si>
    <t>Innovation</t>
  </si>
  <si>
    <t>4flow internal projects BG</t>
  </si>
  <si>
    <t>Sales</t>
  </si>
  <si>
    <t>4flow management</t>
  </si>
  <si>
    <t>4flow management board</t>
  </si>
  <si>
    <t>Management Board</t>
  </si>
  <si>
    <t>Management Board Assistance</t>
  </si>
  <si>
    <t>4flow software</t>
  </si>
  <si>
    <t>4flow consulting</t>
  </si>
  <si>
    <t>4flow sales</t>
  </si>
  <si>
    <t>4flow corporate services</t>
  </si>
  <si>
    <t>projects</t>
  </si>
  <si>
    <t>HR General</t>
  </si>
  <si>
    <t>HR Talent Acquisition</t>
  </si>
  <si>
    <t>HR Learning &amp; Development</t>
  </si>
  <si>
    <t>HR Services &amp; Solutions</t>
  </si>
  <si>
    <t>HR Quality Management &amp; Projects</t>
  </si>
  <si>
    <t>HR workday</t>
  </si>
  <si>
    <t>Training</t>
  </si>
  <si>
    <t>4flow company</t>
  </si>
  <si>
    <t>Corporate Development</t>
  </si>
  <si>
    <t>Managing Director</t>
  </si>
  <si>
    <t>Legal</t>
  </si>
  <si>
    <t>New Work</t>
  </si>
  <si>
    <t>Corporate Social Responsibility</t>
  </si>
  <si>
    <t>Corporate Projects</t>
  </si>
  <si>
    <t>Corporate Services</t>
  </si>
  <si>
    <t>4flow internal projects BL</t>
  </si>
  <si>
    <t>Internal</t>
  </si>
  <si>
    <t>4flow internal projects BU</t>
  </si>
  <si>
    <t xml:space="preserve">4flow internal projects </t>
  </si>
  <si>
    <t>4flow internal projects</t>
  </si>
  <si>
    <t>sales</t>
  </si>
  <si>
    <t>Knowledge Service</t>
  </si>
  <si>
    <t>Study</t>
  </si>
  <si>
    <t>iTMS</t>
  </si>
  <si>
    <t>SCO</t>
  </si>
  <si>
    <t>Data Solutions</t>
  </si>
  <si>
    <t>don't use!</t>
  </si>
  <si>
    <t>Solution Design &amp; Projects</t>
  </si>
  <si>
    <t>MB &amp; MD</t>
  </si>
  <si>
    <t>4flow management board - executive assistance</t>
  </si>
  <si>
    <t>Alumni Network</t>
  </si>
  <si>
    <t>EIC</t>
  </si>
  <si>
    <t>sales - 4flow (customer not specified)</t>
  </si>
  <si>
    <t>sales - 4flow consulting (customer not specified)</t>
  </si>
  <si>
    <t>sales - 4flow management (customer not specified)</t>
  </si>
  <si>
    <t>sales - 4flow (customer &amp; business line not specified)</t>
  </si>
  <si>
    <t>Marketing</t>
  </si>
  <si>
    <t>marketing - 4flow</t>
  </si>
  <si>
    <t>marketing - company</t>
  </si>
  <si>
    <t>marketing - 4flow consulting</t>
  </si>
  <si>
    <t>marketing - 4flow management</t>
  </si>
  <si>
    <t>Internal Events</t>
  </si>
  <si>
    <t>internal events - 4flow</t>
  </si>
  <si>
    <t>BG dynamic - pharma / life science</t>
  </si>
  <si>
    <t>HR</t>
  </si>
  <si>
    <t>HR - general activities</t>
  </si>
  <si>
    <t>hr - company</t>
  </si>
  <si>
    <t>HR - talent acquistion</t>
  </si>
  <si>
    <t>HR - campus recruitment</t>
  </si>
  <si>
    <t>vacation &amp; sickness - 4flow consulting</t>
  </si>
  <si>
    <t>HR - learning &amp; development</t>
  </si>
  <si>
    <t>other absences - 4flow consulting</t>
  </si>
  <si>
    <t>other absences - 4flow management</t>
  </si>
  <si>
    <t>HR - services &amp; solutions (until 2018 personnel marketing)</t>
  </si>
  <si>
    <t>HR - quality management &amp; projects</t>
  </si>
  <si>
    <t>HR - Employer Branding</t>
  </si>
  <si>
    <t>HR - Diversity Equity &amp; Inclusion</t>
  </si>
  <si>
    <t xml:space="preserve">FANS / HR Software für 4flow (Selektion und Implementierung) </t>
  </si>
  <si>
    <t>educational training - 4flow consulting</t>
  </si>
  <si>
    <t>educational training - 4flow management</t>
  </si>
  <si>
    <t>Finance</t>
  </si>
  <si>
    <t>finance - 4flow (incl. cost accounting, reporting, financial advice)</t>
  </si>
  <si>
    <t>finance - company (incl. accounting, financial auditor, tax advisor)</t>
  </si>
  <si>
    <t>Controlling</t>
  </si>
  <si>
    <t>controlling - 4flow</t>
  </si>
  <si>
    <t>controlling - company</t>
  </si>
  <si>
    <t>IT Services</t>
  </si>
  <si>
    <t>it - 4flow</t>
  </si>
  <si>
    <t>Compliance</t>
  </si>
  <si>
    <t>Compliance - data protection &amp; ISO 27001</t>
  </si>
  <si>
    <t>IT-Services Infrastructure</t>
  </si>
  <si>
    <t>IT-Services Support</t>
  </si>
  <si>
    <t>Administration</t>
  </si>
  <si>
    <t>administration - 4flow</t>
  </si>
  <si>
    <t>administration - company</t>
  </si>
  <si>
    <t>4flow corporate development</t>
  </si>
  <si>
    <t>management of company (within the company)</t>
  </si>
  <si>
    <t>management of 4flow Group (management board only) – cross charged</t>
  </si>
  <si>
    <t>management of 4flow (management board only)</t>
  </si>
  <si>
    <t>legal matters – cross charged</t>
  </si>
  <si>
    <t>Other</t>
  </si>
  <si>
    <t>New Work Berlin</t>
  </si>
  <si>
    <t>4s_general_Running_IT Systems_Further providers</t>
  </si>
  <si>
    <t>Corporate Services - General</t>
  </si>
  <si>
    <t>4s_general</t>
  </si>
  <si>
    <t>4flow consulting in general - other internal activities</t>
  </si>
  <si>
    <t>4flow management - other internal activities</t>
  </si>
  <si>
    <t>4flow consulting BU drive - other internal activities</t>
  </si>
  <si>
    <t>4flow management BG dynamic - other internal activities</t>
  </si>
  <si>
    <t>4flow consulting BU groove - other internal activities</t>
  </si>
  <si>
    <t>4flow management BG infinite - other internal activities</t>
  </si>
  <si>
    <t>4flow management BG more - other internal activities</t>
  </si>
  <si>
    <t>4flow consulting BU rise - other internal activities</t>
  </si>
  <si>
    <t>4flow management China - other internal activities</t>
  </si>
  <si>
    <t>4flow consulting BU boost - other internal activities</t>
  </si>
  <si>
    <t>4flow management North America - other internal activities</t>
  </si>
  <si>
    <t>4s_general_Running_IT Systems_internal test environments</t>
  </si>
  <si>
    <t>4flow consulting in general - mandated activities</t>
  </si>
  <si>
    <t>4flow management - Strategy &amp; Innovation</t>
  </si>
  <si>
    <t>4s_general_Running_IT Systems_Common infrastructure</t>
  </si>
  <si>
    <t>4flow consulting BU buzz - other internal activities</t>
  </si>
  <si>
    <t>4s_general_Running_IT Systems_4flow vista terminal servers</t>
  </si>
  <si>
    <t>BG SAP - other internal activities</t>
  </si>
  <si>
    <t>4flow consulting - Project Shadowing</t>
  </si>
  <si>
    <t>4flow consulting BU wave - other internal activities</t>
  </si>
  <si>
    <t>presales 4flow management</t>
  </si>
  <si>
    <t>4flow consulting BU boost - sales</t>
  </si>
  <si>
    <t>presales BG dynamic</t>
  </si>
  <si>
    <t>4flow consulting BU buzz - sales</t>
  </si>
  <si>
    <t>presales BG infinite</t>
  </si>
  <si>
    <t>4flow consulting BU drive - sales</t>
  </si>
  <si>
    <t>presales BG more</t>
  </si>
  <si>
    <t>4flow consulting BU groove - sales</t>
  </si>
  <si>
    <t>4flow consulting BU rise - sales</t>
  </si>
  <si>
    <t>4flow consulting BU wave - sales</t>
  </si>
  <si>
    <t>4m internal projects - Badges</t>
  </si>
  <si>
    <t>4m project tracking for Corporate projects</t>
  </si>
  <si>
    <t>SPM</t>
  </si>
  <si>
    <t>4m_SPM_iTMS_nextGen XM_Invest</t>
  </si>
  <si>
    <t>4m_SPM_iTMS_nextGen XM_Running</t>
  </si>
  <si>
    <t>iTMS-4s_concept and development</t>
  </si>
  <si>
    <t>iTMS-4m_concept and development</t>
  </si>
  <si>
    <t>iTMS-4m_concept and development_EMS NextGen</t>
  </si>
  <si>
    <t>iTMS-4m_conception and estimation of CRs (w/o Stellantis)</t>
  </si>
  <si>
    <t>iTMS-4m_concept and development_EMS</t>
  </si>
  <si>
    <t>iTMS-4m_Share_Business Plans</t>
  </si>
  <si>
    <t>iTMS-4m_Share_Modernization</t>
  </si>
  <si>
    <t>SAP-Addon_concept and development</t>
  </si>
  <si>
    <t>TORO_concept and development</t>
  </si>
  <si>
    <t>iTMS-4m_Running_IT Systems_4flow vista DC nodes in test and production</t>
  </si>
  <si>
    <t>iTMS-4m_Running_IT Systems_Analytics application servers and databases</t>
  </si>
  <si>
    <t>KNX-TLO_concept and development</t>
  </si>
  <si>
    <t>KNX-NEVA_sales and go-to-market</t>
  </si>
  <si>
    <t>4m_SPM_General_Invest</t>
  </si>
  <si>
    <t>4m_SPM_General_Running</t>
  </si>
  <si>
    <t>4m_SPM_iTMS_General_Running</t>
  </si>
  <si>
    <t>4m_SPM_iTMS_General_Invest</t>
  </si>
  <si>
    <t>Support US</t>
  </si>
  <si>
    <t>Support CN</t>
  </si>
  <si>
    <t>VIA-vista_concept and development</t>
  </si>
  <si>
    <t>lntralogistics &amp; Production</t>
  </si>
  <si>
    <t>Practice Strategy</t>
  </si>
  <si>
    <t>VIA-NEVA_concept and development</t>
  </si>
  <si>
    <t>OEM Group</t>
  </si>
  <si>
    <t>Working Groups</t>
  </si>
  <si>
    <t>4m_SPM_iTMS_RTV_Invest</t>
  </si>
  <si>
    <t>4m_SPM_iTMS_RTV_Running</t>
  </si>
  <si>
    <t>IT Strategy</t>
  </si>
  <si>
    <t>4m_SPM_iTMS_Sustainability Solution_Invest</t>
  </si>
  <si>
    <t>4m_SPM_iTMS_Sustainability Solution_Running</t>
  </si>
  <si>
    <t>Practice Transport &amp; Network</t>
  </si>
  <si>
    <t>4m_SPM_iTMS_Low Code_Invest</t>
  </si>
  <si>
    <t>4m_SPM_iTMS_Low Code_Running</t>
  </si>
  <si>
    <t>Travel for face-to-face meetings of virtual project teams (4c)</t>
  </si>
  <si>
    <t>4m_SPM_iTMS_future iTMS_Invest</t>
  </si>
  <si>
    <t>4m_SPM_iTMS_future iTMS_Running</t>
  </si>
  <si>
    <t>Sustainability</t>
  </si>
  <si>
    <t>4m_SPM_SCO_Data Orchestration Layer_Invest</t>
  </si>
  <si>
    <t>4m_SPM_SCO_Data Orchestration Layer_Running</t>
  </si>
  <si>
    <t>4m_SPM_SCO_General_Invest</t>
  </si>
  <si>
    <t>4m_SPM_SCO_General_Running</t>
  </si>
  <si>
    <t>4m_SPM_Data Solutions_General_Invest</t>
  </si>
  <si>
    <t>4m_SPM_Data Solutions_General_Running</t>
  </si>
  <si>
    <t>Supply Chain+ (product)</t>
  </si>
  <si>
    <t>4m_SPM_iTMS_FMS_Invest</t>
  </si>
  <si>
    <t>4m_SPM_iTMS_FMS_Running</t>
  </si>
  <si>
    <t>4m_SPM_iTMS_4fva_Invest</t>
  </si>
  <si>
    <t>4m_SPM_iTMS_4fva_Running</t>
  </si>
  <si>
    <t>4m_SPM_iTMS_RPA_Invest</t>
  </si>
  <si>
    <t>4m_SPM_iTMS_RPA_Running</t>
  </si>
  <si>
    <t>Centre of Gravity and Location Optimization Toolbox</t>
  </si>
  <si>
    <t>Logistics Engineering - other internal activities</t>
  </si>
  <si>
    <t>Capacitated Clustering Algorithms</t>
  </si>
  <si>
    <t>Kinaxis - other internal activities</t>
  </si>
  <si>
    <t>Data Science - other internal activities</t>
  </si>
  <si>
    <t>vTMS-4m_concept and development</t>
  </si>
  <si>
    <t>Data Driven consulting</t>
  </si>
  <si>
    <t>E2E-Platform_concept and development</t>
  </si>
  <si>
    <t xml:space="preserve">Konzernumlage </t>
  </si>
  <si>
    <t>Sales - Management Board</t>
  </si>
  <si>
    <t>4m_SPM_iTMS_NextGen XM</t>
  </si>
  <si>
    <t>4m_SPM_General</t>
  </si>
  <si>
    <t>4m_SPM_iTMS_General</t>
  </si>
  <si>
    <t>4m_SPM_iTMS_RTV</t>
  </si>
  <si>
    <t>4m_SPM_iTMS_Sustainability Solution</t>
  </si>
  <si>
    <t>4m_SPM_iTMS_Future iTMS</t>
  </si>
  <si>
    <t>4m_SPM_SCO_General</t>
  </si>
  <si>
    <t>4m_SPM_Data Solutions_General</t>
  </si>
  <si>
    <t>4m_SPM_iTMS_FMS</t>
  </si>
  <si>
    <t>4m_SPM_iTMS_4fva</t>
  </si>
  <si>
    <t>Translation of old cost center to workday ID and Specification</t>
  </si>
  <si>
    <t>workday ID</t>
  </si>
  <si>
    <t>workday ID (new)</t>
  </si>
  <si>
    <t>cost center (old)</t>
  </si>
  <si>
    <t>specification (new)</t>
  </si>
  <si>
    <t>01_SE</t>
  </si>
  <si>
    <t>Internal cost centers of 4flow</t>
  </si>
  <si>
    <t>1003022</t>
  </si>
  <si>
    <t>1003032</t>
  </si>
  <si>
    <t>1004022</t>
  </si>
  <si>
    <t>1011182</t>
  </si>
  <si>
    <t>1011192</t>
  </si>
  <si>
    <t>1013032</t>
  </si>
  <si>
    <t>1015072</t>
  </si>
  <si>
    <t>1016042</t>
  </si>
  <si>
    <t>1016062</t>
  </si>
  <si>
    <t>1016072</t>
  </si>
  <si>
    <t>1016112</t>
  </si>
  <si>
    <t>1016132</t>
  </si>
  <si>
    <t>1016142</t>
  </si>
  <si>
    <t>1016152</t>
  </si>
  <si>
    <t>1016162</t>
  </si>
  <si>
    <t>1044132</t>
  </si>
  <si>
    <t>1066022</t>
  </si>
  <si>
    <t>1076022</t>
  </si>
  <si>
    <t>1077021</t>
  </si>
  <si>
    <t>1077032</t>
  </si>
  <si>
    <t>1077042</t>
  </si>
  <si>
    <t>1077052</t>
  </si>
  <si>
    <t>1106042</t>
  </si>
  <si>
    <t>1106082</t>
  </si>
  <si>
    <t>1106092</t>
  </si>
  <si>
    <t>1107132</t>
  </si>
  <si>
    <t>1110012</t>
  </si>
  <si>
    <t>1110542</t>
  </si>
  <si>
    <t>1110732</t>
  </si>
  <si>
    <t>1110752</t>
  </si>
  <si>
    <t>1110771</t>
  </si>
  <si>
    <t>1110782</t>
  </si>
  <si>
    <t>1110792</t>
  </si>
  <si>
    <t>1113112</t>
  </si>
  <si>
    <t>1118032</t>
  </si>
  <si>
    <t>1118072</t>
  </si>
  <si>
    <t>1118122</t>
  </si>
  <si>
    <t>1118132</t>
  </si>
  <si>
    <t>1118142</t>
  </si>
  <si>
    <t>1124302</t>
  </si>
  <si>
    <t>1124312</t>
  </si>
  <si>
    <t>1124324</t>
  </si>
  <si>
    <t>1156182</t>
  </si>
  <si>
    <t>1156192</t>
  </si>
  <si>
    <t>1156202</t>
  </si>
  <si>
    <t>1156212</t>
  </si>
  <si>
    <t>1156222</t>
  </si>
  <si>
    <t>1190042</t>
  </si>
  <si>
    <t>1201012</t>
  </si>
  <si>
    <t>1202512</t>
  </si>
  <si>
    <t>1202522</t>
  </si>
  <si>
    <t>1202542</t>
  </si>
  <si>
    <t>1202562</t>
  </si>
  <si>
    <t>1202592</t>
  </si>
  <si>
    <t>1202602</t>
  </si>
  <si>
    <t>1202612</t>
  </si>
  <si>
    <t>1202622</t>
  </si>
  <si>
    <t>1203422</t>
  </si>
  <si>
    <t>1203432</t>
  </si>
  <si>
    <t>1203452</t>
  </si>
  <si>
    <t>1203482</t>
  </si>
  <si>
    <t>1203492</t>
  </si>
  <si>
    <t>1203532</t>
  </si>
  <si>
    <t>1203572</t>
  </si>
  <si>
    <t>1203592</t>
  </si>
  <si>
    <t>1203602</t>
  </si>
  <si>
    <t>1203612</t>
  </si>
  <si>
    <t>1203622</t>
  </si>
  <si>
    <t>1203632</t>
  </si>
  <si>
    <t>1203642</t>
  </si>
  <si>
    <t>1204022</t>
  </si>
  <si>
    <t>1204032</t>
  </si>
  <si>
    <t>1204042</t>
  </si>
  <si>
    <t>1204052</t>
  </si>
  <si>
    <t>1204062</t>
  </si>
  <si>
    <t>1241014</t>
  </si>
  <si>
    <t>1241094</t>
  </si>
  <si>
    <t>1241102</t>
  </si>
  <si>
    <t>1241112</t>
  </si>
  <si>
    <t>1241122</t>
  </si>
  <si>
    <t>1241162</t>
  </si>
  <si>
    <t>1241172</t>
  </si>
  <si>
    <t>1241184</t>
  </si>
  <si>
    <t>1241192</t>
  </si>
  <si>
    <t>1241202</t>
  </si>
  <si>
    <t>1241214</t>
  </si>
  <si>
    <t>1241224</t>
  </si>
  <si>
    <t>1241234</t>
  </si>
  <si>
    <t>1241242</t>
  </si>
  <si>
    <t>1241264</t>
  </si>
  <si>
    <t>1241272</t>
  </si>
  <si>
    <t>1241282</t>
  </si>
  <si>
    <t>1241294</t>
  </si>
  <si>
    <t>1241304</t>
  </si>
  <si>
    <t>1241314</t>
  </si>
  <si>
    <t>1282042</t>
  </si>
  <si>
    <t>1332862</t>
  </si>
  <si>
    <t>1332952</t>
  </si>
  <si>
    <t>1336012</t>
  </si>
  <si>
    <t>1336042</t>
  </si>
  <si>
    <t>1336092</t>
  </si>
  <si>
    <t>1336102</t>
  </si>
  <si>
    <t>1336112</t>
  </si>
  <si>
    <t>1336122</t>
  </si>
  <si>
    <t>1336132</t>
  </si>
  <si>
    <t>1336142</t>
  </si>
  <si>
    <t>1336152</t>
  </si>
  <si>
    <t>1336162</t>
  </si>
  <si>
    <t>1336172</t>
  </si>
  <si>
    <t>1336182</t>
  </si>
  <si>
    <t>1336192</t>
  </si>
  <si>
    <t>1336202</t>
  </si>
  <si>
    <t>1336212</t>
  </si>
  <si>
    <t>1336222</t>
  </si>
  <si>
    <t>1336232</t>
  </si>
  <si>
    <t>1336242</t>
  </si>
  <si>
    <t>1336252</t>
  </si>
  <si>
    <t>1336262</t>
  </si>
  <si>
    <t>1366021</t>
  </si>
  <si>
    <t>1371062</t>
  </si>
  <si>
    <t>1371092</t>
  </si>
  <si>
    <t>1512111</t>
  </si>
  <si>
    <t>1512121</t>
  </si>
  <si>
    <t>1512132</t>
  </si>
  <si>
    <t>1512142</t>
  </si>
  <si>
    <t>1527062</t>
  </si>
  <si>
    <t>1567042</t>
  </si>
  <si>
    <t>1567052</t>
  </si>
  <si>
    <t>1567132</t>
  </si>
  <si>
    <t>1567142</t>
  </si>
  <si>
    <t>1567162</t>
  </si>
  <si>
    <t>1567172</t>
  </si>
  <si>
    <t>1567182</t>
  </si>
  <si>
    <t>1567192</t>
  </si>
  <si>
    <t>1567204</t>
  </si>
  <si>
    <t>1567212</t>
  </si>
  <si>
    <t>1568012</t>
  </si>
  <si>
    <t>1568102</t>
  </si>
  <si>
    <t>1570322</t>
  </si>
  <si>
    <t>1570352</t>
  </si>
  <si>
    <t>1570362</t>
  </si>
  <si>
    <t>1572051</t>
  </si>
  <si>
    <t>1572062</t>
  </si>
  <si>
    <t>1572072</t>
  </si>
  <si>
    <t>1770024</t>
  </si>
  <si>
    <t>1770044</t>
  </si>
  <si>
    <t>1770054</t>
  </si>
  <si>
    <t>1770074</t>
  </si>
  <si>
    <t>1770084</t>
  </si>
  <si>
    <t>1770114</t>
  </si>
  <si>
    <t>1770234</t>
  </si>
  <si>
    <t>1770254</t>
  </si>
  <si>
    <t>1770264</t>
  </si>
  <si>
    <t>1770274</t>
  </si>
  <si>
    <t>1770284</t>
  </si>
  <si>
    <t>1770294</t>
  </si>
  <si>
    <t>1770304</t>
  </si>
  <si>
    <t>1770314</t>
  </si>
  <si>
    <t>1770324</t>
  </si>
  <si>
    <t>1770334</t>
  </si>
  <si>
    <t>1770384</t>
  </si>
  <si>
    <t>1770394</t>
  </si>
  <si>
    <t>1770404</t>
  </si>
  <si>
    <t>1770414</t>
  </si>
  <si>
    <t>1770424</t>
  </si>
  <si>
    <t>1900012</t>
  </si>
  <si>
    <t>1900331</t>
  </si>
  <si>
    <t>1900342</t>
  </si>
  <si>
    <t>1900352</t>
  </si>
  <si>
    <t>1950962</t>
  </si>
  <si>
    <t>1950972</t>
  </si>
  <si>
    <t>1950982</t>
  </si>
  <si>
    <t>1950992</t>
  </si>
  <si>
    <t>1951054</t>
  </si>
  <si>
    <t>1965022</t>
  </si>
  <si>
    <t>1970074</t>
  </si>
  <si>
    <t>1970114</t>
  </si>
  <si>
    <t>1970264</t>
  </si>
  <si>
    <t>1970354</t>
  </si>
  <si>
    <t>1970364</t>
  </si>
  <si>
    <t>1970434</t>
  </si>
  <si>
    <t>1970444</t>
  </si>
  <si>
    <t>1970454</t>
  </si>
  <si>
    <t>1970464</t>
  </si>
  <si>
    <t>1970474</t>
  </si>
  <si>
    <t>1971021</t>
  </si>
  <si>
    <t>1971134</t>
  </si>
  <si>
    <t>1971154</t>
  </si>
  <si>
    <t>1971162</t>
  </si>
  <si>
    <t>1972031</t>
  </si>
  <si>
    <t>1972172</t>
  </si>
  <si>
    <t>1972192</t>
  </si>
  <si>
    <t>1972222</t>
  </si>
  <si>
    <t>1972242</t>
  </si>
  <si>
    <t>1972252</t>
  </si>
  <si>
    <t>1972264</t>
  </si>
  <si>
    <t>1972274</t>
  </si>
  <si>
    <t>1980472</t>
  </si>
  <si>
    <t>1980482</t>
  </si>
  <si>
    <t>1980492</t>
  </si>
  <si>
    <t>1980502</t>
  </si>
  <si>
    <t>1980512</t>
  </si>
  <si>
    <t>1982041</t>
  </si>
  <si>
    <t>1988012</t>
  </si>
  <si>
    <t>1988062</t>
  </si>
  <si>
    <t>1988181</t>
  </si>
  <si>
    <t>1988204</t>
  </si>
  <si>
    <t>1988211</t>
  </si>
  <si>
    <t>1988331</t>
  </si>
  <si>
    <t>1988341</t>
  </si>
  <si>
    <t>1988391</t>
  </si>
  <si>
    <t>1988402</t>
  </si>
  <si>
    <t>1988414</t>
  </si>
  <si>
    <t>1994022</t>
  </si>
  <si>
    <t>1995094</t>
  </si>
  <si>
    <t>1995101</t>
  </si>
  <si>
    <t>1995112</t>
  </si>
  <si>
    <t>1995122</t>
  </si>
  <si>
    <t>2001022</t>
  </si>
  <si>
    <t>2001032</t>
  </si>
  <si>
    <t>2001042</t>
  </si>
  <si>
    <t>2007074</t>
  </si>
  <si>
    <t>2007101</t>
  </si>
  <si>
    <t>2007114</t>
  </si>
  <si>
    <t>2009382</t>
  </si>
  <si>
    <t>2009401</t>
  </si>
  <si>
    <t>2009712</t>
  </si>
  <si>
    <t>2009752</t>
  </si>
  <si>
    <t>2010032</t>
  </si>
  <si>
    <t>2011022</t>
  </si>
  <si>
    <t>2013022</t>
  </si>
  <si>
    <t>2013032</t>
  </si>
  <si>
    <t>2013042</t>
  </si>
  <si>
    <t>2014022</t>
  </si>
  <si>
    <t>2017012</t>
  </si>
  <si>
    <t>2025012</t>
  </si>
  <si>
    <t>2025022</t>
  </si>
  <si>
    <t>2030022</t>
  </si>
  <si>
    <t>2030032</t>
  </si>
  <si>
    <t>2030042</t>
  </si>
  <si>
    <t>2030052</t>
  </si>
  <si>
    <t>2030062</t>
  </si>
  <si>
    <t>2031022</t>
  </si>
  <si>
    <t>2031032</t>
  </si>
  <si>
    <t>2031042</t>
  </si>
  <si>
    <t>2031052</t>
  </si>
  <si>
    <t>2032022</t>
  </si>
  <si>
    <t>2033022</t>
  </si>
  <si>
    <t>2034062</t>
  </si>
  <si>
    <t>2035022</t>
  </si>
  <si>
    <t>2036021</t>
  </si>
  <si>
    <t>2037022</t>
  </si>
  <si>
    <t>2038022</t>
  </si>
  <si>
    <t>2039022</t>
  </si>
  <si>
    <t>2044024</t>
  </si>
  <si>
    <t>2044144</t>
  </si>
  <si>
    <t>2044174</t>
  </si>
  <si>
    <t>2045064</t>
  </si>
  <si>
    <t>2045174</t>
  </si>
  <si>
    <t>2051214</t>
  </si>
  <si>
    <t>2051314</t>
  </si>
  <si>
    <t>2051321</t>
  </si>
  <si>
    <t>2051334</t>
  </si>
  <si>
    <t>2051344</t>
  </si>
  <si>
    <t>2051354</t>
  </si>
  <si>
    <t>2056022</t>
  </si>
  <si>
    <t>2058022</t>
  </si>
  <si>
    <t>2069054</t>
  </si>
  <si>
    <t>2070654</t>
  </si>
  <si>
    <t>2073321</t>
  </si>
  <si>
    <t>2073331</t>
  </si>
  <si>
    <t>2073371</t>
  </si>
  <si>
    <t>2082022</t>
  </si>
  <si>
    <t>2083062</t>
  </si>
  <si>
    <t>2089072</t>
  </si>
  <si>
    <t>2096022</t>
  </si>
  <si>
    <t>2096042</t>
  </si>
  <si>
    <t>2097084</t>
  </si>
  <si>
    <t>2098171</t>
  </si>
  <si>
    <t>2099042</t>
  </si>
  <si>
    <t>2099062</t>
  </si>
  <si>
    <t>2099072</t>
  </si>
  <si>
    <t>2103102</t>
  </si>
  <si>
    <t>2103142</t>
  </si>
  <si>
    <t>2114062</t>
  </si>
  <si>
    <t>2115024</t>
  </si>
  <si>
    <t>2115034</t>
  </si>
  <si>
    <t>2115044</t>
  </si>
  <si>
    <t>2121022</t>
  </si>
  <si>
    <t>2125032</t>
  </si>
  <si>
    <t>2125042</t>
  </si>
  <si>
    <t>2125052</t>
  </si>
  <si>
    <t>2125062</t>
  </si>
  <si>
    <t>2125072</t>
  </si>
  <si>
    <t>2125082</t>
  </si>
  <si>
    <t>2125092</t>
  </si>
  <si>
    <t>2150084</t>
  </si>
  <si>
    <t>2150644</t>
  </si>
  <si>
    <t>2150864</t>
  </si>
  <si>
    <t>2150884</t>
  </si>
  <si>
    <t>2150894</t>
  </si>
  <si>
    <t>2150902</t>
  </si>
  <si>
    <t>2200014</t>
  </si>
  <si>
    <t>2200034</t>
  </si>
  <si>
    <t>2220144</t>
  </si>
  <si>
    <t>2220174</t>
  </si>
  <si>
    <t>2220194</t>
  </si>
  <si>
    <t>2220204</t>
  </si>
  <si>
    <t>2221022</t>
  </si>
  <si>
    <t>2250012</t>
  </si>
  <si>
    <t>2250242</t>
  </si>
  <si>
    <t>2273052</t>
  </si>
  <si>
    <t>2891021</t>
  </si>
  <si>
    <t>2891031</t>
  </si>
  <si>
    <t>2898221</t>
  </si>
  <si>
    <t>2898231</t>
  </si>
  <si>
    <t>2898241</t>
  </si>
  <si>
    <t>2903044</t>
  </si>
  <si>
    <t>2907374</t>
  </si>
  <si>
    <t>2907404</t>
  </si>
  <si>
    <t>2907424</t>
  </si>
  <si>
    <t>2907434</t>
  </si>
  <si>
    <t>2907452</t>
  </si>
  <si>
    <t>2907464</t>
  </si>
  <si>
    <t>2907474</t>
  </si>
  <si>
    <t>2907484</t>
  </si>
  <si>
    <t>2907494</t>
  </si>
  <si>
    <t>2907504</t>
  </si>
  <si>
    <t>2907512</t>
  </si>
  <si>
    <t>2907532</t>
  </si>
  <si>
    <t>2908024</t>
  </si>
  <si>
    <t>2924034</t>
  </si>
  <si>
    <t>2924054</t>
  </si>
  <si>
    <t>2924064</t>
  </si>
  <si>
    <t>2924084</t>
  </si>
  <si>
    <t>2924124</t>
  </si>
  <si>
    <t>2924134</t>
  </si>
  <si>
    <t>2924184</t>
  </si>
  <si>
    <t>2924194</t>
  </si>
  <si>
    <t>2924204</t>
  </si>
  <si>
    <t>2924214</t>
  </si>
  <si>
    <t>2924224</t>
  </si>
  <si>
    <t>2924232</t>
  </si>
  <si>
    <t>2924242</t>
  </si>
  <si>
    <t>2924254</t>
  </si>
  <si>
    <t>2926012</t>
  </si>
  <si>
    <t>2926112</t>
  </si>
  <si>
    <t>2926122</t>
  </si>
  <si>
    <t>2927092</t>
  </si>
  <si>
    <t>3005044</t>
  </si>
  <si>
    <t>3009052</t>
  </si>
  <si>
    <t>3009062</t>
  </si>
  <si>
    <t>3009072</t>
  </si>
  <si>
    <t>3016012</t>
  </si>
  <si>
    <t>3016042</t>
  </si>
  <si>
    <t>3016062</t>
  </si>
  <si>
    <t>3016072</t>
  </si>
  <si>
    <t>3016092</t>
  </si>
  <si>
    <t>3016102</t>
  </si>
  <si>
    <t>3016112</t>
  </si>
  <si>
    <t>3016122</t>
  </si>
  <si>
    <t>3021042</t>
  </si>
  <si>
    <t>3025024</t>
  </si>
  <si>
    <t>3025074</t>
  </si>
  <si>
    <t>3028024</t>
  </si>
  <si>
    <t>3028094</t>
  </si>
  <si>
    <t>3028124</t>
  </si>
  <si>
    <t>3028134</t>
  </si>
  <si>
    <t>3028144</t>
  </si>
  <si>
    <t>3028154</t>
  </si>
  <si>
    <t>3028164</t>
  </si>
  <si>
    <t>3029012</t>
  </si>
  <si>
    <t>3031022</t>
  </si>
  <si>
    <t>3031032</t>
  </si>
  <si>
    <t>3031042</t>
  </si>
  <si>
    <t>3037072</t>
  </si>
  <si>
    <t>3040322</t>
  </si>
  <si>
    <t>3040332</t>
  </si>
  <si>
    <t>3040342</t>
  </si>
  <si>
    <t>3040352</t>
  </si>
  <si>
    <t>3042032</t>
  </si>
  <si>
    <t>3043022</t>
  </si>
  <si>
    <t>3045022</t>
  </si>
  <si>
    <t>3046054</t>
  </si>
  <si>
    <t>3046124</t>
  </si>
  <si>
    <t>3046134</t>
  </si>
  <si>
    <t>3046144</t>
  </si>
  <si>
    <t>3047152</t>
  </si>
  <si>
    <t>3047162</t>
  </si>
  <si>
    <t>3049022</t>
  </si>
  <si>
    <t>3049032</t>
  </si>
  <si>
    <t>3052022</t>
  </si>
  <si>
    <t>3053022</t>
  </si>
  <si>
    <t>3055212</t>
  </si>
  <si>
    <t>3056012</t>
  </si>
  <si>
    <t>3056022</t>
  </si>
  <si>
    <t>3057012</t>
  </si>
  <si>
    <t>3057022</t>
  </si>
  <si>
    <t>3058021</t>
  </si>
  <si>
    <t>3060072</t>
  </si>
  <si>
    <t>3060082</t>
  </si>
  <si>
    <t>3061022</t>
  </si>
  <si>
    <t>3061032</t>
  </si>
  <si>
    <t>3061042</t>
  </si>
  <si>
    <t>3062021</t>
  </si>
  <si>
    <t>3063012</t>
  </si>
  <si>
    <t>3063022</t>
  </si>
  <si>
    <t>3064022</t>
  </si>
  <si>
    <t>3067022</t>
  </si>
  <si>
    <t>3068022</t>
  </si>
  <si>
    <t>3069102</t>
  </si>
  <si>
    <t>3070032</t>
  </si>
  <si>
    <t>3070052</t>
  </si>
  <si>
    <t>3071022</t>
  </si>
  <si>
    <t>3073042</t>
  </si>
  <si>
    <t>3074052</t>
  </si>
  <si>
    <t>3076032</t>
  </si>
  <si>
    <t>3076042</t>
  </si>
  <si>
    <t>3080022</t>
  </si>
  <si>
    <t>3081182</t>
  </si>
  <si>
    <t>3081191</t>
  </si>
  <si>
    <t>3081202</t>
  </si>
  <si>
    <t>3081212</t>
  </si>
  <si>
    <t>3081222</t>
  </si>
  <si>
    <t>3081232</t>
  </si>
  <si>
    <t>3081242</t>
  </si>
  <si>
    <t>3081252</t>
  </si>
  <si>
    <t>3081262</t>
  </si>
  <si>
    <t>3081272</t>
  </si>
  <si>
    <t>3081282</t>
  </si>
  <si>
    <t>3081292</t>
  </si>
  <si>
    <t>3086032</t>
  </si>
  <si>
    <t>3086114</t>
  </si>
  <si>
    <t>3086122</t>
  </si>
  <si>
    <t>3086132</t>
  </si>
  <si>
    <t>3092084</t>
  </si>
  <si>
    <t>3093022</t>
  </si>
  <si>
    <t>3095024</t>
  </si>
  <si>
    <t>3096021</t>
  </si>
  <si>
    <t>3096032</t>
  </si>
  <si>
    <t>3100021</t>
  </si>
  <si>
    <t>3100032</t>
  </si>
  <si>
    <t>3100042</t>
  </si>
  <si>
    <t>3117032</t>
  </si>
  <si>
    <t>3122024</t>
  </si>
  <si>
    <t>3124052</t>
  </si>
  <si>
    <t>3124062</t>
  </si>
  <si>
    <t>3124072</t>
  </si>
  <si>
    <t>3124082</t>
  </si>
  <si>
    <t>3124092</t>
  </si>
  <si>
    <t>3124102</t>
  </si>
  <si>
    <t>3132012</t>
  </si>
  <si>
    <t>3132052</t>
  </si>
  <si>
    <t>3134012</t>
  </si>
  <si>
    <t>3134032</t>
  </si>
  <si>
    <t>3135022</t>
  </si>
  <si>
    <t>3137024</t>
  </si>
  <si>
    <t>3138022</t>
  </si>
  <si>
    <t>3139024</t>
  </si>
  <si>
    <t>3140022</t>
  </si>
  <si>
    <t>3141022</t>
  </si>
  <si>
    <t>3142024</t>
  </si>
  <si>
    <t>3143022</t>
  </si>
  <si>
    <t>3144022</t>
  </si>
  <si>
    <t>3145022</t>
  </si>
  <si>
    <t>3146022</t>
  </si>
  <si>
    <t>3147022</t>
  </si>
  <si>
    <t>3148022</t>
  </si>
  <si>
    <t>3228024</t>
  </si>
  <si>
    <t>3228034</t>
  </si>
  <si>
    <t>3228044</t>
  </si>
  <si>
    <t>3228054</t>
  </si>
  <si>
    <t>4002062</t>
  </si>
  <si>
    <t>4002072</t>
  </si>
  <si>
    <t>4005022</t>
  </si>
  <si>
    <t>4006022</t>
  </si>
  <si>
    <t>4007024</t>
  </si>
  <si>
    <t>4101022</t>
  </si>
  <si>
    <t>4102022</t>
  </si>
  <si>
    <t>4103022</t>
  </si>
  <si>
    <t>4113022</t>
  </si>
  <si>
    <t>4114022</t>
  </si>
  <si>
    <t>4115042</t>
  </si>
  <si>
    <t>4115052</t>
  </si>
  <si>
    <t>4116022</t>
  </si>
  <si>
    <t>6001024</t>
  </si>
  <si>
    <t>6010022</t>
  </si>
  <si>
    <t>6018024</t>
  </si>
  <si>
    <t>6019012</t>
  </si>
  <si>
    <t>6019082</t>
  </si>
  <si>
    <t>6019092</t>
  </si>
  <si>
    <t>6019102</t>
  </si>
  <si>
    <t>6019111</t>
  </si>
  <si>
    <t>6019122</t>
  </si>
  <si>
    <t>6020092</t>
  </si>
  <si>
    <t>6022022</t>
  </si>
  <si>
    <t>6022032</t>
  </si>
  <si>
    <t>6022042</t>
  </si>
  <si>
    <t>6023032</t>
  </si>
  <si>
    <t>6023162</t>
  </si>
  <si>
    <t>6023172</t>
  </si>
  <si>
    <t>6023182</t>
  </si>
  <si>
    <t>6024022</t>
  </si>
  <si>
    <t>6024034</t>
  </si>
  <si>
    <t>6024042</t>
  </si>
  <si>
    <t>6025022</t>
  </si>
  <si>
    <t>6026022</t>
  </si>
  <si>
    <t>6027072</t>
  </si>
  <si>
    <t>6027082</t>
  </si>
  <si>
    <t>6027092</t>
  </si>
  <si>
    <t>6029022</t>
  </si>
  <si>
    <t>6037031</t>
  </si>
  <si>
    <t>6040021</t>
  </si>
  <si>
    <t>6041022</t>
  </si>
  <si>
    <t>6042022</t>
  </si>
  <si>
    <t>6043022</t>
  </si>
  <si>
    <t>6052042</t>
  </si>
  <si>
    <t>6055024</t>
  </si>
  <si>
    <t>6055034</t>
  </si>
  <si>
    <t>6055044</t>
  </si>
  <si>
    <t>6060012</t>
  </si>
  <si>
    <t>6060022</t>
  </si>
  <si>
    <t>6060032</t>
  </si>
  <si>
    <t>6070022</t>
  </si>
  <si>
    <t>6074024</t>
  </si>
  <si>
    <t>6074044</t>
  </si>
  <si>
    <t>6074054</t>
  </si>
  <si>
    <t>6074064</t>
  </si>
  <si>
    <t>6080022</t>
  </si>
  <si>
    <t>6085022</t>
  </si>
  <si>
    <t>6092022</t>
  </si>
  <si>
    <t>6093022</t>
  </si>
  <si>
    <t>6093032</t>
  </si>
  <si>
    <t>6094012</t>
  </si>
  <si>
    <t>6094022</t>
  </si>
  <si>
    <t>6095021</t>
  </si>
  <si>
    <t>6096024</t>
  </si>
  <si>
    <t>6097022</t>
  </si>
  <si>
    <t>6098022</t>
  </si>
  <si>
    <t>6099024</t>
  </si>
  <si>
    <t>6101022</t>
  </si>
  <si>
    <t>6102022</t>
  </si>
  <si>
    <t>6103022</t>
  </si>
  <si>
    <t>6108022</t>
  </si>
  <si>
    <t>6302022</t>
  </si>
  <si>
    <t>6302032</t>
  </si>
  <si>
    <t>6302042</t>
  </si>
  <si>
    <t>6303024</t>
  </si>
  <si>
    <t>6307032</t>
  </si>
  <si>
    <t>6313042</t>
  </si>
  <si>
    <t>6313052</t>
  </si>
  <si>
    <t>6313062</t>
  </si>
  <si>
    <t>6313072</t>
  </si>
  <si>
    <t>6315051</t>
  </si>
  <si>
    <t>6315062</t>
  </si>
  <si>
    <t>6403022</t>
  </si>
  <si>
    <t>6405022</t>
  </si>
  <si>
    <t>6407022</t>
  </si>
  <si>
    <t>6408022</t>
  </si>
  <si>
    <t>6408032</t>
  </si>
  <si>
    <t>6424042</t>
  </si>
  <si>
    <t>6425012</t>
  </si>
  <si>
    <t>6425292</t>
  </si>
  <si>
    <t>6425332</t>
  </si>
  <si>
    <t>6425342</t>
  </si>
  <si>
    <t>6425352</t>
  </si>
  <si>
    <t>6425362</t>
  </si>
  <si>
    <t>6425372</t>
  </si>
  <si>
    <t>6426112</t>
  </si>
  <si>
    <t>6426122</t>
  </si>
  <si>
    <t>6426132</t>
  </si>
  <si>
    <t>6426142</t>
  </si>
  <si>
    <t>6426152</t>
  </si>
  <si>
    <t>6603022</t>
  </si>
  <si>
    <t>6605022</t>
  </si>
  <si>
    <t>6606052</t>
  </si>
  <si>
    <t>6606062</t>
  </si>
  <si>
    <t>6606072</t>
  </si>
  <si>
    <t>6607034</t>
  </si>
  <si>
    <t>6607164</t>
  </si>
  <si>
    <t>6607182</t>
  </si>
  <si>
    <t>6607194</t>
  </si>
  <si>
    <t>6607204</t>
  </si>
  <si>
    <t>6607214</t>
  </si>
  <si>
    <t>6608024</t>
  </si>
  <si>
    <t>6612024</t>
  </si>
  <si>
    <t>6613022</t>
  </si>
  <si>
    <t>6613032</t>
  </si>
  <si>
    <t>6614022</t>
  </si>
  <si>
    <t>6615024</t>
  </si>
  <si>
    <t>6616022</t>
  </si>
  <si>
    <t>6617022</t>
  </si>
  <si>
    <t>6619031</t>
  </si>
  <si>
    <t>6619054</t>
  </si>
  <si>
    <t>6619144</t>
  </si>
  <si>
    <t>6619244</t>
  </si>
  <si>
    <t>6619254</t>
  </si>
  <si>
    <t>6619284</t>
  </si>
  <si>
    <t>6619292</t>
  </si>
  <si>
    <t>6628024</t>
  </si>
  <si>
    <t>6637044</t>
  </si>
  <si>
    <t>6638042</t>
  </si>
  <si>
    <t>6646072</t>
  </si>
  <si>
    <t>6646092</t>
  </si>
  <si>
    <t>6646132</t>
  </si>
  <si>
    <t>6646142</t>
  </si>
  <si>
    <t>6646152</t>
  </si>
  <si>
    <t>6646162</t>
  </si>
  <si>
    <t>6646172</t>
  </si>
  <si>
    <t>6646182</t>
  </si>
  <si>
    <t>6649022</t>
  </si>
  <si>
    <t>6649042</t>
  </si>
  <si>
    <t>6649052</t>
  </si>
  <si>
    <t>6649062</t>
  </si>
  <si>
    <t>6656032</t>
  </si>
  <si>
    <t>6657022</t>
  </si>
  <si>
    <t>6659032</t>
  </si>
  <si>
    <t>6660034</t>
  </si>
  <si>
    <t>6660042</t>
  </si>
  <si>
    <t>6664022</t>
  </si>
  <si>
    <t>7010022</t>
  </si>
  <si>
    <t>7010032</t>
  </si>
  <si>
    <t>7010041</t>
  </si>
  <si>
    <t>7011012</t>
  </si>
  <si>
    <t>7011022</t>
  </si>
  <si>
    <t>7011031</t>
  </si>
  <si>
    <t>7012021</t>
  </si>
  <si>
    <t>7012031</t>
  </si>
  <si>
    <t>7013022</t>
  </si>
  <si>
    <t>7014022</t>
  </si>
  <si>
    <t>7015022</t>
  </si>
  <si>
    <t>7022132</t>
  </si>
  <si>
    <t>7022152</t>
  </si>
  <si>
    <t>7022182</t>
  </si>
  <si>
    <t>7022192</t>
  </si>
  <si>
    <t>7022202</t>
  </si>
  <si>
    <t>7022212</t>
  </si>
  <si>
    <t>7025041</t>
  </si>
  <si>
    <t>7026052</t>
  </si>
  <si>
    <t>7026062</t>
  </si>
  <si>
    <t>7031021</t>
  </si>
  <si>
    <t>7031032</t>
  </si>
  <si>
    <t>7031042</t>
  </si>
  <si>
    <t>7035022</t>
  </si>
  <si>
    <t>7035032</t>
  </si>
  <si>
    <t>7036022</t>
  </si>
  <si>
    <t>7037052</t>
  </si>
  <si>
    <t>7040022</t>
  </si>
  <si>
    <t>7041022</t>
  </si>
  <si>
    <t>7042022</t>
  </si>
  <si>
    <t>7043022</t>
  </si>
  <si>
    <t>7043032</t>
  </si>
  <si>
    <t>7044022</t>
  </si>
  <si>
    <t>7045032</t>
  </si>
  <si>
    <t>7045052</t>
  </si>
  <si>
    <t>7045062</t>
  </si>
  <si>
    <t>7046022</t>
  </si>
  <si>
    <t>7058021</t>
  </si>
  <si>
    <t>7059021</t>
  </si>
  <si>
    <t>7066021</t>
  </si>
  <si>
    <t>7066031</t>
  </si>
  <si>
    <t>7398022</t>
  </si>
  <si>
    <t>7399062</t>
  </si>
  <si>
    <t>7400021</t>
  </si>
  <si>
    <t>7404022</t>
  </si>
  <si>
    <t>7406332</t>
  </si>
  <si>
    <t>7410042</t>
  </si>
  <si>
    <t>7435102</t>
  </si>
  <si>
    <t>7450042</t>
  </si>
  <si>
    <t>7451031</t>
  </si>
  <si>
    <t>7490042</t>
  </si>
  <si>
    <t>7500021</t>
  </si>
  <si>
    <t>7505322</t>
  </si>
  <si>
    <t>7505382</t>
  </si>
  <si>
    <t>7505392</t>
  </si>
  <si>
    <t>7505422</t>
  </si>
  <si>
    <t>7505432</t>
  </si>
  <si>
    <t>7505442</t>
  </si>
  <si>
    <t>7505452</t>
  </si>
  <si>
    <t>7506021</t>
  </si>
  <si>
    <t>7506032</t>
  </si>
  <si>
    <t>7508022</t>
  </si>
  <si>
    <t>7510021</t>
  </si>
  <si>
    <t>7513012</t>
  </si>
  <si>
    <t>7513032</t>
  </si>
  <si>
    <t>7513042</t>
  </si>
  <si>
    <t>7513052</t>
  </si>
  <si>
    <t>7513062</t>
  </si>
  <si>
    <t>7513072</t>
  </si>
  <si>
    <t>7513082</t>
  </si>
  <si>
    <t>7513092</t>
  </si>
  <si>
    <t>7518032</t>
  </si>
  <si>
    <t>7524122</t>
  </si>
  <si>
    <t>7525022</t>
  </si>
  <si>
    <t>7527012</t>
  </si>
  <si>
    <t>7527022</t>
  </si>
  <si>
    <t>7528022</t>
  </si>
  <si>
    <t>7530012</t>
  </si>
  <si>
    <t>7530022</t>
  </si>
  <si>
    <t>7532022</t>
  </si>
  <si>
    <t>7533012</t>
  </si>
  <si>
    <t>7533022</t>
  </si>
  <si>
    <t>7534022</t>
  </si>
  <si>
    <t>7536021</t>
  </si>
  <si>
    <t>7537022</t>
  </si>
  <si>
    <t>7538042</t>
  </si>
  <si>
    <t>7540022</t>
  </si>
  <si>
    <t>7540032</t>
  </si>
  <si>
    <t>7540042</t>
  </si>
  <si>
    <t>7541012</t>
  </si>
  <si>
    <t>7541022</t>
  </si>
  <si>
    <t>7550012</t>
  </si>
  <si>
    <t>7550212</t>
  </si>
  <si>
    <t>7550222</t>
  </si>
  <si>
    <t>7550232</t>
  </si>
  <si>
    <t>7562021</t>
  </si>
  <si>
    <t>7568012</t>
  </si>
  <si>
    <t>7568032</t>
  </si>
  <si>
    <t>7571024</t>
  </si>
  <si>
    <t>7571032</t>
  </si>
  <si>
    <t>7572024</t>
  </si>
  <si>
    <t>7573042</t>
  </si>
  <si>
    <t>7581024</t>
  </si>
  <si>
    <t>7583072</t>
  </si>
  <si>
    <t>7583082</t>
  </si>
  <si>
    <t>7587022</t>
  </si>
  <si>
    <t>7587032</t>
  </si>
  <si>
    <t>7592072</t>
  </si>
  <si>
    <t>7592092</t>
  </si>
  <si>
    <t>7596022</t>
  </si>
  <si>
    <t>7601012</t>
  </si>
  <si>
    <t>7601052</t>
  </si>
  <si>
    <t>7603024</t>
  </si>
  <si>
    <t>7604022</t>
  </si>
  <si>
    <t>7604032</t>
  </si>
  <si>
    <t>7605022</t>
  </si>
  <si>
    <t>7605032</t>
  </si>
  <si>
    <t>7605042</t>
  </si>
  <si>
    <t>7605052</t>
  </si>
  <si>
    <t>7605062</t>
  </si>
  <si>
    <t>7605072</t>
  </si>
  <si>
    <t>7605082</t>
  </si>
  <si>
    <t>7607022</t>
  </si>
  <si>
    <t>7610022</t>
  </si>
  <si>
    <t>7611022</t>
  </si>
  <si>
    <t>7612021</t>
  </si>
  <si>
    <t>7613022</t>
  </si>
  <si>
    <t>7614022</t>
  </si>
  <si>
    <t>7615022</t>
  </si>
  <si>
    <t>7616022</t>
  </si>
  <si>
    <t>7616032</t>
  </si>
  <si>
    <t>7618022</t>
  </si>
  <si>
    <t>7619042</t>
  </si>
  <si>
    <t>7620022</t>
  </si>
  <si>
    <t>7621022</t>
  </si>
  <si>
    <t>7622022</t>
  </si>
  <si>
    <t>7628022</t>
  </si>
  <si>
    <t>7629022</t>
  </si>
  <si>
    <t>7636012</t>
  </si>
  <si>
    <t>7636212</t>
  </si>
  <si>
    <t>7636232</t>
  </si>
  <si>
    <t>7636292</t>
  </si>
  <si>
    <t>7636302</t>
  </si>
  <si>
    <t>7636312</t>
  </si>
  <si>
    <t>7636322</t>
  </si>
  <si>
    <t>7643052</t>
  </si>
  <si>
    <t>7645021</t>
  </si>
  <si>
    <t>7648032</t>
  </si>
  <si>
    <t>7653042</t>
  </si>
  <si>
    <t>7655032</t>
  </si>
  <si>
    <t>7655042</t>
  </si>
  <si>
    <t>7655052</t>
  </si>
  <si>
    <t>7655062</t>
  </si>
  <si>
    <t>7655072</t>
  </si>
  <si>
    <t>7655082</t>
  </si>
  <si>
    <t>7658052</t>
  </si>
  <si>
    <t>7658062</t>
  </si>
  <si>
    <t>7659032</t>
  </si>
  <si>
    <t>7659042</t>
  </si>
  <si>
    <t>7690022</t>
  </si>
  <si>
    <t>7695022</t>
  </si>
  <si>
    <t>7695032</t>
  </si>
  <si>
    <t>7700052</t>
  </si>
  <si>
    <t>7700062</t>
  </si>
  <si>
    <t>7700072</t>
  </si>
  <si>
    <t>7702032</t>
  </si>
  <si>
    <t>7702042</t>
  </si>
  <si>
    <t>7707172</t>
  </si>
  <si>
    <t>7707182</t>
  </si>
  <si>
    <t>7802041</t>
  </si>
  <si>
    <t>7802051</t>
  </si>
  <si>
    <t>7802091</t>
  </si>
  <si>
    <t>7802162</t>
  </si>
  <si>
    <t>7802172</t>
  </si>
  <si>
    <t>7802182</t>
  </si>
  <si>
    <t>7802211</t>
  </si>
  <si>
    <t>7802251</t>
  </si>
  <si>
    <t>7802271</t>
  </si>
  <si>
    <t>7802292</t>
  </si>
  <si>
    <t>7802301</t>
  </si>
  <si>
    <t>7802312</t>
  </si>
  <si>
    <t>7802321</t>
  </si>
  <si>
    <t>7802332</t>
  </si>
  <si>
    <t>7802341</t>
  </si>
  <si>
    <t>7802352</t>
  </si>
  <si>
    <t>7802362</t>
  </si>
  <si>
    <t>7802372</t>
  </si>
  <si>
    <t>7802382</t>
  </si>
  <si>
    <t>7802392</t>
  </si>
  <si>
    <t>7802402</t>
  </si>
  <si>
    <t>7802411</t>
  </si>
  <si>
    <t>7802422</t>
  </si>
  <si>
    <t>7811081</t>
  </si>
  <si>
    <t>7811741</t>
  </si>
  <si>
    <t>7811761</t>
  </si>
  <si>
    <t>7811771</t>
  </si>
  <si>
    <t>7811871</t>
  </si>
  <si>
    <t>7811901</t>
  </si>
  <si>
    <t>7811911</t>
  </si>
  <si>
    <t>7811951</t>
  </si>
  <si>
    <t>7811961</t>
  </si>
  <si>
    <t>7812071</t>
  </si>
  <si>
    <t>7812081</t>
  </si>
  <si>
    <t>7812091</t>
  </si>
  <si>
    <t>7812101</t>
  </si>
  <si>
    <t>7812111</t>
  </si>
  <si>
    <t>7902022</t>
  </si>
  <si>
    <t>7903031</t>
  </si>
  <si>
    <t>7904021</t>
  </si>
  <si>
    <t>7910022</t>
  </si>
  <si>
    <t>7950025</t>
  </si>
  <si>
    <t>7952022</t>
  </si>
  <si>
    <t>7956071</t>
  </si>
  <si>
    <t>7958081</t>
  </si>
  <si>
    <t>7968032</t>
  </si>
  <si>
    <t>7972021</t>
  </si>
  <si>
    <t>8001012</t>
  </si>
  <si>
    <t>8001022</t>
  </si>
  <si>
    <t>8001032</t>
  </si>
  <si>
    <t>8001042</t>
  </si>
  <si>
    <t>8001052</t>
  </si>
  <si>
    <t>8003022</t>
  </si>
  <si>
    <t>8004062</t>
  </si>
  <si>
    <t>8005022</t>
  </si>
  <si>
    <t>8007031</t>
  </si>
  <si>
    <t>8010022</t>
  </si>
  <si>
    <t>8011022</t>
  </si>
  <si>
    <t>8018012</t>
  </si>
  <si>
    <t>8018074</t>
  </si>
  <si>
    <t>8018084</t>
  </si>
  <si>
    <t>8018092</t>
  </si>
  <si>
    <t>8018102</t>
  </si>
  <si>
    <t>8018114</t>
  </si>
  <si>
    <t>8018122</t>
  </si>
  <si>
    <t>8021024</t>
  </si>
  <si>
    <t>8021034</t>
  </si>
  <si>
    <t>8021042</t>
  </si>
  <si>
    <t>8021054</t>
  </si>
  <si>
    <t>8022022</t>
  </si>
  <si>
    <t>8026012</t>
  </si>
  <si>
    <t>8030102</t>
  </si>
  <si>
    <t>8031162</t>
  </si>
  <si>
    <t>8031172</t>
  </si>
  <si>
    <t>8031182</t>
  </si>
  <si>
    <t>8035271</t>
  </si>
  <si>
    <t>8045052</t>
  </si>
  <si>
    <t>8063074</t>
  </si>
  <si>
    <t>8063084</t>
  </si>
  <si>
    <t>8063124</t>
  </si>
  <si>
    <t>8063134</t>
  </si>
  <si>
    <t>8063144</t>
  </si>
  <si>
    <t>8063154</t>
  </si>
  <si>
    <t>8080132</t>
  </si>
  <si>
    <t>8080152</t>
  </si>
  <si>
    <t>8080202</t>
  </si>
  <si>
    <t>8080232</t>
  </si>
  <si>
    <t>8080242</t>
  </si>
  <si>
    <t>8080252</t>
  </si>
  <si>
    <t>8080262</t>
  </si>
  <si>
    <t>8080272</t>
  </si>
  <si>
    <t>8080282</t>
  </si>
  <si>
    <t>8080292</t>
  </si>
  <si>
    <t>8080302</t>
  </si>
  <si>
    <t>8080312</t>
  </si>
  <si>
    <t>8087024</t>
  </si>
  <si>
    <t>8087202</t>
  </si>
  <si>
    <t>8087214</t>
  </si>
  <si>
    <t>8087224</t>
  </si>
  <si>
    <t>8096032</t>
  </si>
  <si>
    <t>8102082</t>
  </si>
  <si>
    <t>8108162</t>
  </si>
  <si>
    <t>8108182</t>
  </si>
  <si>
    <t>8108192</t>
  </si>
  <si>
    <t>8108202</t>
  </si>
  <si>
    <t>8108212</t>
  </si>
  <si>
    <t>8108222</t>
  </si>
  <si>
    <t>8108232</t>
  </si>
  <si>
    <t>8108242</t>
  </si>
  <si>
    <t>8116032</t>
  </si>
  <si>
    <t>8117022</t>
  </si>
  <si>
    <t>8117032</t>
  </si>
  <si>
    <t>8117062</t>
  </si>
  <si>
    <t>8118032</t>
  </si>
  <si>
    <t>8122032</t>
  </si>
  <si>
    <t>8128022</t>
  </si>
  <si>
    <t>8129022</t>
  </si>
  <si>
    <t>8129032</t>
  </si>
  <si>
    <t>8180042</t>
  </si>
  <si>
    <t>8181032</t>
  </si>
  <si>
    <t>8182032</t>
  </si>
  <si>
    <t>8183032</t>
  </si>
  <si>
    <t>8184022</t>
  </si>
  <si>
    <t>8803022</t>
  </si>
  <si>
    <t>8803041</t>
  </si>
  <si>
    <t>8803051</t>
  </si>
  <si>
    <t>8806024</t>
  </si>
  <si>
    <t>8827032</t>
  </si>
  <si>
    <t>8834032</t>
  </si>
  <si>
    <t>8834042</t>
  </si>
  <si>
    <t>8835122</t>
  </si>
  <si>
    <t>8848052</t>
  </si>
  <si>
    <t>8851292</t>
  </si>
  <si>
    <t>8858052</t>
  </si>
  <si>
    <t>8858062</t>
  </si>
  <si>
    <t>8858072</t>
  </si>
  <si>
    <t>8859012</t>
  </si>
  <si>
    <t>8859052</t>
  </si>
  <si>
    <t>8864022</t>
  </si>
  <si>
    <t>8864032</t>
  </si>
  <si>
    <t>8866042</t>
  </si>
  <si>
    <t>8866052</t>
  </si>
  <si>
    <t>8867032</t>
  </si>
  <si>
    <t>8868034</t>
  </si>
  <si>
    <t>8869032</t>
  </si>
  <si>
    <t>8869042</t>
  </si>
  <si>
    <t>8869052</t>
  </si>
  <si>
    <t>8879192</t>
  </si>
  <si>
    <t>8879202</t>
  </si>
  <si>
    <t>8898322</t>
  </si>
  <si>
    <t>8898432</t>
  </si>
  <si>
    <t>8899042</t>
  </si>
  <si>
    <t>8899052</t>
  </si>
  <si>
    <t>8902052</t>
  </si>
  <si>
    <t>8903042</t>
  </si>
  <si>
    <t>8903052</t>
  </si>
  <si>
    <t>8911062</t>
  </si>
  <si>
    <t>8911071</t>
  </si>
  <si>
    <t>8911092</t>
  </si>
  <si>
    <t>8911102</t>
  </si>
  <si>
    <t>8911112</t>
  </si>
  <si>
    <t>8911122</t>
  </si>
  <si>
    <t>8911132</t>
  </si>
  <si>
    <t>8911141</t>
  </si>
  <si>
    <t>8911152</t>
  </si>
  <si>
    <t>8912022</t>
  </si>
  <si>
    <t>9952012</t>
  </si>
  <si>
    <t>9952022</t>
  </si>
  <si>
    <t>9952032</t>
  </si>
  <si>
    <t>9956055</t>
  </si>
  <si>
    <t>9960025</t>
  </si>
  <si>
    <t>9960035</t>
  </si>
  <si>
    <t>9962021</t>
  </si>
  <si>
    <t>9962032</t>
  </si>
  <si>
    <t>9962042</t>
  </si>
  <si>
    <t>9962051</t>
  </si>
  <si>
    <t>9962062</t>
  </si>
  <si>
    <t>9962071</t>
  </si>
  <si>
    <t>9962081</t>
  </si>
  <si>
    <t>9962091</t>
  </si>
  <si>
    <t>9963021</t>
  </si>
  <si>
    <t>9963041</t>
  </si>
  <si>
    <t>9963061</t>
  </si>
  <si>
    <t>9963071</t>
  </si>
  <si>
    <t>9963081</t>
  </si>
  <si>
    <t>9963091</t>
  </si>
  <si>
    <t>9986614</t>
  </si>
  <si>
    <t>9963111</t>
  </si>
  <si>
    <t>9963121</t>
  </si>
  <si>
    <t>9963131</t>
  </si>
  <si>
    <t>9963141</t>
  </si>
  <si>
    <t>9963151</t>
  </si>
  <si>
    <t>9963161</t>
  </si>
  <si>
    <t>9963171</t>
  </si>
  <si>
    <t>9963181</t>
  </si>
  <si>
    <t>9963191</t>
  </si>
  <si>
    <t>9963201</t>
  </si>
  <si>
    <t>9963211</t>
  </si>
  <si>
    <t>9963221</t>
  </si>
  <si>
    <t>9963272</t>
  </si>
  <si>
    <t>9963281</t>
  </si>
  <si>
    <t>9963291</t>
  </si>
  <si>
    <t>9963301</t>
  </si>
  <si>
    <t>9963311</t>
  </si>
  <si>
    <t>9963321</t>
  </si>
  <si>
    <t>9963331</t>
  </si>
  <si>
    <t>9963341</t>
  </si>
  <si>
    <t>9963351</t>
  </si>
  <si>
    <t>9963361</t>
  </si>
  <si>
    <t>9963371</t>
  </si>
  <si>
    <t>9963401</t>
  </si>
  <si>
    <t>9963411</t>
  </si>
  <si>
    <t>9963421</t>
  </si>
  <si>
    <t>9963431</t>
  </si>
  <si>
    <t>9981071</t>
  </si>
  <si>
    <t>9981331</t>
  </si>
  <si>
    <t>9981501</t>
  </si>
  <si>
    <t>9985741</t>
  </si>
  <si>
    <t>9985751</t>
  </si>
  <si>
    <t>9985881</t>
  </si>
  <si>
    <t>9985891</t>
  </si>
  <si>
    <t>9984671</t>
  </si>
  <si>
    <t>9985161</t>
  </si>
  <si>
    <t>9985171</t>
  </si>
  <si>
    <t>9985031</t>
  </si>
  <si>
    <t>9985071</t>
  </si>
  <si>
    <t>9985081</t>
  </si>
  <si>
    <t>9985091</t>
  </si>
  <si>
    <t>9985121</t>
  </si>
  <si>
    <t>9985131</t>
  </si>
  <si>
    <t>9985141</t>
  </si>
  <si>
    <t>9985151</t>
  </si>
  <si>
    <t>9985181</t>
  </si>
  <si>
    <t>9985191</t>
  </si>
  <si>
    <t>9985761</t>
  </si>
  <si>
    <t>9985791</t>
  </si>
  <si>
    <t>9985811</t>
  </si>
  <si>
    <t>9985931</t>
  </si>
  <si>
    <t>9985951</t>
  </si>
  <si>
    <t>9985981</t>
  </si>
  <si>
    <t>9986144</t>
  </si>
  <si>
    <t>9986164</t>
  </si>
  <si>
    <t>9991424</t>
  </si>
  <si>
    <t>9986501</t>
  </si>
  <si>
    <t>9986581</t>
  </si>
  <si>
    <t>9986661</t>
  </si>
  <si>
    <t>9986771</t>
  </si>
  <si>
    <t>9986902</t>
  </si>
  <si>
    <t>9986981</t>
  </si>
  <si>
    <t>9987124</t>
  </si>
  <si>
    <t>9988141</t>
  </si>
  <si>
    <t>9988191</t>
  </si>
  <si>
    <t>9988251</t>
  </si>
  <si>
    <t>9988261</t>
  </si>
  <si>
    <t>9988691</t>
  </si>
  <si>
    <t>9988841</t>
  </si>
  <si>
    <t>9989241</t>
  </si>
  <si>
    <t>9989251</t>
  </si>
  <si>
    <t>9989261</t>
  </si>
  <si>
    <t>9989341</t>
  </si>
  <si>
    <t>9989351</t>
  </si>
  <si>
    <t>9989361</t>
  </si>
  <si>
    <t>9989371</t>
  </si>
  <si>
    <t>9989381</t>
  </si>
  <si>
    <t>9989401</t>
  </si>
  <si>
    <t>9989461</t>
  </si>
  <si>
    <t>9989601</t>
  </si>
  <si>
    <t>9989631</t>
  </si>
  <si>
    <t>9989661</t>
  </si>
  <si>
    <t>9989681</t>
  </si>
  <si>
    <t>9989701</t>
  </si>
  <si>
    <t>9989721</t>
  </si>
  <si>
    <t>9989831</t>
  </si>
  <si>
    <t>9989901</t>
  </si>
  <si>
    <t>9989941</t>
  </si>
  <si>
    <t>9991991</t>
  </si>
  <si>
    <t>9990204</t>
  </si>
  <si>
    <t>1118042</t>
  </si>
  <si>
    <t>9991051</t>
  </si>
  <si>
    <t>9991091</t>
  </si>
  <si>
    <t>9991182</t>
  </si>
  <si>
    <t>9991261</t>
  </si>
  <si>
    <t>9991271</t>
  </si>
  <si>
    <t>9991291</t>
  </si>
  <si>
    <t>9991311</t>
  </si>
  <si>
    <t>9991411</t>
  </si>
  <si>
    <t>9991491</t>
  </si>
  <si>
    <t>9991511</t>
  </si>
  <si>
    <t>9991521</t>
  </si>
  <si>
    <t>9991781</t>
  </si>
  <si>
    <t>24141</t>
  </si>
  <si>
    <t>4m_Solution Design &amp; Projects</t>
  </si>
  <si>
    <t>2073281</t>
  </si>
  <si>
    <t>9991921</t>
  </si>
  <si>
    <t>2077131</t>
  </si>
  <si>
    <t>2073351</t>
  </si>
  <si>
    <t>9992022</t>
  </si>
  <si>
    <t>9992051</t>
  </si>
  <si>
    <t>9992101</t>
  </si>
  <si>
    <t>9992321</t>
  </si>
  <si>
    <t>9992422</t>
  </si>
  <si>
    <t>9991071</t>
  </si>
  <si>
    <t>9986471</t>
  </si>
  <si>
    <t>9994162</t>
  </si>
  <si>
    <t>9994204</t>
  </si>
  <si>
    <t>9994214</t>
  </si>
  <si>
    <t>9994344</t>
  </si>
  <si>
    <t>9995052</t>
  </si>
  <si>
    <t>9994892</t>
  </si>
  <si>
    <t>3081142</t>
  </si>
  <si>
    <t>8909022</t>
  </si>
  <si>
    <t>9995021</t>
  </si>
  <si>
    <t>9995031</t>
  </si>
  <si>
    <t>9995051</t>
  </si>
  <si>
    <t>9995091</t>
  </si>
  <si>
    <t>9995131</t>
  </si>
  <si>
    <t>9995171</t>
  </si>
  <si>
    <t>9995191</t>
  </si>
  <si>
    <t>9995201</t>
  </si>
  <si>
    <t>9995211</t>
  </si>
  <si>
    <t>9995261</t>
  </si>
  <si>
    <t>9995271</t>
  </si>
  <si>
    <t>9995281</t>
  </si>
  <si>
    <t>9995291</t>
  </si>
  <si>
    <t>9995311</t>
  </si>
  <si>
    <t>9995321</t>
  </si>
  <si>
    <t>9995331</t>
  </si>
  <si>
    <t>9995341</t>
  </si>
  <si>
    <t>9995351</t>
  </si>
  <si>
    <t>9995361</t>
  </si>
  <si>
    <t>9995371</t>
  </si>
  <si>
    <t>9995391</t>
  </si>
  <si>
    <t>9995401</t>
  </si>
  <si>
    <t>9995431</t>
  </si>
  <si>
    <t>9995441</t>
  </si>
  <si>
    <t>9995451</t>
  </si>
  <si>
    <t>9995461</t>
  </si>
  <si>
    <t>9995491</t>
  </si>
  <si>
    <t>9995501</t>
  </si>
  <si>
    <t>9995511</t>
  </si>
  <si>
    <t>9995521</t>
  </si>
  <si>
    <t>9995531</t>
  </si>
  <si>
    <t>9995551</t>
  </si>
  <si>
    <t>1988381</t>
  </si>
  <si>
    <t>9995571</t>
  </si>
  <si>
    <t>9995581</t>
  </si>
  <si>
    <t>9995591</t>
  </si>
  <si>
    <t>9995601</t>
  </si>
  <si>
    <t>9995611</t>
  </si>
  <si>
    <t>9995621</t>
  </si>
  <si>
    <t>9995631</t>
  </si>
  <si>
    <t>9995641</t>
  </si>
  <si>
    <t>9995651</t>
  </si>
  <si>
    <t>9995661</t>
  </si>
  <si>
    <t>9995671</t>
  </si>
  <si>
    <t>9995681</t>
  </si>
  <si>
    <t>9995691</t>
  </si>
  <si>
    <t>9995701</t>
  </si>
  <si>
    <t>9995711</t>
  </si>
  <si>
    <t>9995721</t>
  </si>
  <si>
    <t>9995731</t>
  </si>
  <si>
    <t>9995741</t>
  </si>
  <si>
    <t>9995751</t>
  </si>
  <si>
    <t>9995771</t>
  </si>
  <si>
    <t>9995781</t>
  </si>
  <si>
    <t>9995791</t>
  </si>
  <si>
    <t>9995801</t>
  </si>
  <si>
    <t>9995811</t>
  </si>
  <si>
    <t>9995821</t>
  </si>
  <si>
    <t>9995841</t>
  </si>
  <si>
    <t>9995851</t>
  </si>
  <si>
    <t>9995861</t>
  </si>
  <si>
    <t>9995871</t>
  </si>
  <si>
    <t>9995881</t>
  </si>
  <si>
    <t>9995891</t>
  </si>
  <si>
    <t>9995901</t>
  </si>
  <si>
    <t>9995911</t>
  </si>
  <si>
    <t>9995922</t>
  </si>
  <si>
    <t>9995931</t>
  </si>
  <si>
    <t>9995941</t>
  </si>
  <si>
    <t>9995951</t>
  </si>
  <si>
    <t>9995961</t>
  </si>
  <si>
    <t>9995971</t>
  </si>
  <si>
    <t>9995992</t>
  </si>
  <si>
    <t>7022162</t>
  </si>
  <si>
    <t>9996654</t>
  </si>
  <si>
    <t>9996694</t>
  </si>
  <si>
    <t>9996854</t>
  </si>
  <si>
    <t>9984361</t>
  </si>
  <si>
    <t>10000</t>
  </si>
  <si>
    <t>Management Board (Worker Cost Center)</t>
  </si>
  <si>
    <t>10100</t>
  </si>
  <si>
    <t>Management Board Assistance (Worker Cost Center)</t>
  </si>
  <si>
    <t>10200</t>
  </si>
  <si>
    <t>10300</t>
  </si>
  <si>
    <t>11000</t>
  </si>
  <si>
    <t>11029</t>
  </si>
  <si>
    <t>4c_Sales</t>
  </si>
  <si>
    <t>11049</t>
  </si>
  <si>
    <t>4m_Sales</t>
  </si>
  <si>
    <t>11500</t>
  </si>
  <si>
    <t>12000</t>
  </si>
  <si>
    <t>Marketing (Worker Cost Center)</t>
  </si>
  <si>
    <t>12029</t>
  </si>
  <si>
    <t>4c_Marketing</t>
  </si>
  <si>
    <t>12049</t>
  </si>
  <si>
    <t>4m_Marketing</t>
  </si>
  <si>
    <t>12059</t>
  </si>
  <si>
    <t>4r_Marketing</t>
  </si>
  <si>
    <t>12100</t>
  </si>
  <si>
    <t>12549</t>
  </si>
  <si>
    <t>4m_dynamic_Pharma / Life Science</t>
  </si>
  <si>
    <t>13000</t>
  </si>
  <si>
    <t>HR_General Activities (Worker Cost Center)</t>
  </si>
  <si>
    <t>13100</t>
  </si>
  <si>
    <t>HR_Talent Acquistion</t>
  </si>
  <si>
    <t>13200</t>
  </si>
  <si>
    <t>HR_Campus Recruitment</t>
  </si>
  <si>
    <t>13229</t>
  </si>
  <si>
    <t>4c_Vacation &amp; Sickness</t>
  </si>
  <si>
    <t>13400</t>
  </si>
  <si>
    <t>HR_Learning &amp; Development</t>
  </si>
  <si>
    <t>13429</t>
  </si>
  <si>
    <t>4c_Other Absences</t>
  </si>
  <si>
    <t>13449</t>
  </si>
  <si>
    <t>4m_Other Absences</t>
  </si>
  <si>
    <t>13500</t>
  </si>
  <si>
    <t>HR_Operations &amp; Solutions</t>
  </si>
  <si>
    <t>13600</t>
  </si>
  <si>
    <t>HR_Quality Management &amp; Projects</t>
  </si>
  <si>
    <t>13700</t>
  </si>
  <si>
    <t>HR_Employer Branding</t>
  </si>
  <si>
    <t>13800</t>
  </si>
  <si>
    <t>HR_Diversity Equity &amp; Inclusion</t>
  </si>
  <si>
    <t>13900</t>
  </si>
  <si>
    <t>HR_Workday HCM</t>
  </si>
  <si>
    <t>14029</t>
  </si>
  <si>
    <t>4c_Educational Training</t>
  </si>
  <si>
    <t>18049</t>
  </si>
  <si>
    <t>14059</t>
  </si>
  <si>
    <t>4r_Educational Training</t>
  </si>
  <si>
    <t>15000</t>
  </si>
  <si>
    <t>Finance (Worker Cost Center)</t>
  </si>
  <si>
    <t>15200</t>
  </si>
  <si>
    <t>Controlling (Worker Cost Center)</t>
  </si>
  <si>
    <t>16000</t>
  </si>
  <si>
    <t>IT - 4flow (Worker Cost Center)</t>
  </si>
  <si>
    <t>16100</t>
  </si>
  <si>
    <t>Compliance (Worker Cost Center)</t>
  </si>
  <si>
    <t>16200</t>
  </si>
  <si>
    <t>16300</t>
  </si>
  <si>
    <t>17000</t>
  </si>
  <si>
    <t>Administration (Worker Cost Center)</t>
  </si>
  <si>
    <t>17200</t>
  </si>
  <si>
    <t>Corporate Development (Worker Cost Center)</t>
  </si>
  <si>
    <t>17209</t>
  </si>
  <si>
    <t>Managing Director (Worker Cost Center)</t>
  </si>
  <si>
    <t>17300</t>
  </si>
  <si>
    <t>Management of 4flow (Management Board Only)</t>
  </si>
  <si>
    <t>17400</t>
  </si>
  <si>
    <t>Legal (Worker Cost Center)</t>
  </si>
  <si>
    <t>17500</t>
  </si>
  <si>
    <t>17600</t>
  </si>
  <si>
    <t>17700</t>
  </si>
  <si>
    <t>Corporate Projects (Worker Cost Center)</t>
  </si>
  <si>
    <t>17919</t>
  </si>
  <si>
    <t>18000</t>
  </si>
  <si>
    <t>Corporate Services_General</t>
  </si>
  <si>
    <t>18019</t>
  </si>
  <si>
    <t>18029</t>
  </si>
  <si>
    <t>18059</t>
  </si>
  <si>
    <t>18129</t>
  </si>
  <si>
    <t>18149</t>
  </si>
  <si>
    <t>4m_dynamic_General</t>
  </si>
  <si>
    <t>18229</t>
  </si>
  <si>
    <t>18249</t>
  </si>
  <si>
    <t>4m_infinite_General</t>
  </si>
  <si>
    <t>18349</t>
  </si>
  <si>
    <t>4m_more_General</t>
  </si>
  <si>
    <t>18429</t>
  </si>
  <si>
    <t>18449</t>
  </si>
  <si>
    <t>4m_China_General</t>
  </si>
  <si>
    <t>21712</t>
  </si>
  <si>
    <t>18529</t>
  </si>
  <si>
    <t>18549</t>
  </si>
  <si>
    <t>4m_North America_General</t>
  </si>
  <si>
    <t>18619</t>
  </si>
  <si>
    <t>18629</t>
  </si>
  <si>
    <t>4c_Mandated Activities</t>
  </si>
  <si>
    <t>18649</t>
  </si>
  <si>
    <t>4m_Strategy &amp; Innovation</t>
  </si>
  <si>
    <t>18719</t>
  </si>
  <si>
    <t>18729</t>
  </si>
  <si>
    <t>18819</t>
  </si>
  <si>
    <t>18829</t>
  </si>
  <si>
    <t>18929</t>
  </si>
  <si>
    <t>4c_Project Shadowing</t>
  </si>
  <si>
    <t>19029</t>
  </si>
  <si>
    <t>19049</t>
  </si>
  <si>
    <t>4m_Presales</t>
  </si>
  <si>
    <t>19129</t>
  </si>
  <si>
    <t>4c_BU boost_Sales</t>
  </si>
  <si>
    <t>19449</t>
  </si>
  <si>
    <t>4m_dynamic_Presales</t>
  </si>
  <si>
    <t>19159</t>
  </si>
  <si>
    <t>4r_Knowledge as a Service</t>
  </si>
  <si>
    <t>19229</t>
  </si>
  <si>
    <t>4c_BU buzz_Sales</t>
  </si>
  <si>
    <t>19549</t>
  </si>
  <si>
    <t>4m_infinite_Presales</t>
  </si>
  <si>
    <t>19329</t>
  </si>
  <si>
    <t>4c_BU drive_Sales</t>
  </si>
  <si>
    <t>19649</t>
  </si>
  <si>
    <t>4m_BG more_Presales</t>
  </si>
  <si>
    <t>19359</t>
  </si>
  <si>
    <t>19429</t>
  </si>
  <si>
    <t>4c_BU groove_Sales</t>
  </si>
  <si>
    <t>19529</t>
  </si>
  <si>
    <t>4c_BU rise_Sales</t>
  </si>
  <si>
    <t>19559</t>
  </si>
  <si>
    <t>4r_Innovation internal project</t>
  </si>
  <si>
    <t>19629</t>
  </si>
  <si>
    <t xml:space="preserve">4c_BU wave_Sales </t>
  </si>
  <si>
    <t>19659</t>
  </si>
  <si>
    <t>4r_Knowledge as a Service for 4flow software</t>
  </si>
  <si>
    <t>19759</t>
  </si>
  <si>
    <t>4r_Knowledge as a Service for 4flow consulting</t>
  </si>
  <si>
    <t>19859</t>
  </si>
  <si>
    <t>4r_Knowledge as a Service for 4flow management</t>
  </si>
  <si>
    <t>20249</t>
  </si>
  <si>
    <t>4m_Internal Project_Badges</t>
  </si>
  <si>
    <t>20349</t>
  </si>
  <si>
    <t>4m_Internal Project_Supporting Corporate Projects</t>
  </si>
  <si>
    <t>20441</t>
  </si>
  <si>
    <t>21111</t>
  </si>
  <si>
    <t>21112</t>
  </si>
  <si>
    <t>21312</t>
  </si>
  <si>
    <t>21412</t>
  </si>
  <si>
    <t>21512</t>
  </si>
  <si>
    <t>21612</t>
  </si>
  <si>
    <t>21113</t>
  </si>
  <si>
    <t>22111</t>
  </si>
  <si>
    <t>22819</t>
  </si>
  <si>
    <t>22919</t>
  </si>
  <si>
    <t>23111</t>
  </si>
  <si>
    <t>23212</t>
  </si>
  <si>
    <t>24041</t>
  </si>
  <si>
    <t>24241</t>
  </si>
  <si>
    <t>24729</t>
  </si>
  <si>
    <t>4c_Support US</t>
  </si>
  <si>
    <t>24829</t>
  </si>
  <si>
    <t>4c_Support CN</t>
  </si>
  <si>
    <t>24111</t>
  </si>
  <si>
    <t>25129</t>
  </si>
  <si>
    <t>25229</t>
  </si>
  <si>
    <t>25111</t>
  </si>
  <si>
    <t>25329</t>
  </si>
  <si>
    <t>4c_OEM Group</t>
  </si>
  <si>
    <t>25729</t>
  </si>
  <si>
    <t>4c_Working Groups</t>
  </si>
  <si>
    <t>25847</t>
  </si>
  <si>
    <t>25929</t>
  </si>
  <si>
    <t>25941</t>
  </si>
  <si>
    <t>26029</t>
  </si>
  <si>
    <t>26041</t>
  </si>
  <si>
    <t>26129</t>
  </si>
  <si>
    <t>4c_Travel for Face-To-Face Meetings of Virtual Project Teams</t>
  </si>
  <si>
    <t>26141</t>
  </si>
  <si>
    <t>26229</t>
  </si>
  <si>
    <t>26241</t>
  </si>
  <si>
    <t>26341</t>
  </si>
  <si>
    <t>26441</t>
  </si>
  <si>
    <t>26649</t>
  </si>
  <si>
    <t>4m_Supply Chain+ (Product)</t>
  </si>
  <si>
    <t>26749</t>
  </si>
  <si>
    <t>26849</t>
  </si>
  <si>
    <t>26949</t>
  </si>
  <si>
    <t>27059</t>
  </si>
  <si>
    <t>4r_Projekt Methodenentwicklung und -evaluierung Bestandsoptimierung - Forschungszulage</t>
  </si>
  <si>
    <t>27159</t>
  </si>
  <si>
    <t>4r_Transport Market Monitor and Dashboards</t>
  </si>
  <si>
    <t>27259</t>
  </si>
  <si>
    <t>4r_Inventory Optimization Toolbox</t>
  </si>
  <si>
    <t>27359</t>
  </si>
  <si>
    <t>27459</t>
  </si>
  <si>
    <t>4r_Study E-Commerce, Packaging and Sustainability</t>
  </si>
  <si>
    <t>27559</t>
  </si>
  <si>
    <t>4r_Centre of Gravity and Location Optimization Toolbox</t>
  </si>
  <si>
    <t>27629</t>
  </si>
  <si>
    <t>27659</t>
  </si>
  <si>
    <t>4r_Capacitated Clustering Algorithms</t>
  </si>
  <si>
    <t>27729</t>
  </si>
  <si>
    <t>27829</t>
  </si>
  <si>
    <t>26111</t>
  </si>
  <si>
    <t>28329</t>
  </si>
  <si>
    <t>4c_Data Driven Consulting</t>
  </si>
  <si>
    <t>27111</t>
  </si>
  <si>
    <t>28556</t>
  </si>
  <si>
    <t>4r_Trendmonitor</t>
  </si>
  <si>
    <t>28656</t>
  </si>
  <si>
    <t>4r_Knowledge Management with Large Language Models</t>
  </si>
  <si>
    <t>1567222</t>
  </si>
  <si>
    <t>2030072</t>
  </si>
  <si>
    <t>2082032</t>
  </si>
  <si>
    <t>3025092</t>
  </si>
  <si>
    <t>3149022</t>
  </si>
  <si>
    <t>6023192</t>
  </si>
  <si>
    <t>6606082</t>
  </si>
  <si>
    <t>6616032</t>
  </si>
  <si>
    <t>6618022</t>
  </si>
  <si>
    <t>6646192</t>
  </si>
  <si>
    <t>6676021</t>
  </si>
  <si>
    <t>6781022</t>
  </si>
  <si>
    <t>7022222</t>
  </si>
  <si>
    <t>7513102</t>
  </si>
  <si>
    <t>7540052</t>
  </si>
  <si>
    <t>7624022</t>
  </si>
  <si>
    <t>7802432</t>
  </si>
  <si>
    <t>8031192</t>
  </si>
  <si>
    <t>8031202</t>
  </si>
  <si>
    <t>8031212</t>
  </si>
  <si>
    <t>8130022</t>
  </si>
  <si>
    <t>8858082</t>
  </si>
  <si>
    <t>3150022</t>
  </si>
  <si>
    <t>X:\finance\Projektnummernliste</t>
  </si>
  <si>
    <t>6616042</t>
  </si>
  <si>
    <t>6621024</t>
  </si>
  <si>
    <t>7042032</t>
  </si>
  <si>
    <t>7625022</t>
  </si>
  <si>
    <t>7707192</t>
  </si>
  <si>
    <t>4s_PG_iTMS-4m_Conception and Estimation of CRs (w/o Stellantis)</t>
  </si>
  <si>
    <t>4s_PG_iTMS-4m_Share Business Plans</t>
  </si>
  <si>
    <t>4s_PG_iTMS-4m_Share Modernization</t>
  </si>
  <si>
    <t>2926132</t>
  </si>
  <si>
    <t>7513112</t>
  </si>
  <si>
    <t>8803062</t>
  </si>
  <si>
    <t>4flow strategy</t>
  </si>
  <si>
    <t>29241441</t>
  </si>
  <si>
    <t>Strategy</t>
  </si>
  <si>
    <t>Evaluation of costs and benefits of platooning in road transportation networks</t>
  </si>
  <si>
    <t>Strategy (Worker Cost Center)</t>
  </si>
  <si>
    <t>11600</t>
  </si>
  <si>
    <t>4s_General (Worker Cost Center)</t>
  </si>
  <si>
    <t>4c_General (Worker Cost Center)</t>
  </si>
  <si>
    <t>4m_General (Worker Cost Center)</t>
  </si>
  <si>
    <t>4r_General  (Worker Cost Center)</t>
  </si>
  <si>
    <t>4c_BU drive_General (Worker Cost Center)</t>
  </si>
  <si>
    <t>4c_BU groove_General (Worker Cost Center)</t>
  </si>
  <si>
    <t>4c_BU rise_General (Worker Cost Center)</t>
  </si>
  <si>
    <t>4c_BU boost_General (Worker Cost Center)</t>
  </si>
  <si>
    <t>4s_General_Running_IT Systems_Internal Test Environments</t>
  </si>
  <si>
    <t>4s_General_Running_IT Systems_Common Infrastructure</t>
  </si>
  <si>
    <t>4c_BU buzz_General (Worker Cost Center)</t>
  </si>
  <si>
    <t>4s_General_Running_IT Systems_4flow vista Terminal Servers</t>
  </si>
  <si>
    <t>4c_Product SAP_General (Worker Cost Center)</t>
  </si>
  <si>
    <t>4c_BU wave_General (Worker Cost Center)</t>
  </si>
  <si>
    <t>4r_4flow Study Transportintensity</t>
  </si>
  <si>
    <t>4s_PG_iTMS-4m_Running_IT Systems_4flow vista DC nodes in test and production</t>
  </si>
  <si>
    <t>4s_PG_iTMS-4m_Running_IT Systems_Analytics application servers and databases</t>
  </si>
  <si>
    <t>24112</t>
  </si>
  <si>
    <t>4c_Practice Intralogistics &amp; Production_General (Worker Cost Center)</t>
  </si>
  <si>
    <t>4c_Practice Strategy_General (Worker Cost Center)</t>
  </si>
  <si>
    <t>4c_Practice IT Strategy_General (Worker Cost Center)</t>
  </si>
  <si>
    <t>4c_Practice Transport &amp; Network_General (Worker Cost Center)</t>
  </si>
  <si>
    <t>4c_Product Sustainability_General (Worker Cost Center)</t>
  </si>
  <si>
    <t>4r_Warehouse Equipment Automization and Optimization</t>
  </si>
  <si>
    <t>4c_Product Logistics Engineering_General (Worker Cost Center)</t>
  </si>
  <si>
    <t>4c_Product Kinaxis_General (Worker Cost Center)</t>
  </si>
  <si>
    <t>4c_Product Data Science_General (Worker Cost Center)</t>
  </si>
  <si>
    <t>28129</t>
  </si>
  <si>
    <t>4c_BG SAP_SAP Systems</t>
  </si>
  <si>
    <t>28229</t>
  </si>
  <si>
    <t>4c_BG SAP_Basis Package</t>
  </si>
  <si>
    <t>27759</t>
  </si>
  <si>
    <t>4r_Evaluation of costs and benefits of platooning in road transportation networks</t>
  </si>
  <si>
    <t>1156232</t>
  </si>
  <si>
    <t>1190052</t>
  </si>
  <si>
    <t>1201992</t>
  </si>
  <si>
    <t>1241324</t>
  </si>
  <si>
    <t>1336282</t>
  </si>
  <si>
    <t>1336272</t>
  </si>
  <si>
    <t>1336292</t>
  </si>
  <si>
    <t>1988431</t>
  </si>
  <si>
    <t>2007121</t>
  </si>
  <si>
    <t>2007141</t>
  </si>
  <si>
    <t>2007131</t>
  </si>
  <si>
    <t>2031062</t>
  </si>
  <si>
    <t>2040031</t>
  </si>
  <si>
    <t>2040022</t>
  </si>
  <si>
    <t>2041022</t>
  </si>
  <si>
    <t>2051362</t>
  </si>
  <si>
    <t>2051372</t>
  </si>
  <si>
    <t>2099082</t>
  </si>
  <si>
    <t>2250252</t>
  </si>
  <si>
    <t>2891041</t>
  </si>
  <si>
    <t>2907564</t>
  </si>
  <si>
    <t>2907554</t>
  </si>
  <si>
    <t>2924144</t>
  </si>
  <si>
    <t>2924264</t>
  </si>
  <si>
    <t>2924274</t>
  </si>
  <si>
    <t>3009082</t>
  </si>
  <si>
    <t>3061052</t>
  </si>
  <si>
    <t>3124112</t>
  </si>
  <si>
    <t>3151022</t>
  </si>
  <si>
    <t>3152022</t>
  </si>
  <si>
    <t>3156024</t>
  </si>
  <si>
    <t>4117022</t>
  </si>
  <si>
    <t>6095031</t>
  </si>
  <si>
    <t>6097012</t>
  </si>
  <si>
    <t>6104024</t>
  </si>
  <si>
    <t>6105022</t>
  </si>
  <si>
    <t>6106022</t>
  </si>
  <si>
    <t>6106032</t>
  </si>
  <si>
    <t>6106042</t>
  </si>
  <si>
    <t>6106052</t>
  </si>
  <si>
    <t>6107022</t>
  </si>
  <si>
    <t>6109022</t>
  </si>
  <si>
    <t>6110022</t>
  </si>
  <si>
    <t>6111022</t>
  </si>
  <si>
    <t>6606092</t>
  </si>
  <si>
    <t>6606102</t>
  </si>
  <si>
    <t>6615034</t>
  </si>
  <si>
    <t>6616052</t>
  </si>
  <si>
    <t>6623022</t>
  </si>
  <si>
    <t>6624024</t>
  </si>
  <si>
    <t>7010052</t>
  </si>
  <si>
    <t>7022232</t>
  </si>
  <si>
    <t>7047022</t>
  </si>
  <si>
    <t>7520042</t>
  </si>
  <si>
    <t>7556042</t>
  </si>
  <si>
    <t>7627022</t>
  </si>
  <si>
    <t>7630022</t>
  </si>
  <si>
    <t>7632022</t>
  </si>
  <si>
    <t>7656022</t>
  </si>
  <si>
    <t>7707202</t>
  </si>
  <si>
    <t>7801022</t>
  </si>
  <si>
    <t>7802452</t>
  </si>
  <si>
    <t>7802462</t>
  </si>
  <si>
    <t>7802442</t>
  </si>
  <si>
    <t>7954022</t>
  </si>
  <si>
    <t>8000021</t>
  </si>
  <si>
    <t>8080322</t>
  </si>
  <si>
    <t>8108252</t>
  </si>
  <si>
    <t>8848062</t>
  </si>
  <si>
    <t>8848072</t>
  </si>
  <si>
    <t>8848082</t>
  </si>
  <si>
    <t>8858092</t>
  </si>
  <si>
    <t>8876122</t>
  </si>
  <si>
    <t>8911161</t>
  </si>
  <si>
    <t>9956085</t>
  </si>
  <si>
    <t>9962101</t>
  </si>
  <si>
    <t>9963451</t>
  </si>
  <si>
    <t>9963461</t>
  </si>
  <si>
    <t>9963471</t>
  </si>
  <si>
    <t>9963481</t>
  </si>
  <si>
    <t>4r_Funding</t>
  </si>
  <si>
    <t>Workday Title</t>
  </si>
  <si>
    <t>6055052</t>
  </si>
  <si>
    <t>8029062</t>
  </si>
  <si>
    <t>8029072</t>
  </si>
  <si>
    <t>9963491</t>
  </si>
  <si>
    <t>9963501</t>
  </si>
  <si>
    <t>3028174</t>
  </si>
  <si>
    <t>4c_iSCM</t>
  </si>
  <si>
    <t>4c_strategy</t>
  </si>
  <si>
    <t>Check for Specification BL match</t>
  </si>
  <si>
    <t>Workday</t>
  </si>
  <si>
    <t>19820316</t>
  </si>
  <si>
    <t>99990628</t>
  </si>
  <si>
    <t>28900811</t>
  </si>
  <si>
    <t>28900817</t>
  </si>
  <si>
    <t>29075228</t>
  </si>
  <si>
    <t>BU groove</t>
  </si>
  <si>
    <t>BU rise</t>
  </si>
  <si>
    <t>BU buzz</t>
  </si>
  <si>
    <t>PG 4flow vista</t>
  </si>
  <si>
    <t>BU boost</t>
  </si>
  <si>
    <t>PG Central function</t>
  </si>
  <si>
    <t>PG 4flow TORO</t>
  </si>
  <si>
    <t>BG more</t>
  </si>
  <si>
    <t>BG dynamic</t>
  </si>
  <si>
    <t>BU wave</t>
  </si>
  <si>
    <t>PG iTMS-4s</t>
  </si>
  <si>
    <t>BG infinite</t>
  </si>
  <si>
    <t>PG iTMS-4m</t>
  </si>
  <si>
    <t>PG 4flow VIA</t>
  </si>
  <si>
    <t>iSCM</t>
  </si>
  <si>
    <t>PG KNX-TLO</t>
  </si>
  <si>
    <t>PG SAP-Addon</t>
  </si>
  <si>
    <t>PG KNX-NWD</t>
  </si>
  <si>
    <t>PG 4flow vista - SC+</t>
  </si>
  <si>
    <t>PG vTMS-4m</t>
  </si>
  <si>
    <t>PG E2E</t>
  </si>
  <si>
    <t>1190062</t>
  </si>
  <si>
    <t>1203652</t>
  </si>
  <si>
    <t>1336302</t>
  </si>
  <si>
    <t>14100</t>
  </si>
  <si>
    <t>1970484</t>
  </si>
  <si>
    <t>1970494</t>
  </si>
  <si>
    <t>1982031</t>
  </si>
  <si>
    <t>2007151</t>
  </si>
  <si>
    <t>2042022</t>
  </si>
  <si>
    <t>2045182</t>
  </si>
  <si>
    <t>20628</t>
  </si>
  <si>
    <t>4c_Practice iSCM_General (Worker Cost Center)</t>
  </si>
  <si>
    <t>2130062</t>
  </si>
  <si>
    <t>2890081</t>
  </si>
  <si>
    <t>2890112</t>
  </si>
  <si>
    <t>2907522</t>
  </si>
  <si>
    <t>2907544</t>
  </si>
  <si>
    <t>3050034</t>
  </si>
  <si>
    <t>3061062</t>
  </si>
  <si>
    <t>3067034</t>
  </si>
  <si>
    <t>3067044</t>
  </si>
  <si>
    <t>4118022</t>
  </si>
  <si>
    <t>6116024</t>
  </si>
  <si>
    <t>6425382</t>
  </si>
  <si>
    <t>6600021</t>
  </si>
  <si>
    <t>6606112</t>
  </si>
  <si>
    <t>6625022</t>
  </si>
  <si>
    <t>7048022</t>
  </si>
  <si>
    <t>7505462</t>
  </si>
  <si>
    <t>7535052</t>
  </si>
  <si>
    <t>7604042</t>
  </si>
  <si>
    <t>7617024</t>
  </si>
  <si>
    <t>7629032</t>
  </si>
  <si>
    <t>7662022</t>
  </si>
  <si>
    <t>7695042</t>
  </si>
  <si>
    <t>7707212</t>
  </si>
  <si>
    <t>7707222</t>
  </si>
  <si>
    <t>8001062</t>
  </si>
  <si>
    <t>8031222</t>
  </si>
  <si>
    <t>8080332</t>
  </si>
  <si>
    <t>9963514</t>
  </si>
  <si>
    <t>9963521</t>
  </si>
  <si>
    <t>9963531</t>
  </si>
  <si>
    <t>9963541</t>
  </si>
  <si>
    <t>1016172</t>
  </si>
  <si>
    <t>1572082</t>
  </si>
  <si>
    <t>2043022</t>
  </si>
  <si>
    <t>2066022</t>
  </si>
  <si>
    <t>2924284</t>
  </si>
  <si>
    <t>3150032</t>
  </si>
  <si>
    <t>4002082</t>
  </si>
  <si>
    <t>6112022</t>
  </si>
  <si>
    <t>6612032</t>
  </si>
  <si>
    <t>6616062</t>
  </si>
  <si>
    <t>6646202</t>
  </si>
  <si>
    <t>6676031</t>
  </si>
  <si>
    <t>7049022</t>
  </si>
  <si>
    <t>7505472</t>
  </si>
  <si>
    <t>7569042</t>
  </si>
  <si>
    <t>7629042</t>
  </si>
  <si>
    <t>7670024</t>
  </si>
  <si>
    <t>7803022</t>
  </si>
  <si>
    <t>7812121</t>
  </si>
  <si>
    <t>8116042</t>
  </si>
  <si>
    <t>8911172</t>
  </si>
  <si>
    <t>8807024</t>
  </si>
  <si>
    <t>9963551</t>
  </si>
  <si>
    <t>15121028</t>
  </si>
  <si>
    <t>BOS Inventory Optimization Pilot</t>
  </si>
  <si>
    <t>27859</t>
  </si>
  <si>
    <t>4r_BOS Inventory Optimization Pilot</t>
  </si>
  <si>
    <t>1016182</t>
  </si>
  <si>
    <t>1203662</t>
  </si>
  <si>
    <t>1241334</t>
  </si>
  <si>
    <t>1512102</t>
  </si>
  <si>
    <t>1572092</t>
  </si>
  <si>
    <t>1572102</t>
  </si>
  <si>
    <t>1970504</t>
  </si>
  <si>
    <t>1988441</t>
  </si>
  <si>
    <t>2038032</t>
  </si>
  <si>
    <t>2046022</t>
  </si>
  <si>
    <t>2050022</t>
  </si>
  <si>
    <t>2057022</t>
  </si>
  <si>
    <t>2073381</t>
  </si>
  <si>
    <t>2083072</t>
  </si>
  <si>
    <t>2114072</t>
  </si>
  <si>
    <t>2136022</t>
  </si>
  <si>
    <t>2220214</t>
  </si>
  <si>
    <t>2895042</t>
  </si>
  <si>
    <t>2907574</t>
  </si>
  <si>
    <t>2924294</t>
  </si>
  <si>
    <t>3016132</t>
  </si>
  <si>
    <t>3037082</t>
  </si>
  <si>
    <t>3043032</t>
  </si>
  <si>
    <t>3064032</t>
  </si>
  <si>
    <t>3153022</t>
  </si>
  <si>
    <t>3154022</t>
  </si>
  <si>
    <t>3155022</t>
  </si>
  <si>
    <t>4002092</t>
  </si>
  <si>
    <t>4002102</t>
  </si>
  <si>
    <t>6113022</t>
  </si>
  <si>
    <t>6114022</t>
  </si>
  <si>
    <t>6426162</t>
  </si>
  <si>
    <t>6606122</t>
  </si>
  <si>
    <t>6607224</t>
  </si>
  <si>
    <t>6630024</t>
  </si>
  <si>
    <t>7010062</t>
  </si>
  <si>
    <t>7592102</t>
  </si>
  <si>
    <t>7598032</t>
  </si>
  <si>
    <t>7621032</t>
  </si>
  <si>
    <t>7624032</t>
  </si>
  <si>
    <t>7662032</t>
  </si>
  <si>
    <t>7663022</t>
  </si>
  <si>
    <t>7681022</t>
  </si>
  <si>
    <t>7802472</t>
  </si>
  <si>
    <t>7802482</t>
  </si>
  <si>
    <t>7802492</t>
  </si>
  <si>
    <t>7802502</t>
  </si>
  <si>
    <t>8045062</t>
  </si>
  <si>
    <t>8080342</t>
  </si>
  <si>
    <t>8808024</t>
  </si>
  <si>
    <t>9963561</t>
  </si>
  <si>
    <t>9963571</t>
  </si>
  <si>
    <t>9963581</t>
  </si>
  <si>
    <t>1970514</t>
  </si>
  <si>
    <t>2042032</t>
  </si>
  <si>
    <t>3100052</t>
  </si>
  <si>
    <t>3157022</t>
  </si>
  <si>
    <t>6425392</t>
  </si>
  <si>
    <t>6622032</t>
  </si>
  <si>
    <t>6666022</t>
  </si>
  <si>
    <t>7605092</t>
  </si>
  <si>
    <t>7664022</t>
  </si>
  <si>
    <t>7666022</t>
  </si>
  <si>
    <t>7667022</t>
  </si>
  <si>
    <t>8803061</t>
  </si>
  <si>
    <t>9963591</t>
  </si>
  <si>
    <t>9963601</t>
  </si>
  <si>
    <t>9963611</t>
  </si>
  <si>
    <t>25 years 4flow</t>
  </si>
  <si>
    <t>BU drive</t>
  </si>
  <si>
    <t>4flow management North America domestic</t>
  </si>
  <si>
    <t>12200</t>
  </si>
  <si>
    <t>4m_SPM_Data Solutions_Low Code</t>
  </si>
  <si>
    <t>4m_SPM_Data Solutions_RPA</t>
  </si>
  <si>
    <t>1336312</t>
  </si>
  <si>
    <t>1567232</t>
  </si>
  <si>
    <t>1951062</t>
  </si>
  <si>
    <t>1976021</t>
  </si>
  <si>
    <t>2060022</t>
  </si>
  <si>
    <t>2062024</t>
  </si>
  <si>
    <t>2071022</t>
  </si>
  <si>
    <t>2118022</t>
  </si>
  <si>
    <t>2191211</t>
  </si>
  <si>
    <t>2250262</t>
  </si>
  <si>
    <t>2907582</t>
  </si>
  <si>
    <t>3009092</t>
  </si>
  <si>
    <t>3016142</t>
  </si>
  <si>
    <t>3029052</t>
  </si>
  <si>
    <t>3081302</t>
  </si>
  <si>
    <t>3144032</t>
  </si>
  <si>
    <t>3144042</t>
  </si>
  <si>
    <t>3158022</t>
  </si>
  <si>
    <t>3159022</t>
  </si>
  <si>
    <t>3160021</t>
  </si>
  <si>
    <t>4102032</t>
  </si>
  <si>
    <t>6001022</t>
  </si>
  <si>
    <t>6025032</t>
  </si>
  <si>
    <t>6060042</t>
  </si>
  <si>
    <t>6106062</t>
  </si>
  <si>
    <t>6115022</t>
  </si>
  <si>
    <t>6117022</t>
  </si>
  <si>
    <t>6118021</t>
  </si>
  <si>
    <t>6304022</t>
  </si>
  <si>
    <t>6310021</t>
  </si>
  <si>
    <t>6425402</t>
  </si>
  <si>
    <t>6619302</t>
  </si>
  <si>
    <t>9963622</t>
  </si>
  <si>
    <t>6654022</t>
  </si>
  <si>
    <t>7041012</t>
  </si>
  <si>
    <t>7049032</t>
  </si>
  <si>
    <t>7049042</t>
  </si>
  <si>
    <t>7052022</t>
  </si>
  <si>
    <t>7445071</t>
  </si>
  <si>
    <t>7620032</t>
  </si>
  <si>
    <t>7669021</t>
  </si>
  <si>
    <t>7681032</t>
  </si>
  <si>
    <t>7802512</t>
  </si>
  <si>
    <t>7802522</t>
  </si>
  <si>
    <t>7802532</t>
  </si>
  <si>
    <t>8018132</t>
  </si>
  <si>
    <t>8080352</t>
  </si>
  <si>
    <t>8116052</t>
  </si>
  <si>
    <t>8129042</t>
  </si>
  <si>
    <t>8879212</t>
  </si>
  <si>
    <t>8903062</t>
  </si>
  <si>
    <t>8911182</t>
  </si>
  <si>
    <t>9985202</t>
  </si>
  <si>
    <t>1336322</t>
  </si>
  <si>
    <t>1770434</t>
  </si>
  <si>
    <t>1770444</t>
  </si>
  <si>
    <t>2072021</t>
  </si>
  <si>
    <t>2907594</t>
  </si>
  <si>
    <t>4110032</t>
  </si>
  <si>
    <t>4119022</t>
  </si>
  <si>
    <t>6063052</t>
  </si>
  <si>
    <t>6106072</t>
  </si>
  <si>
    <t>6606132</t>
  </si>
  <si>
    <t>7053022</t>
  </si>
  <si>
    <t>7605102</t>
  </si>
  <si>
    <t>7699032</t>
  </si>
  <si>
    <t>7802542</t>
  </si>
  <si>
    <t>7802552</t>
  </si>
  <si>
    <t>8018142</t>
  </si>
  <si>
    <t>8823062</t>
  </si>
  <si>
    <t>8911192</t>
  </si>
  <si>
    <t>Absence</t>
  </si>
  <si>
    <t>99983259</t>
  </si>
  <si>
    <t>4r_vacation &amp; sickness - 4flow research</t>
  </si>
  <si>
    <t>Dashboard Toolbox</t>
  </si>
  <si>
    <t>Routing and Balancing Optimization Lear</t>
  </si>
  <si>
    <t>1203672</t>
  </si>
  <si>
    <t>1241342</t>
  </si>
  <si>
    <t>1241352</t>
  </si>
  <si>
    <t>1241362</t>
  </si>
  <si>
    <t>1241374</t>
  </si>
  <si>
    <t>1241382</t>
  </si>
  <si>
    <t>1336332</t>
  </si>
  <si>
    <t>18359</t>
  </si>
  <si>
    <t>4r_vacation &amp; sickness</t>
  </si>
  <si>
    <t>1951072</t>
  </si>
  <si>
    <t>2114082</t>
  </si>
  <si>
    <t>27959</t>
  </si>
  <si>
    <t>4r_Dashboard Toolbox</t>
  </si>
  <si>
    <t>28059</t>
  </si>
  <si>
    <t>4r_Routing and Balancing Optimization Lear</t>
  </si>
  <si>
    <t>3071032</t>
  </si>
  <si>
    <t>3086142</t>
  </si>
  <si>
    <t>3162022</t>
  </si>
  <si>
    <t>6119022</t>
  </si>
  <si>
    <t>6302052</t>
  </si>
  <si>
    <t>6302062</t>
  </si>
  <si>
    <t>6425412</t>
  </si>
  <si>
    <t>6606142</t>
  </si>
  <si>
    <t>6649082</t>
  </si>
  <si>
    <t>6649092</t>
  </si>
  <si>
    <t>7592112</t>
  </si>
  <si>
    <t>7636332</t>
  </si>
  <si>
    <t>7669031</t>
  </si>
  <si>
    <t>7671022</t>
  </si>
  <si>
    <t>7672022</t>
  </si>
  <si>
    <t>7673022</t>
  </si>
  <si>
    <t>7707232</t>
  </si>
  <si>
    <t>8096042</t>
  </si>
  <si>
    <t>8096052</t>
  </si>
  <si>
    <t>8809022</t>
  </si>
  <si>
    <t>8809032</t>
  </si>
  <si>
    <t>8821024</t>
  </si>
  <si>
    <t>8913024</t>
  </si>
  <si>
    <t>9995981</t>
  </si>
  <si>
    <t>9963631</t>
  </si>
  <si>
    <t>9963641</t>
  </si>
  <si>
    <t>9963651</t>
  </si>
  <si>
    <t>9963661</t>
  </si>
  <si>
    <t>99634416</t>
  </si>
  <si>
    <t>1203682</t>
  </si>
  <si>
    <t>2078022</t>
  </si>
  <si>
    <t>2114092</t>
  </si>
  <si>
    <t>3150042</t>
  </si>
  <si>
    <t>6050082</t>
  </si>
  <si>
    <t>7042042</t>
  </si>
  <si>
    <t>7662042</t>
  </si>
  <si>
    <t>7707242</t>
  </si>
  <si>
    <t>8903072</t>
  </si>
  <si>
    <t>9963441</t>
  </si>
  <si>
    <t>4flow management internal</t>
  </si>
  <si>
    <t>1203692</t>
  </si>
  <si>
    <t>1241384</t>
  </si>
  <si>
    <t>2220224</t>
  </si>
  <si>
    <t>3018062</t>
  </si>
  <si>
    <t>3131032</t>
  </si>
  <si>
    <t>4002112</t>
  </si>
  <si>
    <t>4113032</t>
  </si>
  <si>
    <t>6093042</t>
  </si>
  <si>
    <t>6107032</t>
  </si>
  <si>
    <t>6425422</t>
  </si>
  <si>
    <t>6665022</t>
  </si>
  <si>
    <t>7054022</t>
  </si>
  <si>
    <t>7055022</t>
  </si>
  <si>
    <t>7629052</t>
  </si>
  <si>
    <t>7674021</t>
  </si>
  <si>
    <t>7707252</t>
  </si>
  <si>
    <t>7802562</t>
  </si>
  <si>
    <t>8045072</t>
  </si>
  <si>
    <t>8858102</t>
  </si>
  <si>
    <t>9963671</t>
  </si>
  <si>
    <t>9963681</t>
  </si>
  <si>
    <t>9963691</t>
  </si>
  <si>
    <t>9963701</t>
  </si>
  <si>
    <t>9963711</t>
  </si>
  <si>
    <t>9963731</t>
  </si>
  <si>
    <t>2927101</t>
  </si>
  <si>
    <t>1005021</t>
  </si>
  <si>
    <t>1190072</t>
  </si>
  <si>
    <t>1203702</t>
  </si>
  <si>
    <t>1241394</t>
  </si>
  <si>
    <t>1241404</t>
  </si>
  <si>
    <t>1282122</t>
  </si>
  <si>
    <t>1572112</t>
  </si>
  <si>
    <t>2114102</t>
  </si>
  <si>
    <t>2118032</t>
  </si>
  <si>
    <t>2118042</t>
  </si>
  <si>
    <t>3126052</t>
  </si>
  <si>
    <t>3131042</t>
  </si>
  <si>
    <t>3166022</t>
  </si>
  <si>
    <t>4002122</t>
  </si>
  <si>
    <t>6010032</t>
  </si>
  <si>
    <t>6074074</t>
  </si>
  <si>
    <t>6093052</t>
  </si>
  <si>
    <t>6093062</t>
  </si>
  <si>
    <t>6093072</t>
  </si>
  <si>
    <t>6098032</t>
  </si>
  <si>
    <t>6105032</t>
  </si>
  <si>
    <t>6106082</t>
  </si>
  <si>
    <t>6106092</t>
  </si>
  <si>
    <t>6107042</t>
  </si>
  <si>
    <t>6124022</t>
  </si>
  <si>
    <t>6409022</t>
  </si>
  <si>
    <t>6426172</t>
  </si>
  <si>
    <t>6667022</t>
  </si>
  <si>
    <t>6668022</t>
  </si>
  <si>
    <t>7045072</t>
  </si>
  <si>
    <t>7624042</t>
  </si>
  <si>
    <t>7655092</t>
  </si>
  <si>
    <t>8027042</t>
  </si>
  <si>
    <t>8106042</t>
  </si>
  <si>
    <t>9963741</t>
  </si>
  <si>
    <t>11242928</t>
  </si>
  <si>
    <t>79360228</t>
  </si>
  <si>
    <t>1016192</t>
  </si>
  <si>
    <t>1124292</t>
  </si>
  <si>
    <t>1190082</t>
  </si>
  <si>
    <t>1366032</t>
  </si>
  <si>
    <t>1951082</t>
  </si>
  <si>
    <t>1970524</t>
  </si>
  <si>
    <t>2052032</t>
  </si>
  <si>
    <t>2053031</t>
  </si>
  <si>
    <t>2248052</t>
  </si>
  <si>
    <t>2248071</t>
  </si>
  <si>
    <t>2248061</t>
  </si>
  <si>
    <t>2248081</t>
  </si>
  <si>
    <t>2924304</t>
  </si>
  <si>
    <t>2924314</t>
  </si>
  <si>
    <t>3009102</t>
  </si>
  <si>
    <t>3016152</t>
  </si>
  <si>
    <t>3076052</t>
  </si>
  <si>
    <t>3111074</t>
  </si>
  <si>
    <t>3161022</t>
  </si>
  <si>
    <t>3163022</t>
  </si>
  <si>
    <t>3164022</t>
  </si>
  <si>
    <t>3165022</t>
  </si>
  <si>
    <t>3167022</t>
  </si>
  <si>
    <t>3188052</t>
  </si>
  <si>
    <t>4009022</t>
  </si>
  <si>
    <t>6015082</t>
  </si>
  <si>
    <t>6040041</t>
  </si>
  <si>
    <t>6040051</t>
  </si>
  <si>
    <t>6040071</t>
  </si>
  <si>
    <t>6106102</t>
  </si>
  <si>
    <t>6120022</t>
  </si>
  <si>
    <t>6121022</t>
  </si>
  <si>
    <t>6122021</t>
  </si>
  <si>
    <t>6123022</t>
  </si>
  <si>
    <t>6125022</t>
  </si>
  <si>
    <t>6125032</t>
  </si>
  <si>
    <t>6126022</t>
  </si>
  <si>
    <t>6127022</t>
  </si>
  <si>
    <t>6128022</t>
  </si>
  <si>
    <t>6412022</t>
  </si>
  <si>
    <t>6425432</t>
  </si>
  <si>
    <t>6622042</t>
  </si>
  <si>
    <t>6646212</t>
  </si>
  <si>
    <t>6646222</t>
  </si>
  <si>
    <t>6669022</t>
  </si>
  <si>
    <t>7042052</t>
  </si>
  <si>
    <t>7054042</t>
  </si>
  <si>
    <t>7513122</t>
  </si>
  <si>
    <t>7630032</t>
  </si>
  <si>
    <t>7632034</t>
  </si>
  <si>
    <t>7675021</t>
  </si>
  <si>
    <t>7676022</t>
  </si>
  <si>
    <t>7683022</t>
  </si>
  <si>
    <t>7911021</t>
  </si>
  <si>
    <t>7936032</t>
  </si>
  <si>
    <t>7972031</t>
  </si>
  <si>
    <t>8858111</t>
  </si>
  <si>
    <t>8858122</t>
  </si>
  <si>
    <t>8884082</t>
  </si>
  <si>
    <t>8911212</t>
  </si>
  <si>
    <t>9985211</t>
  </si>
  <si>
    <t>9996881</t>
  </si>
  <si>
    <t>9996871</t>
  </si>
  <si>
    <t>4c - Europe</t>
  </si>
  <si>
    <t>4c - global</t>
  </si>
  <si>
    <t>4flow management China domestic</t>
  </si>
  <si>
    <t>1241412</t>
  </si>
  <si>
    <t>1336342</t>
  </si>
  <si>
    <t>2092022</t>
  </si>
  <si>
    <t>2924334</t>
  </si>
  <si>
    <t>4121022</t>
  </si>
  <si>
    <t>7054052</t>
  </si>
  <si>
    <t>7069022</t>
  </si>
  <si>
    <t>7636352</t>
  </si>
  <si>
    <t>9963751</t>
  </si>
  <si>
    <t>Global Standards</t>
  </si>
  <si>
    <t>Entwicklung und Evaluation von Forecastingmethoden für Supply Chain Anwendungen</t>
  </si>
  <si>
    <t>14200</t>
  </si>
  <si>
    <t>28159</t>
  </si>
  <si>
    <t>4r_Entwicklung und Evaluation von Forecastingmethoden für Supply Chain Anwendungen</t>
  </si>
  <si>
    <t>1044142</t>
  </si>
  <si>
    <t>1203712</t>
  </si>
  <si>
    <t>1241422</t>
  </si>
  <si>
    <t>1241432</t>
  </si>
  <si>
    <t>1336352</t>
  </si>
  <si>
    <t>1336362</t>
  </si>
  <si>
    <t>1336372</t>
  </si>
  <si>
    <t>1970544</t>
  </si>
  <si>
    <t>1971884</t>
  </si>
  <si>
    <t>2065062</t>
  </si>
  <si>
    <t>2924354</t>
  </si>
  <si>
    <t>2924344</t>
  </si>
  <si>
    <t>3150052</t>
  </si>
  <si>
    <t>3168022</t>
  </si>
  <si>
    <t>3169022</t>
  </si>
  <si>
    <t>6055062</t>
  </si>
  <si>
    <t>6070032</t>
  </si>
  <si>
    <t>6130024</t>
  </si>
  <si>
    <t>6400092</t>
  </si>
  <si>
    <t>6649072</t>
  </si>
  <si>
    <t>6670022</t>
  </si>
  <si>
    <t>7054062</t>
  </si>
  <si>
    <t>7513132</t>
  </si>
  <si>
    <t>7605112</t>
  </si>
  <si>
    <t>7605122</t>
  </si>
  <si>
    <t>7677022</t>
  </si>
  <si>
    <t>7683032</t>
  </si>
  <si>
    <t>7683042</t>
  </si>
  <si>
    <t>7685022</t>
  </si>
  <si>
    <t>7707262</t>
  </si>
  <si>
    <t>8031232</t>
  </si>
  <si>
    <t>8116062</t>
  </si>
  <si>
    <t>8807034</t>
  </si>
  <si>
    <t>31040211</t>
  </si>
  <si>
    <t>Transport order data analyze and visualization process and tool</t>
  </si>
  <si>
    <t>28259</t>
  </si>
  <si>
    <t>4r_Transport order data analyze and visualization process and tool</t>
  </si>
  <si>
    <t>1016202</t>
  </si>
  <si>
    <t>1203722</t>
  </si>
  <si>
    <t>1336382</t>
  </si>
  <si>
    <t>1336392</t>
  </si>
  <si>
    <t>1567252</t>
  </si>
  <si>
    <t>2045194</t>
  </si>
  <si>
    <t>1973022</t>
  </si>
  <si>
    <t>2031072</t>
  </si>
  <si>
    <t>2038042</t>
  </si>
  <si>
    <t>2038052</t>
  </si>
  <si>
    <t>2052042</t>
  </si>
  <si>
    <t>2114112</t>
  </si>
  <si>
    <t>2248092</t>
  </si>
  <si>
    <t>3016162</t>
  </si>
  <si>
    <t>3104021</t>
  </si>
  <si>
    <t>3170022</t>
  </si>
  <si>
    <t>4010022</t>
  </si>
  <si>
    <t>6129022</t>
  </si>
  <si>
    <t>6131021</t>
  </si>
  <si>
    <t>6131031</t>
  </si>
  <si>
    <t>6132022</t>
  </si>
  <si>
    <t>6316021</t>
  </si>
  <si>
    <t>6425442</t>
  </si>
  <si>
    <t>6646232</t>
  </si>
  <si>
    <t>6648042</t>
  </si>
  <si>
    <t>7054072</t>
  </si>
  <si>
    <t>7655102</t>
  </si>
  <si>
    <t>7655112</t>
  </si>
  <si>
    <t>7676032</t>
  </si>
  <si>
    <t>8080362</t>
  </si>
  <si>
    <t>9963022</t>
  </si>
  <si>
    <t>8911202</t>
  </si>
  <si>
    <t>9963761</t>
  </si>
  <si>
    <t>9963772</t>
  </si>
  <si>
    <t>9991702</t>
  </si>
  <si>
    <t>6623032</t>
  </si>
  <si>
    <t>6623041</t>
  </si>
  <si>
    <t>1110802</t>
  </si>
  <si>
    <t>1203732</t>
  </si>
  <si>
    <t>1336402</t>
  </si>
  <si>
    <t>1600032</t>
  </si>
  <si>
    <t>1970554</t>
  </si>
  <si>
    <t>1970564</t>
  </si>
  <si>
    <t>1970574</t>
  </si>
  <si>
    <t>1970584</t>
  </si>
  <si>
    <t>9964021</t>
  </si>
  <si>
    <t>1995132</t>
  </si>
  <si>
    <t>2038062</t>
  </si>
  <si>
    <t>2065072</t>
  </si>
  <si>
    <t>2073391</t>
  </si>
  <si>
    <t>2100022</t>
  </si>
  <si>
    <t>2114122</t>
  </si>
  <si>
    <t>2130072</t>
  </si>
  <si>
    <t>2220234</t>
  </si>
  <si>
    <t>3168032</t>
  </si>
  <si>
    <t>3180021</t>
  </si>
  <si>
    <t>4009032</t>
  </si>
  <si>
    <t>4011022</t>
  </si>
  <si>
    <t>6085034</t>
  </si>
  <si>
    <t>6133022</t>
  </si>
  <si>
    <t>6425452</t>
  </si>
  <si>
    <t>6664032</t>
  </si>
  <si>
    <t>7010072</t>
  </si>
  <si>
    <t>7054082</t>
  </si>
  <si>
    <t>7562031</t>
  </si>
  <si>
    <t>7568042</t>
  </si>
  <si>
    <t>7573052</t>
  </si>
  <si>
    <t>7605132</t>
  </si>
  <si>
    <t>7629062</t>
  </si>
  <si>
    <t>7629072</t>
  </si>
  <si>
    <t>7636362</t>
  </si>
  <si>
    <t>7636372</t>
  </si>
  <si>
    <t>7679022</t>
  </si>
  <si>
    <t>8879222</t>
  </si>
  <si>
    <t>9963781</t>
  </si>
  <si>
    <t>9963792</t>
  </si>
  <si>
    <t>9996892</t>
  </si>
  <si>
    <t>4s_PG_E2E_EMS NextGen_Concept and Development</t>
  </si>
  <si>
    <t>6627022</t>
  </si>
  <si>
    <t>2046032</t>
  </si>
  <si>
    <t>6105042</t>
  </si>
  <si>
    <t>6664042</t>
  </si>
  <si>
    <t>6604042</t>
  </si>
  <si>
    <t>7686022</t>
  </si>
  <si>
    <t>2102021</t>
  </si>
  <si>
    <t>6606152</t>
  </si>
  <si>
    <t>8108262</t>
  </si>
  <si>
    <t>1005032</t>
  </si>
  <si>
    <t>60870228</t>
  </si>
  <si>
    <t>9963802</t>
  </si>
  <si>
    <t>7813032</t>
  </si>
  <si>
    <t>1110812</t>
  </si>
  <si>
    <t>1110822</t>
  </si>
  <si>
    <t>1190092</t>
  </si>
  <si>
    <t>1972894</t>
  </si>
  <si>
    <t>1977022</t>
  </si>
  <si>
    <t>6425462</t>
  </si>
  <si>
    <t>6606162</t>
  </si>
  <si>
    <t>2248101</t>
  </si>
  <si>
    <t>6099034</t>
  </si>
  <si>
    <t>6672022</t>
  </si>
  <si>
    <t>6678022</t>
  </si>
  <si>
    <t>2924352</t>
  </si>
  <si>
    <t>8911222</t>
  </si>
  <si>
    <t>2023032</t>
  </si>
  <si>
    <t>1203742</t>
  </si>
  <si>
    <t>6311022</t>
  </si>
  <si>
    <t>4122022</t>
  </si>
  <si>
    <t>4123021</t>
  </si>
  <si>
    <t>4124012</t>
  </si>
  <si>
    <t>2109021</t>
  </si>
  <si>
    <t>2110022</t>
  </si>
  <si>
    <t>2111022</t>
  </si>
  <si>
    <t>7055032</t>
  </si>
  <si>
    <t>6006062</t>
  </si>
  <si>
    <t>6087032</t>
  </si>
  <si>
    <t>2100032</t>
  </si>
  <si>
    <t>7605142</t>
  </si>
  <si>
    <t>8080372</t>
  </si>
  <si>
    <t>6065082</t>
  </si>
  <si>
    <t>1567264</t>
  </si>
  <si>
    <t>1574022</t>
  </si>
  <si>
    <t>2102031</t>
  </si>
  <si>
    <t>2102041</t>
  </si>
  <si>
    <t>2102051</t>
  </si>
  <si>
    <t>2102061</t>
  </si>
  <si>
    <t>2102071</t>
  </si>
  <si>
    <t>1770452</t>
  </si>
  <si>
    <t>3171022</t>
  </si>
  <si>
    <t>3178022</t>
  </si>
  <si>
    <t>2136032</t>
  </si>
  <si>
    <t>8984092</t>
  </si>
  <si>
    <t>6413022</t>
  </si>
  <si>
    <t>6055072</t>
  </si>
  <si>
    <t>7657022</t>
  </si>
  <si>
    <t>7802572</t>
  </si>
  <si>
    <t>7802582</t>
  </si>
  <si>
    <t>3081312</t>
  </si>
  <si>
    <t>1973032</t>
  </si>
  <si>
    <t>1988452</t>
  </si>
  <si>
    <t>6104032</t>
  </si>
  <si>
    <t>6134022</t>
  </si>
  <si>
    <t>6135022</t>
  </si>
  <si>
    <t>6302072</t>
  </si>
  <si>
    <t>6646242</t>
  </si>
  <si>
    <t>7513142</t>
  </si>
  <si>
    <t>7629082</t>
  </si>
  <si>
    <t>7684022</t>
  </si>
  <si>
    <t>7707272</t>
  </si>
  <si>
    <t>7707282</t>
  </si>
  <si>
    <t>8080382</t>
  </si>
  <si>
    <t>8857032</t>
  </si>
  <si>
    <t>1567272</t>
  </si>
  <si>
    <t>1567282</t>
  </si>
  <si>
    <t>1570372</t>
  </si>
  <si>
    <t>2907604</t>
  </si>
  <si>
    <t>3172022</t>
  </si>
  <si>
    <t>6012252</t>
  </si>
  <si>
    <t>7617032</t>
  </si>
  <si>
    <t>8012022</t>
  </si>
  <si>
    <t>2907912</t>
  </si>
  <si>
    <t>9963811</t>
  </si>
  <si>
    <t>60480226</t>
  </si>
  <si>
    <t>27311</t>
  </si>
  <si>
    <t>2031082</t>
  </si>
  <si>
    <t>2038072</t>
  </si>
  <si>
    <t>3016172</t>
  </si>
  <si>
    <t>3173024</t>
  </si>
  <si>
    <t>3186022</t>
  </si>
  <si>
    <t>3186032</t>
  </si>
  <si>
    <t>6134034</t>
  </si>
  <si>
    <t>6136021</t>
  </si>
  <si>
    <t>6680022</t>
  </si>
  <si>
    <t>7042062</t>
  </si>
  <si>
    <t>7682022</t>
  </si>
  <si>
    <t>7688022</t>
  </si>
  <si>
    <t>7802592</t>
  </si>
  <si>
    <t>8080392</t>
  </si>
  <si>
    <t>9990932</t>
  </si>
  <si>
    <t>1336412</t>
  </si>
  <si>
    <t>1336422</t>
  </si>
  <si>
    <t>9963852</t>
  </si>
  <si>
    <t>1953012</t>
  </si>
  <si>
    <t>2119022</t>
  </si>
  <si>
    <t>3048072</t>
  </si>
  <si>
    <t>3131051</t>
  </si>
  <si>
    <t>3174021</t>
  </si>
  <si>
    <t>3175022</t>
  </si>
  <si>
    <t>6048032</t>
  </si>
  <si>
    <t>6081032</t>
  </si>
  <si>
    <t>6125042</t>
  </si>
  <si>
    <t>6137022</t>
  </si>
  <si>
    <t>6303032</t>
  </si>
  <si>
    <t>6425472</t>
  </si>
  <si>
    <t>6673022</t>
  </si>
  <si>
    <t>7010082</t>
  </si>
  <si>
    <t>7061022</t>
  </si>
  <si>
    <t>7628032</t>
  </si>
  <si>
    <t>8001072</t>
  </si>
  <si>
    <t>8851302</t>
  </si>
  <si>
    <t>8852022</t>
  </si>
  <si>
    <t>6619314</t>
  </si>
  <si>
    <t>9963821</t>
  </si>
  <si>
    <t>9963831</t>
  </si>
  <si>
    <t>9963841</t>
  </si>
  <si>
    <t>9963851</t>
  </si>
  <si>
    <t>2907614</t>
  </si>
  <si>
    <t>9996901</t>
  </si>
  <si>
    <t>28359</t>
  </si>
  <si>
    <t>4r_ Benchmarking-Platform</t>
  </si>
  <si>
    <t>28459</t>
  </si>
  <si>
    <t>4r_MARS Basefile consolidation and analysis tool</t>
  </si>
  <si>
    <t>13_ES_Barcelona</t>
  </si>
  <si>
    <t>2066032</t>
  </si>
  <si>
    <t>3081322</t>
  </si>
  <si>
    <t>3081332</t>
  </si>
  <si>
    <t>6600031</t>
  </si>
  <si>
    <t>6612041</t>
  </si>
  <si>
    <t>6680031</t>
  </si>
  <si>
    <t>7062021</t>
  </si>
  <si>
    <t>7689021</t>
  </si>
  <si>
    <t>1118152</t>
  </si>
  <si>
    <t>1336432</t>
  </si>
  <si>
    <t>1575022</t>
  </si>
  <si>
    <t>2010042</t>
  </si>
  <si>
    <t>2119032</t>
  </si>
  <si>
    <t>2120022</t>
  </si>
  <si>
    <t>2924324</t>
  </si>
  <si>
    <t>3176022</t>
  </si>
  <si>
    <t>6105052</t>
  </si>
  <si>
    <t>6425482</t>
  </si>
  <si>
    <t>6426182</t>
  </si>
  <si>
    <t>7045081</t>
  </si>
  <si>
    <t>7605152</t>
  </si>
  <si>
    <t>7669042</t>
  </si>
  <si>
    <t>7691022</t>
  </si>
  <si>
    <t>7692022</t>
  </si>
  <si>
    <t>7693022</t>
  </si>
  <si>
    <t>7912022</t>
  </si>
  <si>
    <t>8013022</t>
  </si>
  <si>
    <t>8066022</t>
  </si>
  <si>
    <t>8838042</t>
  </si>
  <si>
    <t>1988461</t>
  </si>
  <si>
    <t>99932311</t>
  </si>
  <si>
    <t>2040042</t>
  </si>
  <si>
    <t>2122021</t>
  </si>
  <si>
    <t>4011012</t>
  </si>
  <si>
    <t>1110831</t>
  </si>
  <si>
    <t>1570012</t>
  </si>
  <si>
    <t>1995142</t>
  </si>
  <si>
    <t>download latest version (Hive)</t>
  </si>
  <si>
    <t>4s_Overheads_Concept &amp; development</t>
  </si>
  <si>
    <t>4s_Overheads_Product operations</t>
  </si>
  <si>
    <t>4s_Overheads_Sales &amp; marketing</t>
  </si>
  <si>
    <t>4s_Overheads_Communities of practice</t>
  </si>
  <si>
    <t>4s_Overheads_Educational training</t>
  </si>
  <si>
    <t>4s_Overheads_People management</t>
  </si>
  <si>
    <t>4s_Overheads_Recruiting</t>
  </si>
  <si>
    <t>4s_Overheads_Organizational meetings</t>
  </si>
  <si>
    <t>4s_Overheads_General administration</t>
  </si>
  <si>
    <t>4s_Overheads_Corporate engagement</t>
  </si>
  <si>
    <t>4s_Overheads_Other</t>
  </si>
  <si>
    <t>4s_Overheads_Absence</t>
  </si>
  <si>
    <t>PG Central function w/o E2E</t>
  </si>
  <si>
    <t>4s_PG_4flow vista-SC+</t>
  </si>
  <si>
    <t>4s_PG_E2E-Platform_Polaris (Worker Cost Center)</t>
  </si>
  <si>
    <t>6139022</t>
  </si>
  <si>
    <t>3168042</t>
  </si>
  <si>
    <t>4118032</t>
  </si>
  <si>
    <t>6055082</t>
  </si>
  <si>
    <t>6106112</t>
  </si>
  <si>
    <t>6133032</t>
  </si>
  <si>
    <t>6606172</t>
  </si>
  <si>
    <t>6606182</t>
  </si>
  <si>
    <t>7629092</t>
  </si>
  <si>
    <t>8080402</t>
  </si>
  <si>
    <t>1004032</t>
  </si>
  <si>
    <t>1004042</t>
  </si>
  <si>
    <t>1107134</t>
  </si>
  <si>
    <t>1110734</t>
  </si>
  <si>
    <t>1241444</t>
  </si>
  <si>
    <t>1568112</t>
  </si>
  <si>
    <t>2123022</t>
  </si>
  <si>
    <t>2250272</t>
  </si>
  <si>
    <t>2250282</t>
  </si>
  <si>
    <t>2250292</t>
  </si>
  <si>
    <t>3003032</t>
  </si>
  <si>
    <t>3179022</t>
  </si>
  <si>
    <t>6142022</t>
  </si>
  <si>
    <t>6138022</t>
  </si>
  <si>
    <t>6140022</t>
  </si>
  <si>
    <t>6141022</t>
  </si>
  <si>
    <t>6143022</t>
  </si>
  <si>
    <t>6414022</t>
  </si>
  <si>
    <t>6425492</t>
  </si>
  <si>
    <t>6426192</t>
  </si>
  <si>
    <t>6501042</t>
  </si>
  <si>
    <t>6631032</t>
  </si>
  <si>
    <t>7533032</t>
  </si>
  <si>
    <t>9963901</t>
  </si>
  <si>
    <t>7813042</t>
  </si>
  <si>
    <t>8042082</t>
  </si>
  <si>
    <t>9956095</t>
  </si>
  <si>
    <t>9963911</t>
  </si>
  <si>
    <t>9981512</t>
  </si>
  <si>
    <t>1240952</t>
  </si>
  <si>
    <t>9963865</t>
  </si>
  <si>
    <t>9963871</t>
  </si>
  <si>
    <t>9963881</t>
  </si>
  <si>
    <t>9963891</t>
  </si>
  <si>
    <t>18119</t>
  </si>
  <si>
    <t>4s_PG_iTMS-4s (Worker Cost Center)</t>
  </si>
  <si>
    <t>4s_PG_iTMS-4m</t>
  </si>
  <si>
    <t>4s_PG_iTMS-4m_Polaris</t>
  </si>
  <si>
    <t>4s_PG_iTMS-4m_EMS</t>
  </si>
  <si>
    <t>4s_PG_SAP-Addon</t>
  </si>
  <si>
    <t>4s_PG_4flow TORO (Worker Cost Center)</t>
  </si>
  <si>
    <t>4s_PG_KNX-TLO (Worker Cost Center)</t>
  </si>
  <si>
    <t>4s_PG_4flow VIA-KNX</t>
  </si>
  <si>
    <t>4s_PG_4flow vista (Worker Cost Center)</t>
  </si>
  <si>
    <t>4s_PG_4flow VIA (Worker Cost Center)</t>
  </si>
  <si>
    <t>4s_PG_vTMS (Worker Cost Center)</t>
  </si>
  <si>
    <t>4s_PG_E2E-Platform (Worker Cost Center)</t>
  </si>
  <si>
    <t>99610256</t>
  </si>
  <si>
    <t>6093084</t>
  </si>
  <si>
    <t>1110024</t>
  </si>
  <si>
    <t>7802602</t>
  </si>
  <si>
    <t>9961025</t>
  </si>
  <si>
    <t>7535062</t>
  </si>
  <si>
    <t>9963921</t>
  </si>
  <si>
    <t>2124022</t>
  </si>
  <si>
    <t>2124032</t>
  </si>
  <si>
    <t>7566052</t>
  </si>
  <si>
    <t>1995012</t>
  </si>
  <si>
    <t>2890122</t>
  </si>
  <si>
    <t>8841022</t>
  </si>
  <si>
    <t>1900362</t>
  </si>
  <si>
    <t>21910128</t>
  </si>
  <si>
    <t>6093092</t>
  </si>
  <si>
    <t>6425502</t>
  </si>
  <si>
    <t>2062034</t>
  </si>
  <si>
    <t>8029082</t>
  </si>
  <si>
    <t>8039022</t>
  </si>
  <si>
    <t>2924364</t>
  </si>
  <si>
    <t>6649102</t>
  </si>
  <si>
    <t>6649112</t>
  </si>
  <si>
    <t>8080412</t>
  </si>
  <si>
    <t>6106122</t>
  </si>
  <si>
    <t>6106132</t>
  </si>
  <si>
    <t>7624052</t>
  </si>
  <si>
    <t>7802612</t>
  </si>
  <si>
    <t>3055222</t>
  </si>
  <si>
    <t>6134042</t>
  </si>
  <si>
    <t>3081341</t>
  </si>
  <si>
    <t>3126062</t>
  </si>
  <si>
    <t>2191012</t>
  </si>
  <si>
    <t>1203752</t>
  </si>
  <si>
    <t>1203762</t>
  </si>
  <si>
    <t>6020102</t>
  </si>
  <si>
    <t>7592122</t>
  </si>
  <si>
    <t>6126032</t>
  </si>
  <si>
    <t>6104042</t>
  </si>
  <si>
    <t>2115054</t>
  </si>
  <si>
    <t>4125022</t>
  </si>
  <si>
    <t>6646252</t>
  </si>
  <si>
    <t>6312022</t>
  </si>
  <si>
    <t>6312032</t>
  </si>
  <si>
    <t>6312042</t>
  </si>
  <si>
    <t>7513152</t>
  </si>
  <si>
    <t>7513162</t>
  </si>
  <si>
    <t>8812022</t>
  </si>
  <si>
    <t>1951092</t>
  </si>
  <si>
    <t>6055092</t>
  </si>
  <si>
    <t>7954032</t>
  </si>
  <si>
    <t>7694022</t>
  </si>
  <si>
    <t>2130082</t>
  </si>
  <si>
    <t>9963931</t>
  </si>
  <si>
    <t>9963941</t>
  </si>
  <si>
    <t>9963961</t>
  </si>
  <si>
    <t>9963951</t>
  </si>
  <si>
    <t>6647024</t>
  </si>
  <si>
    <t>7802622</t>
  </si>
  <si>
    <t>7605162</t>
  </si>
  <si>
    <t>7605172</t>
  </si>
  <si>
    <t>7505482</t>
  </si>
  <si>
    <t>6144022</t>
  </si>
  <si>
    <t>3181022</t>
  </si>
  <si>
    <t>1512152</t>
  </si>
  <si>
    <t>1512162</t>
  </si>
  <si>
    <t>7068021</t>
  </si>
  <si>
    <t>7687022</t>
  </si>
  <si>
    <t>7054032</t>
  </si>
  <si>
    <t>Send this file to software.projecttracker@4flow.com if everything is correct</t>
  </si>
  <si>
    <t>9963991</t>
  </si>
  <si>
    <t>3182022</t>
  </si>
  <si>
    <t>1980521</t>
  </si>
  <si>
    <t>9963981</t>
  </si>
  <si>
    <t>9963971</t>
  </si>
  <si>
    <t>26047</t>
  </si>
  <si>
    <t>4m_SPM_iTMS_Connected Intelligence</t>
  </si>
  <si>
    <t>1005031</t>
  </si>
  <si>
    <t>1005041</t>
  </si>
  <si>
    <t>1110842</t>
  </si>
  <si>
    <t>1110852</t>
  </si>
  <si>
    <t>2031092</t>
  </si>
  <si>
    <t>2046042</t>
  </si>
  <si>
    <t>2054042</t>
  </si>
  <si>
    <t>2126022</t>
  </si>
  <si>
    <t>2127022</t>
  </si>
  <si>
    <t>2144112</t>
  </si>
  <si>
    <t>2220244</t>
  </si>
  <si>
    <t>2907622</t>
  </si>
  <si>
    <t>2926142</t>
  </si>
  <si>
    <t>3025104</t>
  </si>
  <si>
    <t>3126072</t>
  </si>
  <si>
    <t>3126082</t>
  </si>
  <si>
    <t>3126092</t>
  </si>
  <si>
    <t>3183022</t>
  </si>
  <si>
    <t>3184022</t>
  </si>
  <si>
    <t>4124022</t>
  </si>
  <si>
    <t>6022052</t>
  </si>
  <si>
    <t>6062042</t>
  </si>
  <si>
    <t>6062052</t>
  </si>
  <si>
    <t>6106142</t>
  </si>
  <si>
    <t>6106152</t>
  </si>
  <si>
    <t>6127032</t>
  </si>
  <si>
    <t>6314022</t>
  </si>
  <si>
    <t>6314032</t>
  </si>
  <si>
    <t>6415022</t>
  </si>
  <si>
    <t>6501052</t>
  </si>
  <si>
    <t>6606192</t>
  </si>
  <si>
    <t>6606202</t>
  </si>
  <si>
    <t>6630034</t>
  </si>
  <si>
    <t>6674022</t>
  </si>
  <si>
    <t>6675021</t>
  </si>
  <si>
    <t>7070021</t>
  </si>
  <si>
    <t>7556052</t>
  </si>
  <si>
    <t>7631062</t>
  </si>
  <si>
    <t>7696022</t>
  </si>
  <si>
    <t>7697022</t>
  </si>
  <si>
    <t>7704022</t>
  </si>
  <si>
    <t>8014022</t>
  </si>
  <si>
    <t>8015022</t>
  </si>
  <si>
    <t>8080422</t>
  </si>
  <si>
    <t>8911232</t>
  </si>
  <si>
    <t>9963104</t>
  </si>
  <si>
    <t>9981022</t>
  </si>
  <si>
    <t>9981521</t>
  </si>
  <si>
    <t>9981532</t>
  </si>
  <si>
    <t>9996912</t>
  </si>
  <si>
    <t>1125232</t>
  </si>
  <si>
    <t>2129021</t>
  </si>
  <si>
    <t>2924374</t>
  </si>
  <si>
    <t>4010032</t>
  </si>
  <si>
    <t>6425512</t>
  </si>
  <si>
    <t>6630042</t>
  </si>
  <si>
    <t>7513172</t>
  </si>
  <si>
    <t>7513182</t>
  </si>
  <si>
    <t>7705022</t>
  </si>
  <si>
    <t>8029091</t>
  </si>
  <si>
    <t>8045082</t>
  </si>
  <si>
    <t>9981541</t>
  </si>
  <si>
    <t>India</t>
  </si>
  <si>
    <t>17_India</t>
  </si>
  <si>
    <t>17_IN_Bangalore</t>
  </si>
  <si>
    <t>9981031</t>
  </si>
  <si>
    <t>9981041</t>
  </si>
  <si>
    <t>1970592</t>
  </si>
  <si>
    <t>1970602</t>
  </si>
  <si>
    <t>6425522</t>
  </si>
  <si>
    <t>6426202</t>
  </si>
  <si>
    <t>6606212</t>
  </si>
  <si>
    <t>6606222</t>
  </si>
  <si>
    <t>6105062</t>
  </si>
  <si>
    <t>7042012</t>
  </si>
  <si>
    <t>1570381</t>
  </si>
  <si>
    <t>6415032</t>
  </si>
  <si>
    <t>1203012</t>
  </si>
  <si>
    <t>6665012</t>
  </si>
  <si>
    <t>4113012</t>
  </si>
  <si>
    <t>4002132</t>
  </si>
  <si>
    <t>9953022</t>
  </si>
  <si>
    <t>6682022</t>
  </si>
  <si>
    <t>6686022</t>
  </si>
  <si>
    <t>6686032</t>
  </si>
  <si>
    <t>7055012</t>
  </si>
  <si>
    <t>2132021</t>
  </si>
  <si>
    <t>6134052</t>
  </si>
  <si>
    <t>3175032</t>
  </si>
  <si>
    <t>8031242</t>
  </si>
  <si>
    <t>8858132</t>
  </si>
  <si>
    <t>3126102</t>
  </si>
  <si>
    <t>7700082</t>
  </si>
  <si>
    <t>1241454</t>
  </si>
  <si>
    <t>6126042</t>
  </si>
  <si>
    <t>2927114</t>
  </si>
  <si>
    <t>7707292</t>
  </si>
  <si>
    <t>7686032</t>
  </si>
  <si>
    <t>8809012</t>
  </si>
  <si>
    <t>7057022</t>
  </si>
  <si>
    <t>7671032</t>
  </si>
  <si>
    <t>6055102</t>
  </si>
  <si>
    <t>6055132</t>
  </si>
  <si>
    <t>3029062</t>
  </si>
  <si>
    <t>2221032</t>
  </si>
  <si>
    <t>6055112</t>
  </si>
  <si>
    <t>9981061</t>
  </si>
  <si>
    <t>6425532</t>
  </si>
  <si>
    <t>4126022</t>
  </si>
  <si>
    <t>3172012</t>
  </si>
  <si>
    <t>9963031</t>
  </si>
  <si>
    <t>9963032</t>
  </si>
  <si>
    <t>2092032</t>
  </si>
  <si>
    <t>6006012</t>
  </si>
  <si>
    <t>7545032</t>
  </si>
  <si>
    <t>1241462</t>
  </si>
  <si>
    <t>9981051</t>
  </si>
  <si>
    <t>3155012</t>
  </si>
  <si>
    <t>8001082</t>
  </si>
  <si>
    <t>7707302</t>
  </si>
  <si>
    <t>7707312</t>
  </si>
  <si>
    <t>3048082</t>
  </si>
  <si>
    <t>3176032</t>
  </si>
  <si>
    <t>8826024</t>
  </si>
  <si>
    <t>8841032</t>
  </si>
  <si>
    <t>7671042</t>
  </si>
  <si>
    <t>1567292</t>
  </si>
  <si>
    <t>last update: 27.04.2026</t>
  </si>
  <si>
    <t>alex</t>
  </si>
  <si>
    <t>kennedy</t>
  </si>
  <si>
    <t>alex kennedy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</si>
</sst>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09]ddd"/>
    <numFmt numFmtId="165" formatCode="&quot;Number of entries: &quot;\ 0"/>
    <numFmt numFmtId="166" formatCode="0.0"/>
    <numFmt numFmtId="167" formatCode="yyyy/mm/dd"/>
  </numFmts>
  <fonts count="38">
    <font>
      <sz val="10"/>
      <name val="Arial"/>
    </font>
    <font>
      <sz val="11"/>
      <color theme="1"/>
      <name val="Calibri"/>
      <family val="2"/>
      <scheme val="minor"/>
    </font>
    <font>
      <sz val="10"/>
      <color theme="1"/>
      <name val="Arial"/>
      <family val="2"/>
      <charset val="134"/>
    </font>
    <font>
      <sz val="10"/>
      <color theme="1"/>
      <name val="Arial"/>
      <family val="2"/>
      <charset val="134"/>
    </font>
    <font>
      <sz val="10"/>
      <color theme="1"/>
      <name val="Arial"/>
      <family val="2"/>
      <charset val="134"/>
    </font>
    <font>
      <sz val="10"/>
      <color theme="1"/>
      <name val="Arial"/>
      <family val="2"/>
      <charset val="134"/>
    </font>
    <font>
      <sz val="11"/>
      <color theme="1"/>
      <name val="Calibri"/>
      <family val="2"/>
      <scheme val="minor"/>
    </font>
    <font>
      <b/>
      <sz val="12"/>
      <name val="Arial"/>
      <family val="2"/>
    </font>
    <font>
      <b/>
      <sz val="10"/>
      <name val="Arial"/>
      <family val="2"/>
    </font>
    <font>
      <sz val="10"/>
      <name val="Arial"/>
      <family val="2"/>
    </font>
    <font>
      <sz val="10"/>
      <name val="Helv"/>
    </font>
    <font>
      <sz val="10"/>
      <name val="Arial"/>
      <family val="2"/>
    </font>
    <font>
      <sz val="10"/>
      <color rgb="FF000000"/>
      <name val="Arial"/>
      <family val="2"/>
    </font>
    <font>
      <u/>
      <sz val="10"/>
      <color theme="10"/>
      <name val="Arial"/>
      <family val="2"/>
    </font>
    <font>
      <sz val="16"/>
      <color theme="1" tint="0.34998626667073579"/>
      <name val="Arial"/>
      <family val="2"/>
    </font>
    <font>
      <sz val="10"/>
      <color rgb="FFFF0000"/>
      <name val="Arial"/>
      <family val="2"/>
    </font>
    <font>
      <sz val="10"/>
      <color rgb="FF4B4B4B"/>
      <name val="Arial"/>
      <family val="2"/>
    </font>
    <font>
      <b/>
      <sz val="12"/>
      <color rgb="FF4B4B4B"/>
      <name val="Arial"/>
      <family val="2"/>
    </font>
    <font>
      <sz val="10"/>
      <name val="Arial"/>
      <family val="2"/>
    </font>
    <font>
      <b/>
      <sz val="10"/>
      <color rgb="FF4B4B4B"/>
      <name val="Arial"/>
      <family val="2"/>
    </font>
    <font>
      <sz val="10"/>
      <color theme="0"/>
      <name val="Arial"/>
      <family val="2"/>
    </font>
    <font>
      <sz val="8"/>
      <color theme="0"/>
      <name val="Arial"/>
      <family val="2"/>
    </font>
    <font>
      <sz val="8"/>
      <color rgb="FF4B4B4B"/>
      <name val="Arial"/>
      <family val="2"/>
    </font>
    <font>
      <u/>
      <sz val="10"/>
      <color rgb="FF4B4B4B"/>
      <name val="Arial"/>
      <family val="2"/>
    </font>
    <font>
      <b/>
      <sz val="10"/>
      <name val="Arial"/>
      <family val="2"/>
    </font>
    <font>
      <b/>
      <sz val="10"/>
      <color theme="0"/>
      <name val="Arial"/>
      <family val="2"/>
    </font>
    <font>
      <i/>
      <sz val="10"/>
      <color rgb="FF4B4B4B"/>
      <name val="Arial"/>
      <family val="2"/>
    </font>
    <font>
      <sz val="10"/>
      <name val="Wingdings"/>
      <charset val="2"/>
    </font>
    <font>
      <i/>
      <sz val="10"/>
      <name val="Arial"/>
      <family val="2"/>
    </font>
    <font>
      <sz val="9"/>
      <color theme="0"/>
      <name val="Arial"/>
      <family val="2"/>
    </font>
    <font>
      <b/>
      <sz val="10"/>
      <color theme="1"/>
      <name val="Arial"/>
      <family val="2"/>
    </font>
    <font>
      <sz val="8"/>
      <color theme="1"/>
      <name val="Arial"/>
      <family val="2"/>
      <charset val="134"/>
    </font>
    <font>
      <sz val="10"/>
      <color theme="0" tint="-0.14999847407452621"/>
      <name val="Arial"/>
      <family val="2"/>
    </font>
    <font>
      <b/>
      <sz val="12"/>
      <color rgb="FFFF0000"/>
      <name val="Arial"/>
      <family val="2"/>
    </font>
    <font>
      <sz val="10"/>
      <color theme="1"/>
      <name val="Arial"/>
      <family val="2"/>
    </font>
    <font>
      <sz val="8"/>
      <name val="Arial"/>
      <family val="2"/>
    </font>
    <font>
      <u/>
      <sz val="10"/>
      <color theme="1"/>
      <name val="Arial"/>
      <family val="2"/>
      <charset val="134"/>
    </font>
    <font>
      <b/>
      <sz val="10"/>
      <color rgb="FFFF0000"/>
      <name val="Arial"/>
      <family val="2"/>
    </font>
  </fonts>
  <fills count="12">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E9E6E3"/>
        <bgColor indexed="64"/>
      </patternFill>
    </fill>
    <fill>
      <patternFill patternType="solid">
        <fgColor rgb="FFFFFFFF"/>
        <bgColor indexed="64"/>
      </patternFill>
    </fill>
    <fill>
      <patternFill patternType="solid">
        <fgColor rgb="FFBEB5AC"/>
        <bgColor indexed="64"/>
      </patternFill>
    </fill>
    <fill>
      <patternFill patternType="solid">
        <fgColor rgb="FFFFFFCC"/>
        <bgColor indexed="64"/>
      </patternFill>
    </fill>
    <fill>
      <patternFill patternType="solid">
        <fgColor rgb="FFBEB5AC"/>
        <bgColor rgb="FFBEB5AC"/>
      </patternFill>
    </fill>
    <fill>
      <patternFill patternType="solid">
        <fgColor theme="0"/>
        <bgColor indexed="64"/>
      </patternFill>
    </fill>
    <fill>
      <patternFill patternType="solid">
        <fgColor theme="0" tint="-0.14996795556505021"/>
        <bgColor indexed="64"/>
      </patternFill>
    </fill>
    <fill>
      <patternFill patternType="solid">
        <fgColor rgb="FFFFF2CC"/>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rgb="FF959595"/>
      </left>
      <right style="thin">
        <color rgb="FF959595"/>
      </right>
      <top style="thin">
        <color rgb="FF959595"/>
      </top>
      <bottom style="thin">
        <color rgb="FF959595"/>
      </bottom>
      <diagonal/>
    </border>
    <border>
      <left style="thin">
        <color rgb="FF959595"/>
      </left>
      <right style="thin">
        <color rgb="FF959595"/>
      </right>
      <top/>
      <bottom/>
      <diagonal/>
    </border>
    <border>
      <left style="thin">
        <color rgb="FF959595"/>
      </left>
      <right style="thin">
        <color rgb="FF959595"/>
      </right>
      <top style="thin">
        <color rgb="FF959595"/>
      </top>
      <bottom/>
      <diagonal/>
    </border>
    <border>
      <left/>
      <right style="thin">
        <color rgb="FF959595"/>
      </right>
      <top style="thin">
        <color rgb="FF959595"/>
      </top>
      <bottom style="thin">
        <color rgb="FF959595"/>
      </bottom>
      <diagonal/>
    </border>
    <border>
      <left style="thin">
        <color rgb="FF959595"/>
      </left>
      <right style="thin">
        <color rgb="FF959595"/>
      </right>
      <top/>
      <bottom style="thin">
        <color rgb="FF959595"/>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rgb="FF959595"/>
      </left>
      <right/>
      <top style="thin">
        <color rgb="FF959595"/>
      </top>
      <bottom style="thin">
        <color rgb="FF959595"/>
      </bottom>
      <diagonal/>
    </border>
    <border>
      <left/>
      <right/>
      <top style="thin">
        <color rgb="FF959595"/>
      </top>
      <bottom style="thin">
        <color rgb="FF959595"/>
      </bottom>
      <diagonal/>
    </border>
    <border>
      <left style="thin">
        <color rgb="FF959595"/>
      </left>
      <right/>
      <top style="thin">
        <color rgb="FF959595"/>
      </top>
      <bottom/>
      <diagonal/>
    </border>
    <border>
      <left/>
      <right/>
      <top style="thin">
        <color rgb="FF959595"/>
      </top>
      <bottom/>
      <diagonal/>
    </border>
    <border>
      <left/>
      <right style="thin">
        <color rgb="FF959595"/>
      </right>
      <top style="thin">
        <color rgb="FF959595"/>
      </top>
      <bottom/>
      <diagonal/>
    </border>
    <border>
      <left style="thin">
        <color rgb="FF959595"/>
      </left>
      <right/>
      <top/>
      <bottom/>
      <diagonal/>
    </border>
    <border>
      <left/>
      <right style="thin">
        <color rgb="FF959595"/>
      </right>
      <top/>
      <bottom/>
      <diagonal/>
    </border>
    <border>
      <left style="thin">
        <color rgb="FF959595"/>
      </left>
      <right/>
      <top/>
      <bottom style="thin">
        <color rgb="FF959595"/>
      </bottom>
      <diagonal/>
    </border>
    <border>
      <left/>
      <right/>
      <top/>
      <bottom style="thin">
        <color rgb="FF959595"/>
      </bottom>
      <diagonal/>
    </border>
    <border>
      <left/>
      <right style="thin">
        <color rgb="FF959595"/>
      </right>
      <top/>
      <bottom style="thin">
        <color rgb="FF959595"/>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theme="0" tint="-0.499984740745262"/>
      </right>
      <top/>
      <bottom/>
      <diagonal/>
    </border>
  </borders>
  <cellStyleXfs count="11">
    <xf numFmtId="0" fontId="0" fillId="0" borderId="0"/>
    <xf numFmtId="0" fontId="10" fillId="0" borderId="0"/>
    <xf numFmtId="0" fontId="9" fillId="0" borderId="0"/>
    <xf numFmtId="0" fontId="11" fillId="0" borderId="0"/>
    <xf numFmtId="0" fontId="9" fillId="0" borderId="0"/>
    <xf numFmtId="0" fontId="6" fillId="0" borderId="0"/>
    <xf numFmtId="0" fontId="13" fillId="0" borderId="0" applyNumberFormat="0" applyFill="0" applyBorder="0" applyAlignment="0" applyProtection="0"/>
    <xf numFmtId="0" fontId="5" fillId="0" borderId="0"/>
    <xf numFmtId="0" fontId="9" fillId="0" borderId="0"/>
    <xf numFmtId="0" fontId="3" fillId="0" borderId="0"/>
    <xf numFmtId="0" fontId="1" fillId="0" borderId="0"/>
  </cellStyleXfs>
  <cellXfs count="155">
    <xf numFmtId="0" fontId="0" fillId="0" borderId="0" xfId="0"/>
    <xf numFmtId="0" fontId="9" fillId="0" borderId="0" xfId="2"/>
    <xf numFmtId="0" fontId="8" fillId="0" borderId="0" xfId="2" applyFont="1"/>
    <xf numFmtId="0" fontId="9" fillId="0" borderId="1" xfId="0" applyFont="1" applyBorder="1" applyAlignment="1">
      <alignment horizontal="left" vertical="center"/>
    </xf>
    <xf numFmtId="0" fontId="0" fillId="0" borderId="1" xfId="0" applyBorder="1" applyAlignment="1">
      <alignment horizontal="left"/>
    </xf>
    <xf numFmtId="0" fontId="8" fillId="3" borderId="1" xfId="0" applyFont="1" applyFill="1" applyBorder="1"/>
    <xf numFmtId="165" fontId="0" fillId="0" borderId="1" xfId="0" applyNumberFormat="1" applyBorder="1" applyAlignment="1">
      <alignment horizontal="left"/>
    </xf>
    <xf numFmtId="0" fontId="9" fillId="0" borderId="0" xfId="0" applyFont="1"/>
    <xf numFmtId="0" fontId="0" fillId="0" borderId="0" xfId="0" pivotButton="1"/>
    <xf numFmtId="0" fontId="14" fillId="0" borderId="0" xfId="0" applyFont="1"/>
    <xf numFmtId="167" fontId="9" fillId="0" borderId="1" xfId="2" applyNumberFormat="1" applyBorder="1"/>
    <xf numFmtId="0" fontId="18" fillId="0" borderId="0" xfId="2" applyFont="1"/>
    <xf numFmtId="0" fontId="19" fillId="4" borderId="7" xfId="2" applyFont="1" applyFill="1" applyBorder="1" applyAlignment="1">
      <alignment vertical="center"/>
    </xf>
    <xf numFmtId="0" fontId="19" fillId="0" borderId="0" xfId="2" applyFont="1"/>
    <xf numFmtId="0" fontId="18" fillId="5" borderId="0" xfId="2" applyFont="1" applyFill="1"/>
    <xf numFmtId="1" fontId="18" fillId="0" borderId="0" xfId="2" applyNumberFormat="1" applyFont="1" applyAlignment="1">
      <alignment horizontal="center"/>
    </xf>
    <xf numFmtId="0" fontId="18" fillId="5" borderId="0" xfId="2" applyFont="1" applyFill="1" applyAlignment="1">
      <alignment horizontal="left"/>
    </xf>
    <xf numFmtId="0" fontId="16" fillId="0" borderId="0" xfId="0" applyFont="1"/>
    <xf numFmtId="0" fontId="18" fillId="0" borderId="0" xfId="2" applyFont="1" applyAlignment="1">
      <alignment horizontal="left"/>
    </xf>
    <xf numFmtId="0" fontId="16" fillId="0" borderId="0" xfId="2" applyFont="1" applyAlignment="1">
      <alignment horizontal="center"/>
    </xf>
    <xf numFmtId="0" fontId="19" fillId="0" borderId="0" xfId="2" applyFont="1" applyAlignment="1">
      <alignment horizontal="center"/>
    </xf>
    <xf numFmtId="0" fontId="19" fillId="6" borderId="4" xfId="2" applyFont="1" applyFill="1" applyBorder="1" applyAlignment="1">
      <alignment horizontal="center"/>
    </xf>
    <xf numFmtId="0" fontId="19" fillId="0" borderId="4" xfId="2" applyFont="1" applyBorder="1"/>
    <xf numFmtId="1" fontId="16" fillId="0" borderId="4" xfId="2" applyNumberFormat="1" applyFont="1" applyBorder="1" applyAlignment="1">
      <alignment horizontal="center" vertical="center"/>
    </xf>
    <xf numFmtId="14" fontId="16" fillId="0" borderId="2" xfId="1" applyNumberFormat="1" applyFont="1" applyBorder="1" applyAlignment="1">
      <alignment horizontal="left"/>
    </xf>
    <xf numFmtId="0" fontId="16" fillId="0" borderId="2" xfId="1" applyFont="1" applyBorder="1" applyAlignment="1">
      <alignment horizontal="left"/>
    </xf>
    <xf numFmtId="0" fontId="16" fillId="5" borderId="2" xfId="1" applyFont="1" applyFill="1" applyBorder="1" applyAlignment="1">
      <alignment horizontal="left"/>
    </xf>
    <xf numFmtId="166" fontId="16" fillId="0" borderId="2" xfId="1" applyNumberFormat="1" applyFont="1" applyBorder="1" applyAlignment="1">
      <alignment horizontal="center"/>
    </xf>
    <xf numFmtId="0" fontId="16" fillId="0" borderId="2" xfId="2" applyFont="1" applyBorder="1" applyAlignment="1">
      <alignment horizontal="center"/>
    </xf>
    <xf numFmtId="0" fontId="16" fillId="0" borderId="3" xfId="2" applyFont="1" applyBorder="1"/>
    <xf numFmtId="1" fontId="16" fillId="0" borderId="3" xfId="2" applyNumberFormat="1" applyFont="1" applyBorder="1" applyAlignment="1">
      <alignment horizontal="center" vertical="center"/>
    </xf>
    <xf numFmtId="0" fontId="16" fillId="0" borderId="0" xfId="2" applyFont="1"/>
    <xf numFmtId="0" fontId="19" fillId="6" borderId="2" xfId="2" applyFont="1" applyFill="1" applyBorder="1" applyAlignment="1">
      <alignment horizontal="center"/>
    </xf>
    <xf numFmtId="0" fontId="21" fillId="0" borderId="0" xfId="2" applyFont="1"/>
    <xf numFmtId="0" fontId="22" fillId="0" borderId="2" xfId="2" applyFont="1" applyBorder="1"/>
    <xf numFmtId="0" fontId="16" fillId="5" borderId="2" xfId="2" applyFont="1" applyFill="1" applyBorder="1" applyAlignment="1">
      <alignment horizontal="left"/>
    </xf>
    <xf numFmtId="0" fontId="16" fillId="0" borderId="2" xfId="0" applyFont="1" applyBorder="1"/>
    <xf numFmtId="0" fontId="16" fillId="0" borderId="2" xfId="2" applyFont="1" applyBorder="1" applyAlignment="1">
      <alignment horizontal="left"/>
    </xf>
    <xf numFmtId="0" fontId="18" fillId="0" borderId="0" xfId="2" applyFont="1" applyAlignment="1">
      <alignment horizontal="right"/>
    </xf>
    <xf numFmtId="1" fontId="23" fillId="0" borderId="3" xfId="2" applyNumberFormat="1" applyFont="1" applyBorder="1" applyAlignment="1">
      <alignment horizontal="center" vertical="center"/>
    </xf>
    <xf numFmtId="0" fontId="24" fillId="0" borderId="0" xfId="2" applyFont="1"/>
    <xf numFmtId="0" fontId="18" fillId="0" borderId="0" xfId="0" applyFont="1" applyAlignment="1">
      <alignment horizontal="left" vertical="center"/>
    </xf>
    <xf numFmtId="1" fontId="16" fillId="0" borderId="6" xfId="2" applyNumberFormat="1" applyFont="1" applyBorder="1" applyAlignment="1">
      <alignment horizontal="center" vertical="center"/>
    </xf>
    <xf numFmtId="0" fontId="18" fillId="0" borderId="0" xfId="1" applyFont="1" applyAlignment="1">
      <alignment horizontal="left"/>
    </xf>
    <xf numFmtId="0" fontId="18" fillId="0" borderId="0" xfId="1" applyFont="1" applyAlignment="1">
      <alignment horizontal="right"/>
    </xf>
    <xf numFmtId="0" fontId="18" fillId="0" borderId="0" xfId="1" applyFont="1" applyAlignment="1">
      <alignment horizontal="center"/>
    </xf>
    <xf numFmtId="0" fontId="18" fillId="0" borderId="0" xfId="2" applyFont="1" applyAlignment="1">
      <alignment horizontal="center"/>
    </xf>
    <xf numFmtId="1" fontId="19" fillId="0" borderId="11" xfId="2" applyNumberFormat="1" applyFont="1" applyBorder="1" applyAlignment="1">
      <alignment horizontal="left"/>
    </xf>
    <xf numFmtId="0" fontId="18" fillId="0" borderId="12" xfId="1" applyFont="1" applyBorder="1" applyAlignment="1">
      <alignment horizontal="left"/>
    </xf>
    <xf numFmtId="0" fontId="18" fillId="0" borderId="12" xfId="1" applyFont="1" applyBorder="1" applyAlignment="1">
      <alignment horizontal="right"/>
    </xf>
    <xf numFmtId="0" fontId="18" fillId="0" borderId="12" xfId="2" applyFont="1" applyBorder="1" applyAlignment="1">
      <alignment horizontal="left"/>
    </xf>
    <xf numFmtId="0" fontId="18" fillId="0" borderId="12" xfId="1" applyFont="1" applyBorder="1" applyAlignment="1">
      <alignment horizontal="center"/>
    </xf>
    <xf numFmtId="0" fontId="18" fillId="0" borderId="12" xfId="2" applyFont="1" applyBorder="1" applyAlignment="1">
      <alignment horizontal="center"/>
    </xf>
    <xf numFmtId="0" fontId="18" fillId="0" borderId="12" xfId="2" applyFont="1" applyBorder="1"/>
    <xf numFmtId="0" fontId="18" fillId="0" borderId="13" xfId="2" applyFont="1" applyBorder="1"/>
    <xf numFmtId="0" fontId="24" fillId="0" borderId="14" xfId="2" applyFont="1" applyBorder="1"/>
    <xf numFmtId="0" fontId="25" fillId="0" borderId="15" xfId="2" applyFont="1" applyBorder="1" applyAlignment="1">
      <alignment horizontal="left"/>
    </xf>
    <xf numFmtId="0" fontId="18" fillId="0" borderId="14" xfId="2" applyFont="1" applyBorder="1"/>
    <xf numFmtId="0" fontId="19" fillId="8" borderId="4" xfId="2" applyFont="1" applyFill="1" applyBorder="1" applyAlignment="1">
      <alignment horizontal="center"/>
    </xf>
    <xf numFmtId="0" fontId="20" fillId="0" borderId="0" xfId="2" applyFont="1"/>
    <xf numFmtId="0" fontId="26" fillId="0" borderId="15" xfId="2" applyFont="1" applyBorder="1" applyAlignment="1">
      <alignment horizontal="left"/>
    </xf>
    <xf numFmtId="0" fontId="16" fillId="9" borderId="2" xfId="2" applyFont="1" applyFill="1" applyBorder="1"/>
    <xf numFmtId="0" fontId="27" fillId="0" borderId="0" xfId="2" applyFont="1" applyAlignment="1">
      <alignment horizontal="left" vertical="center"/>
    </xf>
    <xf numFmtId="0" fontId="18" fillId="0" borderId="15" xfId="2" applyFont="1" applyBorder="1"/>
    <xf numFmtId="0" fontId="18" fillId="0" borderId="14" xfId="2" applyFont="1" applyBorder="1" applyAlignment="1">
      <alignment horizontal="left"/>
    </xf>
    <xf numFmtId="0" fontId="16" fillId="0" borderId="0" xfId="2" applyFont="1" applyAlignment="1">
      <alignment horizontal="left"/>
    </xf>
    <xf numFmtId="0" fontId="19" fillId="0" borderId="0" xfId="2" applyFont="1" applyAlignment="1">
      <alignment horizontal="right"/>
    </xf>
    <xf numFmtId="0" fontId="18" fillId="0" borderId="16" xfId="2" applyFont="1" applyBorder="1"/>
    <xf numFmtId="0" fontId="18" fillId="0" borderId="17" xfId="2" applyFont="1" applyBorder="1"/>
    <xf numFmtId="0" fontId="18" fillId="0" borderId="17" xfId="2" applyFont="1" applyBorder="1" applyAlignment="1">
      <alignment horizontal="left"/>
    </xf>
    <xf numFmtId="0" fontId="18" fillId="0" borderId="18" xfId="2" applyFont="1" applyBorder="1"/>
    <xf numFmtId="0" fontId="19" fillId="0" borderId="11" xfId="2" applyFont="1" applyBorder="1"/>
    <xf numFmtId="0" fontId="16" fillId="0" borderId="12" xfId="2" applyFont="1" applyBorder="1"/>
    <xf numFmtId="0" fontId="16" fillId="0" borderId="12" xfId="2" applyFont="1" applyBorder="1" applyAlignment="1">
      <alignment horizontal="left"/>
    </xf>
    <xf numFmtId="0" fontId="19" fillId="0" borderId="11" xfId="2" applyFont="1" applyBorder="1" applyAlignment="1">
      <alignment horizontal="left" indent="1"/>
    </xf>
    <xf numFmtId="0" fontId="16" fillId="0" borderId="14" xfId="2" applyFont="1" applyBorder="1"/>
    <xf numFmtId="0" fontId="16" fillId="0" borderId="14" xfId="2" applyFont="1" applyBorder="1" applyAlignment="1">
      <alignment horizontal="left" indent="1"/>
    </xf>
    <xf numFmtId="14" fontId="16" fillId="0" borderId="14" xfId="2" applyNumberFormat="1" applyFont="1" applyBorder="1" applyAlignment="1">
      <alignment horizontal="center"/>
    </xf>
    <xf numFmtId="14" fontId="16" fillId="0" borderId="0" xfId="2" applyNumberFormat="1" applyFont="1"/>
    <xf numFmtId="0" fontId="19" fillId="0" borderId="2" xfId="2" applyFont="1" applyBorder="1" applyAlignment="1">
      <alignment horizontal="left"/>
    </xf>
    <xf numFmtId="1" fontId="16" fillId="0" borderId="14" xfId="2" applyNumberFormat="1" applyFont="1" applyBorder="1" applyAlignment="1">
      <alignment horizontal="center"/>
    </xf>
    <xf numFmtId="1" fontId="16" fillId="0" borderId="16" xfId="2" applyNumberFormat="1" applyFont="1" applyBorder="1" applyAlignment="1">
      <alignment horizontal="center"/>
    </xf>
    <xf numFmtId="0" fontId="16" fillId="0" borderId="17" xfId="2" applyFont="1" applyBorder="1"/>
    <xf numFmtId="0" fontId="16" fillId="0" borderId="17" xfId="2" applyFont="1" applyBorder="1" applyAlignment="1">
      <alignment horizontal="left"/>
    </xf>
    <xf numFmtId="0" fontId="16" fillId="0" borderId="16" xfId="2" applyFont="1" applyBorder="1" applyAlignment="1">
      <alignment horizontal="left" indent="1"/>
    </xf>
    <xf numFmtId="14" fontId="18" fillId="0" borderId="0" xfId="2" applyNumberFormat="1" applyFont="1"/>
    <xf numFmtId="0" fontId="16" fillId="7" borderId="0" xfId="2" applyFont="1" applyFill="1" applyAlignment="1">
      <alignment horizontal="center"/>
    </xf>
    <xf numFmtId="0" fontId="22" fillId="0" borderId="17" xfId="2" applyFont="1" applyBorder="1"/>
    <xf numFmtId="0" fontId="22" fillId="0" borderId="17" xfId="2" applyFont="1" applyBorder="1" applyAlignment="1">
      <alignment horizontal="center"/>
    </xf>
    <xf numFmtId="0" fontId="29" fillId="0" borderId="0" xfId="0" applyFont="1"/>
    <xf numFmtId="0" fontId="14" fillId="0" borderId="0" xfId="7" applyFont="1"/>
    <xf numFmtId="0" fontId="5" fillId="0" borderId="0" xfId="7"/>
    <xf numFmtId="0" fontId="31" fillId="0" borderId="0" xfId="7" applyFont="1"/>
    <xf numFmtId="0" fontId="5" fillId="0" borderId="0" xfId="7" applyAlignment="1">
      <alignment horizontal="center"/>
    </xf>
    <xf numFmtId="0" fontId="5" fillId="10" borderId="0" xfId="7" applyFill="1"/>
    <xf numFmtId="167" fontId="5" fillId="0" borderId="0" xfId="7" applyNumberFormat="1"/>
    <xf numFmtId="0" fontId="30" fillId="0" borderId="0" xfId="7" applyFont="1" applyAlignment="1">
      <alignment horizontal="right"/>
    </xf>
    <xf numFmtId="0" fontId="4" fillId="10" borderId="0" xfId="7" applyFont="1" applyFill="1"/>
    <xf numFmtId="0" fontId="15" fillId="0" borderId="0" xfId="2" applyFont="1"/>
    <xf numFmtId="0" fontId="32" fillId="9" borderId="0" xfId="2" applyFont="1" applyFill="1"/>
    <xf numFmtId="0" fontId="2" fillId="10" borderId="0" xfId="7" applyFont="1" applyFill="1"/>
    <xf numFmtId="0" fontId="8" fillId="3" borderId="19" xfId="0" applyFont="1" applyFill="1" applyBorder="1"/>
    <xf numFmtId="0" fontId="9" fillId="2" borderId="1" xfId="2" applyFill="1" applyBorder="1" applyAlignment="1">
      <alignment horizontal="left" vertical="top"/>
    </xf>
    <xf numFmtId="0" fontId="7" fillId="0" borderId="0" xfId="2" applyFont="1" applyAlignment="1">
      <alignment horizontal="left" vertical="top"/>
    </xf>
    <xf numFmtId="0" fontId="8" fillId="3" borderId="1" xfId="2" applyFont="1" applyFill="1" applyBorder="1" applyAlignment="1">
      <alignment horizontal="left" vertical="top" wrapText="1"/>
    </xf>
    <xf numFmtId="0" fontId="19" fillId="0" borderId="14" xfId="2" applyFont="1" applyBorder="1" applyAlignment="1">
      <alignment horizontal="left" indent="1"/>
    </xf>
    <xf numFmtId="0" fontId="19" fillId="4" borderId="2" xfId="2" applyFont="1" applyFill="1" applyBorder="1" applyAlignment="1">
      <alignment horizontal="center"/>
    </xf>
    <xf numFmtId="0" fontId="9" fillId="0" borderId="1" xfId="2" applyBorder="1"/>
    <xf numFmtId="0" fontId="2" fillId="11" borderId="0" xfId="7" applyFont="1" applyFill="1" applyProtection="1">
      <protection locked="0"/>
    </xf>
    <xf numFmtId="0" fontId="16" fillId="5" borderId="2" xfId="2" applyFont="1" applyFill="1" applyBorder="1"/>
    <xf numFmtId="167" fontId="9" fillId="3" borderId="1" xfId="2" applyNumberFormat="1" applyFill="1" applyBorder="1"/>
    <xf numFmtId="0" fontId="13" fillId="0" borderId="0" xfId="6" applyAlignment="1"/>
    <xf numFmtId="0" fontId="2" fillId="0" borderId="0" xfId="7" applyFont="1"/>
    <xf numFmtId="0" fontId="33" fillId="0" borderId="14" xfId="2" applyFont="1" applyBorder="1" applyAlignment="1">
      <alignment horizontal="left" indent="1"/>
    </xf>
    <xf numFmtId="0" fontId="16" fillId="5" borderId="3" xfId="2" applyFont="1" applyFill="1" applyBorder="1"/>
    <xf numFmtId="0" fontId="9" fillId="0" borderId="0" xfId="2" quotePrefix="1"/>
    <xf numFmtId="167" fontId="5" fillId="10" borderId="0" xfId="7" applyNumberFormat="1" applyFill="1"/>
    <xf numFmtId="167" fontId="9" fillId="0" borderId="0" xfId="0" applyNumberFormat="1" applyFont="1" applyAlignment="1">
      <alignment horizontal="left"/>
    </xf>
    <xf numFmtId="167" fontId="2" fillId="10" borderId="0" xfId="7" applyNumberFormat="1" applyFont="1" applyFill="1" applyAlignment="1">
      <alignment horizontal="left"/>
    </xf>
    <xf numFmtId="0" fontId="0" fillId="0" borderId="0" xfId="0" applyAlignment="1">
      <alignment horizontal="left"/>
    </xf>
    <xf numFmtId="0" fontId="34" fillId="0" borderId="0" xfId="0" applyFont="1"/>
    <xf numFmtId="0" fontId="22" fillId="5" borderId="2" xfId="2" applyFont="1" applyFill="1" applyBorder="1"/>
    <xf numFmtId="0" fontId="21" fillId="5" borderId="0" xfId="2" applyFont="1" applyFill="1"/>
    <xf numFmtId="0" fontId="36" fillId="10" borderId="0" xfId="7" applyFont="1" applyFill="1"/>
    <xf numFmtId="0" fontId="16" fillId="4" borderId="2" xfId="2" applyFont="1" applyFill="1" applyBorder="1" applyAlignment="1">
      <alignment horizontal="left"/>
    </xf>
    <xf numFmtId="0" fontId="16" fillId="4" borderId="2" xfId="2" applyFont="1" applyFill="1" applyBorder="1" applyAlignment="1">
      <alignment horizontal="center"/>
    </xf>
    <xf numFmtId="0" fontId="16" fillId="0" borderId="0" xfId="1" applyFont="1" applyAlignment="1">
      <alignment horizontal="left"/>
    </xf>
    <xf numFmtId="0" fontId="17" fillId="0" borderId="0" xfId="2" applyFont="1"/>
    <xf numFmtId="0" fontId="0" fillId="0" borderId="0" xfId="0" applyAlignment="1">
      <alignment horizontal="center"/>
    </xf>
    <xf numFmtId="0" fontId="0" fillId="0" borderId="0" xfId="0" pivotButton="1" applyAlignment="1">
      <alignment horizontal="center"/>
    </xf>
    <xf numFmtId="0" fontId="8" fillId="0" borderId="0" xfId="2" applyFont="1" applyAlignment="1">
      <alignment horizontal="right"/>
    </xf>
    <xf numFmtId="14" fontId="20" fillId="0" borderId="0" xfId="2" applyNumberFormat="1" applyFont="1" applyAlignment="1">
      <alignment horizontal="left"/>
    </xf>
    <xf numFmtId="0" fontId="16" fillId="0" borderId="2" xfId="2" applyFont="1" applyBorder="1"/>
    <xf numFmtId="0" fontId="15" fillId="4" borderId="8" xfId="2" applyFont="1" applyFill="1" applyBorder="1" applyAlignment="1">
      <alignment vertical="center" wrapText="1"/>
    </xf>
    <xf numFmtId="0" fontId="9" fillId="4" borderId="8" xfId="2" applyFill="1" applyBorder="1" applyAlignment="1">
      <alignment vertical="center"/>
    </xf>
    <xf numFmtId="0" fontId="37" fillId="0" borderId="14" xfId="2" applyFont="1" applyBorder="1" applyAlignment="1">
      <alignment horizontal="left" indent="1"/>
    </xf>
    <xf numFmtId="167" fontId="9" fillId="3" borderId="1" xfId="2" applyNumberFormat="1" applyFill="1" applyBorder="1" applyAlignment="1">
      <alignment horizontal="right"/>
    </xf>
    <xf numFmtId="0" fontId="9" fillId="0" borderId="0" xfId="0" applyFont="1" applyAlignment="1">
      <alignment vertical="center" wrapText="1"/>
    </xf>
    <xf numFmtId="0" fontId="15" fillId="0" borderId="15" xfId="2" applyFont="1" applyBorder="1" applyAlignment="1">
      <alignment vertical="center" wrapText="1"/>
    </xf>
    <xf numFmtId="0" fontId="19" fillId="0" borderId="0" xfId="2" applyFont="1" applyAlignment="1">
      <alignment horizontal="center"/>
    </xf>
    <xf numFmtId="0" fontId="16" fillId="0" borderId="0" xfId="2" applyFont="1" applyAlignment="1">
      <alignment horizontal="center"/>
    </xf>
    <xf numFmtId="0" fontId="16" fillId="0" borderId="2" xfId="1" applyFont="1" applyBorder="1" applyAlignment="1">
      <alignment horizontal="center" vertical="center"/>
    </xf>
    <xf numFmtId="0" fontId="13" fillId="5" borderId="0" xfId="6" applyFill="1"/>
    <xf numFmtId="0" fontId="13" fillId="0" borderId="0" xfId="6"/>
    <xf numFmtId="164" fontId="16" fillId="4" borderId="5" xfId="1" applyNumberFormat="1" applyFont="1" applyFill="1" applyBorder="1" applyAlignment="1">
      <alignment horizontal="center" vertical="center"/>
    </xf>
    <xf numFmtId="0" fontId="17" fillId="0" borderId="0" xfId="2" applyFont="1" applyAlignment="1">
      <alignment horizontal="center"/>
    </xf>
    <xf numFmtId="0" fontId="17" fillId="0" borderId="23" xfId="2" applyFont="1" applyBorder="1" applyAlignment="1">
      <alignment horizontal="center"/>
    </xf>
    <xf numFmtId="0" fontId="19" fillId="6" borderId="9" xfId="2" applyFont="1" applyFill="1" applyBorder="1" applyAlignment="1">
      <alignment horizontal="center"/>
    </xf>
    <xf numFmtId="0" fontId="19" fillId="6" borderId="10" xfId="2" applyFont="1" applyFill="1" applyBorder="1" applyAlignment="1">
      <alignment horizontal="center"/>
    </xf>
    <xf numFmtId="0" fontId="19" fillId="6" borderId="4" xfId="2" applyFont="1" applyFill="1" applyBorder="1" applyAlignment="1">
      <alignment horizontal="center" vertical="center" wrapText="1"/>
    </xf>
    <xf numFmtId="0" fontId="19" fillId="6" borderId="3" xfId="2" applyFont="1" applyFill="1" applyBorder="1" applyAlignment="1">
      <alignment horizontal="center" vertical="center" wrapText="1"/>
    </xf>
    <xf numFmtId="0" fontId="19" fillId="6" borderId="6" xfId="2" applyFont="1" applyFill="1" applyBorder="1" applyAlignment="1">
      <alignment horizontal="center" vertical="center" wrapText="1"/>
    </xf>
    <xf numFmtId="0" fontId="9" fillId="3" borderId="20" xfId="0" applyFont="1" applyFill="1" applyBorder="1" applyAlignment="1">
      <alignment horizontal="center" vertical="center" wrapText="1"/>
    </xf>
    <xf numFmtId="0" fontId="9" fillId="3" borderId="21" xfId="0" applyFont="1" applyFill="1" applyBorder="1" applyAlignment="1">
      <alignment horizontal="center" vertical="center" wrapText="1"/>
    </xf>
    <xf numFmtId="0" fontId="9" fillId="3" borderId="22" xfId="0" applyFont="1" applyFill="1" applyBorder="1" applyAlignment="1">
      <alignment horizontal="center" vertical="center" wrapText="1"/>
    </xf>
  </cellXfs>
  <cellStyles count="11">
    <cellStyle name="Hyperlink" xfId="6" builtinId="8"/>
    <cellStyle name="Normal" xfId="0" builtinId="0"/>
    <cellStyle name="Normal 2" xfId="7" xr:uid="{00000000-0005-0000-0000-000001000000}"/>
    <cellStyle name="Normal 2 2" xfId="9" xr:uid="{00000000-0005-0000-0000-000002000000}"/>
    <cellStyle name="Normal 3" xfId="8" xr:uid="{00000000-0005-0000-0000-000003000000}"/>
    <cellStyle name="Normal_TIMESH3" xfId="1" xr:uid="{00000000-0005-0000-0000-000004000000}"/>
    <cellStyle name="Standard 2" xfId="2" xr:uid="{00000000-0005-0000-0000-000006000000}"/>
    <cellStyle name="Standard 3" xfId="5" xr:uid="{00000000-0005-0000-0000-000007000000}"/>
    <cellStyle name="Standard 4" xfId="10" xr:uid="{00000000-0005-0000-0000-000008000000}"/>
    <cellStyle name="Standard 7" xfId="3" xr:uid="{00000000-0005-0000-0000-000009000000}"/>
    <cellStyle name="Standard 7 2" xfId="4" xr:uid="{00000000-0005-0000-0000-00000A000000}"/>
  </cellStyles>
  <dxfs count="537">
    <dxf>
      <fill>
        <patternFill>
          <bgColor theme="9"/>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theme="9"/>
        </patternFill>
      </fill>
    </dxf>
    <dxf>
      <fill>
        <patternFill>
          <bgColor rgb="FFE9E6E3"/>
        </patternFill>
      </fill>
    </dxf>
    <dxf>
      <fill>
        <patternFill>
          <bgColor rgb="FFE9E6E3"/>
        </patternFill>
      </fill>
    </dxf>
    <dxf>
      <fill>
        <patternFill>
          <bgColor theme="9"/>
        </patternFill>
      </fill>
    </dxf>
    <dxf>
      <fill>
        <patternFill>
          <bgColor theme="9"/>
        </patternFill>
      </fill>
    </dxf>
    <dxf>
      <font>
        <b/>
        <i val="0"/>
        <color rgb="FFFF0000"/>
      </font>
      <fill>
        <patternFill patternType="none">
          <bgColor auto="1"/>
        </patternFill>
      </fill>
    </dxf>
    <dxf>
      <font>
        <b/>
        <i val="0"/>
        <color rgb="FF00B050"/>
      </font>
      <fill>
        <patternFill patternType="none">
          <bgColor auto="1"/>
        </patternFill>
      </fill>
    </dxf>
    <dxf>
      <font>
        <color rgb="FFFF0000"/>
      </font>
    </dxf>
    <dxf>
      <font>
        <color rgb="FFFF0000"/>
      </font>
      <fill>
        <patternFill patternType="solid">
          <bgColor rgb="FFE9E6E3"/>
        </patternFill>
      </fill>
    </dxf>
    <dxf>
      <font>
        <color rgb="FF00B050"/>
      </font>
    </dxf>
    <dxf>
      <font>
        <b/>
        <i val="0"/>
        <color rgb="FFFF0000"/>
      </font>
      <fill>
        <patternFill patternType="none">
          <bgColor auto="1"/>
        </patternFill>
      </fill>
    </dxf>
    <dxf>
      <font>
        <color theme="0"/>
      </font>
      <fill>
        <patternFill>
          <bgColor rgb="FFFF0000"/>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fill>
        <patternFill>
          <bgColor rgb="FFE9E6E3"/>
        </patternFill>
      </fill>
    </dxf>
    <dxf>
      <border>
        <bottom style="thin">
          <color theme="0" tint="-0.499984740745262"/>
        </bottom>
        <vertical/>
        <horizontal/>
      </border>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10"/>
        <color auto="1"/>
        <name val="Arial"/>
        <scheme val="none"/>
      </font>
      <fill>
        <patternFill patternType="solid">
          <fgColor indexed="64"/>
          <bgColor theme="0" tint="-0.14999847407452621"/>
        </patternFill>
      </fill>
    </dxf>
    <dxf>
      <font>
        <b val="0"/>
        <i val="0"/>
        <strike val="0"/>
        <condense val="0"/>
        <extend val="0"/>
        <outline val="0"/>
        <shadow val="0"/>
        <u val="none"/>
        <vertAlign val="baseline"/>
        <sz val="10"/>
        <color auto="1"/>
        <name val="Arial"/>
        <scheme val="none"/>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font>
        <b val="0"/>
        <i val="0"/>
        <strike val="0"/>
        <condense val="0"/>
        <extend val="0"/>
        <outline val="0"/>
        <shadow val="0"/>
        <u val="none"/>
        <vertAlign val="baseline"/>
        <sz val="10"/>
        <color auto="1"/>
        <name val="Arial"/>
        <family val="2"/>
        <scheme val="none"/>
      </font>
      <numFmt numFmtId="167" formatCode="yyyy/mm/dd"/>
      <alignment horizontal="left"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fill>
        <patternFill patternType="solid">
          <fgColor indexed="64"/>
          <bgColor theme="0" tint="-0.14996795556505021"/>
        </patternFill>
      </fill>
    </dxf>
  </dxfs>
  <tableStyles count="1" defaultTableStyle="TableStyleMedium9" defaultPivotStyle="PivotStyleLight16">
    <tableStyle name="Invisible" pivot="0" table="0" count="0" xr9:uid="{22DC3747-BDA3-4844-8A29-5C97FE6D87ED}"/>
  </tableStyles>
  <colors>
    <mruColors>
      <color rgb="FF4B4B4B"/>
      <color rgb="FFFFF2CC"/>
      <color rgb="FFFFFFCC"/>
      <color rgb="FFFF6600"/>
      <color rgb="FFBEB5AC"/>
      <color rgb="FFD7E8F9"/>
      <color rgb="FFE9E6E3"/>
      <color rgb="FF959595"/>
      <color rgb="FFD8D3CE"/>
      <color rgb="FFFDEA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7/relationships/slicerCache" Target="slicerCaches/slicerCache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externalLink" Target="externalLinks/externalLink2.xml"/><Relationship Id="rId12" Type="http://schemas.microsoft.com/office/2007/relationships/slicerCache" Target="slicerCaches/slicerCache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externalLink" Target="externalLinks/externalLink5.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N$70"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76200</xdr:colOff>
          <xdr:row>70</xdr:row>
          <xdr:rowOff>19050</xdr:rowOff>
        </xdr:from>
        <xdr:to>
          <xdr:col>7</xdr:col>
          <xdr:colOff>152400</xdr:colOff>
          <xdr:row>85</xdr:row>
          <xdr:rowOff>0</xdr:rowOff>
        </xdr:to>
        <xdr:sp macro="" textlink="">
          <xdr:nvSpPr>
            <xdr:cNvPr id="7172" name="update_pn_summary"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project </a:t>
              </a:r>
            </a:p>
            <a:p>
              <a:pPr algn="ctr" rtl="0">
                <a:defRPr sz="1000"/>
              </a:pPr>
              <a:r>
                <a:rPr lang="en-US" sz="1000" b="0" i="0" u="none" strike="noStrike" baseline="0">
                  <a:solidFill>
                    <a:srgbClr val="000000"/>
                  </a:solidFill>
                  <a:latin typeface="Arial"/>
                  <a:cs typeface="Arial"/>
                </a:rPr>
                <a:t>number summary</a:t>
              </a:r>
            </a:p>
          </xdr:txBody>
        </xdr:sp>
        <xdr:clientData fPrintsWithSheet="0"/>
      </xdr:twoCellAnchor>
    </mc:Choice>
    <mc:Fallback/>
  </mc:AlternateContent>
  <xdr:twoCellAnchor>
    <xdr:from>
      <xdr:col>16</xdr:col>
      <xdr:colOff>18490</xdr:colOff>
      <xdr:row>28</xdr:row>
      <xdr:rowOff>53229</xdr:rowOff>
    </xdr:from>
    <xdr:to>
      <xdr:col>21</xdr:col>
      <xdr:colOff>2466975</xdr:colOff>
      <xdr:row>31</xdr:row>
      <xdr:rowOff>19050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13820215" y="4739529"/>
          <a:ext cx="7772960" cy="451596"/>
        </a:xfrm>
        <a:prstGeom prst="borderCallout1">
          <a:avLst>
            <a:gd name="adj1" fmla="val -33897"/>
            <a:gd name="adj2" fmla="val 6059"/>
            <a:gd name="adj3" fmla="val -218582"/>
            <a:gd name="adj4" fmla="val 4314"/>
          </a:avLst>
        </a:prstGeom>
        <a:solidFill>
          <a:srgbClr val="D7E8F9"/>
        </a:solidFill>
        <a:ln w="9525" cmpd="sng">
          <a:solidFill>
            <a:schemeClr val="lt1">
              <a:shade val="50000"/>
            </a:schemeClr>
          </a:solidFill>
          <a:headEnd type="none" w="med" len="med"/>
          <a:tailEnd type="triangl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4B4B4B"/>
              </a:solidFill>
              <a:latin typeface="Arial" panose="020B0604020202020204" pitchFamily="34" charset="0"/>
              <a:cs typeface="Arial" panose="020B0604020202020204" pitchFamily="34" charset="0"/>
            </a:rPr>
            <a:t>Auto fill</a:t>
          </a:r>
        </a:p>
        <a:p>
          <a:r>
            <a:rPr lang="en-US" sz="1100">
              <a:solidFill>
                <a:srgbClr val="4B4B4B"/>
              </a:solidFill>
              <a:latin typeface="Arial" panose="020B0604020202020204" pitchFamily="34" charset="0"/>
              <a:cs typeface="Arial" panose="020B0604020202020204" pitchFamily="34" charset="0"/>
            </a:rPr>
            <a:t>You can enter these numbers in column I and it will automatically be replaced by the corresponding project number.</a:t>
          </a:r>
        </a:p>
      </xdr:txBody>
    </xdr:sp>
    <xdr:clientData/>
  </xdr:twoCellAnchor>
  <mc:AlternateContent xmlns:mc="http://schemas.openxmlformats.org/markup-compatibility/2006">
    <mc:Choice xmlns:a14="http://schemas.microsoft.com/office/drawing/2010/main" Requires="a14">
      <xdr:twoCellAnchor editAs="oneCell">
        <xdr:from>
          <xdr:col>13</xdr:col>
          <xdr:colOff>28575</xdr:colOff>
          <xdr:row>68</xdr:row>
          <xdr:rowOff>142875</xdr:rowOff>
        </xdr:from>
        <xdr:to>
          <xdr:col>14</xdr:col>
          <xdr:colOff>57150</xdr:colOff>
          <xdr:row>70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95250</xdr:colOff>
          <xdr:row>0</xdr:row>
          <xdr:rowOff>209550</xdr:rowOff>
        </xdr:from>
        <xdr:to>
          <xdr:col>8</xdr:col>
          <xdr:colOff>1171575</xdr:colOff>
          <xdr:row>1</xdr:row>
          <xdr:rowOff>104775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My data</a:t>
              </a:r>
            </a:p>
          </xdr:txBody>
        </xdr:sp>
        <xdr:clientData fPrintsWithSheet="0"/>
      </xdr:twoCellAnchor>
    </mc:Choice>
    <mc:Fallback/>
  </mc:AlternateContent>
  <xdr:twoCellAnchor>
    <xdr:from>
      <xdr:col>0</xdr:col>
      <xdr:colOff>91018</xdr:colOff>
      <xdr:row>12</xdr:row>
      <xdr:rowOff>4482</xdr:rowOff>
    </xdr:from>
    <xdr:to>
      <xdr:col>1</xdr:col>
      <xdr:colOff>497417</xdr:colOff>
      <xdr:row>23</xdr:row>
      <xdr:rowOff>137583</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91018" y="2068232"/>
          <a:ext cx="1305982" cy="1879351"/>
        </a:xfrm>
        <a:prstGeom prst="borderCallout1">
          <a:avLst>
            <a:gd name="adj1" fmla="val -3009"/>
            <a:gd name="adj2" fmla="val 99214"/>
            <a:gd name="adj3" fmla="val -34384"/>
            <a:gd name="adj4" fmla="val 98192"/>
          </a:avLst>
        </a:prstGeom>
        <a:solidFill>
          <a:srgbClr val="D7E8F9"/>
        </a:solidFill>
        <a:ln w="9525" cmpd="sng">
          <a:solidFill>
            <a:schemeClr val="lt1">
              <a:shade val="50000"/>
            </a:schemeClr>
          </a:solidFill>
          <a:headEnd type="none" w="med" len="med"/>
          <a:tailEnd type="triangl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4B4B4B"/>
              </a:solidFill>
              <a:latin typeface="Arial" panose="020B0604020202020204" pitchFamily="34" charset="0"/>
              <a:cs typeface="Arial" panose="020B0604020202020204" pitchFamily="34" charset="0"/>
            </a:rPr>
            <a:t>Notice:</a:t>
          </a:r>
        </a:p>
        <a:p>
          <a:r>
            <a:rPr lang="en-US" sz="1100" b="0">
              <a:solidFill>
                <a:srgbClr val="4B4B4B"/>
              </a:solidFill>
              <a:latin typeface="Arial" panose="020B0604020202020204" pitchFamily="34" charset="0"/>
              <a:cs typeface="Arial" panose="020B0604020202020204" pitchFamily="34" charset="0"/>
            </a:rPr>
            <a:t>fill in the total number of monthly working days if it was different for you (e.g. you're working part-time or you have worked on a weekend)</a:t>
          </a:r>
        </a:p>
      </xdr:txBody>
    </xdr:sp>
    <xdr:clientData/>
  </xdr:twoCellAnchor>
  <mc:AlternateContent xmlns:mc="http://schemas.openxmlformats.org/markup-compatibility/2006">
    <mc:Choice xmlns:a14="http://schemas.microsoft.com/office/drawing/2010/main" Requires="a14">
      <xdr:twoCellAnchor>
        <xdr:from>
          <xdr:col>12</xdr:col>
          <xdr:colOff>238125</xdr:colOff>
          <xdr:row>94</xdr:row>
          <xdr:rowOff>85725</xdr:rowOff>
        </xdr:from>
        <xdr:to>
          <xdr:col>12</xdr:col>
          <xdr:colOff>2133600</xdr:colOff>
          <xdr:row>96</xdr:row>
          <xdr:rowOff>57150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000-00001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4flow software send email</a:t>
              </a:r>
            </a:p>
          </xdr:txBody>
        </xdr:sp>
        <xdr:clientData fPrintsWithSheet="0"/>
      </xdr:twoCellAnchor>
    </mc:Choice>
    <mc:Fallback/>
  </mc:AlternateContent>
  <xdr:twoCellAnchor editAs="oneCell">
    <xdr:from>
      <xdr:col>12</xdr:col>
      <xdr:colOff>2057753</xdr:colOff>
      <xdr:row>0</xdr:row>
      <xdr:rowOff>180975</xdr:rowOff>
    </xdr:from>
    <xdr:to>
      <xdr:col>13</xdr:col>
      <xdr:colOff>2096</xdr:colOff>
      <xdr:row>1</xdr:row>
      <xdr:rowOff>135467</xdr:rowOff>
    </xdr:to>
    <xdr:pic>
      <xdr:nvPicPr>
        <xdr:cNvPr id="11" name="Grafik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91903" y="180975"/>
          <a:ext cx="2040093" cy="278342"/>
        </a:xfrm>
        <a:prstGeom prst="rect">
          <a:avLst/>
        </a:prstGeom>
      </xdr:spPr>
    </xdr:pic>
    <xdr:clientData/>
  </xdr:twoCellAnchor>
  <mc:AlternateContent xmlns:mc="http://schemas.openxmlformats.org/markup-compatibility/2006">
    <mc:Choice xmlns:a14="http://schemas.microsoft.com/office/drawing/2010/main" Requires="a14">
      <xdr:twoCellAnchor>
        <xdr:from>
          <xdr:col>18</xdr:col>
          <xdr:colOff>314325</xdr:colOff>
          <xdr:row>22</xdr:row>
          <xdr:rowOff>85725</xdr:rowOff>
        </xdr:from>
        <xdr:to>
          <xdr:col>19</xdr:col>
          <xdr:colOff>9525</xdr:colOff>
          <xdr:row>26</xdr:row>
          <xdr:rowOff>38100</xdr:rowOff>
        </xdr:to>
        <xdr:sp macro="" textlink="">
          <xdr:nvSpPr>
            <xdr:cNvPr id="7189" name="Button 21" hidden="1">
              <a:extLst>
                <a:ext uri="{63B3BB69-23CF-44E3-9099-C40C66FF867C}">
                  <a14:compatExt spid="_x0000_s7189"/>
                </a:ext>
                <a:ext uri="{FF2B5EF4-FFF2-40B4-BE49-F238E27FC236}">
                  <a16:creationId xmlns:a16="http://schemas.microsoft.com/office/drawing/2014/main" id="{00000000-0008-0000-0000-000015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Find previous month's project numbers</a:t>
              </a:r>
            </a:p>
          </xdr:txBody>
        </xdr:sp>
        <xdr:clientData fPrintsWithSheet="0"/>
      </xdr:twoCellAnchor>
    </mc:Choice>
    <mc:Fallback/>
  </mc:AlternateContent>
  <xdr:twoCellAnchor>
    <xdr:from>
      <xdr:col>15</xdr:col>
      <xdr:colOff>171450</xdr:colOff>
      <xdr:row>38</xdr:row>
      <xdr:rowOff>90207</xdr:rowOff>
    </xdr:from>
    <xdr:to>
      <xdr:col>19</xdr:col>
      <xdr:colOff>1314450</xdr:colOff>
      <xdr:row>43</xdr:row>
      <xdr:rowOff>104776</xdr:rowOff>
    </xdr:to>
    <xdr:sp macro="" textlink="">
      <xdr:nvSpPr>
        <xdr:cNvPr id="2" name="Textfeld 2">
          <a:extLst>
            <a:ext uri="{FF2B5EF4-FFF2-40B4-BE49-F238E27FC236}">
              <a16:creationId xmlns:a16="http://schemas.microsoft.com/office/drawing/2014/main" id="{789E7895-5FDE-496D-9968-DBB5D0B1D8B9}"/>
            </a:ext>
          </a:extLst>
        </xdr:cNvPr>
        <xdr:cNvSpPr txBox="1"/>
      </xdr:nvSpPr>
      <xdr:spPr>
        <a:xfrm>
          <a:off x="13754100" y="6395757"/>
          <a:ext cx="4133850" cy="824194"/>
        </a:xfrm>
        <a:prstGeom prst="borderCallout1">
          <a:avLst>
            <a:gd name="adj1" fmla="val -8369"/>
            <a:gd name="adj2" fmla="val 6250"/>
            <a:gd name="adj3" fmla="val -37829"/>
            <a:gd name="adj4" fmla="val 5953"/>
          </a:avLst>
        </a:prstGeom>
        <a:solidFill>
          <a:srgbClr val="D7E8F9"/>
        </a:solidFill>
        <a:ln w="9525" cmpd="sng">
          <a:solidFill>
            <a:schemeClr val="lt1">
              <a:shade val="50000"/>
            </a:schemeClr>
          </a:solidFill>
          <a:headEnd type="none" w="med" len="med"/>
          <a:tailEnd type="triangle" w="med" len="med"/>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DE" sz="1100" b="1">
              <a:solidFill>
                <a:srgbClr val="4B4B4B"/>
              </a:solidFill>
              <a:latin typeface="Arial" panose="020B0604020202020204" pitchFamily="34" charset="0"/>
              <a:cs typeface="Arial" panose="020B0604020202020204" pitchFamily="34" charset="0"/>
            </a:rPr>
            <a:t>Don't</a:t>
          </a:r>
          <a:r>
            <a:rPr lang="en-DE" sz="1100" b="1" baseline="0">
              <a:solidFill>
                <a:srgbClr val="4B4B4B"/>
              </a:solidFill>
              <a:latin typeface="Arial" panose="020B0604020202020204" pitchFamily="34" charset="0"/>
              <a:cs typeface="Arial" panose="020B0604020202020204" pitchFamily="34" charset="0"/>
            </a:rPr>
            <a:t> know the new workday ID for your project? </a:t>
          </a:r>
        </a:p>
        <a:p>
          <a:endParaRPr lang="en-US" sz="1100" b="1">
            <a:solidFill>
              <a:srgbClr val="4B4B4B"/>
            </a:solidFill>
            <a:latin typeface="Arial" panose="020B0604020202020204" pitchFamily="34" charset="0"/>
            <a:cs typeface="Arial" panose="020B0604020202020204" pitchFamily="34" charset="0"/>
          </a:endParaRPr>
        </a:p>
        <a:p>
          <a:r>
            <a:rPr lang="en-DE" sz="1100">
              <a:solidFill>
                <a:srgbClr val="4B4B4B"/>
              </a:solidFill>
              <a:latin typeface="Arial" panose="020B0604020202020204" pitchFamily="34" charset="0"/>
              <a:cs typeface="Arial" panose="020B0604020202020204" pitchFamily="34" charset="0"/>
            </a:rPr>
            <a:t>Enter the cost cent</a:t>
          </a:r>
          <a:r>
            <a:rPr lang="de-DE" sz="1100">
              <a:solidFill>
                <a:srgbClr val="4B4B4B"/>
              </a:solidFill>
              <a:latin typeface="Arial" panose="020B0604020202020204" pitchFamily="34" charset="0"/>
              <a:cs typeface="Arial" panose="020B0604020202020204" pitchFamily="34" charset="0"/>
            </a:rPr>
            <a:t>er</a:t>
          </a:r>
          <a:r>
            <a:rPr lang="en-DE" sz="1100" baseline="0">
              <a:solidFill>
                <a:srgbClr val="4B4B4B"/>
              </a:solidFill>
              <a:latin typeface="Arial" panose="020B0604020202020204" pitchFamily="34" charset="0"/>
              <a:cs typeface="Arial" panose="020B0604020202020204" pitchFamily="34" charset="0"/>
            </a:rPr>
            <a:t> you're used to in this column and receive the Workday ID and Specification you need for columns I and J.</a:t>
          </a:r>
          <a:endParaRPr lang="en-US" sz="1100">
            <a:solidFill>
              <a:srgbClr val="4B4B4B"/>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0</xdr:row>
          <xdr:rowOff>66675</xdr:rowOff>
        </xdr:from>
        <xdr:to>
          <xdr:col>1</xdr:col>
          <xdr:colOff>1400175</xdr:colOff>
          <xdr:row>1</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1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17</xdr:row>
      <xdr:rowOff>12697</xdr:rowOff>
    </xdr:from>
    <xdr:to>
      <xdr:col>0</xdr:col>
      <xdr:colOff>1828800</xdr:colOff>
      <xdr:row>37</xdr:row>
      <xdr:rowOff>57149</xdr:rowOff>
    </xdr:to>
    <mc:AlternateContent xmlns:mc="http://schemas.openxmlformats.org/markup-compatibility/2006" xmlns:a14="http://schemas.microsoft.com/office/drawing/2010/main">
      <mc:Choice Requires="a14">
        <xdr:graphicFrame macro="">
          <xdr:nvGraphicFramePr>
            <xdr:cNvPr id="3" name="Customer">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Customer"/>
            </a:graphicData>
          </a:graphic>
        </xdr:graphicFrame>
      </mc:Choice>
      <mc:Fallback xmlns="">
        <xdr:sp macro="" textlink="">
          <xdr:nvSpPr>
            <xdr:cNvPr id="0" name=""/>
            <xdr:cNvSpPr>
              <a:spLocks noTextEdit="1"/>
            </xdr:cNvSpPr>
          </xdr:nvSpPr>
          <xdr:spPr>
            <a:xfrm>
              <a:off x="0" y="2857497"/>
              <a:ext cx="1828800" cy="3286127"/>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9525</xdr:colOff>
      <xdr:row>5</xdr:row>
      <xdr:rowOff>19050</xdr:rowOff>
    </xdr:from>
    <xdr:to>
      <xdr:col>0</xdr:col>
      <xdr:colOff>1838325</xdr:colOff>
      <xdr:row>15</xdr:row>
      <xdr:rowOff>101600</xdr:rowOff>
    </xdr:to>
    <mc:AlternateContent xmlns:mc="http://schemas.openxmlformats.org/markup-compatibility/2006" xmlns:a14="http://schemas.microsoft.com/office/drawing/2010/main">
      <mc:Choice Requires="a14">
        <xdr:graphicFrame macro="">
          <xdr:nvGraphicFramePr>
            <xdr:cNvPr id="2" name="Business Line">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Business Line"/>
            </a:graphicData>
          </a:graphic>
        </xdr:graphicFrame>
      </mc:Choice>
      <mc:Fallback xmlns="">
        <xdr:sp macro="" textlink="">
          <xdr:nvSpPr>
            <xdr:cNvPr id="0" name=""/>
            <xdr:cNvSpPr>
              <a:spLocks noTextEdit="1"/>
            </xdr:cNvSpPr>
          </xdr:nvSpPr>
          <xdr:spPr>
            <a:xfrm>
              <a:off x="6350" y="923925"/>
              <a:ext cx="1828800" cy="1704975"/>
            </a:xfrm>
            <a:prstGeom prst="rect">
              <a:avLst/>
            </a:prstGeom>
            <a:solidFill>
              <a:prstClr val="white"/>
            </a:solidFill>
            <a:ln w="1">
              <a:solidFill>
                <a:prstClr val="green"/>
              </a:solidFill>
            </a:ln>
          </xdr:spPr>
          <xdr:txBody>
            <a:bodyPr vertOverflow="clip" horzOverflow="clip"/>
            <a:lstStyle/>
            <a:p>
              <a:r>
                <a:rPr lang="en-DE"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rrc516\Administration\Kennzahlengenerator\Kennzahlengenerator.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Mandant/4flow%20AG%20Konzern/2_Konzernabschluss/Reporting%20Package/2010_Reporting%20Package%204flow_%20FINAL.xls" TargetMode="External"/><Relationship Id="rId1" Type="http://schemas.openxmlformats.org/officeDocument/2006/relationships/externalLinkPath" Target="/Mandant/4flow%20AG%20Konzern/2_Konzernabschluss/Reporting%20Package/2010_Reporting%20Package%204flow_%20FINAL.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admin_finance/NEU%20-%20administration%20und%20finance/Mitarbeiterliste/2013/MA_Liste_2013_12.xlsx" TargetMode="External"/><Relationship Id="rId1" Type="http://schemas.openxmlformats.org/officeDocument/2006/relationships/externalLinkPath" Target="/admin_finance/NEU%20-%20administration%20und%20finance/Mitarbeiterliste/2013/MA_Liste_2013_12.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10%20CREST%20MDM%20Team/1020%20MDM%20Documentation/1020_G_Templates/Vorlagen%20Templates%20Mngmt_Dim%20+%20CoA/Management%20Dimensions/20060327_CUSTOMERS_Actual.xls" TargetMode="External"/><Relationship Id="rId1" Type="http://schemas.openxmlformats.org/officeDocument/2006/relationships/externalLinkPath" Target="/10%20CREST%20MDM%20Team/1020%20MDM%20Documentation/1020_G_Templates/Vorlagen%20Templates%20Mngmt_Dim%20+%20CoA/Management%20Dimensions/20060327_CUSTOMERS_Actual.xls"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Users/Carsten%20Berz/Documents/03_Projects/16_Liquidity/02_GmbH/02_GmbH_Liquidity_V3.xlsm" TargetMode="External"/><Relationship Id="rId1" Type="http://schemas.openxmlformats.org/officeDocument/2006/relationships/externalLinkPath" Target="/Users/Carsten%20Berz/Documents/03_Projects/16_Liquidity/02_GmbH/02_GmbH_Liquidity_V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_KPI"/>
      <sheetName val="Config"/>
      <sheetName val="Template MDM"/>
      <sheetName val="Template MDM LOG"/>
    </sheetNames>
    <sheetDataSet>
      <sheetData sheetId="0"/>
      <sheetData sheetId="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VER"/>
      <sheetName val="MENU"/>
      <sheetName val="PREAMBLE"/>
      <sheetName val="TIME-TABLE"/>
      <sheetName val="CONTACT PERSON"/>
      <sheetName val="COLUMN LEGEND"/>
      <sheetName val="P&amp;L"/>
      <sheetName val="ASSET TYPE"/>
      <sheetName val="provisions"/>
      <sheetName val="RS Urlaub"/>
      <sheetName val="PERSONNEL_STATISTIC"/>
      <sheetName val="CUSTOMERS"/>
      <sheetName val="CUSTOMERS SECTOR"/>
      <sheetName val="PRODUCTS"/>
      <sheetName val="FUNCTIONS Corporate"/>
      <sheetName val="FUNCTIONS Corp. Division"/>
      <sheetName val="BILLING TYPE"/>
      <sheetName val="DET. FUNC. - MAIL"/>
      <sheetName val="ALT-HIER LOGISTICS"/>
      <sheetName val="ALT-HIER EXPRESS"/>
      <sheetName val="ALT-HIER MAIL"/>
      <sheetName val="BS"/>
      <sheetName val="Mvmt. Tables &amp; Notes Attr."/>
      <sheetName val="BS PL Other Attr."/>
      <sheetName val="CALC. KPIs"/>
      <sheetName val="Notes &amp; KPIs"/>
      <sheetName val="UNITS OF MEASURE"/>
      <sheetName val="ADJ. TYPES"/>
      <sheetName val="RESTRUCTURING INTEGRATION"/>
      <sheetName val="Proposal for notes accou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Unt.kommunikation_June_2012"/>
      <sheetName val="MA_Zahlen_Dec_2012"/>
      <sheetName val="MA_Standorte"/>
      <sheetName val="MA_Bereichen"/>
      <sheetName val="MA_Gesellschaft"/>
      <sheetName val="MA_Level"/>
      <sheetName val="Mitarbeiter_2013"/>
      <sheetName val="Daten"/>
    </sheetNames>
    <sheetDataSet>
      <sheetData sheetId="0"/>
      <sheetData sheetId="1"/>
      <sheetData sheetId="2"/>
      <sheetData sheetId="3"/>
      <sheetData sheetId="4"/>
      <sheetData sheetId="5"/>
      <sheetData sheetId="6"/>
      <sheetData sheetId="7">
        <row r="1">
          <cell r="I1" t="str">
            <v>Firma</v>
          </cell>
        </row>
        <row r="2">
          <cell r="I2" t="str">
            <v>4flow AG</v>
          </cell>
        </row>
        <row r="3">
          <cell r="I3" t="str">
            <v>4flow management BVBA</v>
          </cell>
        </row>
        <row r="4">
          <cell r="I4" t="str">
            <v>4flow management GmbH</v>
          </cell>
        </row>
        <row r="5">
          <cell r="I5" t="str">
            <v>forflow Ltd.</v>
          </cell>
        </row>
        <row r="6">
          <cell r="I6" t="str">
            <v>forflow consulting (Shanghai) Co. Ltd.</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Info"/>
      <sheetName val="Customer (ZBCBMCUST)"/>
    </sheetNames>
    <sheetDataSet>
      <sheetData sheetId="0"/>
      <sheetData sheetId="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mments"/>
      <sheetName val="4flow"/>
      <sheetName val="4flow_Adj"/>
      <sheetName val="Projects_Fix"/>
      <sheetName val="Project-Inflows"/>
      <sheetName val="Analysis-Invoicing"/>
      <sheetName val="IC-Inflows"/>
      <sheetName val="IC-Outflows"/>
      <sheetName val="Balances &amp; Limits"/>
      <sheetName val="Overheads"/>
      <sheetName val="External services"/>
      <sheetName val="Analysis-GM"/>
      <sheetName val="Analysis-Datev"/>
      <sheetName val="Costs-Datev"/>
      <sheetName val="Kreditoren"/>
      <sheetName val="Budget (2)"/>
      <sheetName val="Projectlist"/>
      <sheetName val="Settings"/>
      <sheetName val="Budget"/>
      <sheetName val="Projects"/>
      <sheetName val="DataRevenue"/>
      <sheetName val="Charts"/>
      <sheetName val="RawDataRevenue"/>
      <sheetName val="02_GmbH_Liquidity_V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3">
          <cell r="C3" t="str">
            <v>02_GmbH</v>
          </cell>
        </row>
      </sheetData>
      <sheetData sheetId="18">
        <row r="6">
          <cell r="W6">
            <v>1</v>
          </cell>
        </row>
      </sheetData>
      <sheetData sheetId="19" refreshError="1"/>
      <sheetData sheetId="20" refreshError="1"/>
      <sheetData sheetId="21" refreshError="1"/>
      <sheetData sheetId="22" refreshError="1"/>
      <sheetData sheetId="2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lazs Jeney" refreshedDate="46139.53675983796" createdVersion="6" refreshedVersion="8" minRefreshableVersion="3" recordCount="5142" xr:uid="{00000000-000A-0000-FFFF-FFFF1A000000}">
  <cacheSource type="worksheet">
    <worksheetSource name="tblProjectlist"/>
  </cacheSource>
  <cacheFields count="23">
    <cacheField name="Cost Center" numFmtId="0">
      <sharedItems/>
    </cacheField>
    <cacheField name="Column1" numFmtId="0">
      <sharedItems containsBlank="1"/>
    </cacheField>
    <cacheField name="Customer-Groupname" numFmtId="0">
      <sharedItems containsBlank="1" count="574">
        <m/>
        <s v="4flow-internal"/>
        <s v="smart" u="1"/>
        <s v="TRATON SE" u="1"/>
        <s v="Volkswagen" u="1"/>
        <s v="BMW Group" u="1"/>
        <s v="Honda" u="1"/>
        <s v="Rivian" u="1"/>
        <s v="Rivian " u="1"/>
        <s v="NIO Holding Co., Ltd." u="1"/>
        <s v="ElectroMobility Poland S.A." u="1"/>
        <s v="Doosan Bobcat" u="1"/>
        <s v="RollsRoyce Power Systems" u="1"/>
        <s v="Rolls-Royce Solutions GmbHH" u="1"/>
        <s v="Daimler AG" u="1"/>
        <s v="Mercedes-Benz AG" u="1"/>
        <s v="KTM AG" u="1"/>
        <s v="PIERER Mobility-Gruppe" u="1"/>
        <s v="Daimler Truck AG" u="1"/>
        <s v="Polestar China" u="1"/>
        <s v="Volkswagen Konzern" u="1"/>
        <s v="Brose" u="1"/>
        <s v="Suzuki" u="1"/>
        <s v="Stellantis" u="1"/>
        <s v="Traton Group" u="1"/>
        <s v="AGCO" u="1"/>
        <s v="Rheinmetall" u="1"/>
        <s v="Volvo Group" u="1"/>
        <s v="TOYOTA" u="1"/>
        <s v="Ford Motor Company" u="1"/>
        <s v="Renault" u="1"/>
        <s v="Elval" u="1"/>
        <s v="Webasto" u="1"/>
        <s v="INEOS Automotive" u="1"/>
        <s v="John Deere" u="1"/>
        <s v="Hirschmann Automotive " u="1"/>
        <s v="AL-KO SE" u="1"/>
        <s v="epsotech Holding GmbH" u="1"/>
        <s v="Diehl Group" u="1"/>
        <s v="Cooper-Standard Automotive Inc." u="1"/>
        <s v="FIT Voltaira" u="1"/>
        <s v="Nagel-Group Logistics SE" u="1"/>
        <s v="Continental Reifen Deutschland GmbH" u="1"/>
        <s v="Punch Powertrain" u="1"/>
        <s v="AL-KO GmbH" u="1"/>
        <s v="Adient Ltd. &amp; Co. KG" u="1"/>
        <s v="Methode electronics" u="1"/>
        <s v="Trèves Group" u="1"/>
        <s v="TMD Friction" u="1"/>
        <s v="Gebauer-Griller" u="1"/>
        <s v="ZF Group" u="1"/>
        <s v="Wilhelm Fricke SE" u="1"/>
        <s v="Minted" u="1"/>
        <s v="MANN+HUMMEL" u="1"/>
        <s v="Nippon Seiki North America" u="1"/>
        <s v="Yanfeng" u="1"/>
        <s v="Adient" u="1"/>
        <s v="Apollo Tyres Ltd" u="1"/>
        <s v="Stabilus GmbH" u="1"/>
        <s v="Magna Konzern" u="1"/>
        <s v="Valeo" u="1"/>
        <s v="Valmet" u="1"/>
        <s v="KOSTAL Group" u="1"/>
        <s v="Kögel Trailer GmbH" u="1"/>
        <s v="Joyson Holding Co., Ltd." u="1"/>
        <s v="Jacto" u="1"/>
        <s v="Antolin" u="1"/>
        <s v="Horizon Robotics" u="1"/>
        <s v="Robert Bosch (Konzern)" u="1"/>
        <s v="Sumitomo Electric Industries Group" u="1"/>
        <s v="Autoliv Group" u="1"/>
        <s v="Tucker GmbH" u="1"/>
        <s v="Goodyear" u="1"/>
        <s v="Magura  " u="1"/>
        <s v="ElringKlinger " u="1"/>
        <s v="Continental Gruppe" u="1"/>
        <s v="KAUTEX TEXTRON GmbH &amp; Co. KG" u="1"/>
        <s v="OP Mobility" u="1"/>
        <s v="Phoenix" u="1"/>
        <s v="Nidec Motors Corp" u="1"/>
        <s v="Bridgestone Europe NV/SA" u="1"/>
        <s v="Alliance Automotive Group Germany" u="1"/>
        <s v="Marquardt" u="1"/>
        <s v="Phinia Inc." u="1"/>
        <s v="Castrol" u="1"/>
        <s v="Beijing Zongheng Electro-Mechanical Technology Co Ltd (ZEMT)" u="1"/>
        <s v="MAHLE" u="1"/>
        <s v="VOITH" u="1"/>
        <s v="Stanley Black &amp; Decker" u="1"/>
        <s v="Lear Corporation" u="1"/>
        <s v="MANN+HUMMEL Group" u="1"/>
        <s v="IAC" u="1"/>
        <s v="BorgWarner" u="1"/>
        <s v="Autoliv" u="1"/>
        <s v="ZF Friedrichshafen" u="1"/>
        <s v="Inteva" u="1"/>
        <s v="Schaeffler" u="1"/>
        <s v="Autoneum" u="1"/>
        <s v="Dräxlmaier" u="1"/>
        <s v="SAS Automotive" u="1"/>
        <s v="Knorr-Bremse" u="1"/>
        <s v="Knorr-Bremse " u="1"/>
        <s v="BOS Group" u="1"/>
        <s v="Jost" u="1"/>
        <s v="Plastic Omnium" u="1"/>
        <s v="Alstom Transport" u="1"/>
        <s v="Meyer Group" u="1"/>
        <s v="MAN Energy Solution (früher Diesel)" u="1"/>
        <s v="Everllence SE" u="1"/>
        <s v="Dürr Systems AG " u="1"/>
        <s v="Lenze SE" u="1"/>
        <s v="Resideo" u="1"/>
        <s v="Dupont" u="1"/>
        <s v="Renk Group AG" u="1"/>
        <s v="Zell Group   " u="1"/>
        <s v="Jungheinrich AG" u="1"/>
        <s v="Nordex" u="1"/>
        <s v="Wittur Group" u="1"/>
        <s v="Putzmeister Holding GmbH                                                                   " u="1"/>
        <s v="Elinor Batteries   " u="1"/>
        <s v="TRUMPF" u="1"/>
        <s v="FESTO" u="1"/>
        <s v="GEMU Group" u="1"/>
        <s v="Grundfos" u="1"/>
        <s v="Tubesca-Comabi" u="1"/>
        <s v="ENGEL" u="1"/>
        <s v="Schrauben Jäger AG" u="1"/>
        <s v="TK Aufzugswerke GmbH " u="1"/>
        <s v="Hillenbrand Inc." u="1"/>
        <s v="GEA Group" u="1"/>
        <s v="Komatsu" u="1"/>
        <s v="TCL" u="1"/>
        <s v="Versuvius plc" u="1"/>
        <s v="SMA Solar Technology AG" u="1"/>
        <s v="STIEBEL ELTRON GmbH &amp; Co. KG" u="1"/>
        <s v="FormEnergy" u="1"/>
        <s v="DMG Mori AG" u="1"/>
        <s v="NORMA Group SE" u="1"/>
        <s v="König &amp; Bauer" u="1"/>
        <s v="SKF" u="1"/>
        <s v="Positec" u="1"/>
        <s v="Alfred Kärcher" u="1"/>
        <s v="Rittal" u="1"/>
        <s v="Wacker Neuson" u="1"/>
        <s v="VTG GmbH" u="1"/>
        <s v="Etex" u="1"/>
        <s v="SANY Group" u="1"/>
        <s v="Hettich Holding" u="1"/>
        <s v="Wilhelm Böllhoff GmbH &amp; Co. KG" u="1"/>
        <s v="Schneider Electric" u="1"/>
        <s v="Otis Worldwide Corporation" u="1"/>
        <s v="Converse" u="1"/>
        <s v="BayWa r.e." u="1"/>
        <s v="Liebherr Logistics GmbH" u="1"/>
        <s v="Hager Group" u="1"/>
        <s v="Northvolt AB" u="1"/>
        <s v="Robel Bahnbaumaschinen GmbH" u="1"/>
        <s v="Grain &amp; Protein Technologies" u="1"/>
        <s v="Severin Elektrogeräte GmbH" u="1"/>
        <s v="Zhongneng Construction  " u="1"/>
        <s v="SBS Ecoclean Group" u="1"/>
        <s v="Air Power " u="1"/>
        <s v="Famsun Group Co., LTD." u="1"/>
        <s v="FLSmidth &amp; Co. A/S" u="1"/>
        <s v="Bridgnorth Aluminium" u="1"/>
        <s v="Innomotics GmbH" u="1"/>
        <s v="Ejot Holding GmbH &amp; Co. KG" u="1"/>
        <s v="DAW SE" u="1"/>
        <s v="Egger Group" u="1"/>
        <s v="Packsize" u="1"/>
        <s v="BAUER COMP Holding GmbH" u="1"/>
        <s v="Progroup" u="1"/>
        <s v="Linak" u="1"/>
        <s v="Norsk Hydro ASA" u="1"/>
        <s v="Wuxi Lead Intelligent Equipment CO.,LTD" u="1"/>
        <s v="Künz GmbH" u="1"/>
        <s v="Heinrich Sauter GmbH" u="1"/>
        <s v="Grupo Argos S.A" u="1"/>
        <s v="MANN+HUMMEL BRASIL Ltda." u="1"/>
        <s v="GEA Group AG" u="1"/>
        <s v="Oldcastle BuildingEnvelope" u="1"/>
        <s v="Ipex" u="1"/>
        <s v="Weyerhaeuser" u="1"/>
        <s v="Tesa" u="1"/>
        <s v="LAPP" u="1"/>
        <s v="Winkelmann Group" u="1"/>
        <s v="ProMinent GmbH " u="1"/>
        <s v="Piller Blowers &amp; Compressors GmbH" u="1"/>
        <s v="ARBURG" u="1"/>
        <s v="Morgan Advanced Material" u="1"/>
        <s v="Shenzhen Mali Energy Technology Co., Ltd" u="1"/>
        <s v="Belimo" u="1"/>
        <s v="Delrin" u="1"/>
        <s v="Elmos Semiconductor AG" u="1"/>
        <s v="Echosens SA" u="1"/>
        <s v="Logitech international S.A." u="1"/>
        <s v="Wayland Innovation Group." u="1"/>
        <s v="Ministère des armées, secrétariat général pour l'administration" u="1"/>
        <s v="ACO GmbH" u="1"/>
        <s v="TATA" u="1"/>
        <s v="IBC Solar AG" u="1"/>
        <s v="EAM GmbH &amp; Co. KG  " u="1"/>
        <s v="Goiasa" u="1"/>
        <s v="E.ON SE" u="1"/>
        <s v="E.ON " u="1"/>
        <s v="Grupo Eletrobras" u="1"/>
        <s v="ONTRAS Gastransport GmbH" u="1"/>
        <s v="Amprion GmbH" u="1"/>
        <s v="Itaipu Binacional" u="1"/>
        <s v="enercity Netz GmbH" u="1"/>
        <s v="Deloitte Consulting GmbH" u="1"/>
        <s v="ALLGÄUER ÜBERLANDWERK GmbH" u="1"/>
        <s v="Alpega" u="1"/>
        <s v="RheinEnergie AG" u="1"/>
        <s v="MilliporeSigma" u="1"/>
        <s v="BASF SE" u="1"/>
        <s v="Henkel KGaA" u="1"/>
        <s v="Sonova AG" u="1"/>
        <s v="Bayer AG" u="1"/>
        <s v="Thermo Fisher Scientific" u="1"/>
        <s v="Clariant" u="1"/>
        <s v="LANXESS AG" u="1"/>
        <s v="Merck" u="1"/>
        <s v="hikma" u="1"/>
        <s v="Hikma Group" u="1"/>
        <s v="Medela" u="1"/>
        <s v="Allnex" u="1"/>
        <s v="Siegfried Holding AG" u="1"/>
        <s v="SHL Medical AG" u="1"/>
        <s v="Viatris Inc" u="1"/>
        <s v="Colgate-Palmolive" u="1"/>
        <s v="Aenova Holding GmbH" u="1"/>
        <s v="G. Pohl-Boskamp GmbH &amp; Co. KG" u="1"/>
        <s v="Sana Kliniken AG" u="1"/>
        <s v="EVONIK" u="1"/>
        <s v="Gerresheimer AG" u="1"/>
        <s v="UCB" u="1"/>
        <s v="Covestro" u="1"/>
        <s v="Takenaka Europe GmbH" u="1"/>
        <s v="Phoenix Pharma SE" u="1"/>
        <s v="Lonza Group AG" u="1"/>
        <s v="Dr. Wolff Group  " u="1"/>
        <s v="Baxter Healthcare" u="1"/>
        <s v="Ascensia Diabetes Care Holdings AG" u="1"/>
        <s v="Sartorius AG" u="1"/>
        <s v="Karl Storz" u="1"/>
        <s v="Evident Scientific" u="1"/>
        <s v=" Sysmex" u="1"/>
        <s v="traceless materials GmbH" u="1"/>
        <s v="Sherwin-Williams" u="1"/>
        <s v="By-health" u="1"/>
        <s v="Zschimmer &amp; Schwarz" u="1"/>
        <s v="Kenvue" u="1"/>
        <s v="Boston Scientific Corporation" u="1"/>
        <s v="PTT" u="1"/>
        <s v="H.B. Fuller " u="1"/>
        <s v="Ontex Group" u="1"/>
        <s v="ASPEN PHARMACARE HOLDINGS LIMITED" u="1"/>
        <s v="Dätwyler Holding AG" u="1"/>
        <s v="CEVA Santé Animale" u="1"/>
        <s v="Hengchang Pharma group" u="1"/>
        <s v="Novartis Pharma GmbH" u="1"/>
        <s v="GALDERMA BRASIL LTDA" u="1"/>
        <s v="Helios Kliniken GmbH" u="1"/>
        <s v="Merck KGaA" u="1"/>
        <s v="Corbion Produtos Renováveis LTDA" u="1"/>
        <s v="Sika USA" u="1"/>
        <s v="MSD Merck Sharp &amp; Dohme - Brazil" u="1"/>
        <s v="Neptunus medical equipment CO.,LTD." u="1"/>
        <s v="Solenis Especialidades Químicas Ltda" u="1"/>
        <s v="Nufarm" u="1"/>
        <s v="W. R. Grace &amp; Co.-Conn." u="1"/>
        <s v="Pharmavite" u="1"/>
        <s v="CAMIL INVESTIMENTOS SA" u="1"/>
        <s v="McKee Foods" u="1"/>
        <s v="Brown-Forman" u="1"/>
        <s v="DOREA GmbH" u="1"/>
        <s v="Gedeon Richter Plc." u="1"/>
        <s v="Octapharma" u="1"/>
        <s v="Reckitt" u="1"/>
        <s v="Synlab" u="1"/>
        <s v="Harbour Energy PLC" u="1"/>
        <s v="DOW" u="1"/>
        <s v="the Scott's Company LLC" u="1"/>
        <s v="allnex Germany GmbH" u="1"/>
        <s v="Biesterfeld SE" u="1"/>
        <s v="Grünenthal" u="1"/>
        <s v="Mundipharma" u="1"/>
        <s v="Advantest Corporation" u="1"/>
        <s v="Texas Instruments" u="1"/>
        <s v="Bouygues Telecom" u="1"/>
        <s v="Avery Dennison" u="1"/>
        <s v="Ecoflow" u="1"/>
        <s v="TE Connectivity" u="1"/>
        <s v="Vantage Towers AG" u="1"/>
        <s v="Huawei" u="1"/>
        <s v="DJI" u="1"/>
        <s v="Lufthansa Group" u="1"/>
        <s v="DFS Deutsche Flugsicherung GmbH" u="1"/>
        <s v="BRP" u="1"/>
        <s v="Deutsches Zentrum für Luft- und Raumfahrt e.V." u="1"/>
        <s v="Diehl Group " u="1"/>
        <s v="Airbus Group" u="1"/>
        <s v="Swiss International Air Lines Ltd." u="1"/>
        <s v="Gategroup Holding AG" u="1"/>
        <s v="Recaro Group" u="1"/>
        <s v="Airbus SE " u="1"/>
        <s v="Biscuit Holding SAS" u="1"/>
        <s v="Melitta Business Service Center GmbH &amp; Co. KG" u="1"/>
        <s v="Intersnack Group GmbH &amp; Co. KG" u="1"/>
        <s v="Zott SE &amp; Co. KG" u="1"/>
        <s v="Unilever" u="1"/>
        <s v="JDE" u="1"/>
        <s v="CP " u="1"/>
        <s v="Haleon" u="1"/>
        <s v="FEMSA" u="1"/>
        <s v="Harry-Brot GmbH" u="1"/>
        <s v="Hero Group" u="1"/>
        <s v="KitchenAid" u="1"/>
        <s v="Whirlpool Corporation" u="1"/>
        <s v="Barilla Group" u="1"/>
        <s v="Ostfriesische Tee Gesellschaft" u="1"/>
        <s v="Mars" u="1"/>
        <s v="Danone group" u="1"/>
        <s v="ABInBev" u="1"/>
        <s v="GEPP " u="1"/>
        <s v="Nomad Foods" u="1"/>
        <s v="Avril" u="1"/>
        <s v="Tramontina" u="1"/>
        <s v="Bama Tea Co., LTD" u="1"/>
        <s v="Fresh Trading Supply B.V" u="1"/>
        <s v="Starbucks" u="1"/>
        <s v="HARIBO" u="1"/>
        <s v="Carl Kühne KG (GmbH &amp; Co.)" u="1"/>
        <s v="ADM" u="1"/>
        <s v="Yum China" u="1"/>
        <s v="ANTA group" u="1"/>
        <s v="Raps GmbH" u="1"/>
        <s v="PepsiCo" u="1"/>
        <s v="HiPP GmbH &amp; Co. Vertrieb KG" u="1"/>
        <s v="FFS Fresh Food Services GmbH &amp; Co. KG" u="1"/>
        <s v="Radeberger Gruppe KG" u="1"/>
        <s v="McCormick" u="1"/>
        <s v="The Magnum Ice Cream Company" u="1"/>
        <s v="MIXUE Ice Cream &amp; Tea" u="1"/>
        <s v="MEGA Das Fach-Zentrum für die Metzgerei und Gastronomie eG" u="1"/>
        <s v="Wallenius Wilhelmsen ASA" u="1"/>
        <s v="LOXXESS AG" u="1"/>
        <s v="Kazpost" u="1"/>
        <s v="DP World" u="1"/>
        <s v="REICHHART Logistik" u="1"/>
        <s v="Nagel Group" u="1"/>
        <s v="Peek &amp; Cloppenburg KG" u="1"/>
        <s v="Mode Logistik GmbH &amp; Co. KG" u="1"/>
        <s v="Shuhai supply chain " u="1"/>
        <s v="Cosco Shipping" u="1"/>
        <s v="Österreichische Post AG" u="1"/>
        <s v="MRS" u="1"/>
        <s v="Deutsche Bahn AG" u="1"/>
        <s v="ARS Altmann" u="1"/>
        <s v="BLG LOGISTICS GROUP AG &amp; Co. KG" u="1"/>
        <s v="Presse-Grosso " u="1"/>
        <s v="Martin-Brower" u="1"/>
        <s v="PVG Verwaltungs GmbH" u="1"/>
        <s v="Feiliks" u="1"/>
        <s v="avanca GmbH" u="1"/>
        <s v="Logwin AG" u="1"/>
        <s v="China Vanke Co., Ltd." u="1"/>
        <s v="Humbaur GmbH" u="1"/>
        <s v="Seifert Logistics Group" u="1"/>
        <s v="Fritz Gruppe" u="1"/>
        <s v="China Postal Express &amp; Logistics" u="1"/>
        <s v="Havi Logistics" u="1"/>
        <s v="Enota logistics" u="1"/>
        <s v="Rhenus Logistics" u="1"/>
        <s v="Fiege" u="1"/>
        <s v="Urban-Transporte" u="1"/>
        <s v="Hellmann" u="1"/>
        <s v="Nagel-Group" u="1"/>
        <s v="Yusen Logistics" u="1"/>
        <s v="Bondex" u="1"/>
        <s v="Metro Logistics" u="1"/>
        <s v="WEPA Hygieneprodukte GmbH" u="1"/>
        <s v="Lidl" u="1"/>
        <s v="Schwarz Gruppe" u="1"/>
        <s v="Tengelmann Twenty-One KG" u="1"/>
        <s v="Peloton" u="1"/>
        <s v="Thalia " u="1"/>
        <s v="Reisser AG" u="1"/>
        <s v="Kaufland Stiftung" u="1"/>
        <s v="LUQOM Group" u="1"/>
        <s v="Hornbach Baumärkte AG" u="1"/>
        <s v="Heizungsdiscount24 GmbH" u="1"/>
        <s v="Al-Futtaim Trading Company LLC" u="1"/>
        <s v="Diesel Technic SE" u="1"/>
        <s v="Jacks beauty line" u="1"/>
        <s v="Momox" u="1"/>
        <s v="cosnova GmbH" u="1"/>
        <s v="Gebr. Heinemann" u="1"/>
        <s v="Lindt &amp; Sprüngli" u="1"/>
        <s v="SWISS AUTOMOTIVE GROUP AG" u="1"/>
        <s v="Lekkerland" u="1"/>
        <s v="Beiersdorf" u="1"/>
        <s v="Beiersdorf AG" u="1"/>
        <s v="Irani Corp" u="1"/>
        <s v="Aldi Süd" u="1"/>
        <s v="ALDI SÜD Group Supply Chain Entity GmbH" u="1"/>
        <s v="IGEFA" u="1"/>
        <s v="Deichmann SE" u="1"/>
        <s v="Vitakraft" u="1"/>
        <s v="reBuy reCommerce GmbH " u="1"/>
        <s v="MediaMarkt Österreich" u="1"/>
        <s v="MediaMarktSaturn Retail Group" u="1"/>
        <s v="NanFu Battery " u="1"/>
        <s v="Mister Spex" u="1"/>
        <s v="doTERRA (Shanghai) Trading LTD." u="1"/>
        <s v="Mytheresa.com GmbH" u="1"/>
        <s v="Bergfreunde" u="1"/>
        <s v="Metro Cash &amp; Carry" u="1"/>
        <s v="Metro AG" u="1"/>
        <s v="Shanghai Jahwa" u="1"/>
        <s v="Tchibo" u="1"/>
        <s v="Mondelez " u="1"/>
        <s v="Swiss Automotive Group" u="1"/>
        <s v="KOKI Holdings" u="1"/>
        <s v="Magula" u="1"/>
        <s v="OGL Digital Service GmbH" u="1"/>
        <s v="Florasis" u="1"/>
        <s v="Hayat Kimya" u="1"/>
        <s v="Roto Frank Holding AG" u="1"/>
        <s v="Christian Gries GmbH" u="1"/>
        <s v="Sol Atacadista" u="1"/>
        <s v="Martins Comércio e Serviços de Distribuição" u="1"/>
        <s v="dsm-firmenich" u="1"/>
        <s v="Rossi &amp; Rossi Atacado de Insumos Agropecuarios LTDA" u="1"/>
        <s v="Manor Zentral AG" u="1"/>
        <s v="Phönix Pharmahandel" u="1"/>
        <s v="Vedes AG" u="1"/>
        <s v="Xiaomi" u="1"/>
        <s v="Delhaize Group" u="1"/>
        <s v="MANGO" u="1"/>
        <s v="Deutsche Tiernahrung Cremer" u="1"/>
        <s v="Richemont" u="1"/>
        <s v="Lululemon" u="1"/>
        <s v="LEROY MERLIN COMPANHIA BRASILEIRA DE BRICOLAGEM" u="1"/>
        <s v="Takkt Group" u="1"/>
        <s v="LKQ Corporation" u="1"/>
        <s v="Mediaprint Zeitungs- und Zeitschriftenverlag GmbH &amp; Co KG" u="1"/>
        <s v="Rack Room Shoes, Inc." u="1"/>
        <s v="Nordwest Gruppe Solar + Neue Energien" u="1"/>
        <s v="Azura" u="1"/>
        <s v="Stora Enso" u="1"/>
        <s v="Ravensburger AG" u="1"/>
        <s v="Chanel" u="1"/>
        <s v="Mosecker GmbH &amp; Co. KG" u="1"/>
        <s v="Magalog Serviços Logisticos Ltda" u="1"/>
        <s v="ProSiebenSat.1 Media SE" u="1"/>
        <s v="Migrolino AG" u="1"/>
        <s v="Grupo Saad" u="1"/>
        <s v="REWE Group" u="1"/>
        <s v="LoyalHound CO.,LTD." u="1"/>
        <s v="Südpack" u="1"/>
        <s v="Intersport" u="1"/>
        <s v="Yuyuang Textile Co., Ltd" u="1"/>
        <s v="Carlsberg Group" u="1"/>
        <s v="Carhartt" u="1"/>
        <s v="MEWA" u="1"/>
        <s v="TricorBraun, Inc" u="1"/>
        <s v="Beaphar Nederland B.V." u="1"/>
        <s v="KraftHeinz" u="1"/>
        <s v="Mondelez international" u="1"/>
        <s v="WÜSTHOF" u="1"/>
        <s v="ASICS" u="1"/>
        <s v="Paris Baguette" u="1"/>
        <s v="Walmart" u="1"/>
        <s v="LVMH" u="1"/>
        <s v="Otto Group " u="1"/>
        <s v="Kinaxis" u="1"/>
        <s v="Scott's" u="1"/>
        <s v="Boston Beer Company" u="1"/>
        <s v="British American Tobacco Plc (BAT)" u="1"/>
        <s v="SC Johnson" u="1"/>
        <s v="Hershey" u="1"/>
        <s v="British Petroleum" u="1"/>
        <s v="Indian Oil Company" u="1"/>
        <s v="Shell IE" u="1"/>
        <s v="Arclin" u="1"/>
        <s v="Bayer Crop Science" u="1"/>
        <s v="MAN Energy Solutions SE" u="1"/>
        <s v="Le Groupe BEL S.A." u="1"/>
        <s v="Ford Motors" u="1"/>
        <s v="bayer Crop" u="1"/>
        <s v="Lexmark International Inc" u="1"/>
        <s v="Shell International Petroleum Ltd" u="1"/>
        <s v="Arlanxeo" u="1"/>
        <s v="Shell  " u="1"/>
        <s v="Shell" u="1"/>
        <s v="British Peroleum" u="1"/>
        <s v="Stellium" u="1"/>
        <s v="Mondelez (vorher: Kraft Foods)" u="1"/>
        <s v="KONE" u="1"/>
        <s v="Knorr_Bramse Brasil" u="1"/>
        <s v="emagine Consulting" u="1"/>
        <s v="Genpact" u="1"/>
        <s v="Shanghai Yiwei Character Intelligent System Integration Co., Ltd" u="1"/>
        <s v="Indra" u="1"/>
        <s v="CBRE" u="1"/>
        <s v="Hochschule Osnabrück" u="1"/>
        <s v="GSI Helmholtzzentrum für Schwerionenforschung GmbH" u="1"/>
        <s v="University Bremen " u="1"/>
        <s v="Universitäten" u="1"/>
        <s v="FH Ulm" u="1"/>
        <s v="Fachhochschule Münster" u="1"/>
        <s v="Philip Morris International Inc." u="1"/>
        <s v="ORAFOL GmbH" u="1"/>
        <s v="Ficosota" u="1"/>
        <s v="Apetito Group" u="1"/>
        <s v="Metabowerke GmbH" u="1"/>
        <s v="Sika " u="1"/>
        <s v="Gulf Packaging Industries Ltd." u="1"/>
        <s v="Gurpo Salmeron" u="1"/>
        <s v="Nuki" u="1"/>
        <s v="Fedrigoni  " u="1"/>
        <s v="Paul Hartmann AG" u="1"/>
        <s v="Schmitz Cargobull" u="1"/>
        <s v="Hilti AG" u="1"/>
        <s v="Husqvarna Group" u="1"/>
        <s v="Vaillant Group" u="1"/>
        <s v="BRITA" u="1"/>
        <s v="Inalfa Roof Systems" u="1"/>
        <s v="L´Oreal" u="1"/>
        <s v="L'Oreal Group" u="1"/>
        <s v="Wilo" u="1"/>
        <s v="Josera Erbacher Service GmbH" u="1"/>
        <s v="Enapter" u="1"/>
        <s v="Viega Holding GmbH &amp; Co. KG" u="1"/>
        <s v="VAT Group" u="1"/>
        <s v="VORWERK" u="1"/>
        <s v="Takenaka" u="1"/>
        <s v="Suzano" u="1"/>
        <s v="Essity" u="1"/>
        <s v="Hunter Douglas" u="1"/>
        <s v="Coty" u="1"/>
        <s v="Procter &amp; Gamble" u="1"/>
        <s v="Richemont International SA" u="1"/>
        <s v="RMS shipping serice" u="1"/>
        <s v="Xella Deutschland" u="1"/>
        <s v="Outokumpu" u="1"/>
        <s v="Siemens AG" u="1"/>
        <s v="Saint-Gobain" u="1"/>
        <s v="B. Braun Melsungen" u="1"/>
        <s v="Infineon" u="1"/>
        <s v="Geberit AG" u="1"/>
        <s v="WEIG Group" u="1"/>
        <s v="Moritz J. Weig GmbH &amp; Co. KG" u="1"/>
        <s v="Fedrigoni" u="1"/>
        <s v="Horizon Construction Development" u="1"/>
        <s v="Ed. Züblin AG   " u="1"/>
        <s v="Miele" u="1"/>
        <s v="BayWa AG" u="1"/>
        <s v="Stihl AG" u="1"/>
        <s v="Meyer Werft" u="1"/>
        <s v="Knauf Gips KG" u="1"/>
        <s v="ThyssenKrupp" u="1"/>
        <s v="Jiaxiangdi trading" u="1"/>
        <s v="Leipziger " u="1"/>
        <s v="BMBF" u="1"/>
        <s v="BMVI" u="1"/>
        <s v="Deutsches Zentrum für Luft- und Raumfahrt" u="1"/>
        <s v="DSM Firmenich" u="1"/>
        <s v="Magna Steyer" u="1"/>
        <s v="Yanfeng Germany Automotive Interior Systems Limited &amp; Co. KG" u="1"/>
        <s v="4flow internal others" u="1"/>
        <s v="4flow internal projects" u="1"/>
      </sharedItems>
    </cacheField>
    <cacheField name="Customer" numFmtId="0">
      <sharedItems containsBlank="1" count="719">
        <m/>
        <s v="4flow-internal"/>
        <s v="4flow internal projects BG"/>
        <s v="4flow internal projects BL"/>
        <s v="4flow research"/>
        <s v="4flow internal projects BU"/>
        <s v="4flow internal projects "/>
        <s v="4flow internal projects"/>
        <s v="4flow internal special projects"/>
        <s v="smart Europe GmbH" u="1"/>
        <s v="TRATON SE" u="1"/>
        <s v="Volkswagen Mexico" u="1"/>
        <s v="Volkswagen of North America" u="1"/>
        <s v="BMW" u="1"/>
        <s v="Honda Automóveis do Brasil LTDA" u="1"/>
        <s v="Rivian Automotive, Inc." u="1"/>
        <s v="BMW Briliance Automotive Ltd" u="1"/>
        <s v="NIO Co., Ltd." u="1"/>
        <s v="ElectroMobility Poland S.A." u="1"/>
        <s v="Doosan Bobcat" u="1"/>
        <s v="RollsRoyce Solutions GmbH" u="1"/>
        <s v="RollsRoyce Power Systems" u="1"/>
        <s v="Rolls-Royce Solutions GmbHH" u="1"/>
        <s v="Daimler" u="1"/>
        <s v="Mercedes-Benz AG" u="1"/>
        <s v="Yasa" u="1"/>
        <s v="PIERER Mobility-Gruppe" u="1"/>
        <s v="KTM" u="1"/>
        <s v="Daimler Truck AG" u="1"/>
        <s v="Mercedes-Benz Group China Ltd." u="1"/>
        <s v="Mercedes Benz Parts Trading and Services Co. Ltd." u="1"/>
        <s v="Polestar China" u="1"/>
        <s v="Seat S.A." u="1"/>
        <s v="Volkswagen (China) Investment Co., Ltd." u="1"/>
        <s v="PowerCo" u="1"/>
        <s v="PowerCo SE" u="1"/>
        <s v="VW AG" u="1"/>
        <s v="Brose Sitech GmbH" u="1"/>
        <s v="Sitech Shanghai" u="1"/>
        <s v="Volkswagen Konzernlogistik GmbH &amp; Co. OHG" u="1"/>
        <s v="Brose China" u="1"/>
        <s v="Suzuki Deutschland GmbH" u="1"/>
        <s v="Stellantis" u="1"/>
        <s v="OPEL AUTOMOBILE GMBH" u="1"/>
        <s v="Stellantis e-Transmissions" u="1"/>
        <s v="Porsche AG" u="1"/>
        <s v="MAN Truck &amp; Bus SE" u="1"/>
        <s v="MAN" u="1"/>
        <s v="Navistar" u="1"/>
        <s v="AGCO" u="1"/>
        <s v="AGCO South America" u="1"/>
        <s v="Pierburg GmbH" u="1"/>
        <s v="MS Motorservice Asia Pacific Co., Ltd." u="1"/>
        <s v="Volvo Cars" u="1"/>
        <s v="Toyota Boshoku Europe" u="1"/>
        <s v="PSA Group" u="1"/>
        <s v="Stellantis Auto SAS" u="1"/>
        <s v="Stellantis Aftersales" u="1"/>
        <s v="PSA Group " u="1"/>
        <s v="Ford Motors" u="1"/>
        <s v="Renault s.a.s." u="1"/>
        <s v="Bridgnorthaluminium UK  " u="1"/>
        <s v="Webasto" u="1"/>
        <s v="WRSI de Mexico S de RL de CV" u="1"/>
        <s v="INEOS Automotive" u="1"/>
        <s v="John Deere Brasil Ltda" u="1"/>
        <s v="Hirschmann Automotive " u="1"/>
        <s v="AL-KO SE" u="1"/>
        <s v="epsotech" u="1"/>
        <s v="Diehl Advanced Mobility GmbH" u="1"/>
        <s v="Cooper Standard" u="1"/>
        <s v="Volkswagen Osnabrück GmbH" u="1"/>
        <s v="Voltaira" u="1"/>
        <s v="FIT Voltaira Autokabel" u="1"/>
        <s v="Continental Reifen Deutschland GmbH" u="1"/>
        <s v="Punch Powertrain" u="1"/>
        <s v="AL-KO GmbH" u="1"/>
        <s v="Adient" u="1"/>
        <s v="Methode electronics" u="1"/>
        <s v="Trèves Group" u="1"/>
        <s v="TMD Friction do Brasil" u="1"/>
        <s v="Gebauer-Griller" u="1"/>
        <s v="Automotive supplier" u="1"/>
        <s v="Wilhelm Fricke SE" u="1"/>
        <s v="Minted" u="1"/>
        <s v="Mann+Hummel Brasil Ltda" u="1"/>
        <s v="Nippon Seiki North America" u="1"/>
        <s v="Yanfeng Germany Automotive Interior Systems Limited &amp; Co. KG" u="1"/>
        <s v="Apollo Tyres Ltd" u="1"/>
        <s v="Stabilus GmbH" u="1"/>
        <s v="Magna Steyr" u="1"/>
        <s v="Magna Steyr Fahrzeugtechnik MSF" u="1"/>
        <s v="Valeo" u="1"/>
        <s v="Valmet Automotive Oyj" u="1"/>
        <s v="KOSTAL Shanghai" u="1"/>
        <s v="Kögel Trailer GmbH" u="1"/>
        <s v="Ningbo Joyson Electronic Corp" u="1"/>
        <s v="Jacto" u="1"/>
        <s v="Antolin" u="1"/>
        <s v="Magna PT B.V. &amp; Co. KG" u="1"/>
        <s v="Horizon Robotics" u="1"/>
        <s v="Robert Bosch" u="1"/>
        <s v="Sumitomo Electric Boardnetze" u="1"/>
        <s v="Autoliv B.V. &amp; Co. KG" u="1"/>
        <s v="Tucker GmbH" u="1"/>
        <s v="Goodyear" u="1"/>
        <s v="Magura Bosch Parts &amp; Services" u="1"/>
        <s v="EKPO FUEL CELL TECHNOLOGIES GM" u="1"/>
        <s v="One Mobility Autokabel GmbH" u="1"/>
        <s v="ContiTech Deutschland GmbH" u="1"/>
        <s v="Continental China" u="1"/>
        <s v="Continental Automotive" u="1"/>
        <s v="Continental Tires" u="1"/>
        <s v="KAUTEX TEXTRON GmbH &amp; Co. KG" u="1"/>
        <s v="OP Mobility" u="1"/>
        <s v="Phoenix Contact E-Mobility GmbH" u="1"/>
        <s v="Nidec" u="1"/>
        <s v="Bridgestone Europe NV/SA" u="1"/>
        <s v="Alliance Automotive Group Germany" u="1"/>
        <s v="Marquardt Management SE" u="1"/>
        <s v="Marquardt Lightronics GmbH" u="1"/>
        <s v="Marquardt GmbH" u="1"/>
        <s v="Marquardt" u="1"/>
        <s v="PHINIA Inc." u="1"/>
        <s v="Castrol" u="1"/>
        <s v="Beijing Zongheng Electro-Mechanical Technology Co Ltd (ZEMT)" u="1"/>
        <s v="MAHLE international GmbH" u="1"/>
        <s v="Voith Turbo GmbH" u="1"/>
        <s v="Stanley Black &amp; Decker" u="1"/>
        <s v="Lear Europe" u="1"/>
        <s v="Lear Corporation GmbH" u="1"/>
        <s v="MANN+HUMMEL GmbH" u="1"/>
        <s v="IAC Zentral" u="1"/>
        <s v="BorgWarner" u="1"/>
        <s v="BorgWarner Brasil Ltda" u="1"/>
        <s v="Autoliv Inc." u="1"/>
        <s v="ZF Friedrichshafen" u="1"/>
        <s v="Inteva Products" u="1"/>
        <s v="Schaeffler China" u="1"/>
        <s v="Schaeffler Technologies AG &amp; Co. KG" u="1"/>
        <s v="Autoneum Inc." u="1"/>
        <s v="Dräxlmaier" u="1"/>
        <s v="SAS Automotive USA, Inc." u="1"/>
        <s v="Knorr-Bremse" u="1"/>
        <s v="Knorr-Bremse Rail" u="1"/>
        <s v="Knorr-Bremse Truck" u="1"/>
        <s v="BOS Group" u="1"/>
        <s v="Jost" u="1"/>
        <s v="Jost Agriculture Construction South America Ltda." u="1"/>
        <s v="PLASTIC OMNIUM GESTION SENC" u="1"/>
        <s v="Alstom  (via emagine consulting)" u="1"/>
        <s v="MAC Hamburg" u="1"/>
        <s v="MAN Energy Solution (früher Diesel)" u="1"/>
        <s v="Everllence SE" u="1"/>
        <s v="Everllence (früher MAN)" u="1"/>
        <s v="Everllence Copenhagen" u="1"/>
        <s v="Dürr Systems AG " u="1"/>
        <s v="Lenze SE" u="1"/>
        <s v="Resideo" u="1"/>
        <s v="Dupont" u="1"/>
        <s v="RENK AG " u="1"/>
        <s v="Renk GmbH" u="1"/>
        <s v="Zell Group   " u="1"/>
        <s v="Jungheinrich AG" u="1"/>
        <s v="Nordex" u="1"/>
        <s v="Nordex Energy SE &amp; Co. KG" u="1"/>
        <s v="Wittur Holding GmbH" u="1"/>
        <s v="Putzmeister Holding GmbH                                                                   " u="1"/>
        <s v="Elinor Batteries   " u="1"/>
        <s v="TRUMPF Werkzeugmaschinen GmbH &amp; Co. KG" u="1"/>
        <s v="Festo" u="1"/>
        <s v="GEMU Valves North America" u="1"/>
        <s v="Grundfos A/S" u="1"/>
        <s v="MEYER TURKU oy" u="1"/>
        <s v="Tubesca-Comabi" u="1"/>
        <s v="ENGEL AUSTRIA GmbH" u="1"/>
        <s v="Schrauben Jäger AG" u="1"/>
        <s v="TK Aufzugswerke" u="1"/>
        <s v="Hillenbrand Inc." u="1"/>
        <s v="GEA" u="1"/>
        <s v="GEA Group Services GmbH" u="1"/>
        <s v="Komatsu" u="1"/>
        <s v="TCL China" u="1"/>
        <s v="Versuvius plc" u="1"/>
        <s v="SMA Solar Technology AG" u="1"/>
        <s v="STIEBEL ELTRON GmbH &amp; Co. KG" u="1"/>
        <s v="FormEnergy" u="1"/>
        <s v="DMG Mori Spare Parts GmbH" u="1"/>
        <s v="Gildemeister Beteiligungen GmbH " u="1"/>
        <s v="DMG MORI Bielefeld Hilden GmbH" u="1"/>
        <s v="NORMA Group Holding GmbH " u="1"/>
        <s v="J.M. Voith SE &amp; Co. KG" u="1"/>
        <s v="König &amp; Bauer" u="1"/>
        <s v="SKF China" u="1"/>
        <s v="AB SKF" u="1"/>
        <s v="Positec" u="1"/>
        <s v="Alfred Kärcher" u="1"/>
        <s v="Rittal Electro-Mechanical Technology (Shanghai) Co., Ltd." u="1"/>
        <s v="Rittal GmbH &amp; Co. KG" u="1"/>
        <s v="Wacker Neuson" u="1"/>
        <s v="VTG GmbH" u="1"/>
        <s v="Etex" u="1"/>
        <s v="SANY Global Production Operation" u="1"/>
        <s v="SANY GROUP CO., LTD." u="1"/>
        <s v="Hettich Management Service GmbH" u="1"/>
        <s v="Wilhelm Böllhoff GmbH &amp; Co. KG" u="1"/>
        <s v="Schneider Electric SE" u="1"/>
        <s v="Elevadores Otis Ltda" u="1"/>
        <s v="Converse China" u="1"/>
        <s v="BayWa r.e. AG" u="1"/>
        <s v="BayWa r.e. Solar Trade Holding GmbH" u="1"/>
        <s v="Liebherr Logistics GmbH" u="1"/>
        <s v="Hager Group" u="1"/>
        <s v="BayWa r.e. Solar Systems S.à r.l.  " u="1"/>
        <s v="Northvolt AB" u="1"/>
        <s v="Robel Bahnbaumaschinen GmbH" u="1"/>
        <s v="Grain &amp; Protein Technologies" u="1"/>
        <s v="Severin Elektrogeräte GmbH" u="1"/>
        <s v="Zhongneng Construction  " u="1"/>
        <s v="Ecoclean GmbH" u="1"/>
        <s v="Air Power s.r.o." u="1"/>
        <s v="Famsun Group Co., LTD." u="1"/>
        <s v="FLSmidth &amp; Co. A/S" u="1"/>
        <s v="Bridgnorth Aluminium" u="1"/>
        <s v="Innomotics GmbH" u="1"/>
        <s v="EMS PreCab GmbH" u="1"/>
        <s v="Ejot Holding GmbH &amp; Co. KG" u="1"/>
        <s v="DAW SE" u="1"/>
        <s v="EGGER Holzwerkstoffe GmbH" u="1"/>
        <s v="Packsize" u="1"/>
        <s v="BAUER COMP Holding GmbH" u="1"/>
        <s v="Progroup" u="1"/>
        <s v="Linak U.S. Inc." u="1"/>
        <s v="Hydro Extrusion Spain S.A.U." u="1"/>
        <s v="Wuxi Lead Intelligent Equipment CO.,LTD" u="1"/>
        <s v="Voith HySTech GmbH" u="1"/>
        <s v="Künz GmbH" u="1"/>
        <s v="Heinrich Sauter GmbH" u="1"/>
        <s v="Grupo Argos S.A" u="1"/>
        <s v="MANN+HUMMEL BRASIL Ltda." u="1"/>
        <s v="GEA Group AG" u="1"/>
        <s v="Oldcastle BuildingEnvelope" u="1"/>
        <s v="Ipex" u="1"/>
        <s v="Weyerhaeuser" u="1"/>
        <s v="Tesa China" u="1"/>
        <s v="Schneider Electric USA" u="1"/>
        <s v="Lapp Asia Pacific Pte Ltd" u="1"/>
        <s v="Winkelmann Building + Industry" u="1"/>
        <s v="ProMinent GmbH " u="1"/>
        <s v="Piller Blowers &amp; Compressors GmbH" u="1"/>
        <s v="ARBURG GmbH + Co KG" u="1"/>
        <s v="Morgan Advanced Material" u="1"/>
        <s v="Mali Technology" u="1"/>
        <s v="Belimo USA" u="1"/>
        <s v="Delrin Switzerland Sarl" u="1"/>
        <s v="Elmos Semiconductor SE" u="1"/>
        <s v="Echosens SA" u="1"/>
        <s v="Logitech Ireland Services Limited" u="1"/>
        <s v="Shanghai Weilan Zhixing Technology Co., LTD." u="1"/>
        <s v="Structure Intégrée du Maintien en condition opérationnelle des matériels Terrestres (SIMMT)" u="1"/>
        <s v="ACO GmbH" u="1"/>
        <s v="Tata Technologies" u="1"/>
        <s v="IBC Solar AG" u="1"/>
        <s v="EAM GmbH &amp; Co. KG  " u="1"/>
        <s v="Goiasa - Goiatuba Álcool Ltda" u="1"/>
        <s v="E.ON SE" u="1"/>
        <s v="E.ON Energy Projects GmbH" u="1"/>
        <s v="Grupo Eletrobras" u="1"/>
        <s v="ONTRAS Gastransport GmbH" u="1"/>
        <s v="Amprion GmbH" u="1"/>
        <s v="Itaipu Binacional" u="1"/>
        <s v="enercity Netz GmbH" u="1"/>
        <s v="Deloitte Consulting GmbH" u="1"/>
        <s v="Quest One GmbH" u="1"/>
        <s v="ALLGÄUER ÜBERLANDWERK GmbH" u="1"/>
        <s v="OK-Q8" u="1"/>
        <s v="RheinEnergie AG" u="1"/>
        <s v="MilliporeSigma" u="1"/>
        <s v="BASF SE - Petro Chemicals" u="1"/>
        <s v="Henkel" u="1"/>
        <s v="Sonova AG" u="1"/>
        <s v="Bayer Row Crops" u="1"/>
        <s v="Thermo Fisher Scientific Inc." u="1"/>
        <s v="Clariant" u="1"/>
        <s v="LANXESS Deutschland GmbH" u="1"/>
        <s v="Merck Chemicals (Shanghai) Co., Ltd." u="1"/>
        <s v="hikma" u="1"/>
        <s v="Hikma Farmacêutica (Portugal), S.A." u="1"/>
        <s v="Medela AG (CH)" u="1"/>
        <s v="Allnex Germany GmbH" u="1"/>
        <s v="Allnex Management GmbH" u="1"/>
        <s v="Siegfried Holding AG" u="1"/>
        <s v="SHL Medical AG" u="1"/>
        <s v="Medela USA" u="1"/>
        <s v="Viatris Inc" u="1"/>
        <s v="Colgate-Palmolive for Hill's Pet Nutrition" u="1"/>
        <s v="Colgate-Palmolive Company" u="1"/>
        <s v="Hill's Pet Nutrition" u="1"/>
        <s v="Haupt Pharma Münster GmbH" u="1"/>
        <s v="G. Pohl-Boskamp GmbH &amp; Co. KG" u="1"/>
        <s v="Sana Kliniken AG" u="1"/>
        <s v="EVONIK" u="1"/>
        <s v="Gerresheimer AG" u="1"/>
        <s v="UCB" u="1"/>
        <s v="Covestro Deutschland AG" u="1"/>
        <s v="Takenaka Europe GmbH" u="1"/>
        <s v="Phoenix Pharma SE" u="1"/>
        <s v="Lonza Group AG" u="1"/>
        <s v="Kinaxis" u="1"/>
        <s v="Dr. Wolff" u="1"/>
        <s v="Baxter Healthcare" u="1"/>
        <s v="Ascensia Diabetes Care Holdings AG" u="1"/>
        <s v="Sartorius AG" u="1"/>
        <s v="Karl Storz SE &amp; Co. KG" u="1"/>
        <s v="Evident Scientific" u="1"/>
        <s v="Sysmex Europe SE" u="1"/>
        <s v="traceless materials GmbH" u="1"/>
        <s v="INVER POLSKA SP. Z O.O." u="1"/>
        <s v="By-health Co.,Ltd." u="1"/>
        <s v="Zschimmer &amp; Schwarz Chemie GmbH" u="1"/>
        <s v="Kenvue" u="1"/>
        <s v="Vantive" u="1"/>
        <s v="Boston Scientific Corporation US" u="1"/>
        <s v="GCL" u="1"/>
        <s v="H.B. Fuller Deutschland GmbH" u="1"/>
        <s v="Ontex BV" u="1"/>
        <s v="Ontex" u="1"/>
        <s v="ASPEN PHARMACARE HOLDINGS LIMITED" u="1"/>
        <s v="Aspen Holdings" u="1"/>
        <s v="Dätwyler Healthcare" u="1"/>
        <s v="Dätwyler USA" u="1"/>
        <s v="CEVA Santé Animale" u="1"/>
        <s v="Hengchang Pharma group" u="1"/>
        <s v="Novartis Pharma GmbH" u="1"/>
        <s v="GALDERMA BRASIL LTDA" u="1"/>
        <s v="Helios Versorgung und Logistik GmbH" u="1"/>
        <s v="Merck KGaA" u="1"/>
        <s v="Corbion Produtos Renováveis LTDA" u="1"/>
        <s v="Sika USA" u="1"/>
        <s v="MSD Brazil" u="1"/>
        <s v="Neptunus medical equipment CO.,LTD." u="1"/>
        <s v="Solenis Ltda" u="1"/>
        <s v="Nufarm Europe GmbH &amp; Co KG" u="1"/>
        <s v="Grace Europe Holding GmbH" u="1"/>
        <s v="Pharmavite" u="1"/>
        <s v="CAMIL INVESTIMENTOS SA" u="1"/>
        <s v="McKee Foods" u="1"/>
        <s v="Brown-Forman" u="1"/>
        <s v="DOREA GmbH" u="1"/>
        <s v="Gedeon Richter Plc." u="1"/>
        <s v="Octapharma" u="1"/>
        <s v="Reckitt Benckiser (Brasil) Ltda" u="1"/>
        <s v="Synlab" u="1"/>
        <s v="Harbour Energy Germany GmbH" u="1"/>
        <s v="DOW" u="1"/>
        <s v="Scott's Miracle Gro" u="1"/>
        <s v="Biesterfeld SE" u="1"/>
        <s v="Grünenthal GmbH" u="1"/>
        <s v="Mundipharma GmbH" u="1"/>
        <s v="Advantest Europe GmbH" u="1"/>
        <s v="Texas Instruments" u="1"/>
        <s v="Bouygues Telecom" u="1"/>
        <s v="Avery Dennison Materials GmbH" u="1"/>
        <s v="Ecoflow" u="1"/>
        <s v="TE Connectivity" u="1"/>
        <s v="Vantage Towers AG" u="1"/>
        <s v="Huawei " u="1"/>
        <s v="Huawei" u="1"/>
        <s v="SZ DJI Technology Co., Ltd." u="1"/>
        <s v="Deutsche Lufthansa AG" u="1"/>
        <s v="DFS Deutsche Flugsicherung GmbH" u="1"/>
        <s v="BRP Brasil" u="1"/>
        <s v="Deutsches Zentrum für Luft- und Raumfahrt e.V." u="1"/>
        <s v="Diehl Aerospace" u="1"/>
        <s v="Premium AEROTEC GmbH" u="1"/>
        <s v="Swiss International Air Lines Ltd." u="1"/>
        <s v="Gategroup Holding AG" u="1"/>
        <s v="Recaro Aircraft Seating GmbH &amp; Co. KG" u="1"/>
        <s v="Airbus" u="1"/>
        <s v="Airbus Aerostruct. GmbH" u="1"/>
        <s v="Airbus Commercial" u="1"/>
        <s v="Airbus Group, Inc" u="1"/>
        <s v="Satair" u="1"/>
        <s v="Continental Bakeries Haust B.V." u="1"/>
        <s v="Melitta Business Service Center GmbH &amp; Co. KG" u="1"/>
        <s v="Intersnack" u="1"/>
        <s v="Zott SE &amp; Co. KG" u="1"/>
        <s v="Unilever China" u="1"/>
        <s v="Unilever Prestige" u="1"/>
        <s v="Jacobs Douwe Egberts" u="1"/>
        <s v="CP Supply Chain Co., Ltd. " u="1"/>
        <s v="Haleon China" u="1"/>
        <s v="Coca-Cola FEMSA" u="1"/>
        <s v="Harry-Brot GmbH" u="1"/>
        <s v="Hero" u="1"/>
        <s v="KitchenAid" u="1"/>
        <s v="Barilla " u="1"/>
        <s v="Ostfriesische Tee Gesellschaft GmbH &amp; Co. KG" u="1"/>
        <s v="Mars Europe" u="1"/>
        <s v="Danone AB" u="1"/>
        <s v="ABInBev" u="1"/>
        <s v="GEPP (Pepsi bottler MX)" u="1"/>
        <s v="Nomad Foods" u="1"/>
        <s v="Lesieur" u="1"/>
        <s v="Tramontina" u="1"/>
        <s v="Bama Tea Co., LTD" u="1"/>
        <s v="Fresh Trading Supply B.V" u="1"/>
        <s v="Mars China" u="1"/>
        <s v="Mars Inc." u="1"/>
        <s v="Starbucks (Shanghai) supply chain Co. Ltd." u="1"/>
        <s v="Starbucks" u="1"/>
        <s v="Starbucks EMEA Ltd." u="1"/>
        <s v="HARIBO Holding GmbH &amp; Co. KG " u="1"/>
        <s v="Carl Kühne KG (GmbH &amp; Co.)" u="1"/>
        <s v="ADM" u="1"/>
        <s v="Yum China" u="1"/>
        <s v="Mars Taiwan" u="1"/>
        <s v="ANTA" u="1"/>
        <s v="Danone CN" u="1"/>
        <s v="DANONE sp. z o.o." u="1"/>
        <s v="Danone S.A." u="1"/>
        <s v="Raps GmbH" u="1"/>
        <s v="PepsiCo" u="1"/>
        <s v="HiPP GmbH &amp; Co. Vertrieb KG" u="1"/>
        <s v="FFS Fresh Food Services GmbH &amp; Co. KG" u="1"/>
        <s v="Radeberger Gruppe KG" u="1"/>
        <s v="McCormick &amp; Company, Inc." u="1"/>
        <s v="The Magnum Ice Cream Company" u="1"/>
        <s v="MIXUE Ice Cream &amp; Tea" u="1"/>
        <s v="7-Eleven Thailand" u="1"/>
        <s v="MEGA Das Fach-Zentrum für die Metzgerei und Gastronomie eG" u="1"/>
        <s v="Wallenius Wilhelmsen ASA" u="1"/>
        <s v="LOXXESS AG" u="1"/>
        <s v="Kazpost" u="1"/>
        <s v="DP World" u="1"/>
        <s v="REICHHART Logistik" u="1"/>
        <s v="B+S GmbH Logistik und Dienstleistungen" u="1"/>
        <s v="Mode Logistik GmbH &amp; Co. KG" u="1"/>
        <s v="Shuhai supply chain " u="1"/>
        <s v="Cosco Shipping (Europe) GmbH" u="1"/>
        <s v="Österreichische Post AG" u="1"/>
        <s v="MRS Logistica S/A" u="1"/>
        <s v="Fashion Digital GmbH &amp; Co.KG" u="1"/>
        <s v="DB Fahrzeuginstandhaltung GmbH" u="1"/>
        <s v="ARS Altmann" u="1"/>
        <s v="BLG AutoTerminal Bremerhaven GmbH &amp; Co. KG" u="1"/>
        <s v="Presse-Grosso " u="1"/>
        <s v="The Martin-Brower Brazil Holdings, L.L.C." u="1"/>
        <s v="PVG Presse-Vertriebs-Gesellschaft mbH &amp; Co. KG" u="1"/>
        <s v="Exel Inc. d/b/a DHL Supply Chain (USA)" u="1"/>
        <s v="M+H Filtration Tech US LL" u="1"/>
        <s v="Feiliks" u="1"/>
        <s v="Vehicle Trading International GmbH" u="1"/>
        <s v="Paneuropa Transport GmbH" u="1"/>
        <s v="Logwin AG" u="1"/>
        <s v="VX Logistics Development Co., Ltd." u="1"/>
        <s v="Humbaur GmbH" u="1"/>
        <s v="Seifert Logistics Group" u="1"/>
        <s v="MAGURA Bosch Parts &amp; Services (MBPS)" u="1"/>
        <s v="Fritz GmbH &amp; Co. KG Spedition" u="1"/>
        <s v="China Postal Express &amp; Logistics" u="1"/>
        <s v="Fujian China Post" u="1"/>
        <s v="Havi Logistics China" u="1"/>
        <s v="XH(Shanghai) Supply Chain Management Limited" u="1"/>
        <s v="Enota logistics" u="1"/>
        <s v="Rhenus Freight Logistics GmbH &amp; Co. KG " u="1"/>
        <s v="Rhenus Freight Road Sales &amp; Management GmbH" u="1"/>
        <s v="Rhenus Logistics" u="1"/>
        <s v="FIEGE Parcel &amp; More GmbH" u="1"/>
        <s v="Urban-Transporte" u="1"/>
        <s v="Hellmann Worldwide Logistics Germany GmbH &amp; Co. KG" u="1"/>
        <s v="Nagel-Group Logistics SE" u="1"/>
        <s v="Yusen Logistics CZ" u="1"/>
        <s v="Bondex Supply Chain Management Co., Ltd." u="1"/>
        <s v="Yusen Logistics HU" u="1"/>
        <s v="Metro Logistics" u="1"/>
        <s v="WEPA Hygieneprodukte GmbH" u="1"/>
        <s v="Lidl" u="1"/>
        <s v="Schwarz IT KG" u="1"/>
        <s v="Kik Textilien und Non-Food GmbH" u="1"/>
        <s v="Peloton" u="1"/>
        <s v="Thalia " u="1"/>
        <s v="Buchhandels-Fulfillment GmbH" u="1"/>
        <s v="Reisser AG" u="1"/>
        <s v="Kaufland" u="1"/>
        <s v="Lampenwelt" u="1"/>
        <s v="Hornbach Österreich Baumärkte GmbH" u="1"/>
        <s v="Heizungsdiscount24 GmbH" u="1"/>
        <s v="Al-Futtaim Trading Company LLC" u="1"/>
        <s v="Diesel Technic SE" u="1"/>
        <s v="Jacks beauty line" u="1"/>
        <s v="Momox SE" u="1"/>
        <s v="cosnova GmbH" u="1"/>
        <s v="Gebr. Heinemann" u="1"/>
        <s v="Chocoladefabriken Lindt &amp; Sprüngli AG" u="1"/>
        <s v="ATP Autoteile GmbH" u="1"/>
        <s v="Lekkerland" u="1"/>
        <s v="Beiersdorf" u="1"/>
        <s v="Beiersdorf AG" u="1"/>
        <s v="Factory 54" u="1"/>
        <s v="Aldi Süd" u="1"/>
        <s v="ALDI SÜD Group Supply Chain Entity GmbH" u="1"/>
        <s v="ALDI SÜD Dienstleistungs-SE &amp; Co. oHG" u="1"/>
        <s v="igefa SE &amp; Co. KG" u="1"/>
        <s v="Deichmann SE" u="1"/>
        <s v="Snipes SE" u="1"/>
        <s v="Vitakraft pet care GmbH &amp; Co. KG" u="1"/>
        <s v="reBuy reCommerce GmbH " u="1"/>
        <s v="MediaMarkt Österreich GmbH" u="1"/>
        <s v="MediaMarkt AT" u="1"/>
        <s v="NanFu Battery " u="1"/>
        <s v="Mister Spex" u="1"/>
        <s v="doTERRA (Shanghai) Trading LTD." u="1"/>
        <s v="Mytheresa.com GmbH" u="1"/>
        <s v="Bergfreunde GmbH" u="1"/>
        <s v="Metro AG" u="1"/>
        <s v="Metro Bulgaria" u="1"/>
        <s v="Shanghai Jahwa" u="1"/>
        <s v="Tchibo" u="1"/>
        <s v="Tchibo GmbH" u="1"/>
        <s v="Mondelez " u="1"/>
        <s v="Swiss Automotive Group" u="1"/>
        <s v="KOKI Holdings" u="1"/>
        <s v="Metabowerke GmbH" u="1"/>
        <s v="Magula" u="1"/>
        <s v="OGL Digital Service GmbH" u="1"/>
        <s v="Florasis Global Operation" u="1"/>
        <s v="HAYAT KIMYA SAN. A.Ş." u="1"/>
        <s v="Roto Frank DST Produktions-GmbH" u="1"/>
        <s v="Gries Deco Holding GmbH" u="1"/>
        <s v="Sol Comércio de Servicos da Tecnologia Ltda" u="1"/>
        <s v="Martins Comércio e Serviços de Distribuição" u="1"/>
        <s v="dsm-firmenich" u="1"/>
        <s v="DSM-Firmenich ANH Brazil" u="1"/>
        <s v="AgRoss" u="1"/>
        <s v="Manor Zentral AG" u="1"/>
        <s v="transmed" u="1"/>
        <s v="Vedes AG" u="1"/>
        <s v="Xiaomi" u="1"/>
        <s v="Delhaize Le Lion" u="1"/>
        <s v="MANGO" u="1"/>
        <s v="Deutsche Tiernahrung Cremer GmbH &amp; Co. KG" u="1"/>
        <s v="Richemont" u="1"/>
        <s v="Lululemon" u="1"/>
        <s v="lululemon APAC" u="1"/>
        <s v="LEROY MERLIN COMPANHIA BRASILEIRA DE BRICOLAGEM" u="1"/>
        <s v="Takkt" u="1"/>
        <s v="LKQ Europe GmbH" u="1"/>
        <s v="LKQ Dach " u="1"/>
        <s v="Mediaprint Zeitungs- und Zeitschriftenverlag GmbH &amp; Co KG" u="1"/>
        <s v="Rack Room Shoes, Inc." u="1"/>
        <s v="NW Technology GmbH" u="1"/>
        <s v="DISMA INTERNATIONAL" u="1"/>
        <s v="Stora Enso" u="1"/>
        <s v="Ravensburger" u="1"/>
        <s v="Chanel China" u="1"/>
        <s v="CHANEL HKMO" u="1"/>
        <s v="Mosecker GmbH &amp; Co. KG" u="1"/>
        <s v="Magalog Serviços Logisticos Ltda" u="1"/>
        <s v="ProSiebenSat.1 Media SE" u="1"/>
        <s v="Migrolino AG" u="1"/>
        <s v="Saad imoveis Ltda" u="1"/>
        <s v="REWE Logistik" u="1"/>
        <s v="LoyalHound CO.,LTD." u="1"/>
        <s v="Südpack" u="1"/>
        <s v="Intersport" u="1"/>
        <s v="Changzhou Yuyuang Textile Ltd" u="1"/>
        <s v="Carlsberg Integrated Information Technology A/S" u="1"/>
        <s v="Carhartt" u="1"/>
        <s v="MEWA Textil-Service SE &amp; Co. Management OHG" u="1"/>
        <s v="Gläser und Flaschen GmbH" u="1"/>
        <s v="Beaphar Nederland B.V." u="1"/>
        <s v="Kraft Heinz Brasil Comercio, Distribuicao e Impostacao Ltda." u="1"/>
        <s v="Mondelez international China" u="1"/>
        <s v="WÜSTHOF GmbH" u="1"/>
        <s v="ASICS" u="1"/>
        <s v="Paris Baguette" u="1"/>
        <s v="Beiersdorf Australia" u="1"/>
        <s v="Walmart CN" u="1"/>
        <s v="REWE Markt GmbH" u="1"/>
        <s v="LVMH U.S." u="1"/>
        <s v="LOUIS VUITTON" u="1"/>
        <s v="LVMH Fragrances and Cosmetics (Singapore) Pte Ltd" u="1"/>
        <s v="P&amp;C (SHANGHAI) PERFUMES AND COSMETICS CO., LTD" u="1"/>
        <s v="HERMES Einrichtungs Service GmbH &amp; Co. KG " u="1"/>
        <s v="Otto (GmbH &amp; Co KG) " u="1"/>
        <s v="Otto" u="1"/>
        <s v="Kinaxis Corp." u="1"/>
        <s v="Kinaxis " u="1"/>
        <s v="Shell  " u="1"/>
        <s v="Arlanxeo" u="1"/>
        <s v="Delta Faucet" u="1"/>
        <s v="Stellium" u="1"/>
        <s v="Alpega TMS Austria GmbH (ehemals inet-logistics GmbH)" u="1"/>
        <s v="inet-logistics" u="1"/>
        <s v="Knorr_Bramse Brasil" u="1"/>
        <s v="emagine Consulting" u="1"/>
        <s v="Genpact" u="1"/>
        <s v="Spinnaker SCM" u="1"/>
        <s v="Shanghai Yiwei Character Intelligent System Integration Co., Ltd" u="1"/>
        <s v="Minsait" u="1"/>
        <s v="CBRE China" u="1"/>
        <s v="Hochschule Osnabrück" u="1"/>
        <s v="GSI Helmholtzzentrum für Schwerionenforschung GmbH" u="1"/>
        <s v="Constructor University Bremen gGmbH" u="1"/>
        <s v="Universität Magdeburg" u="1"/>
        <s v="FH Ulm" u="1"/>
        <s v="Jacobs University Bremen" u="1"/>
        <s v="Fachhochschule Münster" u="1"/>
        <s v="Philip Morris International IT Service Center SARL" u="1"/>
        <s v="ORAFOL GmbH" u="1"/>
        <s v="Orafol Europe GmbH" u="1"/>
        <s v="Ficosota" u="1"/>
        <s v="Apetito AG" u="1"/>
        <s v="MBCC Investments GmbH" u="1"/>
        <s v="Gulf Packaging Industries Ltd." u="1"/>
        <s v="Salmeron" u="1"/>
        <s v="Nuki Home Solutions GmbH" u="1"/>
        <s v="TESA" u="1"/>
        <s v="Ritrama S. p. A." u="1"/>
        <s v="Ritrama S.p.A." u="1"/>
        <s v="Fedrigoni selfadhesives do Brasil Ltda." u="1"/>
        <s v="Obi" u="1"/>
        <s v="Paul Hartmann AG" u="1"/>
        <s v="Schmitz Cargobull AG" u="1"/>
        <s v="Schmitz Cargobull" u="1"/>
        <s v="Hilti Corporation" u="1"/>
        <s v="Husqvarna Group" u="1"/>
        <s v="Vaillant Group" u="1"/>
        <s v="BRITA SE" u="1"/>
        <s v="Inalfa " u="1"/>
        <s v="L'Oreal (China) Co., Ltd." u="1"/>
        <s v="L’Oréal, société anonyme" u="1"/>
        <s v="L´Oreal" u="1"/>
        <s v="L'Oreal" u="1"/>
        <s v="L'Oreal SE" u="1"/>
        <s v="Wilo SE" u="1"/>
        <s v="Josera Erbacher Service GmbH &amp; Co KG" u="1"/>
        <s v="Josera Polska Sp. z o.o." u="1"/>
        <s v="Enapter AG" u="1"/>
        <s v="Viega Holding GmbH &amp; Co. KG" u="1"/>
        <s v="VAT AG" u="1"/>
        <s v="VAT Vakuumventile AG" u="1"/>
        <s v="Vorwerk International &amp; Co. KmG" u="1"/>
        <s v="Vorwerk International, Wollerau Schweiz" u="1"/>
        <s v="Sika China" u="1"/>
        <s v="Suzano papel e celulose" u="1"/>
        <s v="Sika Thailand" u="1"/>
        <s v="Sika Japan" u="1"/>
        <s v="Sika APAC" u="1"/>
        <s v="L’Oréal (HK)" u="1"/>
        <s v="L'Oreal Korea Ltd." u="1"/>
        <s v="L'Oreal Japan" u="1"/>
        <s v="L'Oréal S.A." u="1"/>
        <s v="L'Oreal Taiwan" u="1"/>
        <s v="Essity Professional Hygiene North America LLC " u="1"/>
        <s v="Essity Hygiene and Health AB " u="1"/>
        <s v="Essity Hygiene and Health AB" u="1"/>
        <s v="Hunter Douglas" u="1"/>
        <s v="Coty Inc." u="1"/>
        <s v="Procter &amp; Gamble" u="1"/>
        <s v="Richemont International SA" u="1"/>
        <s v="RMS shipping service CO.,LTD." u="1"/>
        <s v="Xella Deutschland" u="1"/>
        <s v="Outokumpu" u="1"/>
        <s v="Siemens France" u="1"/>
        <s v="Siemens AG" u="1"/>
        <s v="Saint-Gobain Weber" u="1"/>
        <s v="BBraun SE" u="1"/>
        <s v="B. Braun Medical AG" u="1"/>
        <s v="Infineon Technologies AG " u="1"/>
        <s v="Infineon" u="1"/>
        <s v="Geberit AG" u="1"/>
        <s v="Infineon Technologies CN" u="1"/>
        <s v="Cartones Yaguarete AS" u="1"/>
        <s v="Weig Holding GmbH &amp; Co. KG " u="1"/>
        <s v="Fedrigoni US" u="1"/>
        <s v="Horizon Construction Development" u="1"/>
        <s v="Ed. Züblin AG   " u="1"/>
        <s v="Miele Vertriebsgesellschaft Deutschland KG" u="1"/>
        <s v="BayWa AG " u="1"/>
        <s v="STIHL Japan" u="1"/>
        <s v="Meyer Werft" u="1"/>
        <s v="Knauf Gips KG" u="1"/>
        <s v="Neptun Werft GmbH &amp; Co. KG" u="1"/>
        <s v="Meyer Werft Turku" u="1"/>
        <s v="ThyssenKrupp Elevators" u="1"/>
        <s v="British American Tobacco Plc (BAT)" u="1"/>
        <s v="BAT Canada" u="1"/>
        <s v="British American Tobacco Bangladash" u="1"/>
        <s v="Jiaxiangdi trading CO.,LTD." u="1"/>
        <s v="Andreas Stihl AG &amp; Co KG" u="1"/>
        <s v="Leipziger Verkehrsbetriebe " u="1"/>
        <s v="BMBF" u="1"/>
        <s v="mFund/Tüv Rheinland" u="1"/>
        <s v="Deutsches Zentrum für Luft- und Raumfahrt" u="1"/>
        <s v="Fedrigoni" u="1"/>
        <s v="DSM Firmenich" u="1"/>
        <s v="Magna Steyer" u="1"/>
        <s v="4flow management GmbH" u="1"/>
        <s v="4flow AG" u="1"/>
        <s v="Yanfeng" u="1"/>
        <s v="4flow management board" u="1"/>
        <s v="4flow management entities" u="1"/>
        <s v="4flow academy" u="1"/>
        <s v="4flow absence" u="1"/>
        <s v="4flow sales" u="1"/>
        <s v="4flow it" u="1"/>
        <s v="4flow finance" u="1"/>
        <s v="4flow educational training" u="1"/>
        <s v="4flow software" u="1"/>
        <s v="others (4flow)" u="1"/>
        <s v="4flow Corporate Services" u="1"/>
        <s v="4flow hr" u="1"/>
        <s v="4flow compliance" u="1"/>
        <s v="4flow internal events" u="1"/>
        <s v="4flow administration" u="1"/>
        <s v="4flow corporate development" u="1"/>
        <s v="4flow marketing" u="1"/>
      </sharedItems>
    </cacheField>
    <cacheField name="Column4" numFmtId="0">
      <sharedItems containsBlank="1"/>
    </cacheField>
    <cacheField name="Column5" numFmtId="0">
      <sharedItems containsBlank="1"/>
    </cacheField>
    <cacheField name="Column6" numFmtId="0">
      <sharedItems containsBlank="1"/>
    </cacheField>
    <cacheField name="Customer ID" numFmtId="0">
      <sharedItems containsString="0" containsBlank="1" containsNumber="1" containsInteger="1" minValue="1" maxValue="9996"/>
    </cacheField>
    <cacheField name="Column8" numFmtId="0">
      <sharedItems containsString="0" containsBlank="1" containsNumber="1" containsInteger="1" minValue="0" maxValue="99"/>
    </cacheField>
    <cacheField name="Column9" numFmtId="0">
      <sharedItems containsString="0" containsBlank="1" containsNumber="1" containsInteger="1" minValue="0" maxValue="59"/>
    </cacheField>
    <cacheField name="project-no" numFmtId="0">
      <sharedItems containsBlank="1" containsMixedTypes="1" containsNumber="1" containsInteger="1" minValue="1107134" maxValue="99998259"/>
    </cacheField>
    <cacheField name="4flow-Company (owner)" numFmtId="0">
      <sharedItems containsBlank="1"/>
    </cacheField>
    <cacheField name="Business Line" numFmtId="0">
      <sharedItems containsBlank="1" count="8">
        <s v="consulting"/>
        <s v="management"/>
        <s v="Corporate Services"/>
        <s v="research"/>
        <s v="software"/>
        <m/>
        <s v="4flow" u="1"/>
        <s v="PG_4flow vista" u="1"/>
      </sharedItems>
    </cacheField>
    <cacheField name="Business Unit" numFmtId="0">
      <sharedItems containsBlank="1"/>
    </cacheField>
    <cacheField name="Project title" numFmtId="0">
      <sharedItems containsBlank="1"/>
    </cacheField>
    <cacheField name="Column10" numFmtId="167">
      <sharedItems containsNonDate="0" containsString="0" containsBlank="1"/>
    </cacheField>
    <cacheField name="Column2" numFmtId="0">
      <sharedItems containsNonDate="0" containsString="0" containsBlank="1"/>
    </cacheField>
    <cacheField name="Status" numFmtId="0">
      <sharedItems containsNonDate="0" containsBlank="1" count="3">
        <m/>
        <s v="" u="1"/>
        <s v="x" u="1"/>
      </sharedItems>
    </cacheField>
    <cacheField name="Object" numFmtId="0">
      <sharedItems containsBlank="1"/>
    </cacheField>
    <cacheField name="Workday ID" numFmtId="0">
      <sharedItems containsBlank="1" containsMixedTypes="1" containsNumber="1" containsInteger="1" minValue="10000" maxValue="9999414" count="3746">
        <s v="6093042"/>
        <s v="6093092"/>
        <s v="6093022"/>
        <s v="6093032"/>
        <s v="6093052"/>
        <s v="6093062"/>
        <s v="6093072"/>
        <s v="6093084"/>
        <s v="10000"/>
        <s v="10100"/>
        <s v="10200"/>
        <s v="10300"/>
        <s v="11000"/>
        <s v="11029"/>
        <s v="11049"/>
        <s v="11500"/>
        <s v="11600"/>
        <s v="12000"/>
        <s v="12029"/>
        <s v="12049"/>
        <s v="12059"/>
        <s v="12100"/>
        <s v="12549"/>
        <s v="12200"/>
        <s v="13000"/>
        <s v="13100"/>
        <s v="13200"/>
        <s v="13229"/>
        <s v="18359"/>
        <s v="13400"/>
        <s v="13429"/>
        <s v="13449"/>
        <s v="13500"/>
        <s v="13600"/>
        <s v="13700"/>
        <s v="13800"/>
        <s v="13900"/>
        <s v="14029"/>
        <s v="18049"/>
        <s v="14059"/>
        <s v="14100"/>
        <s v="14200"/>
        <s v="15000"/>
        <s v="15200"/>
        <s v="16000"/>
        <s v="16100"/>
        <s v="16200"/>
        <s v="16300"/>
        <s v="17000"/>
        <s v="17200"/>
        <s v="17209"/>
        <s v="17300"/>
        <s v="17400"/>
        <s v="17500"/>
        <s v="17600"/>
        <s v="17700"/>
        <s v="17919"/>
        <s v="18000"/>
        <s v="18019"/>
        <s v="18119"/>
        <s v="18029"/>
        <s v="18059"/>
        <s v="18129"/>
        <s v="18149"/>
        <s v="18229"/>
        <s v="18249"/>
        <s v="18349"/>
        <s v="18429"/>
        <s v="18449"/>
        <s v="18529"/>
        <s v="18549"/>
        <s v="18619"/>
        <s v="18629"/>
        <s v="18649"/>
        <s v="18719"/>
        <s v="18729"/>
        <s v="18819"/>
        <s v="18829"/>
        <s v="18929"/>
        <s v="19029"/>
        <s v="19049"/>
        <s v="19129"/>
        <s v="19449"/>
        <s v="19159"/>
        <s v="19229"/>
        <s v="19549"/>
        <s v="19329"/>
        <s v="19649"/>
        <s v="19359"/>
        <s v="19429"/>
        <s v="19529"/>
        <s v="19559"/>
        <s v="19629"/>
        <s v="19659"/>
        <s v="19759"/>
        <s v="19859"/>
        <s v="24112"/>
        <s v="27311"/>
        <s v="27759"/>
        <s v="24141"/>
        <s v="20249"/>
        <s v="20349"/>
        <s v="20441"/>
        <s v="20628"/>
        <s v="21111"/>
        <s v="21112"/>
        <s v="21712"/>
        <s v="21312"/>
        <s v="21412"/>
        <s v="21512"/>
        <s v="21612"/>
        <s v="21113"/>
        <s v="22111"/>
        <s v="22819"/>
        <s v="22919"/>
        <s v="23111"/>
        <s v="23212"/>
        <s v="24041"/>
        <s v="24241"/>
        <s v="24729"/>
        <s v="24829"/>
        <s v="24111"/>
        <s v="25129"/>
        <s v="25229"/>
        <s v="25111"/>
        <s v="25329"/>
        <s v="25729"/>
        <s v="25847"/>
        <s v="25929"/>
        <s v="25941"/>
        <s v="26029"/>
        <s v="26041"/>
        <s v="26129"/>
        <s v="26141"/>
        <s v="26229"/>
        <s v="26241"/>
        <s v="26341"/>
        <s v="26441"/>
        <s v="26649"/>
        <s v="26749"/>
        <s v="26849"/>
        <s v="26949"/>
        <s v="27059"/>
        <s v="27159"/>
        <s v="27259"/>
        <s v="27359"/>
        <s v="27459"/>
        <s v="27559"/>
        <s v="27629"/>
        <s v="27659"/>
        <s v="27729"/>
        <s v="27829"/>
        <s v="27859"/>
        <s v="27959"/>
        <s v="28059"/>
        <s v="28129"/>
        <s v="28159"/>
        <s v="28229"/>
        <s v="28259"/>
        <s v="26111"/>
        <s v="28329"/>
        <s v="27111"/>
        <s v="28556"/>
        <s v="28656"/>
        <s v="26047"/>
        <s v="28359"/>
        <s v="28459"/>
        <s v="9963022"/>
        <s v="9963021"/>
        <s v="9963041"/>
        <s v="9963061"/>
        <s v="9963071"/>
        <s v="9963081"/>
        <s v="9963091"/>
        <s v="9963104"/>
        <s v="9963111"/>
        <s v="9963121"/>
        <s v="9981022"/>
        <s v="9985081"/>
        <s v="9989631"/>
        <s v="9989661"/>
        <s v="9989721"/>
        <s v="9989941"/>
        <s v="9995281"/>
        <s v="9995521"/>
        <s v="9995611"/>
        <s v="9995771"/>
        <s v="9963131"/>
        <s v="6600021"/>
        <s v="6604042"/>
        <s v="6606082"/>
        <s v="4010032"/>
        <s v="4010022"/>
        <s v="2045064"/>
        <s v="2045174"/>
        <s v="2045194"/>
        <s v="2034062"/>
        <s v="2045182"/>
        <s v="9963141"/>
        <s v="9988191"/>
        <s v="9989251"/>
        <s v="9989361"/>
        <s v="9995391"/>
        <s v="9995661"/>
        <s v="6606102"/>
        <s v="6302052"/>
        <s v="6302062"/>
        <s v="6302072"/>
        <s v="6302022"/>
        <s v="6302032"/>
        <s v="6302042"/>
        <s v="6041022"/>
        <s v="1971021"/>
        <s v="1973022"/>
        <s v="9964021"/>
        <s v="1972031"/>
        <s v="1973032"/>
        <s v="9962032"/>
        <s v="9962042"/>
        <s v="9962051"/>
        <s v="1970074"/>
        <s v="9962071"/>
        <s v="9962091"/>
        <s v="1970114"/>
        <s v="9987124"/>
        <s v="1971134"/>
        <s v="9986144"/>
        <s v="1971154"/>
        <s v="1971162"/>
        <s v="9986164"/>
        <s v="1972172"/>
        <s v="1972192"/>
        <s v="1972222"/>
        <s v="9963151"/>
        <s v="9963161"/>
        <s v="1972242"/>
        <s v="1972252"/>
        <s v="1970264"/>
        <s v="1972264"/>
        <s v="1972274"/>
        <s v="9989341"/>
        <s v="1970354"/>
        <s v="1970364"/>
        <s v="9984361"/>
        <s v="9963171"/>
        <s v="1970434"/>
        <s v="1970444"/>
        <s v="1970454"/>
        <s v="9963181"/>
        <s v="1970464"/>
        <s v="1970474"/>
        <s v="1970484"/>
        <s v="1970494"/>
        <s v="1970504"/>
        <s v="9981031"/>
        <s v="9981041"/>
        <s v="9981061"/>
        <s v="9981071"/>
        <s v="9995501"/>
        <s v="1970514"/>
        <s v="1970524"/>
        <s v="1970544"/>
        <s v="1970554"/>
        <s v="1970564"/>
        <s v="1970574"/>
        <s v="9963191"/>
        <s v="9963201"/>
        <s v="1970584"/>
        <s v="1970592"/>
        <s v="1970602"/>
        <s v="9995621"/>
        <s v="9995721"/>
        <s v="9995731"/>
        <s v="9985741"/>
        <s v="1971884"/>
        <s v="1972894"/>
        <s v="3141022"/>
        <s v="6409022"/>
        <s v="6425012"/>
        <s v="6425292"/>
        <s v="6425332"/>
        <s v="6425342"/>
        <s v="6425352"/>
        <s v="6425362"/>
        <s v="6425372"/>
        <s v="6425382"/>
        <s v="6425392"/>
        <s v="6425402"/>
        <s v="6425412"/>
        <s v="6425422"/>
        <s v="6425432"/>
        <s v="6425442"/>
        <s v="6425452"/>
        <s v="6425462"/>
        <s v="6425472"/>
        <s v="6425482"/>
        <s v="6425492"/>
        <s v="6425502"/>
        <s v="6425512"/>
        <s v="6425522"/>
        <s v="6425532"/>
        <s v="6426112"/>
        <s v="6426122"/>
        <s v="6426132"/>
        <s v="6426142"/>
        <s v="6426152"/>
        <s v="6426162"/>
        <s v="6426172"/>
        <s v="6426182"/>
        <s v="6426192"/>
        <s v="6426202"/>
        <s v="7550012"/>
        <s v="7550212"/>
        <s v="7550222"/>
        <s v="7550232"/>
        <s v="3081302"/>
        <s v="3081312"/>
        <s v="3081322"/>
        <s v="3081332"/>
        <s v="3081182"/>
        <s v="3081191"/>
        <s v="3081202"/>
        <s v="3081212"/>
        <s v="3081222"/>
        <s v="3081232"/>
        <s v="3081242"/>
        <s v="3081252"/>
        <s v="3081262"/>
        <s v="3081272"/>
        <s v="3081282"/>
        <s v="3081292"/>
        <s v="3081142"/>
        <s v="7528022"/>
        <s v="2033022"/>
        <s v="2013022"/>
        <s v="2013032"/>
        <s v="2013042"/>
        <s v="4122022"/>
        <s v="2111022"/>
        <s v="8812022"/>
        <s v="6024022"/>
        <s v="6024034"/>
        <s v="6024042"/>
        <s v="6132022"/>
        <s v="6606112"/>
        <s v="7811951"/>
        <s v="3005044"/>
        <s v="7687022"/>
        <s v="6606122"/>
        <s v="4116022"/>
        <s v="4125022"/>
        <s v="4126022"/>
        <s v="6606132"/>
        <s v="6606142"/>
        <s v="6606152"/>
        <s v="9963211"/>
        <s v="2062024"/>
        <s v="2062034"/>
        <s v="8004062"/>
        <s v="2046022"/>
        <s v="2046032"/>
        <s v="2046042"/>
        <s v="3172012"/>
        <s v="3172022"/>
        <s v="7802372"/>
        <s v="3174021"/>
        <s v="6606162"/>
        <s v="6606172"/>
        <s v="7802492"/>
        <s v="7040022"/>
        <s v="6606182"/>
        <s v="6606192"/>
        <s v="6606202"/>
        <s v="6606212"/>
        <s v="6606222"/>
        <s v="6607224"/>
        <s v="6612032"/>
        <s v="6612041"/>
        <s v="6615034"/>
        <s v="6616032"/>
        <s v="6616042"/>
        <s v="6080022"/>
        <s v="7685022"/>
        <s v="6105022"/>
        <s v="6105042"/>
        <s v="6105052"/>
        <s v="6105032"/>
        <s v="6105062"/>
        <s v="7802402"/>
        <s v="6616052"/>
        <s v="6616062"/>
        <s v="2248052"/>
        <s v="2248061"/>
        <s v="2248071"/>
        <s v="2248092"/>
        <s v="2248101"/>
        <s v="2248081"/>
        <s v="2072021"/>
        <s v="2895042"/>
        <s v="7048022"/>
        <s v="6307032"/>
        <s v="6618022"/>
        <s v="7653042"/>
        <s v="8851302"/>
        <s v="8851292"/>
        <s v="8857032"/>
        <s v="7912022"/>
        <s v="6621024"/>
        <s v="6623022"/>
        <s v="9985191"/>
        <s v="6623032"/>
        <s v="6001024"/>
        <s v="3152022"/>
        <s v="6074074"/>
        <s v="6074024"/>
        <s v="6074044"/>
        <s v="6074054"/>
        <s v="6074064"/>
        <s v="6099024"/>
        <s v="6099034"/>
        <s v="9962081"/>
        <s v="9985981"/>
        <s v="9986614"/>
        <s v="9986771"/>
        <s v="9986981"/>
        <s v="6012252"/>
        <s v="7802452"/>
        <s v="7802462"/>
        <s v="7802382"/>
        <s v="8879212"/>
        <s v="8879222"/>
        <s v="8879192"/>
        <s v="8879202"/>
        <s v="3124092"/>
        <s v="3124112"/>
        <s v="3124052"/>
        <s v="3124062"/>
        <s v="3124072"/>
        <s v="3124082"/>
        <s v="3124102"/>
        <s v="3132012"/>
        <s v="3132052"/>
        <s v="3150032"/>
        <s v="3150042"/>
        <s v="3150052"/>
        <s v="3150022"/>
        <s v="7679022"/>
        <s v="6048032"/>
        <s v="7540022"/>
        <s v="7540032"/>
        <s v="7540042"/>
        <s v="7690022"/>
        <s v="7540052"/>
        <s v="2121022"/>
        <s v="3188052"/>
        <s v="7587022"/>
        <s v="7587032"/>
        <s v="6133022"/>
        <s v="6133032"/>
        <s v="6140022"/>
        <s v="6623041"/>
        <s v="6624024"/>
        <s v="7041012"/>
        <s v="7042032"/>
        <s v="7042042"/>
        <s v="7042052"/>
        <s v="7042062"/>
        <s v="7042012"/>
        <s v="7042022"/>
        <s v="9956085"/>
        <s v="9956055"/>
        <s v="9956095"/>
        <s v="9960025"/>
        <s v="9960035"/>
        <s v="1011182"/>
        <s v="1011192"/>
        <s v="1015072"/>
        <s v="1044142"/>
        <s v="1044132"/>
        <s v="1106042"/>
        <s v="1106082"/>
        <s v="1106092"/>
        <s v="1107134"/>
        <s v="1107132"/>
        <s v="1110024"/>
        <s v="1110734"/>
        <s v="1110802"/>
        <s v="1110812"/>
        <s v="1110822"/>
        <s v="1110831"/>
        <s v="1110842"/>
        <s v="1110852"/>
        <s v="1110012"/>
        <s v="1110542"/>
        <s v="1110732"/>
        <s v="1110752"/>
        <s v="1110771"/>
        <s v="1110782"/>
        <s v="1110792"/>
        <s v="1113112"/>
        <s v="1118032"/>
        <s v="1118072"/>
        <s v="1118122"/>
        <s v="1118132"/>
        <s v="1118142"/>
        <s v="1118152"/>
        <s v="1118042"/>
        <s v="1125232"/>
        <s v="1124292"/>
        <s v="1124302"/>
        <s v="1124312"/>
        <s v="1124324"/>
        <s v="1156232"/>
        <s v="1156182"/>
        <s v="1156192"/>
        <s v="1156202"/>
        <s v="1156212"/>
        <s v="1156222"/>
        <s v="1190042"/>
        <s v="9962101"/>
        <s v="9963221"/>
        <s v="9985791"/>
        <s v="9963031"/>
        <s v="9963032"/>
        <s v="9985951"/>
        <s v="9994204"/>
        <s v="9994214"/>
        <s v="9994344"/>
        <s v="9996854"/>
        <s v="6062042"/>
        <s v="6062052"/>
        <s v="7450042"/>
        <n v="2220024"/>
        <s v="2220214"/>
        <s v="2220224"/>
        <s v="2220234"/>
        <s v="2220144"/>
        <s v="2220174"/>
        <s v="2220194"/>
        <s v="2220204"/>
        <s v="2220244"/>
        <s v="2221022"/>
        <s v="9991271"/>
        <s v="2221032"/>
        <s v="9991311"/>
        <s v="9995341"/>
        <s v="9995701"/>
        <s v="2924034"/>
        <s v="2924054"/>
        <s v="2924064"/>
        <s v="2924084"/>
        <s v="2924124"/>
        <s v="2924134"/>
        <s v="2924144"/>
        <s v="2924184"/>
        <s v="2924194"/>
        <s v="2924204"/>
        <s v="2924214"/>
        <s v="2924224"/>
        <s v="2924232"/>
        <s v="2924242"/>
        <s v="2924254"/>
        <s v="2924264"/>
        <s v="2924274"/>
        <s v="2924284"/>
        <s v="2924294"/>
        <s v="2924304"/>
        <s v="2924314"/>
        <s v="2924324"/>
        <s v="2924334"/>
        <s v="2924344"/>
        <s v="2924352"/>
        <s v="2924354"/>
        <s v="2924364"/>
        <s v="2924374"/>
        <s v="9963272"/>
        <s v="9963281"/>
        <s v="9963291"/>
        <s v="9963301"/>
        <s v="9988251"/>
        <s v="9989351"/>
        <s v="9995321"/>
        <s v="9995461"/>
        <s v="9995571"/>
        <s v="9995711"/>
        <s v="3183022"/>
        <s v="7802051"/>
        <s v="7904021"/>
        <s v="6101022"/>
        <s v="6304022"/>
        <s v="7688022"/>
        <s v="2110022"/>
        <s v="3144032"/>
        <s v="3144022"/>
        <s v="3144042"/>
        <s v="8045052"/>
        <s v="8045062"/>
        <s v="8045072"/>
        <s v="8045082"/>
        <s v="7802091"/>
        <s v="8911172"/>
        <s v="8911202"/>
        <s v="8911222"/>
        <s v="8911232"/>
        <s v="8911062"/>
        <s v="8911071"/>
        <s v="8911092"/>
        <s v="8911102"/>
        <s v="8911112"/>
        <s v="8911122"/>
        <s v="8911132"/>
        <s v="8911141"/>
        <s v="8911152"/>
        <s v="8911161"/>
        <s v="8911182"/>
        <s v="8911192"/>
        <s v="8911212"/>
        <s v="8912022"/>
        <s v="9986581"/>
        <s v="7802532"/>
        <s v="7802312"/>
        <s v="7802362"/>
        <s v="7802562"/>
        <s v="1570372"/>
        <s v="1570012"/>
        <s v="1570322"/>
        <s v="1570352"/>
        <s v="1570362"/>
        <s v="1570381"/>
        <s v="1574022"/>
        <s v="6123022"/>
        <s v="6405022"/>
        <s v="6096024"/>
        <s v="9985071"/>
        <s v="9985931"/>
        <s v="6121022"/>
        <s v="7675021"/>
        <s v="6627022"/>
        <s v="6630042"/>
        <s v="6631032"/>
        <s v="6646192"/>
        <s v="6646202"/>
        <s v="6646212"/>
        <s v="6646222"/>
        <s v="6646242"/>
        <s v="6646252"/>
        <s v="7674021"/>
        <s v="2118022"/>
        <s v="2118032"/>
        <s v="2118042"/>
        <s v="7936032"/>
        <s v="7061022"/>
        <s v="6107022"/>
        <s v="6107032"/>
        <s v="6107042"/>
        <s v="7658052"/>
        <s v="7658062"/>
        <s v="7659032"/>
        <s v="7659042"/>
        <s v="7058021"/>
        <s v="7059021"/>
        <s v="6647024"/>
        <s v="6649072"/>
        <s v="7052022"/>
        <s v="7614022"/>
        <s v="6018024"/>
        <s v="2054042"/>
        <s v="6649082"/>
        <s v="6649092"/>
        <s v="6037031"/>
        <s v="6040071"/>
        <s v="6040021"/>
        <s v="6040041"/>
        <s v="6040051"/>
        <s v="7802211"/>
        <s v="9962062"/>
        <s v="9986902"/>
        <s v="2096022"/>
        <s v="2096042"/>
        <s v="2097084"/>
        <s v="2098171"/>
        <s v="2099082"/>
        <s v="2099042"/>
        <s v="2099062"/>
        <s v="2099072"/>
        <s v="9984671"/>
        <s v="9985751"/>
        <s v="9985761"/>
        <s v="2031062"/>
        <s v="2031072"/>
        <s v="2031082"/>
        <s v="2031092"/>
        <s v="2031032"/>
        <s v="2031042"/>
        <s v="2031052"/>
        <s v="3122024"/>
        <s v="9985881"/>
        <s v="2023032"/>
        <s v="6113022"/>
        <s v="7026052"/>
        <s v="7026062"/>
        <s v="7534022"/>
        <s v="8807024"/>
        <s v="8807034"/>
        <s v="9963311"/>
        <s v="9963321"/>
        <s v="9963331"/>
        <s v="9963341"/>
        <s v="9963351"/>
        <s v="9963361"/>
        <s v="9963371"/>
        <s v="9963401"/>
        <s v="9963411"/>
        <s v="6060012"/>
        <s v="6060022"/>
        <s v="6060032"/>
        <s v="6649102"/>
        <s v="6649112"/>
        <s v="9985161"/>
        <s v="9985171"/>
        <s v="6415032"/>
        <s v="6415022"/>
        <s v="1201012"/>
        <s v="1201992"/>
        <s v="1203012"/>
        <s v="1332862"/>
        <s v="1332952"/>
        <s v="1336282"/>
        <s v="1336292"/>
        <s v="1336312"/>
        <s v="1336332"/>
        <s v="1336342"/>
        <s v="1336382"/>
        <s v="1336392"/>
        <s v="1336402"/>
        <s v="1336412"/>
        <s v="1336422"/>
        <s v="1336432"/>
        <s v="1336012"/>
        <s v="1336042"/>
        <s v="1336092"/>
        <s v="1336102"/>
        <s v="1336112"/>
        <s v="1336122"/>
        <s v="1336132"/>
        <s v="1336142"/>
        <s v="1336152"/>
        <s v="1336162"/>
        <s v="1336172"/>
        <s v="1336182"/>
        <s v="1336192"/>
        <s v="1336202"/>
        <s v="1336212"/>
        <s v="1336222"/>
        <s v="1336232"/>
        <s v="1336242"/>
        <s v="1336252"/>
        <s v="1336262"/>
        <s v="1336272"/>
        <s v="1336302"/>
        <s v="1336322"/>
        <s v="1336352"/>
        <s v="1336362"/>
        <s v="1336372"/>
        <s v="6664032"/>
        <s v="6664042"/>
        <s v="6665012"/>
        <s v="6665022"/>
        <s v="6670022"/>
        <s v="6672022"/>
        <s v="6673022"/>
        <s v="6674022"/>
        <s v="6106022"/>
        <s v="6106032"/>
        <s v="6106042"/>
        <s v="6106052"/>
        <s v="6106062"/>
        <s v="6106072"/>
        <s v="6106082"/>
        <s v="6106092"/>
        <s v="6106102"/>
        <s v="6106112"/>
        <s v="6106122"/>
        <s v="6106132"/>
        <s v="6106142"/>
        <s v="6106152"/>
        <s v="3148022"/>
        <s v="2120022"/>
        <s v="7562021"/>
        <s v="7562031"/>
        <s v="7624032"/>
        <s v="7624052"/>
        <s v="7624022"/>
        <s v="7624042"/>
        <s v="4119022"/>
        <s v="3228024"/>
        <s v="3228034"/>
        <s v="3228044"/>
        <s v="3228054"/>
        <s v="7802602"/>
        <s v="7037052"/>
        <s v="7627022"/>
        <s v="9961025"/>
        <s v="6407022"/>
        <s v="6676021"/>
        <s v="6403022"/>
        <s v="7045081"/>
        <s v="2017012"/>
        <s v="6408022"/>
        <s v="6408032"/>
        <s v="7530012"/>
        <s v="7530022"/>
        <s v="6316021"/>
        <s v="3069102"/>
        <s v="3070032"/>
        <s v="3070052"/>
        <s v="1077021"/>
        <s v="1077032"/>
        <s v="1077042"/>
        <s v="1077052"/>
        <s v="6124022"/>
        <s v="7581024"/>
        <s v="6130024"/>
        <s v="7013022"/>
        <s v="6070032"/>
        <s v="6070022"/>
        <s v="2898221"/>
        <s v="2898231"/>
        <s v="2898241"/>
        <s v="7617032"/>
        <s v="7617024"/>
        <s v="9963421"/>
        <s v="9963431"/>
        <s v="9963441"/>
        <s v="3028174"/>
        <s v="3028024"/>
        <s v="3028094"/>
        <s v="3028124"/>
        <s v="3028134"/>
        <s v="3028144"/>
        <s v="3028154"/>
        <s v="3028164"/>
        <s v="9963451"/>
        <s v="9963461"/>
        <s v="9963471"/>
        <s v="9963481"/>
        <s v="9989701"/>
        <s v="9991781"/>
        <s v="9995171"/>
        <s v="9995291"/>
        <s v="9995361"/>
        <s v="9995371"/>
        <s v="9995741"/>
        <s v="9995941"/>
        <s v="3018062"/>
        <s v="4113012"/>
        <s v="4113022"/>
        <s v="4113032"/>
        <s v="4110032"/>
        <s v="4102032"/>
        <s v="4102022"/>
        <s v="4005022"/>
        <s v="6310021"/>
        <s v="8869032"/>
        <s v="8869042"/>
        <s v="8869052"/>
        <s v="3149022"/>
        <s v="8013022"/>
        <s v="3147022"/>
        <s v="3173024"/>
        <s v="1076022"/>
        <s v="9994892"/>
        <s v="3045022"/>
        <s v="4002082"/>
        <s v="4002092"/>
        <s v="4002102"/>
        <s v="4002112"/>
        <s v="4002062"/>
        <s v="4002072"/>
        <s v="4002122"/>
        <s v="4002132"/>
        <s v="2089072"/>
        <s v="2001022"/>
        <s v="2001032"/>
        <s v="2001042"/>
        <s v="7902022"/>
        <s v="6676031"/>
        <s v="8102082"/>
        <s v="4118022"/>
        <s v="4118032"/>
        <s v="3055222"/>
        <s v="3055212"/>
        <s v="7069022"/>
        <s v="2014022"/>
        <s v="7705022"/>
        <s v="8803061"/>
        <s v="8803062"/>
        <s v="8803022"/>
        <s v="8803041"/>
        <s v="8803051"/>
        <s v="3095024"/>
        <s v="9953022"/>
        <s v="3016152"/>
        <s v="3016162"/>
        <s v="3016172"/>
        <s v="4121022"/>
        <s v="6092022"/>
        <s v="6050082"/>
        <s v="7972021"/>
        <s v="7972031"/>
        <s v="3142024"/>
        <s v="6678022"/>
        <s v="6680022"/>
        <s v="8021024"/>
        <s v="8021034"/>
        <s v="8021042"/>
        <s v="8021054"/>
        <s v="8022022"/>
        <s v="8867032"/>
        <s v="9963491"/>
        <s v="9963501"/>
        <s v="9963514"/>
        <s v="9995511"/>
        <s v="7046022"/>
        <s v="6680031"/>
        <s v="6682022"/>
        <s v="6686022"/>
        <s v="6686032"/>
        <s v="6781022"/>
        <s v="3047152"/>
        <s v="3047162"/>
        <s v="3186022"/>
        <s v="3186032"/>
        <s v="6600031"/>
        <s v="7958081"/>
        <s v="8003022"/>
        <s v="7404022"/>
        <s v="8015022"/>
        <s v="2030072"/>
        <s v="2030022"/>
        <s v="2030032"/>
        <s v="2030042"/>
        <s v="2030052"/>
        <s v="2030062"/>
        <s v="2092022"/>
        <s v="2092032"/>
        <s v="7611022"/>
        <s v="3143022"/>
        <s v="1994022"/>
        <s v="7802422"/>
        <s v="3068022"/>
        <s v="6603022"/>
        <s v="6605022"/>
        <s v="9963521"/>
        <s v="9963531"/>
        <s v="9963541"/>
        <s v="9963551"/>
        <s v="9963561"/>
        <s v="2040042"/>
        <s v="7055012"/>
        <s v="7055032"/>
        <s v="7055022"/>
        <s v="6042022"/>
        <s v="6110022"/>
        <s v="6413022"/>
        <s v="3060072"/>
        <s v="3060082"/>
        <s v="3162022"/>
        <s v="2038032"/>
        <s v="2038062"/>
        <s v="2038072"/>
        <s v="2038022"/>
        <s v="2038042"/>
        <s v="2038052"/>
        <s v="8859012"/>
        <s v="8859052"/>
        <s v="7535052"/>
        <s v="7535062"/>
        <s v="6125042"/>
        <s v="6125022"/>
        <s v="6125032"/>
        <s v="3049022"/>
        <s v="3049032"/>
        <s v="2132021"/>
        <s v="7903031"/>
        <s v="6606052"/>
        <s v="6606062"/>
        <s v="6606072"/>
        <s v="9996871"/>
        <s v="6052042"/>
        <s v="4103022"/>
        <s v="2082032"/>
        <s v="2082022"/>
        <s v="3137024"/>
        <s v="3050034"/>
        <s v="6134022"/>
        <s v="6134042"/>
        <s v="6134034"/>
        <s v="6134052"/>
        <s v="3160021"/>
        <s v="4114022"/>
        <s v="7667022"/>
        <s v="6606092"/>
        <s v="7952022"/>
        <s v="8010022"/>
        <s v="8011022"/>
        <s v="6103022"/>
        <s v="7693022"/>
        <s v="7697022"/>
        <s v="3131032"/>
        <s v="3131042"/>
        <s v="3131051"/>
        <s v="9985121"/>
        <s v="9985131"/>
        <s v="6129022"/>
        <s v="6648042"/>
        <s v="6607034"/>
        <s v="7066021"/>
        <s v="7066031"/>
        <s v="7612021"/>
        <s v="3159022"/>
        <s v="7527012"/>
        <s v="7527022"/>
        <s v="6111022"/>
        <s v="7410042"/>
        <s v="6108022"/>
        <s v="6006012"/>
        <s v="6006062"/>
        <s v="6314022"/>
        <s v="6314032"/>
        <s v="6607164"/>
        <s v="6607182"/>
        <s v="6607194"/>
        <s v="6607204"/>
        <s v="9963571"/>
        <s v="7802271"/>
        <s v="3100021"/>
        <s v="3100032"/>
        <s v="3100042"/>
        <s v="3100052"/>
        <s v="6022022"/>
        <s v="6022052"/>
        <s v="6022032"/>
        <s v="6022042"/>
        <s v="3058021"/>
        <s v="8030102"/>
        <s v="6607214"/>
        <s v="2011022"/>
        <s v="7950025"/>
        <s v="1013032"/>
        <s v="8868034"/>
        <s v="2066022"/>
        <s v="2066032"/>
        <s v="7525022"/>
        <s v="7689021"/>
        <s v="3175022"/>
        <s v="3175032"/>
        <s v="6315051"/>
        <s v="6315062"/>
        <s v="7068021"/>
        <s v="7053022"/>
        <s v="8806024"/>
        <s v="8031162"/>
        <s v="8031172"/>
        <s v="8031182"/>
        <s v="8031192"/>
        <s v="8031202"/>
        <s v="8031212"/>
        <s v="8031222"/>
        <s v="8031242"/>
        <s v="8031232"/>
        <s v="2200014"/>
        <s v="2200034"/>
        <s v="9988691"/>
        <s v="9989381"/>
        <s v="9995261"/>
        <s v="9995331"/>
        <s v="9995351"/>
        <s v="9995441"/>
        <s v="9995651"/>
        <s v="9995841"/>
        <s v="4101022"/>
        <s v="7556042"/>
        <s v="7556052"/>
        <s v="8063074"/>
        <s v="8063084"/>
        <s v="8063124"/>
        <s v="8063134"/>
        <s v="8063144"/>
        <s v="8063154"/>
        <s v="9985811"/>
        <s v="9986501"/>
        <s v="9986661"/>
        <s v="9986471"/>
        <s v="9991424"/>
        <s v="9991411"/>
        <s v="9991521"/>
        <s v="9995681"/>
        <s v="9995691"/>
        <s v="7802341"/>
        <s v="7911021"/>
        <s v="2009382"/>
        <s v="2009401"/>
        <s v="2009712"/>
        <s v="2009752"/>
        <s v="8858082"/>
        <s v="8858092"/>
        <s v="8858102"/>
        <s v="8858111"/>
        <s v="8858122"/>
        <s v="8858052"/>
        <s v="8858062"/>
        <s v="8858072"/>
        <s v="8858132"/>
        <s v="8864022"/>
        <s v="8864032"/>
        <s v="3145022"/>
        <s v="6137022"/>
        <s v="6608024"/>
        <s v="7672022"/>
        <s v="2273052"/>
        <s v="3164022"/>
        <s v="7541012"/>
        <s v="7541022"/>
        <s v="4117022"/>
        <s v="2123022"/>
        <s v="7532022"/>
        <s v="2060022"/>
        <s v="6612024"/>
        <s v="6613022"/>
        <s v="6613032"/>
        <s v="6614022"/>
        <s v="6615024"/>
        <s v="6616022"/>
        <s v="6617022"/>
        <s v="6619031"/>
        <s v="6619054"/>
        <s v="9963581"/>
        <s v="9963591"/>
        <s v="9963601"/>
        <s v="9988261"/>
        <s v="9989371"/>
        <s v="9995191"/>
        <s v="9995401"/>
        <s v="9995581"/>
        <s v="9995671"/>
        <s v="9995801"/>
        <s v="8913024"/>
        <s v="2010042"/>
        <s v="2010032"/>
        <s v="8096042"/>
        <s v="8096052"/>
        <s v="8096032"/>
        <s v="2926012"/>
        <s v="2926112"/>
        <s v="2926122"/>
        <s v="2926132"/>
        <s v="2926142"/>
        <s v="2058022"/>
        <s v="3037082"/>
        <s v="3037072"/>
        <s v="3081341"/>
        <s v="6087032"/>
        <s v="7520042"/>
        <s v="2100022"/>
        <s v="2100032"/>
        <s v="7012021"/>
        <s v="7012031"/>
        <s v="6098022"/>
        <s v="6098032"/>
        <s v="7801022"/>
        <s v="7802572"/>
        <s v="7802582"/>
        <s v="7802592"/>
        <s v="7802612"/>
        <s v="7802622"/>
        <s v="6619144"/>
        <s v="8899042"/>
        <s v="8899052"/>
        <s v="2907544"/>
        <s v="2907554"/>
        <s v="2907564"/>
        <s v="2907574"/>
        <s v="2907582"/>
        <s v="2907912"/>
        <s v="2907374"/>
        <s v="2907404"/>
        <s v="2907424"/>
        <s v="2907434"/>
        <s v="2907452"/>
        <s v="2907464"/>
        <s v="2907474"/>
        <s v="2907484"/>
        <s v="2907494"/>
        <s v="2907504"/>
        <s v="2907512"/>
        <s v="2907522"/>
        <s v="2907532"/>
        <s v="2907594"/>
        <s v="2907604"/>
        <s v="2907614"/>
        <s v="2907622"/>
        <s v="7813032"/>
        <s v="7813042"/>
        <s v="9963611"/>
        <s v="9963622"/>
        <s v="9963631"/>
        <s v="9963641"/>
        <s v="9963651"/>
        <s v="9963661"/>
        <s v="9963671"/>
        <s v="9963681"/>
        <s v="9963691"/>
        <s v="9963701"/>
        <s v="9963711"/>
        <s v="9963731"/>
        <s v="9985202"/>
        <s v="9985211"/>
        <s v="9988141"/>
        <s v="9995821"/>
        <s v="9995871"/>
        <s v="9995881"/>
        <s v="9995891"/>
        <s v="9963741"/>
        <s v="9963751"/>
        <s v="2908024"/>
        <s v="2057022"/>
        <s v="7605132"/>
        <s v="7605142"/>
        <s v="7605152"/>
        <s v="7605162"/>
        <s v="7605172"/>
        <s v="7605022"/>
        <s v="7605032"/>
        <s v="7605042"/>
        <s v="7605052"/>
        <s v="7605062"/>
        <s v="7605072"/>
        <s v="7605082"/>
        <s v="7605092"/>
        <s v="7605102"/>
        <s v="7605112"/>
        <s v="7605122"/>
        <s v="8005022"/>
        <s v="3061052"/>
        <s v="3061022"/>
        <s v="3061032"/>
        <s v="3061042"/>
        <s v="3061062"/>
        <s v="7811761"/>
        <s v="7811871"/>
        <s v="7811961"/>
        <s v="7812071"/>
        <s v="7812081"/>
        <s v="7812121"/>
        <s v="3074052"/>
        <s v="2056022"/>
        <s v="7681022"/>
        <s v="7681032"/>
        <s v="2126022"/>
        <s v="1282042"/>
        <s v="7802292"/>
        <s v="3158022"/>
        <s v="8080322"/>
        <s v="8080332"/>
        <s v="8080342"/>
        <s v="8080352"/>
        <s v="8080362"/>
        <s v="8080372"/>
        <s v="8080382"/>
        <s v="8080392"/>
        <s v="8080402"/>
        <s v="8080412"/>
        <s v="8080422"/>
        <s v="8080132"/>
        <s v="8080152"/>
        <s v="8080202"/>
        <s v="8080232"/>
        <s v="8080242"/>
        <s v="8080252"/>
        <s v="8080262"/>
        <s v="8080272"/>
        <s v="8080282"/>
        <s v="8080292"/>
        <s v="8080302"/>
        <s v="8180042"/>
        <s v="8181032"/>
        <s v="8182032"/>
        <s v="8183032"/>
        <s v="8184022"/>
        <s v="6019012"/>
        <s v="6019082"/>
        <s v="6019092"/>
        <s v="6019102"/>
        <s v="6019111"/>
        <s v="6019122"/>
        <s v="3168032"/>
        <s v="3168042"/>
        <s v="3168022"/>
        <s v="7802411"/>
        <s v="2150084"/>
        <s v="2150644"/>
        <s v="2150864"/>
        <s v="2150884"/>
        <s v="2150894"/>
        <s v="2150902"/>
        <s v="9963761"/>
        <s v="9981331"/>
        <s v="9981501"/>
        <s v="9991291"/>
        <s v="9991491"/>
        <s v="9995052"/>
        <s v="9995051"/>
        <s v="9995091"/>
        <s v="9995131"/>
        <s v="9995201"/>
        <s v="9995211"/>
        <s v="9995451"/>
        <s v="9995601"/>
        <s v="9995861"/>
        <s v="9952012"/>
        <s v="9952022"/>
        <s v="9952032"/>
        <s v="7538042"/>
        <s v="3021042"/>
        <s v="7630022"/>
        <s v="7630032"/>
        <s v="7802472"/>
        <s v="7505432"/>
        <s v="7505462"/>
        <s v="7505472"/>
        <s v="7505482"/>
        <s v="7505322"/>
        <s v="7505382"/>
        <s v="7505392"/>
        <s v="7505422"/>
        <s v="7505442"/>
        <s v="7505452"/>
        <s v="3126092"/>
        <s v="3126082"/>
        <s v="3126052"/>
        <s v="3126072"/>
        <s v="3126062"/>
        <s v="3126102"/>
        <s v="3154022"/>
        <s v="7536021"/>
        <s v="7636352"/>
        <s v="7636362"/>
        <s v="7636372"/>
        <s v="7636012"/>
        <s v="7636212"/>
        <s v="7636232"/>
        <s v="7636292"/>
        <s v="7636302"/>
        <s v="7636312"/>
        <s v="7636322"/>
        <s v="7636332"/>
        <s v="7655092"/>
        <s v="7655102"/>
        <s v="7655112"/>
        <s v="7655032"/>
        <s v="7655042"/>
        <s v="7655052"/>
        <s v="7655062"/>
        <s v="7655072"/>
        <s v="7655082"/>
        <s v="4006022"/>
        <s v="7049022"/>
        <s v="7049032"/>
        <s v="7049042"/>
        <s v="6065082"/>
        <s v="8080312"/>
        <s v="7011012"/>
        <s v="7011022"/>
        <s v="7011031"/>
        <s v="7670024"/>
        <s v="6400092"/>
        <s v="7629042"/>
        <s v="7629052"/>
        <s v="7629062"/>
        <s v="7629072"/>
        <s v="7629082"/>
        <s v="7629092"/>
        <s v="7629022"/>
        <s v="7629032"/>
        <s v="7524122"/>
        <s v="7692022"/>
        <s v="7700052"/>
        <s v="7700062"/>
        <s v="7700072"/>
        <s v="7700082"/>
        <s v="7702032"/>
        <s v="7702042"/>
        <s v="7663022"/>
        <s v="2051362"/>
        <s v="2051372"/>
        <s v="2051214"/>
        <s v="2051314"/>
        <s v="2051321"/>
        <s v="2051334"/>
        <s v="2051344"/>
        <s v="2051354"/>
        <s v="2065062"/>
        <s v="2065072"/>
        <s v="2129021"/>
        <s v="9963772"/>
        <s v="9963781"/>
        <s v="9988841"/>
        <s v="9989401"/>
        <s v="9991091"/>
        <s v="9991261"/>
        <s v="9995591"/>
        <s v="9995751"/>
        <s v="9995791"/>
        <s v="9995811"/>
        <s v="9995901"/>
        <s v="9995911"/>
        <s v="9963792"/>
        <s v="7607022"/>
        <s v="2083072"/>
        <s v="2083062"/>
        <s v="2125032"/>
        <s v="2125042"/>
        <s v="2125052"/>
        <s v="2125062"/>
        <s v="2125072"/>
        <s v="2125082"/>
        <s v="2125092"/>
        <s v="3016132"/>
        <s v="3016142"/>
        <s v="3016122"/>
        <s v="7802392"/>
        <s v="7694022"/>
        <s v="7625022"/>
        <s v="2042022"/>
        <s v="2042032"/>
        <s v="2191012"/>
        <s v="7045032"/>
        <s v="7045052"/>
        <s v="7045062"/>
        <s v="7045072"/>
        <s v="3161022"/>
        <s v="2191211"/>
        <s v="7619042"/>
        <s v="2114072"/>
        <s v="2114082"/>
        <s v="2114092"/>
        <s v="2114112"/>
        <s v="2114122"/>
        <s v="2114062"/>
        <s v="2114102"/>
        <s v="2144112"/>
        <s v="6619244"/>
        <s v="6619254"/>
        <s v="6619284"/>
        <s v="6619292"/>
        <s v="6619302"/>
        <s v="6619314"/>
        <s v="6622032"/>
        <s v="6622042"/>
        <s v="6625022"/>
        <s v="6628024"/>
        <s v="6630024"/>
        <s v="6630034"/>
        <s v="6637044"/>
        <s v="6638042"/>
        <s v="9963802"/>
        <s v="9963811"/>
        <s v="9963821"/>
        <s v="9963831"/>
        <s v="9981512"/>
        <s v="9985891"/>
        <s v="9989241"/>
        <s v="9989901"/>
        <s v="9990204"/>
        <s v="9991182"/>
        <s v="9991702"/>
        <s v="9991921"/>
        <s v="9995551"/>
        <s v="9995851"/>
        <s v="7043022"/>
        <s v="7043032"/>
        <s v="7616022"/>
        <s v="7616032"/>
        <s v="6136021"/>
        <s v="6122021"/>
        <s v="2124022"/>
        <s v="2124032"/>
        <s v="6023192"/>
        <s v="6023032"/>
        <s v="6023162"/>
        <s v="6023172"/>
        <s v="6023182"/>
        <s v="6027072"/>
        <s v="6027082"/>
        <s v="6027092"/>
        <s v="7571024"/>
        <s v="7571032"/>
        <s v="7545032"/>
        <s v="7643052"/>
        <s v="6141022"/>
        <s v="1202512"/>
        <s v="1202522"/>
        <s v="1202542"/>
        <s v="1202562"/>
        <s v="1202592"/>
        <s v="1202602"/>
        <s v="1202612"/>
        <s v="1202622"/>
        <s v="1203662"/>
        <s v="1203692"/>
        <s v="1203722"/>
        <s v="1203732"/>
        <s v="1203742"/>
        <s v="1203752"/>
        <s v="1203762"/>
        <s v="1203422"/>
        <s v="1203432"/>
        <s v="1203452"/>
        <s v="1203482"/>
        <s v="1203492"/>
        <s v="1203532"/>
        <s v="1203572"/>
        <s v="1203592"/>
        <s v="1203602"/>
        <s v="1203612"/>
        <s v="1203622"/>
        <s v="1203632"/>
        <s v="1203642"/>
        <s v="1203652"/>
        <s v="1203672"/>
        <s v="1203682"/>
        <s v="1203702"/>
        <s v="1203712"/>
        <s v="1204022"/>
        <s v="1204032"/>
        <s v="1204042"/>
        <s v="1204052"/>
        <s v="1204062"/>
        <s v="1240952"/>
        <s v="1241014"/>
        <s v="1241094"/>
        <s v="1241102"/>
        <s v="1241112"/>
        <s v="1241122"/>
        <s v="1241162"/>
        <s v="1241172"/>
        <s v="1241184"/>
        <s v="1241192"/>
        <s v="1241202"/>
        <s v="1241214"/>
        <s v="1241224"/>
        <s v="1241234"/>
        <s v="1241242"/>
        <s v="1241264"/>
        <s v="1241272"/>
        <s v="1241282"/>
        <s v="1241294"/>
        <s v="1241304"/>
        <s v="1241314"/>
        <s v="1241324"/>
        <s v="1241334"/>
        <s v="1241342"/>
        <s v="1241352"/>
        <s v="1241362"/>
        <s v="1241374"/>
        <s v="1241382"/>
        <s v="1241384"/>
        <s v="1241394"/>
        <s v="1241404"/>
        <s v="1241412"/>
        <s v="1241422"/>
        <s v="1241432"/>
        <s v="1241444"/>
        <s v="1241454"/>
        <s v="1241462"/>
        <s v="1366032"/>
        <s v="1366021"/>
        <s v="9995531"/>
        <s v="9995641"/>
        <s v="9995922"/>
        <s v="9995961"/>
        <s v="9995971"/>
        <s v="6020102"/>
        <s v="6020092"/>
        <s v="6112022"/>
        <s v="2035022"/>
        <s v="7592102"/>
        <s v="7592112"/>
        <s v="7592122"/>
        <s v="7596022"/>
        <s v="7592072"/>
        <s v="7592092"/>
        <s v="7490042"/>
        <s v="7676022"/>
        <s v="7676032"/>
        <s v="3009082"/>
        <s v="3009052"/>
        <s v="3009062"/>
        <s v="3009072"/>
        <s v="3009092"/>
        <s v="3009102"/>
        <s v="3052022"/>
        <s v="3146022"/>
        <s v="8898322"/>
        <s v="8898432"/>
        <s v="8902052"/>
        <s v="8903062"/>
        <s v="8903042"/>
        <s v="8903052"/>
        <s v="8903072"/>
        <s v="8876122"/>
        <s v="7666022"/>
        <s v="7566052"/>
        <s v="8066022"/>
        <s v="6001022"/>
        <s v="4009032"/>
        <s v="4009022"/>
        <s v="2041022"/>
        <s v="7573052"/>
        <s v="7573042"/>
        <s v="7022132"/>
        <s v="7022152"/>
        <s v="7022162"/>
        <s v="6646072"/>
        <s v="7533032"/>
        <s v="7533012"/>
        <s v="7533022"/>
        <s v="7603024"/>
        <s v="7811081"/>
        <s v="7683022"/>
        <s v="7683032"/>
        <s v="7683042"/>
        <s v="3178022"/>
        <s v="8866052"/>
        <s v="7662042"/>
        <s v="7662022"/>
        <s v="7662032"/>
        <s v="7035022"/>
        <s v="7035032"/>
        <s v="6115022"/>
        <s v="6501042"/>
        <s v="6501052"/>
        <s v="6135022"/>
        <s v="7583072"/>
        <s v="7583082"/>
        <s v="7015022"/>
        <s v="7435102"/>
        <s v="2031022"/>
        <s v="7572024"/>
        <s v="9985141"/>
        <s v="9985151"/>
        <s v="6116024"/>
        <s v="6646092"/>
        <s v="2109021"/>
        <s v="2122021"/>
        <s v="1066022"/>
        <s v="2043022"/>
        <s v="2119032"/>
        <s v="2119022"/>
        <s v="6646132"/>
        <s v="6646142"/>
        <s v="6646152"/>
        <s v="9981051"/>
        <s v="9963841"/>
        <s v="3040322"/>
        <s v="3040332"/>
        <s v="3040342"/>
        <s v="3040352"/>
        <s v="7812111"/>
        <s v="7648032"/>
        <s v="6646162"/>
        <s v="3071032"/>
        <s v="3071022"/>
        <s v="3155012"/>
        <s v="3155022"/>
        <s v="3134012"/>
        <s v="3134032"/>
        <s v="6109022"/>
        <s v="7691022"/>
        <s v="6118021"/>
        <s v="8012022"/>
        <s v="6138022"/>
        <s v="6646172"/>
        <s v="6126032"/>
        <s v="6126022"/>
        <s v="6126042"/>
        <s v="7610022"/>
        <s v="4123021"/>
        <s v="3163022"/>
        <s v="6104024"/>
        <s v="6104032"/>
        <s v="6104042"/>
        <s v="4115042"/>
        <s v="4115052"/>
        <s v="2102021"/>
        <s v="2102031"/>
        <s v="2102041"/>
        <s v="2102051"/>
        <s v="2102061"/>
        <s v="2102071"/>
        <s v="9996912"/>
        <s v="2927114"/>
        <s v="8001062"/>
        <s v="8001072"/>
        <s v="8001082"/>
        <s v="8001012"/>
        <s v="8001022"/>
        <s v="8001032"/>
        <s v="8001042"/>
        <s v="8001052"/>
        <s v="7031021"/>
        <s v="7031032"/>
        <s v="7031042"/>
        <s v="6646182"/>
        <s v="3117032"/>
        <s v="7707212"/>
        <s v="7707232"/>
        <s v="7707292"/>
        <s v="7707172"/>
        <s v="7707182"/>
        <s v="7707192"/>
        <s v="7707202"/>
        <s v="7707222"/>
        <s v="7707242"/>
        <s v="7707252"/>
        <s v="7707262"/>
        <s v="7707272"/>
        <s v="7707282"/>
        <s v="7707302"/>
        <s v="7707312"/>
        <s v="8827032"/>
        <s v="3151022"/>
        <s v="7686022"/>
        <s v="7686032"/>
        <s v="3003032"/>
        <s v="8027042"/>
        <s v="7022222"/>
        <s v="7022232"/>
        <s v="7022182"/>
        <s v="7022192"/>
        <s v="7022202"/>
        <s v="7022212"/>
        <s v="7036022"/>
        <s v="7510021"/>
        <s v="7802301"/>
        <s v="6646232"/>
        <s v="6120022"/>
        <s v="8000021"/>
        <s v="2115024"/>
        <s v="2115034"/>
        <s v="2115044"/>
        <s v="2115054"/>
        <s v="9995271"/>
        <s v="9995311"/>
        <s v="2103102"/>
        <s v="2103142"/>
        <s v="2127022"/>
        <s v="6063052"/>
        <s v="7620022"/>
        <s v="7620032"/>
        <s v="3184022"/>
        <s v="1282122"/>
        <s v="3171022"/>
        <s v="3048072"/>
        <s v="3048082"/>
        <s v="2927092"/>
        <s v="2927101"/>
        <s v="1371062"/>
        <s v="1371092"/>
        <s v="3080022"/>
        <s v="7041022"/>
        <s v="8808024"/>
        <s v="3153022"/>
        <s v="3170022"/>
        <s v="7664022"/>
        <s v="7631062"/>
        <s v="6102022"/>
        <s v="2032022"/>
        <s v="3043032"/>
        <s v="3043022"/>
        <s v="7044022"/>
        <s v="6139022"/>
        <s v="7645021"/>
        <s v="7657022"/>
        <s v="7569042"/>
        <s v="6424042"/>
        <s v="6127022"/>
        <s v="6127032"/>
        <s v="7014022"/>
        <s v="6312022"/>
        <s v="6312032"/>
        <s v="6312042"/>
        <s v="7518032"/>
        <s v="1995132"/>
        <s v="1995142"/>
        <s v="1995094"/>
        <s v="1995101"/>
        <s v="1995112"/>
        <s v="1995122"/>
        <s v="1995012"/>
        <s v="3029052"/>
        <s v="3025024"/>
        <s v="3025074"/>
        <s v="3025104"/>
        <s v="3025092"/>
        <s v="9995631"/>
        <s v="7669042"/>
        <s v="7669021"/>
        <s v="7669031"/>
        <s v="7699032"/>
        <s v="3176022"/>
        <s v="3176032"/>
        <s v="4124012"/>
        <s v="4124022"/>
        <s v="1976021"/>
        <s v="1977022"/>
        <s v="7398022"/>
        <s v="7399062"/>
        <s v="7400021"/>
        <s v="7628032"/>
        <s v="7628022"/>
        <s v="8809012"/>
        <s v="8809022"/>
        <s v="8809032"/>
        <s v="3086032"/>
        <s v="3086114"/>
        <s v="3086122"/>
        <s v="3086132"/>
        <s v="3086142"/>
        <s v="1016172"/>
        <s v="1016182"/>
        <s v="1016192"/>
        <s v="1016202"/>
        <s v="1016042"/>
        <s v="1016062"/>
        <s v="1016072"/>
        <s v="1016112"/>
        <s v="1016132"/>
        <s v="1016142"/>
        <s v="1016152"/>
        <s v="1016162"/>
        <s v="7057022"/>
        <s v="8821024"/>
        <s v="3135022"/>
        <s v="2069054"/>
        <s v="2070654"/>
        <s v="2073321"/>
        <s v="2073331"/>
        <s v="2073371"/>
        <s v="2073381"/>
        <s v="2073391"/>
        <s v="2073281"/>
        <s v="2073351"/>
        <s v="2077131"/>
        <s v="7802182"/>
        <s v="7802432"/>
        <s v="7802542"/>
        <s v="7802552"/>
        <s v="7802162"/>
        <s v="7802172"/>
        <s v="7802321"/>
        <s v="7802332"/>
        <s v="7802442"/>
        <s v="9991991"/>
        <s v="9994162"/>
        <s v="1190052"/>
        <s v="1190062"/>
        <s v="1190092"/>
        <s v="1190072"/>
        <s v="1190082"/>
        <s v="7618022"/>
        <s v="7613022"/>
        <s v="6414022"/>
        <s v="8848062"/>
        <s v="8848072"/>
        <s v="8848082"/>
        <s v="8848052"/>
        <s v="6043022"/>
        <s v="3096021"/>
        <s v="3096032"/>
        <s v="6085034"/>
        <s v="6085022"/>
        <s v="2903044"/>
        <s v="3140022"/>
        <s v="7802251"/>
        <s v="2890112"/>
        <s v="2890122"/>
        <s v="2890081"/>
        <s v="2891041"/>
        <s v="2891021"/>
        <s v="2891031"/>
        <s v="8029062"/>
        <s v="8029072"/>
        <s v="8029082"/>
        <s v="8029091"/>
        <s v="3111074"/>
        <s v="3167022"/>
        <s v="3056012"/>
        <s v="3056022"/>
        <s v="6143022"/>
        <s v="7506021"/>
        <s v="7506032"/>
        <s v="7802041"/>
        <s v="8014022"/>
        <s v="7054042"/>
        <s v="7054052"/>
        <s v="7054062"/>
        <s v="7054082"/>
        <s v="7054022"/>
        <s v="7054032"/>
        <s v="7054072"/>
        <s v="6144022"/>
        <s v="3138022"/>
        <s v="7598032"/>
        <s v="7062021"/>
        <s v="7910022"/>
        <s v="7802522"/>
        <s v="7802512"/>
        <s v="8826024"/>
        <s v="7802352"/>
        <s v="7802482"/>
        <s v="7802502"/>
        <s v="3180021"/>
        <s v="6095021"/>
        <s v="6095031"/>
        <s v="8039022"/>
        <s v="6026022"/>
        <s v="7025041"/>
        <s v="6025022"/>
        <s v="6025032"/>
        <s v="8834032"/>
        <s v="8834042"/>
        <s v="8835122"/>
        <s v="8841032"/>
        <s v="8838042"/>
        <s v="8841022"/>
        <s v="8852022"/>
        <s v="8007031"/>
        <s v="8117022"/>
        <s v="8117032"/>
        <s v="8117062"/>
        <s v="8128022"/>
        <s v="8129042"/>
        <s v="8129022"/>
        <s v="8129032"/>
        <s v="8130022"/>
        <s v="6114022"/>
        <s v="3076052"/>
        <s v="3076032"/>
        <s v="3076042"/>
        <s v="3064032"/>
        <s v="3064022"/>
        <s v="1003022"/>
        <s v="1003032"/>
        <s v="7615022"/>
        <s v="6117022"/>
        <s v="6010032"/>
        <s v="6010022"/>
        <s v="7696022"/>
        <s v="2050022"/>
        <s v="2136022"/>
        <s v="2136032"/>
        <s v="6649022"/>
        <s v="6649042"/>
        <s v="6649052"/>
        <s v="6649062"/>
        <s v="6654022"/>
        <s v="6656032"/>
        <s v="6657022"/>
        <s v="6659032"/>
        <s v="6660034"/>
        <s v="6660042"/>
        <s v="3182022"/>
        <s v="1770452"/>
        <s v="1770024"/>
        <s v="1770044"/>
        <s v="1770054"/>
        <s v="1770074"/>
        <s v="1770084"/>
        <s v="1770114"/>
        <s v="1770234"/>
        <s v="1770254"/>
        <s v="1770264"/>
        <s v="1770274"/>
        <s v="1770284"/>
        <s v="1770294"/>
        <s v="1770304"/>
        <s v="1770314"/>
        <s v="1770324"/>
        <s v="1770334"/>
        <s v="1770384"/>
        <s v="1770394"/>
        <s v="1770404"/>
        <s v="1770414"/>
        <s v="1770424"/>
        <s v="1770434"/>
        <s v="1770444"/>
        <s v="1988402"/>
        <s v="1988431"/>
        <s v="1988441"/>
        <s v="1988452"/>
        <s v="1988461"/>
        <s v="1988012"/>
        <s v="1988062"/>
        <s v="1988181"/>
        <s v="1988204"/>
        <s v="1988211"/>
        <s v="1988331"/>
        <s v="1988341"/>
        <s v="1988391"/>
        <s v="1988414"/>
        <s v="1988381"/>
        <s v="9963851"/>
        <s v="9963852"/>
        <s v="9963865"/>
        <s v="9963871"/>
        <s v="9963881"/>
        <s v="9981521"/>
        <s v="9991071"/>
        <s v="9992022"/>
        <s v="9992051"/>
        <s v="9992101"/>
        <s v="9992321"/>
        <s v="9992422"/>
        <s v="9995992"/>
        <s v="9996694"/>
        <s v="7803022"/>
        <s v="3067022"/>
        <s v="3067034"/>
        <s v="3067044"/>
        <s v="8884082"/>
        <s v="8984092"/>
        <s v="7656022"/>
        <s v="6142022"/>
        <s v="7671022"/>
        <s v="7671032"/>
        <s v="7671042"/>
        <s v="2071022"/>
        <s v="7010082"/>
        <s v="8122032"/>
        <s v="1600032"/>
        <s v="7604032"/>
        <s v="7604022"/>
        <s v="7604042"/>
        <s v="7537022"/>
        <s v="6412022"/>
        <s v="6128022"/>
        <s v="8118032"/>
        <s v="6060042"/>
        <s v="7632022"/>
        <s v="7632034"/>
        <s v="4011012"/>
        <s v="4011022"/>
        <s v="7601012"/>
        <s v="7601052"/>
        <s v="3062021"/>
        <s v="6311022"/>
        <s v="7508022"/>
        <s v="8026012"/>
        <s v="3166022"/>
        <s v="8018132"/>
        <s v="8018012"/>
        <s v="8018074"/>
        <s v="8018084"/>
        <s v="8018092"/>
        <s v="8018102"/>
        <s v="8018114"/>
        <s v="8018122"/>
        <s v="8018142"/>
        <s v="9995021"/>
        <s v="9995031"/>
        <s v="6303032"/>
        <s v="6303024"/>
        <s v="7513102"/>
        <s v="7513112"/>
        <s v="7513122"/>
        <s v="7513132"/>
        <s v="7513142"/>
        <s v="7513152"/>
        <s v="7513162"/>
        <s v="7513172"/>
        <s v="7513182"/>
        <s v="7513012"/>
        <s v="7513032"/>
        <s v="7513042"/>
        <s v="7513052"/>
        <s v="7513062"/>
        <s v="7513072"/>
        <s v="7513082"/>
        <s v="7513092"/>
        <s v="6131021"/>
        <s v="6131031"/>
        <s v="6015082"/>
        <s v="8909022"/>
        <s v="3057012"/>
        <s v="3057022"/>
        <s v="2037022"/>
        <s v="1982031"/>
        <s v="1982041"/>
        <s v="6094012"/>
        <s v="6094022"/>
        <s v="1004042"/>
        <s v="1950962"/>
        <s v="1950972"/>
        <s v="1950982"/>
        <s v="1950992"/>
        <s v="1951092"/>
        <s v="1951054"/>
        <s v="1951062"/>
        <s v="1951072"/>
        <s v="1951082"/>
        <s v="1953012"/>
        <s v="1965022"/>
        <s v="3016012"/>
        <s v="3016042"/>
        <s v="3016062"/>
        <s v="3016072"/>
        <s v="3016092"/>
        <s v="3016102"/>
        <s v="3016112"/>
        <s v="1004032"/>
        <s v="1004022"/>
        <s v="2036021"/>
        <s v="7677022"/>
        <s v="3046054"/>
        <s v="3046124"/>
        <s v="3046134"/>
        <s v="3046144"/>
        <s v="9989831"/>
        <s v="9991051"/>
        <s v="9995491"/>
        <s v="9995931"/>
        <s v="3053022"/>
        <s v="2078022"/>
        <s v="6055052"/>
        <s v="6055062"/>
        <s v="6055072"/>
        <s v="6055082"/>
        <s v="6055092"/>
        <s v="6055102"/>
        <s v="6055132"/>
        <s v="6055112"/>
        <s v="6055024"/>
        <s v="6055034"/>
        <s v="6055044"/>
        <s v="9963891"/>
        <s v="9963901"/>
        <s v="9963911"/>
        <s v="9963921"/>
        <s v="9963931"/>
        <s v="9963941"/>
        <s v="9963951"/>
        <s v="9963961"/>
        <s v="9981532"/>
        <s v="9981541"/>
        <s v="9995781"/>
        <s v="3181022"/>
        <s v="6664022"/>
        <s v="6666022"/>
        <s v="6667022"/>
        <s v="6668022"/>
        <s v="6669022"/>
        <s v="6675021"/>
        <s v="7956071"/>
        <s v="7968032"/>
        <s v="7954032"/>
        <s v="7954022"/>
        <s v="7406332"/>
        <s v="8035271"/>
        <s v="2052042"/>
        <s v="2052032"/>
        <s v="2053031"/>
        <s v="6313042"/>
        <s v="6313052"/>
        <s v="6313062"/>
        <s v="6313072"/>
        <s v="8108252"/>
        <s v="8108262"/>
        <s v="8108162"/>
        <s v="8108182"/>
        <s v="8108192"/>
        <s v="8108202"/>
        <s v="8108212"/>
        <s v="8108222"/>
        <s v="8108232"/>
        <s v="8108242"/>
        <s v="7621032"/>
        <s v="7621022"/>
        <s v="3063012"/>
        <s v="3063022"/>
        <s v="3179022"/>
        <s v="6029022"/>
        <s v="8106042"/>
        <s v="8042082"/>
        <s v="7568042"/>
        <s v="7568012"/>
        <s v="7568032"/>
        <s v="2130062"/>
        <s v="2130072"/>
        <s v="3073042"/>
        <s v="3157022"/>
        <s v="2130082"/>
        <s v="1005032"/>
        <s v="1005021"/>
        <s v="1005031"/>
        <s v="1005041"/>
        <s v="9990932"/>
        <s v="1575022"/>
        <s v="1512162"/>
        <s v="1512102"/>
        <s v="1512111"/>
        <s v="1512121"/>
        <s v="1512132"/>
        <s v="1512142"/>
        <s v="1512152"/>
        <s v="1527062"/>
        <s v="1567042"/>
        <s v="1567052"/>
        <s v="1567132"/>
        <s v="1567142"/>
        <s v="1567162"/>
        <s v="1567172"/>
        <s v="1567182"/>
        <s v="1567192"/>
        <s v="1567204"/>
        <s v="1567212"/>
        <s v="1567222"/>
        <s v="1567232"/>
        <s v="1567252"/>
        <s v="1567264"/>
        <s v="1567272"/>
        <s v="1567282"/>
        <s v="1567292"/>
        <s v="1568112"/>
        <s v="1568012"/>
        <s v="1568102"/>
        <s v="1572082"/>
        <s v="1572092"/>
        <s v="1572102"/>
        <s v="1572051"/>
        <s v="1572062"/>
        <s v="1572072"/>
        <s v="1572112"/>
        <s v="1900362"/>
        <s v="1900012"/>
        <s v="1900331"/>
        <s v="1900342"/>
        <s v="1900352"/>
        <s v="2025012"/>
        <s v="2025022"/>
        <s v="3029012"/>
        <s v="3029062"/>
        <s v="7047022"/>
        <s v="9963971"/>
        <s v="9963981"/>
        <s v="9963991"/>
        <s v="9996881"/>
        <s v="9996892"/>
        <s v="9996901"/>
        <s v="1980472"/>
        <s v="1980482"/>
        <s v="1980492"/>
        <s v="1980502"/>
        <s v="1980512"/>
        <s v="1980521"/>
        <s v="7811741"/>
        <s v="7811771"/>
        <s v="7811901"/>
        <s v="7811911"/>
        <s v="7812091"/>
        <s v="7812101"/>
        <s v="8116042"/>
        <s v="8116062"/>
        <s v="8116032"/>
        <s v="8116052"/>
        <s v="3093022"/>
        <s v="6119022"/>
        <s v="3092084"/>
        <s v="7010052"/>
        <s v="7010062"/>
        <s v="7010072"/>
        <s v="7010022"/>
        <s v="7010032"/>
        <s v="7010041"/>
        <s v="9962021"/>
        <s v="7695042"/>
        <s v="7695022"/>
        <s v="7695032"/>
        <n v="6145022"/>
        <s v="4007024"/>
        <s v="9985181"/>
        <s v="7682022"/>
        <s v="2007121"/>
        <s v="2007131"/>
        <s v="2007141"/>
        <s v="2007151"/>
        <s v="2007074"/>
        <s v="2007101"/>
        <s v="2007114"/>
        <s v="9989601"/>
        <s v="9991511"/>
        <s v="9996654"/>
        <s v="8866042"/>
        <s v="7500021"/>
        <s v="3165022"/>
        <s v="3104021"/>
        <s v="2040022"/>
        <s v="2040031"/>
        <s v="8087024"/>
        <s v="8087202"/>
        <s v="8087214"/>
        <s v="8087224"/>
        <s v="9989461"/>
        <s v="3169022"/>
        <s v="3042032"/>
        <s v="6081032"/>
        <s v="7684022"/>
        <s v="3156024"/>
        <s v="8823062"/>
        <s v="7622022"/>
        <s v="7070021"/>
        <s v="2044024"/>
        <s v="2044144"/>
        <s v="2044174"/>
        <s v="9995981"/>
        <s v="9989261"/>
        <s v="9989681"/>
        <s v="9995431"/>
        <s v="9995951"/>
        <s v="7445071"/>
        <s v="7451031"/>
        <s v="7673022"/>
        <s v="3031022"/>
        <s v="3031032"/>
        <s v="3031042"/>
        <s v="2250252"/>
        <s v="2250262"/>
        <s v="2250272"/>
        <s v="2250282"/>
        <s v="2250292"/>
        <s v="2250012"/>
        <s v="2250242"/>
        <s v="2039022"/>
        <s v="3139024"/>
        <s v="9985031"/>
        <s v="9985091"/>
        <s v="7704022"/>
        <s v="6097012"/>
        <s v="6097022"/>
        <m/>
        <n v="27311" u="1"/>
        <n v="8911202" u="1"/>
        <n v="9991702" u="1"/>
        <n v="1988431" u="1"/>
        <n v="6095031" u="1"/>
        <n v="6104024" u="1"/>
        <n v="8000021" u="1"/>
        <n v="9963451" u="1"/>
        <n v="1003022" u="1"/>
        <n v="1003032" u="1"/>
        <n v="1004022" u="1"/>
        <n v="1011182" u="1"/>
        <n v="1011192" u="1"/>
        <n v="1013032" u="1"/>
        <n v="1015072" u="1"/>
        <n v="1016042" u="1"/>
        <n v="1016062" u="1"/>
        <n v="1016072" u="1"/>
        <n v="1016112" u="1"/>
        <n v="1016132" u="1"/>
        <n v="1016142" u="1"/>
        <n v="1016152" u="1"/>
        <n v="1016162" u="1"/>
        <n v="1044132" u="1"/>
        <n v="1066022" u="1"/>
        <n v="1076022" u="1"/>
        <n v="1077021" u="1"/>
        <n v="1077032" u="1"/>
        <n v="1077042" u="1"/>
        <n v="1077052" u="1"/>
        <n v="1106042" u="1"/>
        <n v="1106082" u="1"/>
        <n v="1106092" u="1"/>
        <n v="1107132" u="1"/>
        <n v="1110012" u="1"/>
        <n v="1110542" u="1"/>
        <n v="1110732" u="1"/>
        <n v="1110752" u="1"/>
        <n v="1110771" u="1"/>
        <n v="1110782" u="1"/>
        <n v="1110792" u="1"/>
        <n v="1113112" u="1"/>
        <n v="1118032" u="1"/>
        <n v="1118072" u="1"/>
        <n v="1118122" u="1"/>
        <n v="1118132" u="1"/>
        <n v="1118142" u="1"/>
        <n v="1124302" u="1"/>
        <n v="1124312" u="1"/>
        <n v="1124324" u="1"/>
        <n v="1156182" u="1"/>
        <n v="1156192" u="1"/>
        <n v="1156202" u="1"/>
        <n v="1156212" u="1"/>
        <n v="1156222" u="1"/>
        <n v="1190042" u="1"/>
        <n v="1201012" u="1"/>
        <n v="1202512" u="1"/>
        <n v="1202522" u="1"/>
        <n v="1202542" u="1"/>
        <n v="1202562" u="1"/>
        <n v="1202592" u="1"/>
        <n v="1202602" u="1"/>
        <n v="1202612" u="1"/>
        <n v="1202622" u="1"/>
        <n v="1203422" u="1"/>
        <n v="1203432" u="1"/>
        <n v="1203452" u="1"/>
        <n v="1203482" u="1"/>
        <n v="1203492" u="1"/>
        <n v="1203532" u="1"/>
        <n v="1203572" u="1"/>
        <n v="1203592" u="1"/>
        <n v="1203602" u="1"/>
        <n v="1203612" u="1"/>
        <n v="1203622" u="1"/>
        <n v="1203632" u="1"/>
        <n v="1203642" u="1"/>
        <n v="1204022" u="1"/>
        <n v="1204032" u="1"/>
        <n v="1204042" u="1"/>
        <n v="1204052" u="1"/>
        <n v="1204062" u="1"/>
        <n v="1241014" u="1"/>
        <n v="1241094" u="1"/>
        <n v="1241102" u="1"/>
        <n v="1241112" u="1"/>
        <n v="1241122" u="1"/>
        <n v="1241162" u="1"/>
        <n v="1241172" u="1"/>
        <n v="1241184" u="1"/>
        <n v="1241192" u="1"/>
        <n v="1241202" u="1"/>
        <n v="1241214" u="1"/>
        <n v="1241224" u="1"/>
        <n v="1241234" u="1"/>
        <n v="1241242" u="1"/>
        <n v="1241264" u="1"/>
        <n v="1241272" u="1"/>
        <n v="1241282" u="1"/>
        <n v="1241294" u="1"/>
        <n v="1241304" u="1"/>
        <n v="1241314" u="1"/>
        <n v="1282042" u="1"/>
        <n v="1332862" u="1"/>
        <n v="1332952" u="1"/>
        <n v="1336012" u="1"/>
        <n v="1336042" u="1"/>
        <n v="1336092" u="1"/>
        <n v="1336102" u="1"/>
        <n v="1336112" u="1"/>
        <n v="1336122" u="1"/>
        <n v="1336132" u="1"/>
        <n v="1336142" u="1"/>
        <n v="1336152" u="1"/>
        <n v="1336162" u="1"/>
        <n v="1336172" u="1"/>
        <n v="1336182" u="1"/>
        <n v="1336192" u="1"/>
        <n v="1336202" u="1"/>
        <n v="1336212" u="1"/>
        <n v="1336222" u="1"/>
        <n v="1336232" u="1"/>
        <n v="1336242" u="1"/>
        <n v="1336252" u="1"/>
        <n v="1336262" u="1"/>
        <n v="1366021" u="1"/>
        <n v="1371062" u="1"/>
        <n v="1371092" u="1"/>
        <n v="1512111" u="1"/>
        <n v="1512121" u="1"/>
        <n v="1512132" u="1"/>
        <n v="1512142" u="1"/>
        <n v="1527062" u="1"/>
        <n v="1567042" u="1"/>
        <n v="1567052" u="1"/>
        <n v="1567132" u="1"/>
        <n v="1567142" u="1"/>
        <n v="1567162" u="1"/>
        <n v="1567172" u="1"/>
        <n v="1567182" u="1"/>
        <n v="1567192" u="1"/>
        <n v="1567204" u="1"/>
        <n v="1567212" u="1"/>
        <n v="1568012" u="1"/>
        <n v="1568102" u="1"/>
        <n v="1570322" u="1"/>
        <n v="1570352" u="1"/>
        <n v="1570362" u="1"/>
        <n v="1572051" u="1"/>
        <n v="1572062" u="1"/>
        <n v="1572072" u="1"/>
        <n v="1770024" u="1"/>
        <n v="1770044" u="1"/>
        <n v="1770054" u="1"/>
        <n v="1770074" u="1"/>
        <n v="1770084" u="1"/>
        <n v="1770114" u="1"/>
        <n v="1770234" u="1"/>
        <n v="1770254" u="1"/>
        <n v="1770264" u="1"/>
        <n v="1770274" u="1"/>
        <n v="1770284" u="1"/>
        <n v="1770294" u="1"/>
        <n v="1770304" u="1"/>
        <n v="1770314" u="1"/>
        <n v="1770324" u="1"/>
        <n v="1770334" u="1"/>
        <n v="1770384" u="1"/>
        <n v="1770394" u="1"/>
        <n v="1770404" u="1"/>
        <n v="1770414" u="1"/>
        <n v="1770424" u="1"/>
        <n v="1900012" u="1"/>
        <n v="1900331" u="1"/>
        <n v="1900342" u="1"/>
        <n v="1900352" u="1"/>
        <n v="1950962" u="1"/>
        <n v="1950972" u="1"/>
        <n v="1950982" u="1"/>
        <n v="1950992" u="1"/>
        <n v="1951054" u="1"/>
        <n v="1965022" u="1"/>
        <n v="1970074" u="1"/>
        <n v="1970114" u="1"/>
        <n v="1970264" u="1"/>
        <n v="1970354" u="1"/>
        <n v="1970364" u="1"/>
        <n v="1970434" u="1"/>
        <n v="1970444" u="1"/>
        <n v="1970454" u="1"/>
        <n v="1970464" u="1"/>
        <n v="1970474" u="1"/>
        <n v="1971021" u="1"/>
        <n v="1971134" u="1"/>
        <n v="1971154" u="1"/>
        <n v="1971162" u="1"/>
        <n v="1972031" u="1"/>
        <n v="1972172" u="1"/>
        <n v="1972192" u="1"/>
        <n v="1972222" u="1"/>
        <n v="1972242" u="1"/>
        <n v="1972252" u="1"/>
        <n v="1972264" u="1"/>
        <n v="1972274" u="1"/>
        <n v="1980472" u="1"/>
        <n v="1980482" u="1"/>
        <n v="1980492" u="1"/>
        <n v="1980502" u="1"/>
        <n v="1980512" u="1"/>
        <n v="1982041" u="1"/>
        <n v="1988012" u="1"/>
        <n v="1988062" u="1"/>
        <n v="1988181" u="1"/>
        <n v="1988204" u="1"/>
        <n v="1988211" u="1"/>
        <n v="1988331" u="1"/>
        <n v="1988341" u="1"/>
        <n v="1988391" u="1"/>
        <n v="1988402" u="1"/>
        <n v="1988414" u="1"/>
        <n v="1994022" u="1"/>
        <n v="1995094" u="1"/>
        <n v="1995101" u="1"/>
        <n v="1995112" u="1"/>
        <n v="1995122" u="1"/>
        <n v="2001022" u="1"/>
        <n v="2001032" u="1"/>
        <n v="2001042" u="1"/>
        <n v="2007074" u="1"/>
        <n v="2007101" u="1"/>
        <n v="2007114" u="1"/>
        <n v="2009382" u="1"/>
        <n v="2009401" u="1"/>
        <n v="2009712" u="1"/>
        <n v="2009752" u="1"/>
        <n v="2010032" u="1"/>
        <n v="2011022" u="1"/>
        <n v="2013022" u="1"/>
        <n v="2013032" u="1"/>
        <n v="2013042" u="1"/>
        <n v="2014022" u="1"/>
        <n v="2017012" u="1"/>
        <n v="2025012" u="1"/>
        <n v="2025022" u="1"/>
        <n v="2030022" u="1"/>
        <n v="2030032" u="1"/>
        <n v="2030042" u="1"/>
        <n v="2030052" u="1"/>
        <n v="2030062" u="1"/>
        <n v="2031022" u="1"/>
        <n v="2031032" u="1"/>
        <n v="2031042" u="1"/>
        <n v="2031052" u="1"/>
        <n v="2032022" u="1"/>
        <n v="2033022" u="1"/>
        <n v="2034062" u="1"/>
        <n v="2035022" u="1"/>
        <n v="2036021" u="1"/>
        <n v="2037022" u="1"/>
        <n v="2038022" u="1"/>
        <n v="2039022" u="1"/>
        <n v="2044024" u="1"/>
        <n v="2044144" u="1"/>
        <n v="2044174" u="1"/>
        <n v="2045064" u="1"/>
        <n v="2045174" u="1"/>
        <n v="2051214" u="1"/>
        <n v="2051314" u="1"/>
        <n v="2051321" u="1"/>
        <n v="2051334" u="1"/>
        <n v="2051344" u="1"/>
        <n v="2051354" u="1"/>
        <n v="2056022" u="1"/>
        <n v="2058022" u="1"/>
        <n v="2069054" u="1"/>
        <n v="2070654" u="1"/>
        <n v="2073321" u="1"/>
        <n v="2073331" u="1"/>
        <n v="2073371" u="1"/>
        <n v="2082022" u="1"/>
        <n v="2083062" u="1"/>
        <n v="2089072" u="1"/>
        <n v="2096022" u="1"/>
        <n v="2096042" u="1"/>
        <n v="2097084" u="1"/>
        <n v="2098171" u="1"/>
        <n v="2099042" u="1"/>
        <n v="2099062" u="1"/>
        <n v="2099072" u="1"/>
        <n v="2103102" u="1"/>
        <n v="2103142" u="1"/>
        <n v="2114062" u="1"/>
        <n v="2115024" u="1"/>
        <n v="2115034" u="1"/>
        <n v="2115044" u="1"/>
        <n v="2121022" u="1"/>
        <n v="2125032" u="1"/>
        <n v="2125042" u="1"/>
        <n v="2125052" u="1"/>
        <n v="2125062" u="1"/>
        <n v="2125072" u="1"/>
        <n v="2125082" u="1"/>
        <n v="2125092" u="1"/>
        <n v="2150084" u="1"/>
        <n v="2150644" u="1"/>
        <n v="2150864" u="1"/>
        <n v="2150884" u="1"/>
        <n v="2150894" u="1"/>
        <n v="2150902" u="1"/>
        <n v="2200014" u="1"/>
        <n v="2200034" u="1"/>
        <n v="2220144" u="1"/>
        <n v="2220174" u="1"/>
        <n v="2220194" u="1"/>
        <n v="2220204" u="1"/>
        <n v="2221022" u="1"/>
        <n v="2250012" u="1"/>
        <n v="2250242" u="1"/>
        <n v="2273052" u="1"/>
        <n v="2891021" u="1"/>
        <n v="2891031" u="1"/>
        <n v="2898221" u="1"/>
        <n v="2898231" u="1"/>
        <n v="2898241" u="1"/>
        <n v="2903044" u="1"/>
        <n v="2907374" u="1"/>
        <n v="2907404" u="1"/>
        <n v="2907424" u="1"/>
        <n v="2907434" u="1"/>
        <n v="2907452" u="1"/>
        <n v="2907464" u="1"/>
        <n v="2907474" u="1"/>
        <n v="2907484" u="1"/>
        <n v="2907494" u="1"/>
        <n v="2907504" u="1"/>
        <n v="2907512" u="1"/>
        <n v="2907532" u="1"/>
        <n v="2908024" u="1"/>
        <n v="2924034" u="1"/>
        <n v="2924054" u="1"/>
        <n v="2924064" u="1"/>
        <n v="2924084" u="1"/>
        <n v="2924124" u="1"/>
        <n v="2924134" u="1"/>
        <n v="2924184" u="1"/>
        <n v="2924194" u="1"/>
        <n v="2924204" u="1"/>
        <n v="2924214" u="1"/>
        <n v="2924224" u="1"/>
        <n v="2924232" u="1"/>
        <n v="2924242" u="1"/>
        <n v="2924254" u="1"/>
        <n v="2926012" u="1"/>
        <n v="2926112" u="1"/>
        <n v="2926122" u="1"/>
        <n v="2927092" u="1"/>
        <n v="3005044" u="1"/>
        <n v="3009052" u="1"/>
        <n v="3009062" u="1"/>
        <n v="3009072" u="1"/>
        <n v="3016012" u="1"/>
        <n v="3016042" u="1"/>
        <n v="3016062" u="1"/>
        <n v="3016072" u="1"/>
        <n v="3016092" u="1"/>
        <n v="3016102" u="1"/>
        <n v="3016112" u="1"/>
        <n v="3016122" u="1"/>
        <n v="3021042" u="1"/>
        <n v="3025024" u="1"/>
        <n v="3025074" u="1"/>
        <n v="3028024" u="1"/>
        <n v="3028094" u="1"/>
        <n v="3028124" u="1"/>
        <n v="3028134" u="1"/>
        <n v="3028144" u="1"/>
        <n v="3028154" u="1"/>
        <n v="3028164" u="1"/>
        <n v="3029012" u="1"/>
        <n v="3031022" u="1"/>
        <n v="3031032" u="1"/>
        <n v="3031042" u="1"/>
        <n v="3037072" u="1"/>
        <n v="3040322" u="1"/>
        <n v="3040332" u="1"/>
        <n v="3040342" u="1"/>
        <n v="3040352" u="1"/>
        <n v="3042032" u="1"/>
        <n v="3043022" u="1"/>
        <n v="3045022" u="1"/>
        <n v="3046054" u="1"/>
        <n v="3046124" u="1"/>
        <n v="3046134" u="1"/>
        <n v="3046144" u="1"/>
        <n v="3047152" u="1"/>
        <n v="3047162" u="1"/>
        <n v="3049022" u="1"/>
        <n v="3049032" u="1"/>
        <n v="3052022" u="1"/>
        <n v="3053022" u="1"/>
        <n v="3055212" u="1"/>
        <n v="3056012" u="1"/>
        <n v="3056022" u="1"/>
        <n v="3057012" u="1"/>
        <n v="3057022" u="1"/>
        <n v="3058021" u="1"/>
        <n v="3060072" u="1"/>
        <n v="3060082" u="1"/>
        <n v="3061022" u="1"/>
        <n v="3061032" u="1"/>
        <n v="3061042" u="1"/>
        <n v="3062021" u="1"/>
        <n v="3063012" u="1"/>
        <n v="3063022" u="1"/>
        <n v="3064022" u="1"/>
        <n v="3067022" u="1"/>
        <n v="3068022" u="1"/>
        <n v="3069102" u="1"/>
        <n v="3070032" u="1"/>
        <n v="3070052" u="1"/>
        <n v="3071022" u="1"/>
        <n v="3073042" u="1"/>
        <n v="3074052" u="1"/>
        <n v="3076032" u="1"/>
        <n v="3076042" u="1"/>
        <n v="3080022" u="1"/>
        <n v="3081182" u="1"/>
        <n v="3081191" u="1"/>
        <n v="3081202" u="1"/>
        <n v="3081212" u="1"/>
        <n v="3081222" u="1"/>
        <n v="3081232" u="1"/>
        <n v="3081242" u="1"/>
        <n v="3081252" u="1"/>
        <n v="3081262" u="1"/>
        <n v="3081272" u="1"/>
        <n v="3081282" u="1"/>
        <n v="3081292" u="1"/>
        <n v="3086032" u="1"/>
        <n v="3086114" u="1"/>
        <n v="3086122" u="1"/>
        <n v="3086132" u="1"/>
        <n v="3092084" u="1"/>
        <n v="3093022" u="1"/>
        <n v="3095024" u="1"/>
        <n v="3096021" u="1"/>
        <n v="3096032" u="1"/>
        <n v="3100021" u="1"/>
        <n v="3100032" u="1"/>
        <n v="3100042" u="1"/>
        <n v="3117032" u="1"/>
        <n v="3122024" u="1"/>
        <n v="3124052" u="1"/>
        <n v="3124062" u="1"/>
        <n v="3124072" u="1"/>
        <n v="3124082" u="1"/>
        <n v="3124092" u="1"/>
        <n v="3124102" u="1"/>
        <n v="3132012" u="1"/>
        <n v="3132052" u="1"/>
        <n v="3134012" u="1"/>
        <n v="3134032" u="1"/>
        <n v="3135022" u="1"/>
        <n v="3137024" u="1"/>
        <n v="3138022" u="1"/>
        <n v="3139024" u="1"/>
        <n v="3140022" u="1"/>
        <n v="3141022" u="1"/>
        <n v="3142024" u="1"/>
        <n v="3143022" u="1"/>
        <n v="3144022" u="1"/>
        <n v="3145022" u="1"/>
        <n v="3146022" u="1"/>
        <n v="3147022" u="1"/>
        <n v="3148022" u="1"/>
        <n v="3228024" u="1"/>
        <n v="3228034" u="1"/>
        <n v="3228044" u="1"/>
        <n v="3228054" u="1"/>
        <n v="4002062" u="1"/>
        <n v="4002072" u="1"/>
        <n v="4005022" u="1"/>
        <n v="4006022" u="1"/>
        <n v="4007024" u="1"/>
        <n v="4101022" u="1"/>
        <n v="4102022" u="1"/>
        <n v="4103022" u="1"/>
        <n v="4113022" u="1"/>
        <n v="4114022" u="1"/>
        <n v="4115042" u="1"/>
        <n v="4115052" u="1"/>
        <n v="4116022" u="1"/>
        <n v="6001024" u="1"/>
        <n v="6010022" u="1"/>
        <n v="6018024" u="1"/>
        <n v="6019012" u="1"/>
        <n v="6019082" u="1"/>
        <n v="6019092" u="1"/>
        <n v="6019102" u="1"/>
        <n v="6019111" u="1"/>
        <n v="6019122" u="1"/>
        <n v="6020092" u="1"/>
        <n v="6022022" u="1"/>
        <n v="6022032" u="1"/>
        <n v="6022042" u="1"/>
        <n v="6023032" u="1"/>
        <n v="6023162" u="1"/>
        <n v="6023172" u="1"/>
        <n v="6023182" u="1"/>
        <n v="6024022" u="1"/>
        <n v="6024034" u="1"/>
        <n v="6024042" u="1"/>
        <n v="6025022" u="1"/>
        <n v="6026022" u="1"/>
        <n v="6027072" u="1"/>
        <n v="6027082" u="1"/>
        <n v="6027092" u="1"/>
        <n v="6029022" u="1"/>
        <n v="6037031" u="1"/>
        <n v="6040021" u="1"/>
        <n v="6041022" u="1"/>
        <n v="6042022" u="1"/>
        <n v="6043022" u="1"/>
        <n v="6052042" u="1"/>
        <n v="6055024" u="1"/>
        <n v="6055034" u="1"/>
        <n v="6055044" u="1"/>
        <n v="6060012" u="1"/>
        <n v="6060022" u="1"/>
        <n v="6060032" u="1"/>
        <n v="6070022" u="1"/>
        <n v="6074024" u="1"/>
        <n v="6074044" u="1"/>
        <n v="6074054" u="1"/>
        <n v="6074064" u="1"/>
        <n v="6080022" u="1"/>
        <n v="6085022" u="1"/>
        <n v="6092022" u="1"/>
        <n v="6093022" u="1"/>
        <n v="6093032" u="1"/>
        <n v="6094012" u="1"/>
        <n v="6094022" u="1"/>
        <n v="6095021" u="1"/>
        <n v="6096024" u="1"/>
        <n v="6097022" u="1"/>
        <n v="6098022" u="1"/>
        <n v="6099024" u="1"/>
        <n v="6101022" u="1"/>
        <n v="6102022" u="1"/>
        <n v="6103022" u="1"/>
        <n v="6108022" u="1"/>
        <n v="6302022" u="1"/>
        <n v="6302032" u="1"/>
        <n v="6302042" u="1"/>
        <n v="6303024" u="1"/>
        <n v="6307032" u="1"/>
        <n v="6313042" u="1"/>
        <n v="6313052" u="1"/>
        <n v="6313062" u="1"/>
        <n v="6313072" u="1"/>
        <n v="6315051" u="1"/>
        <n v="6315062" u="1"/>
        <n v="6403022" u="1"/>
        <n v="6405022" u="1"/>
        <n v="6407022" u="1"/>
        <n v="6408022" u="1"/>
        <n v="6408032" u="1"/>
        <n v="6424042" u="1"/>
        <n v="6425012" u="1"/>
        <n v="6425292" u="1"/>
        <n v="6425332" u="1"/>
        <n v="6425342" u="1"/>
        <n v="6425352" u="1"/>
        <n v="6425362" u="1"/>
        <n v="6425372" u="1"/>
        <n v="6426112" u="1"/>
        <n v="6426122" u="1"/>
        <n v="6426132" u="1"/>
        <n v="6426142" u="1"/>
        <n v="6426152" u="1"/>
        <n v="6603022" u="1"/>
        <n v="6605022" u="1"/>
        <n v="6606052" u="1"/>
        <n v="6606062" u="1"/>
        <n v="6606072" u="1"/>
        <n v="6607034" u="1"/>
        <n v="6607164" u="1"/>
        <n v="6607182" u="1"/>
        <n v="6607194" u="1"/>
        <n v="6607204" u="1"/>
        <n v="6607214" u="1"/>
        <n v="6608024" u="1"/>
        <n v="6612024" u="1"/>
        <n v="6613022" u="1"/>
        <n v="6613032" u="1"/>
        <n v="6614022" u="1"/>
        <n v="6615024" u="1"/>
        <n v="6616022" u="1"/>
        <n v="6617022" u="1"/>
        <n v="6619014" u="1"/>
        <n v="6619031" u="1"/>
        <n v="6619054" u="1"/>
        <n v="6619144" u="1"/>
        <n v="6619244" u="1"/>
        <n v="6619254" u="1"/>
        <n v="6619284" u="1"/>
        <n v="6619292" u="1"/>
        <n v="6628024" u="1"/>
        <n v="6637044" u="1"/>
        <n v="6638042" u="1"/>
        <n v="6646072" u="1"/>
        <n v="6646092" u="1"/>
        <n v="6646132" u="1"/>
        <n v="6646142" u="1"/>
        <n v="6646152" u="1"/>
        <n v="6646162" u="1"/>
        <n v="6646172" u="1"/>
        <n v="6646182" u="1"/>
        <n v="6649022" u="1"/>
        <n v="6649042" u="1"/>
        <n v="6649052" u="1"/>
        <n v="6649062" u="1"/>
        <n v="6656032" u="1"/>
        <n v="6657022" u="1"/>
        <n v="6659032" u="1"/>
        <n v="6660034" u="1"/>
        <n v="6660042" u="1"/>
        <n v="6664022" u="1"/>
        <n v="7010022" u="1"/>
        <n v="7010032" u="1"/>
        <n v="7010041" u="1"/>
        <n v="7011012" u="1"/>
        <n v="7011022" u="1"/>
        <n v="7011031" u="1"/>
        <n v="7012021" u="1"/>
        <n v="7012031" u="1"/>
        <n v="7013022" u="1"/>
        <n v="7014022" u="1"/>
        <n v="7015022" u="1"/>
        <n v="7022132" u="1"/>
        <n v="7022152" u="1"/>
        <n v="7022182" u="1"/>
        <n v="7022192" u="1"/>
        <n v="7022202" u="1"/>
        <n v="7022212" u="1"/>
        <n v="7025041" u="1"/>
        <n v="7026052" u="1"/>
        <n v="7026062" u="1"/>
        <n v="7031021" u="1"/>
        <n v="7031032" u="1"/>
        <n v="7031042" u="1"/>
        <n v="7035022" u="1"/>
        <n v="7035032" u="1"/>
        <n v="7036022" u="1"/>
        <n v="7037052" u="1"/>
        <n v="7040022" u="1"/>
        <n v="7041022" u="1"/>
        <n v="7042022" u="1"/>
        <n v="7043022" u="1"/>
        <n v="7043032" u="1"/>
        <n v="7044022" u="1"/>
        <n v="7045032" u="1"/>
        <n v="7045052" u="1"/>
        <n v="7045062" u="1"/>
        <n v="7046022" u="1"/>
        <n v="7058021" u="1"/>
        <n v="7059021" u="1"/>
        <n v="7066021" u="1"/>
        <n v="7066031" u="1"/>
        <n v="7398022" u="1"/>
        <n v="7399062" u="1"/>
        <n v="7400021" u="1"/>
        <n v="7404022" u="1"/>
        <n v="7406332" u="1"/>
        <n v="7410042" u="1"/>
        <n v="7435102" u="1"/>
        <n v="7450042" u="1"/>
        <n v="7451031" u="1"/>
        <n v="7451041" u="1"/>
        <n v="7490042" u="1"/>
        <n v="7500021" u="1"/>
        <n v="7505322" u="1"/>
        <n v="7505382" u="1"/>
        <n v="7505392" u="1"/>
        <n v="7505422" u="1"/>
        <n v="7505432" u="1"/>
        <n v="7505442" u="1"/>
        <n v="7505452" u="1"/>
        <n v="7506021" u="1"/>
        <n v="7506032" u="1"/>
        <n v="7508022" u="1"/>
        <n v="7510021" u="1"/>
        <n v="7513012" u="1"/>
        <n v="7513032" u="1"/>
        <n v="7513042" u="1"/>
        <n v="7513052" u="1"/>
        <n v="7513062" u="1"/>
        <n v="7513072" u="1"/>
        <n v="7513082" u="1"/>
        <n v="7513092" u="1"/>
        <n v="7518032" u="1"/>
        <n v="7524122" u="1"/>
        <n v="7525022" u="1"/>
        <n v="7527012" u="1"/>
        <n v="7527022" u="1"/>
        <n v="7528022" u="1"/>
        <n v="7530012" u="1"/>
        <n v="7530022" u="1"/>
        <n v="7532022" u="1"/>
        <n v="7533012" u="1"/>
        <n v="7533022" u="1"/>
        <n v="7534022" u="1"/>
        <n v="7536021" u="1"/>
        <n v="7537022" u="1"/>
        <n v="7538042" u="1"/>
        <n v="7540022" u="1"/>
        <n v="7540032" u="1"/>
        <n v="7540042" u="1"/>
        <n v="7541012" u="1"/>
        <n v="7541022" u="1"/>
        <n v="7550012" u="1"/>
        <n v="7550212" u="1"/>
        <n v="7550222" u="1"/>
        <n v="7550232" u="1"/>
        <n v="7562021" u="1"/>
        <n v="7568012" u="1"/>
        <n v="7568032" u="1"/>
        <n v="7571024" u="1"/>
        <n v="7571032" u="1"/>
        <n v="7572024" u="1"/>
        <n v="7573042" u="1"/>
        <n v="7581024" u="1"/>
        <n v="7583072" u="1"/>
        <n v="7583082" u="1"/>
        <n v="7587022" u="1"/>
        <n v="7587032" u="1"/>
        <n v="7592072" u="1"/>
        <n v="7592092" u="1"/>
        <n v="7596022" u="1"/>
        <n v="7601012" u="1"/>
        <n v="7601052" u="1"/>
        <n v="7603024" u="1"/>
        <n v="7604022" u="1"/>
        <n v="7604032" u="1"/>
        <n v="7605022" u="1"/>
        <n v="7605032" u="1"/>
        <n v="7605042" u="1"/>
        <n v="7605052" u="1"/>
        <n v="7605062" u="1"/>
        <n v="7605072" u="1"/>
        <n v="7605082" u="1"/>
        <n v="7607022" u="1"/>
        <n v="7610022" u="1"/>
        <n v="7611022" u="1"/>
        <n v="7612021" u="1"/>
        <n v="7613022" u="1"/>
        <n v="7614022" u="1"/>
        <n v="7615022" u="1"/>
        <n v="7616022" u="1"/>
        <n v="7616032" u="1"/>
        <n v="7618022" u="1"/>
        <n v="7619042" u="1"/>
        <n v="7620022" u="1"/>
        <n v="7621022" u="1"/>
        <n v="7622022" u="1"/>
        <n v="7628022" u="1"/>
        <n v="7629022" u="1"/>
        <n v="7636012" u="1"/>
        <n v="7636212" u="1"/>
        <n v="7636232" u="1"/>
        <n v="7636292" u="1"/>
        <n v="7636302" u="1"/>
        <n v="7636312" u="1"/>
        <n v="7636322" u="1"/>
        <n v="7643052" u="1"/>
        <n v="7645021" u="1"/>
        <n v="7648032" u="1"/>
        <n v="7653042" u="1"/>
        <n v="7655032" u="1"/>
        <n v="7655042" u="1"/>
        <n v="7655052" u="1"/>
        <n v="7655062" u="1"/>
        <n v="7655072" u="1"/>
        <n v="7655082" u="1"/>
        <n v="7658052" u="1"/>
        <n v="7658062" u="1"/>
        <n v="7659032" u="1"/>
        <n v="7659042" u="1"/>
        <n v="7690022" u="1"/>
        <n v="7695022" u="1"/>
        <n v="7695032" u="1"/>
        <n v="7700052" u="1"/>
        <n v="7700062" u="1"/>
        <n v="7700072" u="1"/>
        <n v="7702032" u="1"/>
        <n v="7702042" u="1"/>
        <n v="7707172" u="1"/>
        <n v="7707182" u="1"/>
        <n v="7802041" u="1"/>
        <n v="7802051" u="1"/>
        <n v="7802091" u="1"/>
        <n v="7802162" u="1"/>
        <n v="7802172" u="1"/>
        <n v="7802182" u="1"/>
        <n v="7802211" u="1"/>
        <n v="7802251" u="1"/>
        <n v="7802271" u="1"/>
        <n v="7802292" u="1"/>
        <n v="7802301" u="1"/>
        <n v="7802312" u="1"/>
        <n v="7802321" u="1"/>
        <n v="7802332" u="1"/>
        <n v="7802341" u="1"/>
        <n v="7802352" u="1"/>
        <n v="7802362" u="1"/>
        <n v="7802372" u="1"/>
        <n v="7802382" u="1"/>
        <n v="7802392" u="1"/>
        <n v="7802402" u="1"/>
        <n v="7802411" u="1"/>
        <n v="7802422" u="1"/>
        <n v="7811081" u="1"/>
        <n v="7811741" u="1"/>
        <n v="7811761" u="1"/>
        <n v="7811771" u="1"/>
        <n v="7811871" u="1"/>
        <n v="7811901" u="1"/>
        <n v="7811911" u="1"/>
        <n v="7811951" u="1"/>
        <n v="7811961" u="1"/>
        <n v="7812071" u="1"/>
        <n v="7812081" u="1"/>
        <n v="7812091" u="1"/>
        <n v="7812101" u="1"/>
        <n v="7812111" u="1"/>
        <n v="7902022" u="1"/>
        <n v="7903031" u="1"/>
        <n v="7904021" u="1"/>
        <n v="7910022" u="1"/>
        <n v="7950025" u="1"/>
        <n v="7952022" u="1"/>
        <n v="7956071" u="1"/>
        <n v="7958081" u="1"/>
        <n v="7968032" u="1"/>
        <n v="7972021" u="1"/>
        <n v="8001012" u="1"/>
        <n v="8001022" u="1"/>
        <n v="8001032" u="1"/>
        <n v="8001042" u="1"/>
        <n v="8001052" u="1"/>
        <n v="8003022" u="1"/>
        <n v="8004062" u="1"/>
        <n v="8005022" u="1"/>
        <n v="8007031" u="1"/>
        <n v="8010022" u="1"/>
        <n v="8011022" u="1"/>
        <n v="8018012" u="1"/>
        <n v="8018074" u="1"/>
        <n v="8018084" u="1"/>
        <n v="8018092" u="1"/>
        <n v="8018102" u="1"/>
        <n v="8018114" u="1"/>
        <n v="8018122" u="1"/>
        <n v="8021024" u="1"/>
        <n v="8021034" u="1"/>
        <n v="8021042" u="1"/>
        <n v="8021054" u="1"/>
        <n v="8022022" u="1"/>
        <n v="8026012" u="1"/>
        <n v="8030102" u="1"/>
        <n v="8031162" u="1"/>
        <n v="8031172" u="1"/>
        <n v="8031182" u="1"/>
        <n v="8035271" u="1"/>
        <n v="8045052" u="1"/>
        <n v="8063074" u="1"/>
        <n v="8063084" u="1"/>
        <n v="8063124" u="1"/>
        <n v="8063134" u="1"/>
        <n v="8063144" u="1"/>
        <n v="8063154" u="1"/>
        <n v="8080132" u="1"/>
        <n v="8080152" u="1"/>
        <n v="8080202" u="1"/>
        <n v="8080232" u="1"/>
        <n v="8080242" u="1"/>
        <n v="8080252" u="1"/>
        <n v="8080262" u="1"/>
        <n v="8080272" u="1"/>
        <n v="8080282" u="1"/>
        <n v="8080292" u="1"/>
        <n v="8080302" u="1"/>
        <n v="8080312" u="1"/>
        <n v="8087024" u="1"/>
        <n v="8087202" u="1"/>
        <n v="8087214" u="1"/>
        <n v="8087224" u="1"/>
        <n v="8096032" u="1"/>
        <n v="8102082" u="1"/>
        <n v="8108162" u="1"/>
        <n v="8108182" u="1"/>
        <n v="8108192" u="1"/>
        <n v="8108202" u="1"/>
        <n v="8108212" u="1"/>
        <n v="8108222" u="1"/>
        <n v="8108232" u="1"/>
        <n v="8116032" u="1"/>
        <n v="8117022" u="1"/>
        <n v="8117032" u="1"/>
        <n v="8117062" u="1"/>
        <n v="8118032" u="1"/>
        <n v="8122032" u="1"/>
        <n v="8128022" u="1"/>
        <n v="8129022" u="1"/>
        <n v="8129032" u="1"/>
        <n v="8180042" u="1"/>
        <n v="8181032" u="1"/>
        <n v="8182032" u="1"/>
        <n v="8183032" u="1"/>
        <n v="8184022" u="1"/>
        <n v="8803022" u="1"/>
        <n v="8803041" u="1"/>
        <n v="8803051" u="1"/>
        <n v="8806024" u="1"/>
        <n v="8827032" u="1"/>
        <n v="8834032" u="1"/>
        <n v="8834042" u="1"/>
        <n v="8835122" u="1"/>
        <n v="8848052" u="1"/>
        <n v="8851292" u="1"/>
        <n v="8858052" u="1"/>
        <n v="8858062" u="1"/>
        <n v="8858072" u="1"/>
        <n v="8859012" u="1"/>
        <n v="8859052" u="1"/>
        <n v="8864022" u="1"/>
        <n v="8864032" u="1"/>
        <n v="8866042" u="1"/>
        <n v="8866052" u="1"/>
        <n v="8867032" u="1"/>
        <n v="8868034" u="1"/>
        <n v="8869032" u="1"/>
        <n v="8869042" u="1"/>
        <n v="8869052" u="1"/>
        <n v="8879192" u="1"/>
        <n v="8879202" u="1"/>
        <n v="8898322" u="1"/>
        <n v="8898432" u="1"/>
        <n v="8899042" u="1"/>
        <n v="8899052" u="1"/>
        <n v="8902052" u="1"/>
        <n v="8903042" u="1"/>
        <n v="8903052" u="1"/>
        <n v="8911062" u="1"/>
        <n v="8911071" u="1"/>
        <n v="8911092" u="1"/>
        <n v="8911102" u="1"/>
        <n v="8911112" u="1"/>
        <n v="8911122" u="1"/>
        <n v="8911132" u="1"/>
        <n v="8911141" u="1"/>
        <n v="8911152" u="1"/>
        <n v="8912022" u="1"/>
        <n v="9951075" u="1"/>
        <n v="9952012" u="1"/>
        <n v="9952022" u="1"/>
        <n v="9952032" u="1"/>
        <n v="9956055" u="1"/>
        <n v="9960025" u="1"/>
        <n v="9960035" u="1"/>
        <n v="9961025" u="1"/>
        <n v="9962021" u="1"/>
        <n v="9962032" u="1"/>
        <n v="9962042" u="1"/>
        <n v="9962051" u="1"/>
        <n v="9962062" u="1"/>
        <n v="9962071" u="1"/>
        <n v="9962081" u="1"/>
        <n v="9962091" u="1"/>
        <n v="9963021" u="1"/>
        <n v="9963041" u="1"/>
        <n v="9963061" u="1"/>
        <n v="9963071" u="1"/>
        <n v="9963081" u="1"/>
        <n v="9963091" u="1"/>
        <n v="9986614" u="1"/>
        <n v="9963111" u="1"/>
        <n v="9963121" u="1"/>
        <n v="9963131" u="1"/>
        <n v="9963141" u="1"/>
        <n v="9963151" u="1"/>
        <n v="9963161" u="1"/>
        <n v="9963171" u="1"/>
        <n v="9963181" u="1"/>
        <n v="9963191" u="1"/>
        <n v="9963201" u="1"/>
        <n v="9963211" u="1"/>
        <n v="9963221" u="1"/>
        <n v="9963272" u="1"/>
        <n v="9963281" u="1"/>
        <n v="9963291" u="1"/>
        <n v="9963301" u="1"/>
        <n v="9963311" u="1"/>
        <n v="9963321" u="1"/>
        <n v="9963331" u="1"/>
        <n v="9963341" u="1"/>
        <n v="9963351" u="1"/>
        <n v="9963361" u="1"/>
        <n v="9963371" u="1"/>
        <n v="9963401" u="1"/>
        <n v="9963411" u="1"/>
        <n v="9963421" u="1"/>
        <n v="9963431" u="1"/>
        <n v="9963441" u="1"/>
        <n v="9981071" u="1"/>
        <n v="9981331" u="1"/>
        <n v="9981481" u="1"/>
        <n v="9981501" u="1"/>
        <n v="9985741" u="1"/>
        <n v="9985751" u="1"/>
        <n v="9985881" u="1"/>
        <n v="9985891" u="1"/>
        <n v="9984671" u="1"/>
        <n v="9985161" u="1"/>
        <n v="9985171" u="1"/>
        <n v="9985031" u="1"/>
        <n v="9985071" u="1"/>
        <n v="9985081" u="1"/>
        <n v="9985091" u="1"/>
        <n v="9985121" u="1"/>
        <n v="9985131" u="1"/>
        <n v="9985141" u="1"/>
        <n v="9985151" u="1"/>
        <n v="9985181" u="1"/>
        <n v="9985191" u="1"/>
        <n v="9985761" u="1"/>
        <n v="9985791" u="1"/>
        <n v="9985811" u="1"/>
        <n v="9985931" u="1"/>
        <n v="9985951" u="1"/>
        <n v="9985981" u="1"/>
        <n v="9986144" u="1"/>
        <n v="9986164" u="1"/>
        <n v="9991424" u="1"/>
        <n v="9986501" u="1"/>
        <n v="9986581" u="1"/>
        <n v="9986661" u="1"/>
        <n v="9986771" u="1"/>
        <n v="9986902" u="1"/>
        <n v="9986981" u="1"/>
        <n v="9987124" u="1"/>
        <n v="9988141" u="1"/>
        <n v="9988191" u="1"/>
        <n v="9988251" u="1"/>
        <n v="9988261" u="1"/>
        <n v="9988691" u="1"/>
        <n v="9988841" u="1"/>
        <n v="9989241" u="1"/>
        <n v="9989251" u="1"/>
        <n v="9989261" u="1"/>
        <n v="9989341" u="1"/>
        <n v="9989351" u="1"/>
        <n v="9989361" u="1"/>
        <n v="9989371" u="1"/>
        <n v="9989381" u="1"/>
        <n v="9989401" u="1"/>
        <n v="9989461" u="1"/>
        <n v="9989601" u="1"/>
        <n v="9989631" u="1"/>
        <n v="9989661" u="1"/>
        <n v="9989681" u="1"/>
        <n v="9989701" u="1"/>
        <n v="9989721" u="1"/>
        <n v="9989831" u="1"/>
        <n v="9989901" u="1"/>
        <n v="9989941" u="1"/>
        <n v="9991991" u="1"/>
        <n v="9990204" u="1"/>
        <n v="1118042" u="1"/>
        <n v="9991051" u="1"/>
        <n v="9991091" u="1"/>
        <n v="9991182" u="1"/>
        <n v="9991261" u="1"/>
        <n v="9991271" u="1"/>
        <n v="9991291" u="1"/>
        <n v="9991311" u="1"/>
        <n v="9991411" u="1"/>
        <n v="9991491" u="1"/>
        <n v="9991511" u="1"/>
        <n v="9991521" u="1"/>
        <n v="9991781" u="1"/>
        <n v="24141" u="1"/>
        <n v="2073281" u="1"/>
        <n v="9991921" u="1"/>
        <n v="2077131" u="1"/>
        <n v="2073351" u="1"/>
        <n v="9992022" u="1"/>
        <n v="9992051" u="1"/>
        <n v="9992101" u="1"/>
        <n v="9992321" u="1"/>
        <n v="9992422" u="1"/>
        <n v="9986081" u="1"/>
        <n v="9991951" u="1"/>
        <n v="9991071" u="1"/>
        <n v="9986161" u="1"/>
        <n v="9986471" u="1"/>
        <n v="9994162" u="1"/>
        <n v="9994204" u="1"/>
        <n v="9994214" u="1"/>
        <n v="9994344" u="1"/>
        <n v="9995052" u="1"/>
        <n v="9994892" u="1"/>
        <n v="3081142" u="1"/>
        <n v="8909022" u="1"/>
        <n v="9995021" u="1"/>
        <n v="9995031" u="1"/>
        <n v="9995051" u="1"/>
        <n v="9995091" u="1"/>
        <n v="9995131" u="1"/>
        <n v="9995171" u="1"/>
        <n v="9995191" u="1"/>
        <n v="9995201" u="1"/>
        <n v="9995211" u="1"/>
        <n v="9995261" u="1"/>
        <n v="9995271" u="1"/>
        <n v="9995281" u="1"/>
        <n v="9995291" u="1"/>
        <n v="9995311" u="1"/>
        <n v="9995321" u="1"/>
        <n v="9995331" u="1"/>
        <n v="9995341" u="1"/>
        <n v="9995351" u="1"/>
        <n v="9995361" u="1"/>
        <n v="9995371" u="1"/>
        <n v="9995391" u="1"/>
        <n v="9995401" u="1"/>
        <n v="9995431" u="1"/>
        <n v="9995441" u="1"/>
        <n v="9995451" u="1"/>
        <n v="9995461" u="1"/>
        <n v="9995491" u="1"/>
        <n v="9995501" u="1"/>
        <n v="9995511" u="1"/>
        <n v="9995521" u="1"/>
        <n v="9995531" u="1"/>
        <n v="9995551" u="1"/>
        <n v="1988381" u="1"/>
        <n v="9995571" u="1"/>
        <n v="9995581" u="1"/>
        <n v="9995591" u="1"/>
        <n v="9995601" u="1"/>
        <n v="9995611" u="1"/>
        <n v="9995621" u="1"/>
        <n v="9995631" u="1"/>
        <n v="9995641" u="1"/>
        <n v="9995651" u="1"/>
        <n v="9995661" u="1"/>
        <n v="9995671" u="1"/>
        <n v="9995681" u="1"/>
        <n v="9995691" u="1"/>
        <n v="9995701" u="1"/>
        <n v="9995711" u="1"/>
        <n v="9995721" u="1"/>
        <n v="9995731" u="1"/>
        <n v="9995741" u="1"/>
        <n v="9995751" u="1"/>
        <n v="9995771" u="1"/>
        <n v="9995781" u="1"/>
        <n v="9995791" u="1"/>
        <n v="9995801" u="1"/>
        <n v="9995811" u="1"/>
        <n v="9995821" u="1"/>
        <n v="9995841" u="1"/>
        <n v="9995851" u="1"/>
        <n v="9995861" u="1"/>
        <n v="9995871" u="1"/>
        <n v="9995881" u="1"/>
        <n v="9995891" u="1"/>
        <n v="9995901" u="1"/>
        <n v="9995911" u="1"/>
        <n v="9995922" u="1"/>
        <n v="9995931" u="1"/>
        <n v="9995941" u="1"/>
        <n v="9995951" u="1"/>
        <n v="9995961" u="1"/>
        <n v="9995971" u="1"/>
        <n v="9995992" u="1"/>
        <n v="7022162" u="1"/>
        <n v="9995151" u="1"/>
        <n v="9996654" u="1"/>
        <n v="9996694" u="1"/>
        <n v="9996854" u="1"/>
        <n v="9984361" u="1"/>
        <n v="10000" u="1"/>
        <n v="10100" u="1"/>
        <n v="10200" u="1"/>
        <n v="10300" u="1"/>
        <n v="11000" u="1"/>
        <n v="11019" u="1"/>
        <n v="11029" u="1"/>
        <n v="11049" u="1"/>
        <n v="11500" u="1"/>
        <n v="12000" u="1"/>
        <n v="12019" u="1"/>
        <n v="12029" u="1"/>
        <n v="12049" u="1"/>
        <n v="12059" u="1"/>
        <n v="12100" u="1"/>
        <n v="12549" u="1"/>
        <n v="12319" u="1"/>
        <n v="13000" u="1"/>
        <n v="13100" u="1"/>
        <n v="13200" u="1"/>
        <n v="13219" u="1"/>
        <n v="13229" u="1"/>
        <n v="13400" u="1"/>
        <n v="13419" u="1"/>
        <n v="13429" u="1"/>
        <n v="13449" u="1"/>
        <n v="13500" u="1"/>
        <n v="13600" u="1"/>
        <n v="13619" u="1"/>
        <n v="13700" u="1"/>
        <n v="13800" u="1"/>
        <n v="13900" u="1"/>
        <n v="14000" u="1"/>
        <n v="14019" u="1"/>
        <n v="14029" u="1"/>
        <n v="18049" u="1"/>
        <n v="14059" u="1"/>
        <n v="14119" u="1"/>
        <n v="14319" u="1"/>
        <n v="15000" u="1"/>
        <n v="15200" u="1"/>
        <n v="16000" u="1"/>
        <n v="16100" u="1"/>
        <n v="16200" u="1"/>
        <n v="16300" u="1"/>
        <n v="16919" u="1"/>
        <n v="17000" u="1"/>
        <n v="17119" u="1"/>
        <n v="17200" u="1"/>
        <n v="17209" u="1"/>
        <n v="17219" u="1"/>
        <n v="17300" u="1"/>
        <n v="17400" u="1"/>
        <n v="17500" u="1"/>
        <n v="17600" u="1"/>
        <n v="17700" u="1"/>
        <n v="17919" u="1"/>
        <n v="18000" u="1"/>
        <n v="18019" u="1"/>
        <n v="18029" u="1"/>
        <n v="18059" u="1"/>
        <n v="18129" u="1"/>
        <n v="18149" u="1"/>
        <n v="18229" u="1"/>
        <n v="18249" u="1"/>
        <n v="18349" u="1"/>
        <n v="18419" u="1"/>
        <n v="18429" u="1"/>
        <n v="18449" u="1"/>
        <n v="21712" u="1"/>
        <n v="18529" u="1"/>
        <n v="18549" u="1"/>
        <n v="18619" u="1"/>
        <n v="18629" u="1"/>
        <n v="18649" u="1"/>
        <n v="18719" u="1"/>
        <n v="18729" u="1"/>
        <n v="18819" u="1"/>
        <n v="18829" u="1"/>
        <n v="18919" u="1"/>
        <n v="18929" u="1"/>
        <n v="19029" u="1"/>
        <n v="19049" u="1"/>
        <n v="19129" u="1"/>
        <n v="19449" u="1"/>
        <n v="19159" u="1"/>
        <n v="19229" u="1"/>
        <n v="19549" u="1"/>
        <n v="19329" u="1"/>
        <n v="19649" u="1"/>
        <n v="19359" u="1"/>
        <n v="19429" u="1"/>
        <n v="19529" u="1"/>
        <n v="19559" u="1"/>
        <n v="19629" u="1"/>
        <n v="19659" u="1"/>
        <n v="19759" u="1"/>
        <n v="19859" u="1"/>
        <n v="20249" u="1"/>
        <n v="20349" u="1"/>
        <n v="20441" u="1"/>
        <n v="20628" u="1"/>
        <n v="21111" u="1"/>
        <n v="21211" u="1"/>
        <n v="21112" u="1"/>
        <n v="21212" u="1"/>
        <n v="21312" u="1"/>
        <n v="21412" u="1"/>
        <n v="21512" u="1"/>
        <n v="21612" u="1"/>
        <n v="22019" u="1"/>
        <n v="21113" u="1"/>
        <n v="22111" u="1"/>
        <n v="22211" u="1"/>
        <n v="22819" u="1"/>
        <n v="22919" u="1"/>
        <n v="23111" u="1"/>
        <n v="23211" u="1"/>
        <n v="23112" u="1"/>
        <n v="23212" u="1"/>
        <n v="24041" u="1"/>
        <n v="24241" u="1"/>
        <n v="24729" u="1"/>
        <n v="24829" u="1"/>
        <n v="24111" u="1"/>
        <n v="25129" u="1"/>
        <n v="24211" u="1"/>
        <n v="25229" u="1"/>
        <n v="25111" u="1"/>
        <n v="25329" u="1"/>
        <n v="25529" u="1"/>
        <n v="25211" u="1"/>
        <n v="25729" u="1"/>
        <n v="25847" u="1"/>
        <n v="25929" u="1"/>
        <n v="25941" u="1"/>
        <n v="26029" u="1"/>
        <n v="26041" u="1"/>
        <n v="26129" u="1"/>
        <n v="26141" u="1"/>
        <n v="26229" u="1"/>
        <n v="26241" u="1"/>
        <n v="26341" u="1"/>
        <n v="26441" u="1"/>
        <n v="26649" u="1"/>
        <n v="26749" u="1"/>
        <n v="26849" u="1"/>
        <n v="26949" u="1"/>
        <n v="27059" u="1"/>
        <n v="27159" u="1"/>
        <n v="27259" u="1"/>
        <n v="27359" u="1"/>
        <n v="27459" u="1"/>
        <n v="27559" u="1"/>
        <n v="27629" u="1"/>
        <n v="27659" u="1"/>
        <n v="27729" u="1"/>
        <n v="27829" u="1"/>
        <n v="21114" u="1"/>
        <n v="21214" u="1"/>
        <n v="26111" u="1"/>
        <n v="28329" u="1"/>
        <n v="26211" u="1"/>
        <n v="27111" u="1"/>
        <n v="28556" u="1"/>
        <n v="27211" u="1"/>
        <n v="28656" u="1"/>
        <n v="1332972" u="1"/>
        <n v="1567222" u="1"/>
        <n v="2030072" u="1"/>
        <n v="2082032" u="1"/>
        <n v="3025092" u="1"/>
        <n v="3149022" u="1"/>
        <n v="6023192" u="1"/>
        <n v="6606082" u="1"/>
        <n v="6616032" u="1"/>
        <n v="6618022" u="1"/>
        <n v="6646192" u="1"/>
        <n v="6676021" u="1"/>
        <n v="6781022" u="1"/>
        <n v="7022222" u="1"/>
        <n v="7513102" u="1"/>
        <n v="7540052" u="1"/>
        <n v="7624022" u="1"/>
        <n v="7802432" u="1"/>
        <n v="8031192" u="1"/>
        <n v="8031202" u="1"/>
        <n v="8031212" u="1"/>
        <n v="8130022" u="1"/>
        <n v="8858082" u="1"/>
        <n v="9986991" u="1"/>
        <n v="9987141" u="1"/>
        <n v="9999414" u="1"/>
        <n v="24249" u="1"/>
        <n v="25841" u="1"/>
        <n v="26741" u="1"/>
        <n v="26841" u="1"/>
        <n v="26941" u="1"/>
        <n v="21213" u="1"/>
        <n v="25112" u="1"/>
        <n v="25212" u="1"/>
      </sharedItems>
    </cacheField>
    <cacheField name="Workday Title" numFmtId="0">
      <sharedItems containsBlank="1" count="1640">
        <m/>
        <s v="Management Board (Worker Cost Center)"/>
        <s v="Management Board Assistance (Worker Cost Center)"/>
        <s v="Alumni Network"/>
        <s v="EIC"/>
        <s v="Sales - Management Board"/>
        <s v="4c_Sales"/>
        <s v="4m_Sales"/>
        <s v="Strategy (Worker Cost Center)"/>
        <s v="Sales"/>
        <s v="Marketing (Worker Cost Center)"/>
        <s v="4c_Marketing"/>
        <s v="4m_Marketing"/>
        <s v="4r_Marketing"/>
        <s v="Internal Events"/>
        <s v="4m_dynamic_Pharma / Life Science"/>
        <s v="25 years 4flow"/>
        <s v="HR_General Activities (Worker Cost Center)"/>
        <s v="HR_Talent Acquistion"/>
        <s v="HR_Campus Recruitment"/>
        <s v="4c_Vacation &amp; Sickness"/>
        <s v="4r_vacation &amp; sickness"/>
        <s v="HR_Learning &amp; Development"/>
        <s v="4c_Other Absences"/>
        <s v="4m_Other Absences"/>
        <s v="HR_Operations &amp; Solutions"/>
        <s v="HR_Quality Management &amp; Projects"/>
        <s v="HR_Employer Branding"/>
        <s v="HR_Diversity Equity &amp; Inclusion"/>
        <s v="HR_Workday HCM"/>
        <s v="4c_Educational Training"/>
        <s v="4m_General (Worker Cost Center)"/>
        <s v="4r_Educational Training"/>
        <s v="Workday"/>
        <s v="Global Standards"/>
        <s v="Finance (Worker Cost Center)"/>
        <s v="Controlling (Worker Cost Center)"/>
        <s v="IT - 4flow (Worker Cost Center)"/>
        <s v="Compliance (Worker Cost Center)"/>
        <s v="IT-Services Infrastructure"/>
        <s v="IT-Services Support"/>
        <s v="Administration (Worker Cost Center)"/>
        <s v="Corporate Development (Worker Cost Center)"/>
        <s v="Managing Director (Worker Cost Center)"/>
        <s v="Management of 4flow (Management Board Only)"/>
        <s v="Legal (Worker Cost Center)"/>
        <s v="New Work"/>
        <s v="Corporate Social Responsibility"/>
        <s v="Corporate Projects (Worker Cost Center)"/>
        <s v="4s_general_Running_IT Systems_Further providers"/>
        <s v="Corporate Services_General"/>
        <s v="4s_General (Worker Cost Center)"/>
        <s v="4c_General (Worker Cost Center)"/>
        <s v="4r_General  (Worker Cost Center)"/>
        <s v="4c_BU drive_General (Worker Cost Center)"/>
        <s v="4m_dynamic_General"/>
        <s v="4c_BU groove_General (Worker Cost Center)"/>
        <s v="4m_infinite_General"/>
        <s v="4m_more_General"/>
        <s v="4c_BU rise_General (Worker Cost Center)"/>
        <s v="4m_China_General"/>
        <s v="4c_BU boost_General (Worker Cost Center)"/>
        <s v="4m_North America_General"/>
        <s v="4s_General_Running_IT Systems_Internal Test Environments"/>
        <s v="4c_Mandated Activities"/>
        <s v="4m_Strategy &amp; Innovation"/>
        <s v="4s_General_Running_IT Systems_Common Infrastructure"/>
        <s v="4c_BU buzz_General (Worker Cost Center)"/>
        <s v="4s_General_Running_IT Systems_4flow vista Terminal Servers"/>
        <s v="4c_Product SAP_General (Worker Cost Center)"/>
        <s v="4c_Project Shadowing"/>
        <s v="4c_BU wave_General (Worker Cost Center)"/>
        <s v="4m_Presales"/>
        <s v="4c_BU boost_Sales"/>
        <s v="4m_dynamic_Presales"/>
        <s v="4r_Knowledge as a Service"/>
        <s v="4c_BU buzz_Sales"/>
        <s v="4m_infinite_Presales"/>
        <s v="4c_BU drive_Sales"/>
        <s v="4m_BG more_Presales"/>
        <s v="4r_4flow Study Transportintensity"/>
        <s v="4c_BU groove_Sales"/>
        <s v="4c_BU rise_Sales"/>
        <s v="4r_Innovation internal project"/>
        <s v="4c_BU wave_Sales "/>
        <s v="4r_Knowledge as a Service for 4flow software"/>
        <s v="4r_Knowledge as a Service for 4flow consulting"/>
        <s v="4r_Knowledge as a Service for 4flow management"/>
        <s v="4s_PG_4flow vista-SC+"/>
        <s v="4s_PG_E2E-Platform_Polaris (Worker Cost Center)"/>
        <s v="4r_Evaluation of costs and benefits of platooning in road transportation networks"/>
        <s v="4m_Solution Design &amp; Projects"/>
        <s v="4m_Internal Project_Badges"/>
        <s v="4m_Internal Project_Supporting Corporate Projects"/>
        <s v="4m_SPM_iTMS_NextGen XM"/>
        <s v="4c_Practice iSCM_General (Worker Cost Center)"/>
        <s v="4s_PG_iTMS-4s (Worker Cost Center)"/>
        <s v="4s_PG_iTMS-4m"/>
        <s v="4s_PG_iTMS-4m_Polaris"/>
        <s v="4s_PG_iTMS-4m_Conception and Estimation of CRs (w/o Stellantis)"/>
        <s v="4s_PG_iTMS-4m_EMS"/>
        <s v="4s_PG_iTMS-4m_Share Business Plans"/>
        <s v="4s_PG_iTMS-4m_Share Modernization"/>
        <s v="4s_PG_SAP-Addon"/>
        <s v="4s_PG_4flow TORO (Worker Cost Center)"/>
        <s v="4s_PG_iTMS-4m_Running_IT Systems_4flow vista DC nodes in test and production"/>
        <s v="4s_PG_iTMS-4m_Running_IT Systems_Analytics application servers and databases"/>
        <s v="4s_PG_KNX-TLO (Worker Cost Center)"/>
        <s v="4s_PG_4flow VIA-KNX"/>
        <s v="4m_SPM_General"/>
        <s v="4m_SPM_iTMS_General"/>
        <s v="4c_Support US"/>
        <s v="4c_Support CN"/>
        <s v="4s_PG_4flow vista (Worker Cost Center)"/>
        <s v="4c_Practice Intralogistics &amp; Production_General (Worker Cost Center)"/>
        <s v="4c_Practice Strategy_General (Worker Cost Center)"/>
        <s v="4s_PG_4flow VIA (Worker Cost Center)"/>
        <s v="4c_OEM Group"/>
        <s v="4c_Working Groups"/>
        <s v="4m_SPM_iTMS_RTV"/>
        <s v="4c_Practice IT Strategy_General (Worker Cost Center)"/>
        <s v="4m_SPM_iTMS_Sustainability Solution"/>
        <s v="4c_Practice Transport &amp; Network_General (Worker Cost Center)"/>
        <s v="4m_SPM_Data Solutions_Low Code"/>
        <s v="4c_Travel for Face-To-Face Meetings of Virtual Project Teams"/>
        <s v="4m_SPM_iTMS_Future iTMS"/>
        <s v="4c_Product Sustainability_General (Worker Cost Center)"/>
        <s v="4m_SPM_SCO_Data Orchestration Layer_Running"/>
        <s v="4m_SPM_SCO_General"/>
        <s v="4m_SPM_Data Solutions_General"/>
        <s v="4m_Supply Chain+ (Product)"/>
        <s v="4m_SPM_iTMS_FMS"/>
        <s v="4m_SPM_iTMS_4fva"/>
        <s v="4m_SPM_Data Solutions_RPA"/>
        <s v="4r_Projekt Methodenentwicklung und -evaluierung Bestandsoptimierung - Forschungszulage"/>
        <s v="4r_Transport Market Monitor and Dashboards"/>
        <s v="4r_Inventory Optimization Toolbox"/>
        <s v="4r_Warehouse Equipment Automization and Optimization"/>
        <s v="4r_Study E-Commerce, Packaging and Sustainability"/>
        <s v="4r_Centre of Gravity and Location Optimization Toolbox"/>
        <s v="4c_Product Logistics Engineering_General (Worker Cost Center)"/>
        <s v="4r_Capacitated Clustering Algorithms"/>
        <s v="4c_Product Kinaxis_General (Worker Cost Center)"/>
        <s v="4c_Product Data Science_General (Worker Cost Center)"/>
        <s v="4r_BOS Inventory Optimization Pilot"/>
        <s v="4r_Dashboard Toolbox"/>
        <s v="4r_Routing and Balancing Optimization Lear"/>
        <s v="4c_BG SAP_SAP Systems"/>
        <s v="4r_Entwicklung und Evaluation von Forecastingmethoden für Supply Chain Anwendungen"/>
        <s v="4c_BG SAP_Basis Package"/>
        <s v="4r_Transport order data analyze and visualization process and tool"/>
        <s v="4s_PG_vTMS (Worker Cost Center)"/>
        <s v="4c_Data Driven Consulting"/>
        <s v="4s_PG_E2E-Platform (Worker Cost Center)"/>
        <s v="4r_Trendmonitor"/>
        <s v="4r_Knowledge Management with Large Language Models"/>
        <s v="4m_SPM_iTMS_Connected Intelligence"/>
        <s v="4r_ Benchmarking-Platform"/>
        <s v="4r_MARS Basefile consolidation and analysis tool"/>
        <s v="4s_New Work" u="1"/>
        <s v="4s_PG_4flow TORO_Sales and Go-To-Market" u="1"/>
        <s v="4s_PG_EMS_Sales and Go-To-Market " u="1"/>
        <s v="4s_Sales" u="1"/>
        <s v="4s_Other Absences" u="1"/>
        <s v="4s_PG_KNX-NWD_Concept and Development" u="1"/>
        <s v="4s_vista-SC+_Concept and Development" u="1"/>
        <s v="4s_PG_E2E_EMS NextGen_Concept and Development" u="1"/>
        <s v="4s_Marketing" u="1"/>
        <s v="4s_Vacation &amp; Sickness" u="1"/>
        <s v="4s_Recruiting" u="1"/>
        <s v="4s_Recruiting_India" u="1"/>
        <s v="4s_Educational Training" u="1"/>
        <s v="4s_People Management" u="1"/>
        <s v="4s_Organizational Development" u="1"/>
        <s v="4s_Sustainability" u="1"/>
        <s v="4s_Communities of Practice" u="1"/>
        <s v="4s_Organizational Meetings" u="1"/>
        <s v="4s_Internal Project_Agile Transformation" u="1"/>
        <s v="4s_Internal Project_Rapid Application Development" u="1"/>
        <s v="4s_PG_iTMS-4m_Internal Project_Future iTMS" u="1"/>
        <s v="4s_Internal Project_Educational Trainings for E2E-Platform" u="1"/>
        <s v="DO NOT USE_4s_PG_iTMS-4s_Concept and Development" u="1"/>
        <s v="4s_PG_iTMS-4s_Sales and Go-To-Market" u="1"/>
        <s v="4s_PG_iTMS_Concept and Development" u="1"/>
        <s v="4s_PG_iTMS-4m_Sales and Go-To-Market" u="1"/>
        <s v="4s_PG_iTMS-4m_EMS NextGen_Concept and Development " u="1"/>
        <s v="4s_PG_iTMS-4m_EMS_Concept and Development" u="1"/>
        <s v="4s_PG_iTMS-4m_Running Product Maintenance " u="1"/>
        <s v="4s_PG_SAP-Addon_Concept and Development" u="1"/>
        <s v="4s_PG_4flow TORO_Concept and Development" u="1"/>
        <s v="4s_PG_KNX-TLO_Concept and Development" u="1"/>
        <s v="4s_PG_KNX-TLO_Sales and Go-To-Market" u="1"/>
        <s v="4s_PG_KNX-NWD_Sales and Go-To-Market" u="1"/>
        <s v="4s_vista_Concept and Development" u="1"/>
        <s v="4s_vista_Sales and Go-To-Market" u="1"/>
        <s v="4s_VIA_Concept and Development" u="1"/>
        <s v="4s_VIA_Sales and Go-To-Market" u="1"/>
        <s v="4s_PG_EMS_Concept and Development " u="1"/>
        <s v="4s_PG_vTMS_Concept and Development" u="1"/>
        <s v="4s_PG_vTMS_Sales and Go-To-Market" u="1"/>
        <s v="4s_PG_E2E-Platform_Concept and Development " u="1"/>
        <s v="4s_PG_E2E-Platform_Sales and Go-To-Market " u="1"/>
        <s v="" u="1"/>
        <s v="4s_4flow TORO_Volkswagen Mexico_4flow TORO" u="1"/>
        <s v="4c_NA_Volkswagen of North America_Transportation Optimization Chattanooga" u="1"/>
        <s v="4c_BU buzz_BMW_Planet - Integration" u="1"/>
        <s v="4c_NA_Rivian Automotive, Inc._Material flow concept body shop" u="1"/>
        <s v="4c_NA_Rivian Automotive, Inc._End-to-end planning transformation" u="1"/>
        <s v="4c_NA_Rivian Automotive, Inc._Extension general assembly (16 week program)" u="1"/>
        <s v="4c_NA_Rivian Automotive, Inc._Body Shop lineside planning R1" u="1"/>
        <s v="4c_NA_Rivian Automotive, Inc._Phase 0 - iteration 2 and 3" u="1"/>
        <s v="4c_NA_Rivian Automotive, Inc._S&amp;OP Make or Buy Analyse" u="1"/>
        <s v="4c_NA_Rivian Automotive_Kinaxis BOM concept development and implementation" u="1"/>
        <s v="4c_NA_Rivian LLC_Material Flow Engineering Support - Expansion Normal" u="1"/>
        <s v="4c_NA_Rivian_AI Supply / Demand Use Cases" u="1"/>
        <s v="Rivian APS - Phase 2" u="1"/>
        <s v="4c_CN_BMW Briliance Automotive Ltd_Local CMS design support" u="1"/>
        <s v="4c_BU drive_ElectroMobility Poland S.A._Inbound Strategy" u="1"/>
        <s v="4s_vista_Doosan Bobcat_Doosan Bobcat SCND" u="1"/>
        <s v="4c_NA_Doosan Bobcat_Doosan Bobcat_Network Optimization Enablement" u="1"/>
        <s v="4c_BU rise_BMW_Planungsleistung Auslandsversorgung BMW" u="1"/>
        <s v="4c_BU buzz_BMW_Planungsleistung Auslandsversorgung BMW (from 01-2023)" u="1"/>
        <s v="4c_BU buzz_BMW_Operative Programmplanung PNW2 2022+ (from 01/23)" u="1"/>
        <s v="4c_BU rise_BMW_Akquise" u="1"/>
        <s v="4c_BU rise_BMW_aNWM 2.0" u="1"/>
        <s v="4c_BU buzz_BMW_Aktives Netzwerkmanagement 2022+ (from 01-2023)" u="1"/>
        <s v="4c_BU buzz_BMW_KTT - Kompetenzteam Transport" u="1"/>
        <s v="4s_SAP-TORO_BMW_4flow TORO - BMW TOPCO" u="1"/>
        <s v="4c_BU buzz_BMW AG_TV-3: Optimierung Leergut - Exploration ALBEF " u="1"/>
        <s v="4c_BU buzz_BMW AG_TV-6 - Cost Down: Measures 2025" u="1"/>
        <s v="8_Consulting w/o software" u="1"/>
        <s v="4c_BU rise_BMW_Analyse Logistik &amp; IT Prozesse" u="1"/>
        <s v="4c_BU rise_BMW_PKT2025 Absicherung Qualität Ergebnistypen Initialphase" u="1"/>
        <s v="4c_BU rise_BMW_PKT2025 Deliverables Exploration und Implementierung" u="1"/>
        <s v="4c_BU rise_BMW_PKT2025 Deliverables Exploration und Implementierung | Erweiterung" u="1"/>
        <s v="4c_BU buzz_BMW_PKT2025 - Implementation - 2023" u="1"/>
        <s v="4c_BU buzz_BMW_PKT – Go-Live 2024" u="1"/>
        <s v="4c_buzz_BMW_PKT – Go-Live 2025" u="1"/>
        <s v="4c_CN_BMW_Werksintegration SmartCM China" u="1"/>
        <s v="4c_BU buzz_BMW_PKT Mexico" u="1"/>
        <s v="4c_BU buzz_BMW_FMS Add-on Analysis" u="1"/>
        <s v="4c_buzz_BMW_Potentialanalyse KI in der Materialsteuerung" u="1"/>
        <s v="4c_BU_buzz_BMW_Milkrun Implementierung 2025" u="1"/>
        <s v="4c_rise_RollsRoyce Solutions GmbH_Warehouse Strategy" u="1"/>
        <s v="4c_BU rise_RollsRoyce Power Systems_Change Request: Warehouse Strategy 2030" u="1"/>
        <s v="4c_BU drive_Rolls Royce Solutions GmbH_Umsetzung einer teilautomatisierten Versandabwicklung für innerdeutsche KEP- Sendungen mit Erweiterungsmöglichkeiten" u="1"/>
        <s v="4c_rise_RollsRoyce Solutions GmbH_Logistik Zielkonzept Setbildung Halle 7" u="1"/>
        <s v="4c_BU rise_Rolls-Royce Solutions GmbH_Logistik Zielkonzept Montageversorgung Baureihe 4000" u="1"/>
        <s v="4c_BU rise_Rolls-Royce Power Systems AG_Warehouse Strategy 2030 – Europe Extension" u="1"/>
        <s v="4c_BU drive_Daimler_Akquise Daimler Zentrale Logistik (PP/LOG)" u="1"/>
        <s v="4c_BU drive_Mercedes-Benz AG_SC/WTO-P | E2E process optimization PbP supply MBUSI" u="1"/>
        <s v="4c_BU drive_Mercedes-Benz AG_SC/PCC | Tendermgmt. Production Supply Plant Expansion Kecskemét (K1e)" u="1"/>
        <s v="4c_BU drive_Mercedes-Benz AG_SC/PCC | Management of tender for logistics services at Kecskemét plant (K1)" u="1"/>
        <s v="4c_BU drive_Mercedes-Benz AG_MB AG | GSP/OGE | Warehouse concept Logistics Center Nürnberg" u="1"/>
        <s v="4c_BU drive_Mercedes-Benz AG_MB AG | GCSP/ODW | Reorganisation GR GLC Germersheim" u="1"/>
        <s v="4c_drive_Mercedes-Benz AG_SC/WTO-C | T&amp;T rollout intercontinental &amp; data quality process" u="1"/>
        <s v="4c_BU drive_Mercedes-Benz AG_SC/P | Logistics planning &amp; LSP tender ICC West" u="1"/>
        <s v="4c_BU drive_Mercedes-Benz AG_MB AG | SC/WTI | Planning PT transport network 2022" u="1"/>
        <s v="4c_BU drive_Mercedes-Benz AG_MB AG | SC/PCC | Extension Planning 'ICC West'" u="1"/>
        <s v="4c_BU drive_Mercedes-Benz AG_MB AG | SC/PCC | Implementation 'ICC West'" u="1"/>
        <s v="4c_BU drive_Mercedes-Benz AG_MB AG | SC/WTI | Planning PT transport network 2023" u="1"/>
        <s v="4c_BU drive_Mercedes-Benz AG_MB AG | SC/WTI | Transport planning for transformation of PT supply network 2024-2025" u="1"/>
        <s v="4c_BU drive_Mercedes-Benz AG_MB AG | SC/WTI | Transport optimization in European train network" u="1"/>
        <s v="4c_drive_Mercedes-Benz AG_SC/WTI | Detailling CKD Assembly network in Europe" u="1"/>
        <s v="4c_drive_Mercedes-Benz AG_SC/WTI | Transport optimization in European train network (Wave 2)" u="1"/>
        <s v="4c_BU drive_Mercedes-Benz AG_SC/WTI | Pre-study for rollout preparation of OneERP freight cost managementDefinition of business requirement for OneERP rollout" u="1"/>
        <s v="4c_BU drive_Mercedes-Benz AG_VAN/OOLM | Concept development &amp; implementation of temporary KLT storage solution" u="1"/>
        <s v="4c_BU drive_Mercedes-Benz AG_MO/STI | Extension of pre-study for rollout preparation of OneERP freight cost management" u="1"/>
        <s v="4c_BU drive_Mercedes-Benz AG_MO/STI | Transport planning for transformation of PT supply network 2026" u="1"/>
        <s v="4c_BU drive_Mercedes-Benz AG_Development of Template OneERP (SAP TM) Freight Cost Management for GS in 2025" u="1"/>
        <s v="4c_BU drive_Mercedes-Benz AG_MO/STC | Development of Trac-IT processes, target picture &amp; requirements" u="1"/>
        <s v="4c_BU drive_Mercedes-Benz AG_MB AG | GCSP/OGI | Process Standard Warehouse Operations Wholesale" u="1"/>
        <s v="4c_BU drive_Mercedes-Benz AG_Development of Template OneERP (SAP TM) Freight for Road, Rail &amp; Distribution and Roll-In in 2026" u="1"/>
        <s v="4c_BU drive_Mercedes Benz Group AG_Stabilisierung und Optimierung des ICC Bischweier" u="1"/>
        <s v="4c_BU drive_Mercedes-Benz AG_MB AG | MO/PEPM | Bottleneck analysis and simulation engine dispatch PT-plant Bad Canstatt" u="1"/>
        <s v="4c_BU drive_Yasa_YASA | Logistics expansion Phase C" u="1"/>
        <s v="4c_BU drive_Yasa_YASA | Extension IT implementation support" u="1"/>
        <s v="4m_more_Mercedes-Benz_Mercedes sales activities" u="1"/>
        <s v="4m_more_Mercedes-Benz_Operative Speditionsbetreuung" u="1"/>
        <s v="4c_BU drive_Mercedes-Benz AG_Migration HSS@AmSupply" u="1"/>
        <s v="4c_BU drive_Mercedes-Benz AG_Mercedes-Benz AKL 50 AKL 67 HSS SAP Support" u="1"/>
        <s v="4c_BU drive_Mercedes-Benz AG_Erweiterte Supportleistungen für die SAP-basierten Lagerverwaltungen für AKL50, AKL 67 und HSS 2024" u="1"/>
        <s v="4c_BU drive_Mercedes-Benz AG_SC/WTO-C | Network strategy CKD Logistics Europe" u="1"/>
        <s v="4m_more_Mercedes-Benz_Pilot taktische Planung" u="1"/>
        <s v="4c_drive_Mercedes-Benz AG_SC/WTL | LSP tender support for empties plant Untertürkheim" u="1"/>
        <s v="4m_more_kontinuierlicher Planungsservice DVs für Untertürkheim &amp; Kölleda" u="1"/>
        <s v="4m_more_Mercedes-Benz_Track &amp; Trace" u="1"/>
        <s v="4m_more_Mercedes-Benz_FTL Planning and Management SC/WTI" u="1"/>
        <s v="4m_more_Mercedes-Benz_JIRA4Planning" u="1"/>
        <s v="4c_BU drive_Mercedes-Benz AG_AKL 50 AKL 67 HSS SAP Support Aug &amp; Sept 2025_x0009_" u="1"/>
        <s v="4c_BU drive_Mercedes-Benz AG_Erweiterte SAP Supportleistungen Aug - Sept 2025" u="1"/>
        <s v="4c_BU drive_Mercedes-Benz AG_ITO | SAP Support Transfer and Enablement HSS/AKL" u="1"/>
        <s v="4m_more_Mercedes-Benz_Transportplanung und -optimierung" u="1"/>
        <s v="4c_BU drive_Mercedes-Benz AG_SAP Support Transition für AKL50, AKL67 und HSS" u="1"/>
        <s v="4m_more_Mercedes-Benz_Controltower Operations Europe (Execution)" u="1"/>
        <s v="4m_EU_Mercedes-Benz_Control Tower Funktion über die Inboundverkehre" u="1"/>
        <s v="4m_EU_Mercedes-Benz_Planerische Serienbetreuung von Inboundverkehren im Crossdock-Konzept" u="1"/>
        <s v="4c_BU drive_Mercedes-Benz AG_MB AG | MO/PSE | Rough material flow planning volume structural parts" u="1"/>
        <s v="4c_BU drive_Mercedes-Benz AG_ITO | SAP Support HSS/AKL flat fee 2025 Q4" u="1"/>
        <s v="4c_BU drive_Mercedes-Benz AG_ITO | SAP Support HSS/AKL extended services 2025 Q4" u="1"/>
        <s v="4c_BU boost_KTM_Restart of the Kinaxis Maestro APS Implementation" u="1"/>
        <s v="4c_BU drive_Daimler Truck AG_Support-Leistungen für das in TT/OS eingesetzte Dispo-Tool" u="1"/>
        <s v="4c_BU drive_Daimler Truck AG_Projekt 'Fokus' Ladungsträger 2023" u="1"/>
        <s v="4c_BU drive_Daimler Truck AG_Akquise" u="1"/>
        <s v="4c_BU drive_Daimler Truck AG_Workshop zur LG-Optimierung im Rahmen von Fokus" u="1"/>
        <s v="4c_BU drive_Daimler Truck AG_Future Assembly Scheduling (FAS) – Scoping Sessions" u="1"/>
        <s v="4c_BU wave_Daimler Truck AG_Fokus 2024" u="1"/>
        <s v="4c_BU drive_Daimler Truck AG_DTAG FAS – Planung und Begleitung der Implementierung bis POC" u="1"/>
        <s v="4c_BU wave_Daimler Truck AG_Fokus - Development data migration tool" u="1"/>
        <s v="4c_BU drive_Daimler Truck AG_Support-Leistungen für das eingesetzte Dispo-Tool 2024" u="1"/>
        <s v="4c_wave_Daimler Truck AG_Fokus Q1 " u="1"/>
        <s v="4c_wave_Daimler Truck AG_Tool Entwicklung" u="1"/>
        <s v="4c_wave_Daimler Truck AG_Fokus – CSP support Nov/Dec2024" u="1"/>
        <s v="4c_wave_Daimler Truck AG_Fokus – CSP support Q1 2025" u="1"/>
        <s v="4c_BU drive_Daimler Truck AG_Flächenstrategie Außenlager Werk Kassel - Update Q1 2025" u="1"/>
        <s v="4c_BU wave_Daimler Truck AG_Project Focus | Method support and documentation" u="1"/>
        <s v="4c_BU wave_Daimler Truck AG_Project Focus | Implementation support Q2" u="1"/>
        <s v="4c_BU wave_Daimler Truck AG_Fokus | CSP CMS Support Q2-3, 2025" u="1"/>
        <s v="4c_BU wave_Daimler Truck AG_Fokus Palettenumstellung " u="1"/>
        <s v="4c_BU drive_Daimler Truck AG_Ramp-up support for LDL change at external warehouse of Gaggenau plant" u="1"/>
        <s v="4c_BU wave_Daimler Truck AG_Fokus CSP Q3" u="1"/>
        <s v="4c_BU drive_Daimler Truck AG_Update 2 der Flächenstrategie für die Logistikflächen des Werks Kassel" u="1"/>
        <s v="4c_BU wave_Daimler Truck AG_CSP Warehouse Operations Q4/2025" u="1"/>
        <s v="4c_BU wave_Daimler Truck AG_CSP Q4/2025" u="1"/>
        <s v="4c_BU wave_Daimler Truck AG_CARRY Q4/2025" u="1"/>
        <s v="4c_BU drive_Daimler Truck AG_Referenzkalkulation, Ausschreibungsbegleitung und optionale Anlaufabsicherung Gaggenau" u="1"/>
        <s v="4c_BU drive_Daimler Truck AG_Beratung bei der Blueprint-Erstellung für die Neugestaltung eines globalen Auftragsplanungs- und Steuerungsprozesses" u="1"/>
        <s v="4c_BU drive_Daimler Truck AG_Flächenplanungstool 2.0" u="1"/>
        <s v="4s_vista_Running_Mercedes_4flow vista Intercompany 65/35 - Mercedes Benz Greater China (Ref. SHG 13660211)" u="1"/>
        <s v="4c_CN_Mercedes-Benz_Aftersales warehouse automation solution concept design" u="1"/>
        <s v="4c_CN_Polestar China_Transportation and warehouse tender support" u="1"/>
        <s v="4c_CN_Polestar China_IDP Partner Management Support" u="1"/>
        <s v="4c_BU drive_Seat_Support of the LSP tender process for intralogistics processes at SEAT plant in Martorell" u="1"/>
        <s v="4s_TORO_SEAT S.A._4flow TORO - Pilot" u="1"/>
        <s v="4s_iTMS-4s_SEAT S.A._4flow Dynamic Balancing pilot project" u="1"/>
        <s v="4c_BU drive_PowerCo_Customer Management" u="1"/>
        <s v="4c_BU drive_PowerCo_Capacity Planning and Risk Management Tool for Value Chain Design (until 12-2023)" u="1"/>
        <s v="4c_BU wave_PowerCo_Capacity Planning and Risk Management Tool for Value Chain Design (from 01-2024)" u="1"/>
        <s v="4c_BU wave_PowerCo_IBP delta process management during implementation (from 01-2024)" u="1"/>
        <s v="4c_wave_PowerCo_Risk Management Tool Implementation Support" u="1"/>
        <s v="4c_BU wave_PowerCo_S&amp;OP Training Workshop" u="1"/>
        <s v="4m_Raw Material Supply Chain Control Tower" u="1"/>
        <s v="4c_BU wave_PowerCo_Projektsupport ERP Digitalisierung Logistik" u="1"/>
        <s v="4c_BU wave_PowerCo_S&amp;OP Roadmap and Support" u="1"/>
        <s v="4c_BU wave_PowerCo_Battery Cell Supply Chain ex. China" u="1"/>
        <s v="4m_EU_PowerCo_Controltower 2.0 for Outbound shipments" u="1"/>
        <s v="4c_CN_PowerCo SE_Value Chain Risk Mgmt. China" u="1"/>
        <s v="4c_BU buzz_PowerCo SE_Value Chain Risk Mgmt. China" u="1"/>
        <s v="4c_BU drive_VW AG_Bewertung Logistikkonzept Last Mile" u="1"/>
        <s v="4c_BU drive_Brose Sitech GmbH_JV Readiness - Planung Aufbau Behältermanagement Emden" u="1"/>
        <s v="4c_CN_Sitech Shanghai_Cost optimization" u="1"/>
        <s v="4c_BU drive_Brose Sitech GmbH_Planung und Simulation des optimalen Materialflusses für ein Werk für Fahrzeugsitze" u="1"/>
        <s v="4s_vista_Volkswagen_4flow vista for FVL capacity management" u="1"/>
        <s v="4c_drive_VW_Konzept SystemunterstützungDrittgeschäft Behälter" u="1"/>
        <s v="4c_BU drive_Volkswagen Konzernlogistik_Implementierungsvorbereitung für die Systemunterstützung der Behältersteuerung in Vorlogistik- und Drittgeschäftsprozessen" u="1"/>
        <s v="4c_BU drive_Volkswagen Konzernlogistik_Konzeptentwicklung für die Behältersteuerung in Vorlogistik- und Drittgeschäftsprozessen ohne Standardsoftware Einsatz" u="1"/>
        <s v="4c_BU drive_Volkswagen Konzernlogistik_Analyse und Bewertung des Geschäftsmodells der Ladungsträger-Vermietung" u="1"/>
        <s v="4c_BU drive_Volkswagen Konzernlogistik _LMS Konzeptentwicklung und Prozessdetaillierung" u="1"/>
        <s v="4c_CN_Brose China_AI pre-study" u="1"/>
        <s v="4c_BU wave_SUZUKI DEUTSCHLAND GMBH_Tender support" u="1"/>
        <s v="4m_stellantis_Stellantis_Control Tower Inbound OVL" u="1"/>
        <s v="4m_stellantis_Stellantis_Freight Audit &amp; Pay BR" u="1"/>
        <s v="4m_stellantis_Stellantis_Central Transport Management BR" u="1"/>
        <s v="4m_stellantis_Stellantis_Central Transport Management HU" u="1"/>
        <s v="4m_stellantis_Stellantis_Programm Management" u="1"/>
        <s v="4m_stellantis_Stellantis_Operations Region FR" u="1"/>
        <s v="4m_infinite_Stellantis RPM_RPM Packaging" u="1"/>
        <s v="4m_stellantis_Stellantis_Operations Region IB" u="1"/>
        <s v="4m_stellantis_Stellantis_Operations Region CE" u="1"/>
        <s v="4m_stellantis_Stellantis_Operations Region PECO" u="1"/>
        <s v="4m_stellantis_Stellantis_Manufacturing Change Orders" u="1"/>
        <s v="4m_infinite_Stellantis RPM_Packaging manufacturing change orders" u="1"/>
        <s v="4m_stellantis_Stellantis_CT - Contract Addendum CO21-06 Trailer Yard Mgmt Eisenach" u="1"/>
        <s v="4m_stellantis_Stellantis_Other Central Services (LP Management, Master Data Team)" u="1"/>
        <s v="4m_infinite_Stellantis AFS_Stellantis Aftersales" u="1"/>
        <s v="4m_infinite_Stellantis AFS_Stellantis Aftersales - integration xFCA" u="1"/>
        <s v="4m_stellantis_Stellantis_Serbia/ Kragujevac" u="1"/>
        <s v="4m_infinite_Stellantis AFS_Master Data &amp; Process Design support" u="1"/>
        <s v="4m_infinite_Stellantis AFS_Stellantis Aftersales xF Inbound Network integration" u="1"/>
        <s v="4m_infinite_Stellantis Aftersales xF Inbound integration 2024 (plus IWH/OB) Ex-post shuttle transports" u="1"/>
        <s v="4m_infinite_Stellantis Aftersales Circular Economy Integration" u="1"/>
        <s v="4m_infinite_Stellantis AFS_xF Inbound extension " u="1"/>
        <s v="4m_infinite_Stellantis AFS_Premium Process" u="1"/>
        <s v="4c_BU wave_Stellantis e-Transmissions_Inbound Network Study update" u="1"/>
        <s v="4s_TORO_Porsche_4flow TORO - PoC" u="1"/>
        <s v="4c_rise_Traton Group_Pre-Study Outbound TMS Systems" u="1"/>
        <s v="4c_BU rise_MAN_SAP EWM Implementierung Spare Parts (Festpreis)" u="1"/>
        <s v="4c_BU rise_MAN_SAP EWM Implementierung Spare Parts" u="1"/>
        <s v="4c_BU rise_MAN Truck &amp; Bus SE_SAP EWM Entwicklungsleistungen am PGEWM Temp" u="1"/>
        <s v="4c_BU rise_MAN Truck &amp; Bus SE_Project Support CTOS" u="1"/>
        <s v="4c_BU rise_MAN Truck &amp; Bus SE_SAP EWM Implementierung Spare Parts - Erweiterung" u="1"/>
        <s v="4m_more_AGCO EME iTMS_4PL services - Inbound transportation management for AGCO EAME" u="1"/>
        <s v="4m_AGCO Planning &amp; Sales CN_Integrated Transportation Management Solution for AGCO CHANGZHOU" u="1"/>
        <s v="4m_more_AGCO EME iTMS_4PL services - Outbound transportation management for AGCO EAME" u="1"/>
        <s v="4m_more_AGCO EME iTMS_iTMS for AGCO Remanufacturing" u="1"/>
        <s v="4m_more_AGCO EME iTMS_Extension iTMS International Freight Scope" u="1"/>
        <s v="4m_more_AGCO EME iTMS_Spares" u="1"/>
        <s v="4m_BG more_AGCO_Global Management" u="1"/>
        <s v="4m_more_AGCO EME_Implementation of mandatory Delivery Note upload in iTMS" u="1"/>
        <s v="4m_more_AGCO EME_Setup API interfaces to AGCO dealer portal and iTMS Integration of Claims &amp; Returns" u="1"/>
        <s v="4m_more_AGCO EME_Premium Freight Approval Tool" u="1"/>
        <s v="4m_more_AGCO EME_ RPA Bot for Missing Delivery Note" u="1"/>
        <s v="4m_more_AGCO EME_Implementation PTx in AGCO iTMS Program (Region EME)" u="1"/>
        <s v="4m_more_AGCO EME_Implementation SpareEx in AGCO iTMS Program (Region EME)" u="1"/>
        <s v="4m_more_AGCO EME_Claims &amp; Returns: Implementation in iTMS" u="1"/>
        <s v="4m_more_AGCO EME_Claims &amp; Returns: Reman migration to new API interface setup" u="1"/>
        <s v="4m_more_AGCO EME_Claims &amp; Returns: Setup API Interfaces" u="1"/>
        <s v="4m_more_AGCO EME_CR: S-Number on UPS and/or FedEx Label" u="1"/>
        <s v="4s_iTMS-4s_AGCO NA" u="1"/>
        <s v="4m_more_AGCO 4m services NA_Transportation management NA services (project)" u="1"/>
        <s v="4m_more_AGCO NA_PTx 4PL Services" u="1"/>
        <s v="4s_iTMS-4s_AGCO SA" u="1"/>
        <s v="4c_SA_AGCO South America_EWM Implementation Support - Phase 5" u="1"/>
        <s v="4c_SA_AGCO South America_EWM Implementation - GoLive &amp; Hypercare extension CAN/MOG" u="1"/>
        <s v="4c_SA_AGCO South America_International inbound transport optimization" u="1"/>
        <s v="4c_SA_AGCO South America_EWM Implementation_PMO + MOG extension" u="1"/>
        <s v="4m_more_AGCO 4m services SA_Transportation management SA services" u="1"/>
        <s v="4m_more_AGCO 4m services SA_AGCO - Transportation management SA Payment Services" u="1"/>
        <s v="4_ITMS_execution" u="1"/>
        <s v="4c_BU wave_AGCO_Kinaxis implementation – Demand planning" u="1"/>
        <s v="4c_BU wave_AGCO_Data harmonization" u="1"/>
        <s v="4s_4flow VISTA_Pierburg GmbH_4flow VISTA - licenses and training 2025+" u="1"/>
        <s v="4c_CN_MS Motorservice Asia Pacific Co., Ltd._WH optimization" u="1"/>
        <s v="4c_NA_Volvo Cars_U.S. transportation optimization enablement" u="1"/>
        <s v="4c_BU boost_Volvo Cars_Global LOC operating model" u="1"/>
        <s v="4s_vista_TBEU_4flow vista - PoC - customer project strategic optimization" u="1"/>
        <s v="4s_TORO_TBEU - 4flow TORO - 2 months PoC" u="1"/>
        <s v="4c_core_PSA Group_Design of the future TM strategy of PSA" u="1"/>
        <s v="4s_iTMS-4s_Stellantis_4flow iTMS" u="1"/>
        <s v="4m_infinite_Stellantis AFS_Support for Thor Implementation" u="1"/>
        <s v="4s_iTMS-4s_Stellantis_PSA Groupe - Carrier Onboarding" u="1"/>
        <s v="4s_iTMS-4s_Stellantis_RTTVP Shippeo implementation" u="1"/>
        <s v="4s_iTMS-4s_Stellantis_Extension to FCA plants" u="1"/>
        <s v="4s_iTMS-4s_Stellantis_EMS for Stellantis" u="1"/>
        <s v="4s_iTMS-4s_Stellantis_Container Booking Tool" u="1"/>
        <s v="4c_BU wave_Stellantis_SPM support" u="1"/>
        <s v="4s_iTMS-4s_Stellantis_Change Requests 2025" u="1"/>
        <s v="4s_iTMS-4s_Stellantis_CR maintenance fees" u="1"/>
        <s v="4c_BU wave_Stellantis_SPM Support extension and concept study" u="1"/>
        <s v="4s_vista_Renault_4flow vista PoC 2024 for Finished Vehicle Logistics" u="1"/>
        <s v="4c_BU rise_Renault s.a.s._RR Implementation for Renault - Supplier Collaboration - PoC" u="1"/>
        <s v="4c_BU rise_Renault s.a.s._[Kinaxis Maestro] Renault DCM S&amp;OP" u="1"/>
        <s v="4c_BU drive_Bridgnorthaluminium UK  _SCM Assessment" u="1"/>
        <s v="4m_more_Webasto_4PL Service EU Inbound" u="1"/>
        <s v="4s_iTMS-4s_Webasto_iTMS Running NA" u="1"/>
        <s v="4s_iTMS-4s_Webasto_iTMS NA implementation and EU transition project " u="1"/>
        <s v="4s_iTMS-4s_Webasto_Extent iTMS to NA" u="1"/>
        <s v="4s_iTMS-4s_Webasto_iTMS Running EU" u="1"/>
        <s v="4s_iTMS-4s_Webasto_iTMS diverse CR" u="1"/>
        <s v="4s_iTMS-4s_Webasto_RPM" u="1"/>
        <s v="4s_iTMS-4s_Webasto_Carrier Onboarding" u="1"/>
        <s v="4s_vista_INEOS Automotive_4flow vista as network design tool" u="1"/>
        <s v="4c_BU drive_INEOS Automotive_Short-term solution for vehicle upload into SAP" u="1"/>
        <s v="4c_core_John Deere Brasil Ltda_Layout and material flow strategy concept" u="1"/>
        <s v="4c_NA_Cooper Standard_Transportation Optimization" u="1"/>
        <s v="4c_EU_Volkswagen Osnabrück GmbH_Akquise" u="1"/>
        <s v="4c_BU drive_Volkswagen Osnabrück GmbH_Logistik Inhouseplanung Fahrzeugbau" u="1"/>
        <s v="4c_EU_Voltaira_Task-force management &amp; supply chain due-diligence" u="1"/>
        <s v="4c_EU_Voltaira_Day 1 Preparation support - Operational support" u="1"/>
        <s v="4c_EU_Voltaira_Consulting support: Integration and Value Capture" u="1"/>
        <s v="4c_BU drive_Autokabel_AK Way forward 2025" u="1"/>
        <s v="4c_EU_Continental Reifen Deutschland GmbH_SAP EWM Support &amp; PICR Realization 2025 (März-September) " u="1"/>
        <s v="4c_BU drive_Continental Reifen Deutschland GmbH_SAP EWM Support &amp; PICR Realization 2025 Q4" u="1"/>
        <s v="4s_TORO_Treves_4flow TORO" u="1"/>
        <s v="4c_drive_Gebauer-Griller_Kinaxis Implementation" u="1"/>
        <s v="4c_BU drive_Gebauer Griller_IT Workshops" u="1"/>
        <s v="4c_BU drive_Gebauer Griller_KNX | Financial Planning enhancements" u="1"/>
        <s v="4c_BU drive_Gebauer Griller_KNX | On-Site Training" u="1"/>
        <s v="4c_BU drive_Gebauer Griller_Demand Planning TOM Workshop" u="1"/>
        <s v="4c_BU drive_Wilhelm Fricke SE_Netzwerkanalyse im Zuge des Ramp-Up LGZ Tholey" u="1"/>
        <s v="4s_VIA_Wilhelm Fricke SE_4flow VIA - licenses and training 2025+" u="1"/>
        <s v="4c_NA_Minted_Demand planning assessment" u="1"/>
        <s v="4c_SA_Mann+Hummel Brasil Ltda_Network design for production and distribution Latam" u="1"/>
        <s v="4c_core_MANN+HUMMEL Brasil Ltda._Warehouse 3PL RFQ Support" u="1"/>
        <s v="4c_NA_Nippon Seiki North America_Supply Chain Design Model" u="1"/>
        <s v="4m_more_Yanfeng_Global Supply Chain Management BR 205 (Interiors)" u="1"/>
        <s v="4m_more_Yanfeng_Project &amp; Operation Concept YFAI Import, Scope Glove Box 206 / EVA2, Instrument Panel X243 and HoP" u="1"/>
        <s v="4m_more_Yanfeng_Yanfeng - Gobal Parts Management / Transition development" u="1"/>
        <s v="4m_infinite_Adient_European Transport Management Services (TMS) - Transportation Network" u="1"/>
        <s v="4c_BU drive_Adient_Container Management Centralization Concept" u="1"/>
        <s v="4c_BU drive_Adient Ltd. &amp; Co. KG_Definition and evaluation of a centralization concept" u="1"/>
        <s v="4m_infinite_Adient_Adient - Ocean freight purchasing - service extension_x000a_" u="1"/>
        <s v="4c_BU drive_Apollo Tyres Ltd_Optimization of European warehouses" u="1"/>
        <s v="4c_BU drive_Apollo Tyres Ltd_Tender management and implementation distribution center" u="1"/>
        <s v="4c_BU drive_Stabilus GmbH_Tender Advisory DC Koblenz" u="1"/>
        <s v="4m_infinite_Magna_Support RFQ Contract Management X253" u="1"/>
        <s v="4m_infinite_Magna_TMM next level 4PL operation" u="1"/>
        <s v="4s_iTMS-4m_Magna Steyr_Maintenance_VPN tunnel" u="1"/>
        <s v="4m_infinite_Magna_Control Tower China" u="1"/>
        <s v="4c_BU boost_Magna Steyr GmbH &amp; Co KG_SCO Assessment Light" u="1"/>
        <s v="4c_BU boost_Magna Steyr Fahrzeugtechnik MSF_AI for Container Management" u="1"/>
        <s v="4c_BU drive_Valeo_Aftermarket Network Study TR &amp; Adriatic" u="1"/>
        <s v="4c_BU drive_Valeo_Inbound Network Study" u="1"/>
        <s v="4s_vista_Valmet_4flow software screening workshop" u="1"/>
        <s v="4c_BU buzz_Kögel Trailer GmbH_Logistics concept for site Burtenbach" u="1"/>
        <s v="4c_core_Jacto_Operational diagnosis and prioritization of improvement initiatives" u="1"/>
        <s v="4m_infinite_Antolin EMEA - 4PL services_Antolin EMEA - 4PL services" u="1"/>
        <s v="4c_BU boost_Magna PT B.V. &amp; Co. KG_WH storage technology evaluation for production site Bari" u="1"/>
        <s v="4c_BU boost_Magna PT B.V. &amp; Co. KG_SAP EWM Implementation Site Bari" u="1"/>
        <s v="4c_CN_Horizon Robotics_Supply chain collaboration design" u="1"/>
        <s v="4c_BU drive_Sumitomo Electric Boardnetze_North Africa strategic inbound planning and cost im" u="1"/>
        <s v="4s_Vista_Autoliv_4flow vista - licenses and training 2025+" u="1"/>
        <s v="4s_vista_Robert Bosch GmbH_4fv network training (as of 2023)" u="1"/>
        <s v="4s_iTMS-4s_Robert Bosch GmbH" u="1"/>
        <s v="4s_iTMS-4s_Robert Bosch GmbH_maintenance incl. EU training environment" u="1"/>
        <s v="4s_vista_Robert Bosch GmbH_4fv network" u="1"/>
        <s v="4s_KNX-TLO_Robert Bosch GmbH_Bosch - Kinaxis TLO" u="1"/>
        <s v="4s_KNX-TLO_Robert Bosch GmbH_Bosch CPT - Kinaxis TLO" u="1"/>
        <s v="4s_4flow vista_Robert Bosch GmbH_4flow vista transportation planning" u="1"/>
        <s v="4s_iTMS-4s_Robert Bosch GmbH_NA training environment" u="1"/>
        <s v="4c_BU drive_Tucker GmbH_Intralogistics Audit WH Linden" u="1"/>
        <s v="4c_CN_Goodyear_Supply Network Design" u="1"/>
        <s v="4c_CN_Goodyear_Optimization of import &amp; export planning &amp; operation via VSM" u="1"/>
        <s v="4c_drive_Magura Bosch Parts &amp; Services_Automation expertise DC Germany." u="1"/>
        <s v="4c_BU drive_Magura Bosch Parts &amp; Services_Network Strategy" u="1"/>
        <s v="4c_BU drive_One Mobility Autokabel GmbH_SC Planning Implementation" u="1"/>
        <s v="4c_EU_ContiTech Deutschland GmbH_SAP EWM for Weißbach" u="1"/>
        <s v="4m_Continental_4flow management iTMS services for Continental China" u="1"/>
        <s v="4s_vista_Continental Automotive_Maintenance_(renewal, formerly 20981512)" u="1"/>
        <s v="4c_EU_Continental Tires_SAP EWM Support &amp; PICR Development" u="1"/>
        <s v="4c_EU_Continental Tires_SAP EWM Support &amp; PICR Realization" u="1"/>
        <s v="4c_NA_Continental Tires_Continental network study &amp; roadmap development" u="1"/>
        <s v="4c_BU drive_KAUTEX TEXTRON GmbH &amp; Co. KG_Strategic design of Kautex Textron's future inbound transportation network (Phase 1)" u="1"/>
        <s v="4c_BU drive_KAUTEX TEXTRON GmbH &amp; Co. KG_Tender management and measure realizatio" u="1"/>
        <s v="4s_iTMS-4s_OP Mobility_Global 4flow iTMS Project - Implementation Project " u="1"/>
        <s v="4s_iTMS-4s_OP Mobility_Global 4flow iTMS Project - Training &amp; Key User Support " u="1"/>
        <s v="4s_iTMS-4s_OP Mobility_Global 4flow iTMS Project - Integration &amp; System Setup " u="1"/>
        <s v="4s_iTMS-4s_OP Mobility_Global 4flow iTMS Project - Change Requests" u="1"/>
        <s v="4s_iTMS-4s_OP Mobility_Global 4flow iTMS Project - Carrier Onboarding" u="1"/>
        <s v="4s_iTMS-4s_OP Mobility_Global 4flow iTMS Project - Running Fees " u="1"/>
        <s v="4c_BU drive_Phoenix Contact E-Mobility GmbH_S&amp;OP Implementation &amp; Change Management" u="1"/>
        <s v="4c_BU drive_Phoenix Contact E-Mobility GmbH_SAP S/4HANA Transformation Support September" u="1"/>
        <s v="4s_iTMS-4m_Nidec Motors Corp_4flow iTMS" u="1"/>
        <s v="4c_BU drive_Bridgestone Europe NV/SA_VIA data collection &amp; network modeling" u="1"/>
        <s v="4c_BU drive_Alliance Automotive Group Germany_Network Strategy Germany" u="1"/>
        <s v="4c_BU wave_Marquardt SE_Task Force Plant Ichtershausen" u="1"/>
        <s v="4c_BU wave_Marquardt SE_Feasibility study Ichtershausen" u="1"/>
        <s v="4c_BU wave_Marquardt SE_Business Case und Roadmap" u="1"/>
        <s v="4c_BU wave_Marquardt SE_Project Management and Task Force Ichtershausen" u="1"/>
        <s v="4c_BU wave_Marquardt SE_Cost assessment for plant Ichtershausen" u="1"/>
        <s v="4c_BU wave_Marquardt GmbH_Prozessoptimierung Ichtershausen" u="1"/>
        <s v="4c_BU wave_Marquardt_Creation of a business case" u="1"/>
        <s v="4m_infinite_Phinia_Phinia iTMS Europe" u="1"/>
        <s v="4c_CN_Castrol_Transportation management process design" u="1"/>
        <s v="4c_core_Castrol_Transportation management process design (phase 2)" u="1"/>
        <s v="4c_core_Castrol_Site extension design" u="1"/>
        <s v="4c_CN_Beijing Zongheng Electro-Mechanical Technology Co Ltd (ZEMT)_Sourcing capability development" u="1"/>
        <s v="4c_BU drive_MAHLE international GmbH_Ocean Supply Chain Optimization" u="1"/>
        <s v="4c_drive_MAHLE_Delivery Performance Optimization" u="1"/>
        <s v="4c_BU drive_Mahle_Network Design Health Check" u="1"/>
        <s v="4c_BU rise_Voith Turbo_Logistikkonzept am Standort Heidenheim" u="1"/>
        <s v="4c_BU rise_Voith Turbo_Voith - interim Transport Management" u="1"/>
        <s v="4c_CN_Stanley Black &amp; Decker_Organizational Optimization for Warehousing, Distribution and Quality management sector" u="1"/>
        <s v="4c_NA_Stanley Black &amp; Decker_DC Consolidation Planning &amp; Implementation" u="1"/>
        <s v="4m_dynamic_Lear_European X-Dock Management" u="1"/>
        <s v="4m_dynamic_Lear_4flow vista – Lizenz und Wartung" u="1"/>
        <s v="4m_dynamic_Lear_iTMS - EMEA Operations" u="1"/>
        <s v="4s_4flow VIA - licenses and training 2025+_1_Running Fees" u="1"/>
        <s v="4s_4flow VIA - licenses and training 2025+_Customer Project" u="1"/>
        <s v="4m_dynamic_IAC_sales activities" u="1"/>
        <s v="4m_dynamic_IAC_iTMS" u="1"/>
        <s v="4m_infinite_BorgWarner_European Managed Transportation Services" u="1"/>
        <s v="4m_infinite_BorgWarner_Real Time Tracking pilot" u="1"/>
        <s v="4m_infinite_BorgWarner_PDS Viana plant integration" u="1"/>
        <s v="4m_infinite_BorgWarner_Dock management solution via Smart booking" u="1"/>
        <s v="4m_infinite_BorgWarner_New plant iTMS integration project - PDS Izmir" u="1"/>
        <s v="4c_NA_Autoliv_Network design maturity assessment" u="1"/>
        <s v="4s_4flow vista_Autoliv_Vista Implementation and Training" u="1"/>
        <s v="4s_4flow vista_Autoliv_Autoliv Vista" u="1"/>
        <s v="4s_4flow vista_Autoliv_Software Training Project " u="1"/>
        <s v="4c_NA_Autoliv_4flow Vista Coaching" u="1"/>
        <s v="4s_4flow vista_Autoliv_Vista Coaching" u="1"/>
        <s v="4c_core_ZF Friedrichshafen_Acquistion / sales" u="1"/>
        <s v="4c_EU_ZF Friedrichshafen_Transportation and network strategy and optimization Europe" u="1"/>
        <s v="4c_SA_ZF Friedrichshafen_Transportation and network strategy and optimization Europe (Ref. SE 22502426)" u="1"/>
        <s v="4c_EU_ZF Friedrichshafen_Implementation of European Road Freight Strategy and realization of transportation cost savings" u="1"/>
        <s v="4c_w/o BU_ZF Friedrichshafen_Support realization of cost savings and implementation of selected future transport management capabilities" u="1"/>
        <s v="4c_NA_Inteva Products_Transportation optimization Matamoros" u="1"/>
        <s v="4s_vista_Schaeffler China_Inbound" u="1"/>
        <s v="4c_CN_Schaeffler_Transport cost benchmark and route optimization" u="1"/>
        <s v="4s_vista_Schaeffler Technologies_4flow vista PoC 2023" u="1"/>
        <s v="4s_4flow vista_Schaeffler Technologies_4flow vista licenses and training 2024+" u="1"/>
        <s v="4s_vista_Schaeffler Technologies_Additional training year 2025" u="1"/>
        <s v="4c_NA_Autoneum_PMO Support - Tariff Impact Assessment" u="1"/>
        <s v="4s_vista_Dräxlmaier_Maintenance 2023" u="1"/>
        <s v="4s_vista_Dräxlmaier_Maintenance 2024" u="1"/>
        <s v="4s_vista_Dräxlmaier_Maintenance 03/2025-02/2026" u="1"/>
        <s v="4m_NA_SAS Automotive USA, Inc._Integrated Transportation Management Services US (ITMS - planning)" u="1"/>
        <s v="4m_more_Knorr-Bremse_Transport Management System (TMS) Implementation" u="1"/>
        <s v="4m_more_Knorr-Bremse_IT Implementation Outbound Europe (maintenance)" u="1"/>
        <s v="4m_more_Knorr-Bremse_Roll-out support EU road" u="1"/>
        <s v="4m_more_Knorr Bremse_4 PL services for KB EMEA" u="1"/>
        <s v="4m_more_Knorrr-Bremse_Transport Management System (TMS) - AMS 2024" u="1"/>
        <s v="4flow software - iTMS IFTMIN Implementierung" u="1"/>
        <s v="4c_rise_Knorr-Bremse Rail_I2O 6 Transport Management Definition (S4/HANA Preproject)" u="1"/>
        <s v="4c_rise_Knorr-Bremse Rail_I2O 6 Transport Management Definition (S4/HANA Preproject) (Ref. SE 29075128)" u="1"/>
        <s v="4c_BU rise_Knorr-Bremse_IO6 - TM Pre-Project RVS/CVS" u="1"/>
        <s v="4c_BU rise_Knorr-Bremse_Support Strategy Workshop" u="1"/>
        <s v="4m_more_iTMS_AMS 2025" u="1"/>
        <s v="4m_more_Knorr-Bremse_4 PL services for KB BR" u="1"/>
        <s v="4m_more_Knorr-Bremse_4 PL services for KB APAC" u="1"/>
        <s v="4m_more_New/No Program (enter comment)_Creator licenses 4flow vista analytics " u="1"/>
        <s v="4c_BU rise_Knorr-Bremse_Change Request SAP-pre-project" u="1"/>
        <s v="4m_more_Knorr-Bremse_Interim Management Road Europe" u="1"/>
        <s v="4m_more_New/No Program (enter comment)_AMS 2026" u="1"/>
        <s v="4c_SA_Knorr-Bremse Brazil_Network Design South America" u="1"/>
        <s v="4m_infinite_BOS_4flow iTMS START - Implementation and operation of 4PL services" u="1"/>
        <s v="4m_infinite_BOS_Extension Network Study" u="1"/>
        <s v="4m_infinite_BOS_Material Order Management – BOS IRA" u="1"/>
        <s v="4m_infinite_BOS_Extend iTMS for ASIA to BOS Irapuato, Mexico (Additional scope to be implemented (Asian suppliers for BOS in MX); seperate implemenation project for scope extension)" u="1"/>
        <s v="4m_infinite_BOS_BOS_RTT" u="1"/>
        <s v="4m_infinite_BOS_EDI for TO creation" u="1"/>
        <s v="4m_infinite_BOS_Extension Americas" u="1"/>
        <s v="4m_infinite_BOS Group_BOS_Purchasing Intelligence" u="1"/>
        <s v="4m_infinite_BOS_Demand data conversion tool" u="1"/>
        <s v="4m_infinite_BOS_Document_Publisher" u="1"/>
        <s v="4m_infinite_BOS_BOS_MOM" u="1"/>
        <s v="4m_infinite_BOS_BOS_iTMS_Document_Check box" u="1"/>
        <s v="4m_infinite_BOS_BOS_Packaging data sheet digitization" u="1"/>
        <s v="4m_infinite_BOS_BOS_alpega TenderEasy platform" u="1"/>
        <s v="4m_infinite_BOS_BOS_Sea freight tender" u="1"/>
        <s v="4m_infinite_BOS_BOS_Road freight tender implementation" u="1"/>
        <s v="4m_infinite_BOS_BOS_iTMS Smart Booking" u="1"/>
        <s v="4m_infinite_BOS_BOS_Road freight tender service" u="1"/>
        <s v="4c_BU drive_BOS_Digital &amp; AI Strategy" u="1"/>
        <s v="4m_infinite_BOS_BOS_Sea freight Procurement service" u="1"/>
        <s v="4c_core_Jost_Akquise" u="1"/>
        <s v="4c_SA_Jost_Optimization of material flows and storage capacity" u="1"/>
        <s v="4c_core_Jost Agriculture Construction South America Ltda._Development of implementation plan - WP3" u="1"/>
        <s v="4c_core_JOST AGRICULTURE CONSTRUCTION SOUTH AMERICA LTDA_Im" u="1"/>
        <s v="4s_iTMS-4s_ OP Mobility SE _Global 4flow iTMS Project" u="1"/>
        <s v="4c_BU boost_MAC_Extension Logistics Ramp Up Support Shipyard Wismar" u="1"/>
        <s v="4c_BU boost_MAC_Extension II - Logistics Ramp Up Support Shipyard Wismar" u="1"/>
        <s v="4c_BU boost_MAC Hamburg GmbH_Extension - Logistics Operations Support Wismar" u="1"/>
        <s v="4c_BU rise_MAN Energy Solution (früher Diesel)_Akquise" u="1"/>
        <s v="4c_BU rise_MAN Energy Solution (früher Diesel)_Planning New Plant in Denmark" u="1"/>
        <s v="4c_BU rise_MAN Energy Solution (früher Diesel)_Untersuchung zu zentralem Materialmanagement" u="1"/>
        <s v="4c_BU rise_MAN Energy Solution (früher Diesel)_Einführung S&amp;OP Prozess für den TL-Bau als Pilotumfang" u="1"/>
        <s v="4c_BU rise_MAN Energy Solution (früher Diesel)_The Valley warehouse concept planning" u="1"/>
        <s v="4c_BU rise_MAN Energy Solution (früher Diesel)_Detailed planning of the new factory &quot;The Valley&quot; in Copenhagen" u="1"/>
        <s v="4c_BU rise_Everllence SE_Entwicklung Forecasting Tool" u="1"/>
        <s v="4c_BU rise_Everllence Copenhagen_Follow up The Valley Detailed Planning" u="1"/>
        <s v="4c_BU rise_Everllence Copenhagen_EWM MFS support tender evaluation" u="1"/>
        <s v="4c_BU rise_Everllence Copenhagen_Quick Supply Chain Audit PrimeServ" u="1"/>
        <s v="4c_BU boost_Dürr Systems AG_Zielbild und Fremdvergabe der CTS Logistik" u="1"/>
        <s v="4m_more_Resideo_Freight Cost Management Services" u="1"/>
        <s v="4m_more_Resideo_Program Management and Solution Achitect" u="1"/>
        <s v="4c_BU rise_Resideo_Supply Chain Audit OTTR" u="1"/>
        <s v="4m_more_Dupont_4PL services Europe" u="1"/>
        <s v="4m_more_Dupont_DuPont P80 Implementation project" u="1"/>
        <s v="4m_more_Dupont_DuPint Log 2000 retirement" u="1"/>
        <s v="4m_more_DuPont_Project Novus" u="1"/>
        <s v="4c_BU boost_RENK AG _Akquise" u="1"/>
        <s v="4c_BU boost_RENK GmbH_Claim Management" u="1"/>
        <s v="4c_BU wave_Zell Group   _Business Development Strategy" u="1"/>
        <s v="4c_BU wave_Zell Group   _Business Development Follow-up Workshop" u="1"/>
        <s v="4c_BU boost_Jungheinrich AG_Erarbeitung Niederlassungskonzept DE" u="1"/>
        <s v="4c_BU boost_Nordex_Global Spare Parts Network Optimization" u="1"/>
        <s v="4c_BU boost_Nordex Energy SE &amp; Co. KG_Center of Gravity Analysis North America and South Africa" u="1"/>
        <s v="4c_BU boost_Putzmeister GmbH_Strategy Outsourcing Logistics" u="1"/>
        <s v="4m_more_TRUMPF_Global Rollout 4PL services Trumpf" u="1"/>
        <s v="4m_more_TRUMPF_RFS Cockpit integration into iTMS" u="1"/>
        <s v="4c_NA_GEMU Valves North America_Factory Relocation &amp; Planning" u="1"/>
        <s v="4m_more_Grundfos_SCO assesment light" u="1"/>
        <s v="4c_EU_Schrauben Jäger AG_Akquiese" u="1"/>
        <s v="4c_core_TK Aufzugswerke_Akquise" u="1"/>
        <s v="4s_iTMS-4s_Hillenbrand_4S TMS" u="1"/>
        <s v="4c_NA_Komatsu_Global Distirbution Study" u="1"/>
        <s v="4c_NA_Komatsu_Duty Drawback" u="1"/>
        <s v="4c_NA_Komatsu_Extension: Global Distriutin Study KANN" u="1"/>
        <s v="4c_NA_Komatsu_Duty Drawback Solution Implementation" u="1"/>
        <s v="4c_NA_Komatsu_Duty Drawback Solution Development" u="1"/>
        <s v="4s_4flow vista_TCL_4flow vista" u="1"/>
        <s v="4s_4flow vista_TCL_4flow vista " u="1"/>
        <s v="4c_EU_Versuvius plc_Akquise" u="1"/>
        <s v="4c_BU core_SMA_DFP - Alternativmaterialien" u="1"/>
        <s v="4m_more_SPM Data Solutions_Automated Freight Cost Management &amp; Reporting" u="1"/>
        <s v="4m_more_New/No Program (enter comment)_CO2 Reporting" u="1"/>
        <s v="4c_BU boost_DMG Mori Spare Parts GmbH_Spare Parts Lagerkonzept Geretsried" u="1"/>
        <s v="4c_BU boost_Gildemeister Beteiligungen GmbH _QM Audit" u="1"/>
        <s v="4c_BU boost_DMG MORI Bielefeld Hilden GmbH_Review und Detaillierung Regelwerk für Disposition" u="1"/>
        <s v="4c_BU buzz_NORMA Group SE_SC Optimization Audit for Transportation and Inventory" u="1"/>
        <s v="4c_CN_SKF China_SKF China digital procurement acceleration" u="1"/>
        <s v="4c_CN_SKF China_Procurement digitization phase 2" u="1"/>
        <s v="4c_BU drive_Alfred Kärcher_Digital Twin: APAC" u="1"/>
        <s v="4c_BU drive_Alfred Kärcher_Market study &amp; Benchmarking" u="1"/>
        <s v="4s_VIA_Alfred Kärcher_4flow VIA 2024" u="1"/>
        <s v="4c_BU drive_Alfred Kärcher_Projektionsmodell Logistikkosten" u="1"/>
        <s v="4c_EU_Kärcher_Kärcher | Digital Twin Europe | Scenarios Finnland" u="1"/>
        <s v="4c_SA_Kärcher_Kärcher | Digital Twin Europe | Scenarios Finnland (Ref. SE 30812228)" u="1"/>
        <s v="4c_BU drive_Alfred Kärcher_Digital Twin - RDC CE 2024" u="1"/>
        <s v="4c_BU drive_Alfred Kärcher_Digital Twin | RDC CE Integration CH" u="1"/>
        <s v="4c_EU_Kärcher_Kärcher | Digital Twin Australia | Enrichment of data model &amp; optimization Australia’s distribution network" u="1"/>
        <s v="4c_SA_Kärcher_Kärcher | Digital Twin Australia | Enrichment of data model &amp; optimization Australia’s distribution network" u="1"/>
        <s v="4c_BU drive_Alfred Kärcher_Tender strategy road freight" u="1"/>
        <s v="4c_drive_Alfred Kärcher_4c_drive_Alfred Kärcher_Digital Twin EU | Iberia (ES&amp;PT)" u="1"/>
        <s v="4c_BU drive_Alfred Kärcher_Digital Twin South East Europe" u="1"/>
        <s v="4c_BU drive_Alfred Kärcher_Network Strategy 2030" u="1"/>
        <s v="4c_NA_Rittal_Warehouse Concept Shanghai" u="1"/>
        <s v="4c_CN_Rittal Electro-Mechanical Technology (Shanghai) Co., Ltd._RITTAL ASEAN DC selection" u="1"/>
        <s v="4c_core_Rittal China_ASEAN Network Design_project extension" u="1"/>
        <s v="4s_4flow vista_SANY_4flow vista" u="1"/>
        <s v="4s_VIA_Hettich_4flow VIA - rental licenses 2024+" u="1"/>
        <s v="4c_BU rise_Hettich_Materialflusssimulation" u="1"/>
        <s v="4s_PG 4flow VIA vista_Wilhelm Böllhoff_4flow vista classic pilot Network optimization and strategic planning" u="1"/>
        <s v="4m_more_Schneider Electric_Optimization Services" u="1"/>
        <s v="4m_CN_Converse_Supply chain+" u="1"/>
        <s v="4c_BU rise_BayWa r.e. AG_RR Implementation for BayWa r.e." u="1"/>
        <s v="4c_EU_Global Kinaxis Rapid Response Roll-Out" u="1"/>
        <s v="4c_SA_Global Kinaxis Rapid Response Roll-Out (Ref. AG 31240628)" u="1"/>
        <s v="4c_BU rise_BayWa r.e. AG_Global Kinaxis Rapid Response Roll-Out - Wave 2 adjustment (technical enablement only)" u="1"/>
        <s v="4c_BU rise_BayWa r.e. AG_Global Kinaxis Rapid Response Roll-Out - Wave 2 Full Scope" u="1"/>
        <s v="4c_BU rise_BayWa r.e.AG_Atlas Projekt Support" u="1"/>
        <s v="4c_BU boost_Liebherr_SC Stratgey" u="1"/>
        <s v="4c_BU boost_Hager Group_Distribution Network Design Europe" u="1"/>
        <s v="4c_BU boost_Hager Group_Supply Chain / Logistics Strategy 2030" u="1"/>
        <s v="4c_BU rise_BayWa r.e. Solar Systems S.à r.l.  _akquise" u="1"/>
        <s v="4c_BU rise_BayWa r.e. AG_Pre Project Kinaxis RR implementierung" u="1"/>
        <s v="4c_EU_Northvolt AB_akquise" u="1"/>
        <s v="4c_BU boost_Robel Bahnbaumaschinen GmbH_Detailplanung und Umsetzungsbegleitung für den Neubau eines Zentrallagers" u="1"/>
        <s v="4m_CN_Zhongneng_Supply chain+" u="1"/>
        <s v="4c_boost_FLS_Process Design Principal Model" u="1"/>
        <s v="4c_BU wave_Bridgnorth Aluminium Ltd_SCM KPI Dashboard" u="1"/>
        <s v="4c_BU wave_Bridgnorth Aluminium Ltd_Implementation support metal procurement process" u="1"/>
        <s v="4c_boost_DAW SE_Distribution Network Optimization" u="1"/>
        <s v="4c_BU rise_EGGER Holzwerkstoffe GmbH_Supply Chain Audit" u="1"/>
        <s v="4c_BU rise_BayWa r.e._novotegra Supply Chain 2.0: Zielbild und Konzept" u="1"/>
        <s v="4c_BU rise_BayWa r.e. Solar Trade Holding GmbH_Kinaxis Maestro roll-out: on-demand Q&amp;A / training sessions" u="1"/>
        <s v="4c_BU rise_BayWa r.e. Solar Trade Holding GmbH_Kinaxis Maestro roll-out: running enhancement support" u="1"/>
        <s v="4c_BU rise_BayWa r.e. Solar Trade Holding GmbH_Novotegra Supply Chain 2.0: Maestro Integration - Demand Planning" u="1"/>
        <s v="4c_NA_Packsize_Production transfer to Louisville - Concept Phase" u="1"/>
        <s v="4c_BU rise_BAUER COMP Holding GmbH_Optimierte Materialfluss- und Flächenplanung" u="1"/>
        <s v="4c_BU drive_Progroup_Transport &amp; Network optimization" u="1"/>
        <s v="4c_NA_Linak U.S. Inc._End-to-End Warehouse Optimization " u="1"/>
        <s v="4c_BU wave_Hydro Extrusion Spain S.A.U._Transport optimization" u="1"/>
        <s v="4m_CN_Wuxi Lead_Supply chain+" u="1"/>
        <s v="4c_BU rise_Voith HySTech GmbH_Logistikkonzept der Zukunft" u="1"/>
        <s v="4c_BU boost_Künz GmbH_Lagerplanung und LVS Anbieter Vorauswahl" u="1"/>
        <s v="4c_BU rise_Heinrich Sauter GmbH_Strategic Network Analysis" u="1"/>
        <s v="4s_4flow VIA_Grupo Argos_licenses and training 2025+" u="1"/>
        <s v="4c_core_MANN+HUMMEL BRASIL Ltda._Suporte a implementação de novo Warehouse" u="1"/>
        <s v="4c_BU boost_GEA Group AG_Spare Parts Distribution Strategy Europe" u="1"/>
        <s v="4c_NA_Oldcastle BuildingEnvelope_Transportation Strategy" u="1"/>
        <s v="4c_NA_Ipex_Process Shaping and SAP Solution Assessment" u="1"/>
        <s v="4c_NA_Weyerhaeuser_Process Shaping and S&amp;OP Transformation" u="1"/>
        <s v="4c_CN_Tesa China_AI pre-study" u="1"/>
        <s v="4c_NA_Schneider Electric USA_Greenfield distribution center design" u="1"/>
        <s v="4c_CN_Lapp Asia Pacific Pte Ltd_Network study CN + APAC_x0009_" u="1"/>
        <s v="4c_CN_Lapp Asia Pacific Pte Ltd_M&amp;A DD_x0009_" u="1"/>
        <s v="4c_BU boost_Winkelmann Building + Industry_VAR_Maestro Implementation and SaaS" u="1"/>
        <s v="4c_BU boost_ProMinent GmbH _Development small bin storage concept" u="1"/>
        <s v="4c_BU boost_Piller Blowers &amp; Compressors GmbH_Inbound Logistics Concept Metal Sh" u="1"/>
        <s v="4c_BU boost_Arburg GmbH + Co KG_Global Spare Parts Optimization" u="1"/>
        <s v="4c_CN_Morgan Advanced Material_Supply chain diagnostics and optimization" u="1"/>
        <s v="4s_4flow VIA-vista_Mali Technology_4flow vista running fees " u="1"/>
        <s v="4c_NA_Belimo_SAP EWM Project management" u="1"/>
        <s v="4m_more_Delrin_4PL services Europe" u="1"/>
        <s v="4c_BU buzz_Elmos Semiconductor SE_SAP IBP consulting support" u="1"/>
        <s v="4c_BU buzz_Elmos Semiconductor SE_SAP IBP / S/4 HANA go-live readiness S&amp;OP and S&amp;OE" u="1"/>
        <s v="4c_BU buzz_Elmos Semiconductor SE_SAP IBP Support" u="1"/>
        <s v="4c_BU buzz_Elmos Semiconductor SE_SAP IBP Support Onboarding" u="1"/>
        <s v="4c_BU buzz_Elmos Semiconductor SE_S&amp;O IBP Enhancement 2025+" u="1"/>
        <s v="4c_BU buzz_Elmos Semiconductor SE_Task Force Supply Backlog Reduction" u="1"/>
        <s v="4c_BU wave_SIMMT_Change Request: Warehouse Strategy 2030" u="1"/>
        <s v="4c_BU rise_ACO GmbH_Next Level S&amp;OP with Kinaxis Maestro" u="1"/>
        <s v="4c_BU drive_Tata Technologies_Marelli Alpega TMS Implementation" u="1"/>
        <s v="4c_BU wave_EAM GmbH &amp; Co. KG _Flächensuche Zentrallager Baunatal" u="1"/>
        <s v="4c_BU wave_E.ON SE_Tool Losgrößenoptimierung" u="1"/>
        <s v="4c_wave_E.ON_Supply Chain concept design" u="1"/>
        <s v="4c_BU wave_E.ON_Automatisierte E2E-Prozesse mit Logistikprozessen im Fokus: Standortb" u="1"/>
        <s v="4c_core_Itaipu Binacional_Assessment of warehouse processes and system" u="1"/>
        <s v="4c_BU wave_enercity Netz GmbH_Audit Asset &amp; Workforce Management" u="1"/>
        <s v="4c_BU wave_Deloitte Consulting GmbH_Evaluierung Asset &amp; Workforce Management-System" u="1"/>
        <s v="4c_BU boost_Quest One GmbH_Transportation tender document creation" u="1"/>
        <s v="4c_BU wave_ALLGÄUER ÜBERLANDWERK GmbH_Prozessaudit" u="1"/>
        <s v="4s_4flow VIA_OK-Q8_4flow VIA - running fees and customer project" u="1"/>
        <s v="4c_BU rise_RheinEnergie Supply Chain 2.0: Logistikstrategie, -Zielbild und Transformation – Phase 0" u="1"/>
        <s v="4c_NA_MilliporeSigma_Material Flow Assessment" u="1"/>
        <s v="4c_BU_groove_Henkel_Project sunflower" u="1"/>
        <s v="4c_BU buzz_Sonova AG_Strategic Network Mapping" u="1"/>
        <s v="4c_BU buzz_Sonova AG_Task Force Erfurt Part 1" u="1"/>
        <s v="4c_SA_Bayer Row Crops _[Kinaxis Maestro] Business integration support for Phase 4 Brazil Row Crops " u="1"/>
        <s v="4c_NA_Thermo Fischer_Inventory Merger Solventum" u="1"/>
        <s v="4m_dynamic_Clariant_CO2 reporting" u="1"/>
        <s v="4c_w/o BU_LANXESS Deutschland GmbH_Akquise" u="1"/>
        <s v="4c_BU boost_LANXESS Deutschland GmbH_Setup SC Excellence programme" u="1"/>
        <s v="4s_4flow vista_Lanxess_4flow VIA - rental licenses 2025+" u="1"/>
        <s v="4c_BU rise_Medela AG (CH)_Potentialstudie SCM" u="1"/>
        <s v="4c_BU buzz_Medela AG (CH)_EUDC Implementation Benelux Italy" u="1"/>
        <s v="4c_BU buzz_Medela AG (CH)_EUDC Implementation France" u="1"/>
        <s v="4c_BU buzz_ Medela_Business case TOM Spain" u="1"/>
        <s v="4c_BU buzz_Siegfried Holding AG_Global Transportation Tender Support" u="1"/>
        <s v="4c_NA_Medela USA_Distribution study USA and Canada 2023" u="1"/>
        <s v="4c_NA_Medela USA_Warehouse RFQ 2023" u="1"/>
        <s v="4s_KNX-TLO_Colgate_Hill's TLO Implementation" u="1"/>
        <s v="4s_KNX-TLO_Colgate-Palmolive Company_NA TLO Implementation" u="1"/>
        <s v="4s_KNX-TLO_Colgate-Palmolive Company_Colgate LATAM - Kinaxis TLO - Running Fees" u="1"/>
        <s v="4s_KNX-TLO_Colgate-Palmolive Company_Colgate LATAM - Kinaxis TLO - Customer Project" u="1"/>
        <s v="4s_KNX-TLO_Hill's Pet Nutrition_Hill's New Product Line - TLO Support" u="1"/>
        <s v="4c_BU boost_Evonik_Network Study LATAM Animal Nutrition" u="1"/>
        <s v="4m_dynamic_UCB_4PL Global Distribution - Project &quot;Elevate&quot;" u="1"/>
        <s v="4m_dynamic_4 PL Global Distribution - Operations" u="1"/>
        <s v="4m_dynamic_UCB_Enhancement of 4flow integration layer" u="1"/>
        <s v="4c_NA_UCB _Distirbution assessment" u="1"/>
        <s v="4c_NA_UCB_US Distribution Transformation" u="1"/>
        <s v="4c_BU buzz_UCB_Network Governance" u="1"/>
        <s v="4c_core_Covestro Deutschland AG_Akquise" u="1"/>
        <s v="4c_BU buzz_TAKENAKA EUROPE GmbH_Analysis and rough evaluation of Logistics space requirements as part of the feasibility study for Shimadzu Duisburg" u="1"/>
        <s v="4c_BU groove_PHOENIX_Bewertung Zusatzgeschäft" u="1"/>
        <s v="4c_BU buzz_Kinaxis_RapidResponse Training - Dr. Wolff" u="1"/>
        <s v="4c_BU buzz_Dr. Wolff_Extension of Maestro implementation for Dr. Wolff" u="1"/>
        <s v="4m_dynamic_Baxter_Baxter 4PL Services" u="1"/>
        <s v="UAT testing - Blue Yonder upgrade" u="1"/>
        <s v="4m_more_Sartorius_Global 4PL Services" u="1"/>
        <s v="4c_BU buzz_Karl Storz SE &amp; Co. KG_Supply Chain Optimization" u="1"/>
        <s v="4c_BU buzz_Sysmex_Transport Tender EMEA" u="1"/>
        <s v="4c_BU buzz_Sysmex_Affiliate Excellence Program Europe" u="1"/>
        <s v="4c_BU buzz_Sysmex_Transportation Tender Europe" u="1"/>
        <s v="4c_BU buzz_Sysmex SE_Neumünster intralogistics planning" u="1"/>
        <s v="4s_VIA_INVER POLSKA_4flow VIA - 2 months rental Q4 2024" u="1"/>
        <s v="4s_VIA-NEVA_INVER POLSKA_4flow VIA suite for network analysis" u="1"/>
        <s v="4m_Supply Chain+_Supply chain+" u="1"/>
        <s v="4c_CN_Kenvue_APAC network study" u="1"/>
        <s v="4m_dynamic_Baxter_Vantive 4PL Services" u="1"/>
        <s v="4m_dynamic_Baxter_Enhanced performance reporting via BI platform" u="1"/>
        <s v="4m_dynamic_Ontex BV_4PL Transportation Control Tower" u="1"/>
        <s v="4c_BU groove_Ontex_Implementation and rollout of Kinaxis Maestro" u="1"/>
        <s v="4c_BU buzz_Aspen Holding_Supply Hub Integration SACom" u="1"/>
        <s v="4c_BU buzz_Aspen TESS FZ-LLC_Kinaxis Maestro Support" u="1"/>
        <s v="4c_BU buzz_Aspen Holdings_Kinaxis Assessment" u="1"/>
        <s v="4c_BU buzz_Dätwyler Healthcare_End2End Supply Chain Planning Target Picture" u="1"/>
        <s v="4c_BU buzz_Dätwyler Healthcare_Lean Operating Model" u="1"/>
        <s v="4c_BU buzz_Dätwyler Healthcare_Transport Strategy &amp; Optimization" u="1"/>
        <s v="4c_BU buzz_Dätwyler Healthcare_PLM Complexity Reduction" u="1"/>
        <s v="4c_NA_Datwyler_SAP Solutions and Manufacturing Ops. Maturity Assessment" u="1"/>
        <s v="4c_NA_Datwyler USA_Site Consolidation Pennsauken" u="1"/>
        <s v="4c_BU buzz_Dätwyler_MES requirements and machine connectivity" u="1"/>
        <s v="4c_BU buzz_Dätwyler_MES Retrofit Tendering" u="1"/>
        <s v="4c_BU buzz_Dätwyler_Extension - Complexity Reduction" u="1"/>
        <s v="4c_BU buzz_CEVA Santé Animale_Custom Trining for CEVA" u="1"/>
        <s v="4c_BU buzz_Ceva Santé Animale_OneDeliver Project Phase 3" u="1"/>
        <s v="4c_BU buzz_Ceva Sainte Animale_Kinaxis Maestro Support" u="1"/>
        <s v="4c_BU buzz_Novartis Pharma GmbH_Strategische Netzwerkanalyse" u="1"/>
        <s v="4c_core_GALDERMA BRASIL LTDA_Production planning process assessment" u="1"/>
        <s v="4c_BU buzz_Helios Versorgung und Logistik GmbH_Optimierung Lager- und Transportlogistik" u="1"/>
        <s v="4c_BU buzz_Merck KGaA_Digitization Outbound Logistics" u="1"/>
        <s v="4c_core_Corbion_TMS Selection" u="1"/>
        <s v="4c_NA_Sika USA_East Plant Greenfield Concept" u="1"/>
        <s v="4c_core_MSD Brazil_Otimização da malha logística e estratégia de transporte" u="1"/>
        <s v="4m_CN_Neptunus_Supply Chain Plus" u="1"/>
        <s v="4c_core_Solenis Ltda_Network Optimization for Solenis Brasil" u="1"/>
        <s v="4s_4flow VIA - licenses and training 2025+" u="1"/>
        <s v="4c_BU boost_Grace Europe Holding GmbH_Warehouse tender" u="1"/>
        <s v="4c_NA_Pharmavite_Sustainment Services Kinaxis-PlanetTogether" u="1"/>
        <s v="4c_core_CAMIL_Network optimization (Including taxes)" u="1"/>
        <s v="4s_KNX-TLO_McKee Foods_McKee Foods - Kinaxis TLO - Running Fees" u="1"/>
        <s v="4s_KNX-TLO_Brown-Forman_Brown-Forman - Kinaxis TLO - Running Fees" u="1"/>
        <s v="4c_BU buzz_DOREA GmbH_ERP selection process" u="1"/>
        <s v="4c_Bu buzz_Gedeon Richter Plc._Preparation for APS implementation" u="1"/>
        <s v="4c_BU buzz_Gedeon Richter Plc._APS Quality assurance service" u="1"/>
        <s v="4c_BU buzz_Octapharma_Implementation Phase 2 Kinaxis Maestro" u="1"/>
        <s v="4c_SA_Reckitt Benckiser (Brasil) Ltda_Optimization of transport management processes" u="1"/>
        <s v="4c_BU Buzz_Synlab_TM Strategy Assessment" u="1"/>
        <s v="4c_BU boost_Harbour Energy Germany GmbH_Logistik Audit" u="1"/>
        <s v="4m_more_4PL Managed Road &amp; IM Logistics Europe_4PL Managed Road &amp; IM Logistics Europe" u="1"/>
        <s v="4s_KNX-TLO_Scott's Miracle Gro_Scott's Miracle Gro - Kinaxis TLO Running Fees" u="1"/>
        <s v="4s_KNX-TLO_Scott's Miracle Gro_Scott's Miracle Gro - Kinaxis TLO Customer Project" u="1"/>
        <s v="4c_BU boost_allnex Germany GmbH_Warehouse Audit" u="1"/>
        <s v="4c_BU boost_Biesterfeld SE_Inbound Transportation Optimization Pilot" u="1"/>
        <s v="4c_BU buzz_Grünenthal GmbH_SC Performance &amp; Cost Visibility" u="1"/>
        <s v="4c_BU buzz_Mundipharma GmbH_Supply Chain Quick Assessment" u="1"/>
        <s v="4c_BU buzz_Advantest Europe GmbH_Global transport network optimization, tender and measure implementation support (intern 99967328)" u="1"/>
        <s v="4c_BU buzz_Advantest Europe GmbH_Global Logistics Commodity Target Picture and Optimization" u="1"/>
        <s v="4c_BU buzz_Advantest Europe GmbH_Global Tender Implementation Support" u="1"/>
        <s v="4c_BU buzz_Advantest Europe GmbH_One Global Network" u="1"/>
        <s v="4c_BU buzz_Bouygues Telecom_Planning process study and roadmap" u="1"/>
        <s v="4s_4flow VIA-vista_Ecoflow_4flow vista running fees - Ecoflow" u="1"/>
        <s v="4c_BU buzz_TE Connectivity_Procurement support" u="1"/>
        <s v="4c_BU rise_Vantage Towers AG_Supply Chain Konzept und Absicherung der Lieferkette - Umsetzungsphase" u="1"/>
        <s v="4c_BU rise_Vantage Towers AG_Umsetzung Supply Chain Konzept &amp; Absicherung Lieferkette: Zusatzangebot: Verrechnung Reisekosten" u="1"/>
        <s v="4s_vista_Huawei_4flow vista" u="1"/>
        <s v="4s_4flow VIA-vista_SZ DJI Technology Co., Ltd._4flow vista running fees " u="1"/>
        <s v="4c_BU rise_Deutsche Lufthansa AG_Future Catering Operating Model Strategy" u="1"/>
        <s v="4c_BU rise_Deutsches Zentrum für Luft- und Raumfahrt e.V._Optimierung der Lagerstruktur am DLR Standort Lampoldshausen" u="1"/>
        <s v="4c_BU boost_Premium AEROTEC GmbH_Factory and logistics concept for detailed part" u="1"/>
        <s v="4c_BU rise_Swiss International Air Lines Ltd._Review Logistikkonzept Hangar Zürich" u="1"/>
        <s v="4c_BU rise_Gategroup Holding AG_Consulting services for warehouse solution" u="1"/>
        <s v="4c_BU groove_Airbus_Acquisition" u="1"/>
        <s v="4c_BU groove_Airbus Aerostruct. GmbH_FUTURE KT-ORGANIZATION DESIGN &amp; SUPPLY PROCESSES" u="1"/>
        <s v="4c_BU groove_Airbus Aerostruct. GmbH_Future PSL - Process &amp; Organization Design" u="1"/>
        <s v="4c_groove_Airbus Aerostruct. GmbH_Future PSL Integration" u="1"/>
        <s v="4c_groove_Airbus_PSL Implementierung" u="1"/>
        <s v="4c_BU boost_Premium AEROTEC GmbH_Factory Concept Skin Manufacturing Nordenham" u="1"/>
        <s v="4c_BU rise_Airbus_Plant Mobile WIP / Outstanding Work Optimization" u="1"/>
        <s v="4c_BU rise_Airbus Aerostructures_Implementation of optimized Planning" u="1"/>
        <s v="4c_BU rise_Airbus Aerostructures_PSL Go-Live Support &amp; Hypercare" u="1"/>
        <s v="4c_BU rise_Airbus Aerostructures_Industrial Launch Team ARP PSCL preFAL" u="1"/>
        <s v="4c_BU rise_Airbus Aerostructures_Demand Management - Implementation of optimized Planning" u="1"/>
        <s v="4c_NA_Airbus Group, Inc_WIP/OSW - Implementation target picture 1st Phase" u="1"/>
        <s v="4c_NA_Airbus Group, Inc_ACDC Review" u="1"/>
        <s v="4c_core_Airbus SAS_Plant Mobile – Review ACDC Concept" u="1"/>
        <s v="4c_BU groove_Satair_China Footprint Study" u="1"/>
        <s v="4c_BU groove_Satair_China Footprint Study support to G5" u="1"/>
        <s v="4c_groove_Satair_Continuous support China" u="1"/>
        <s v="4c_groove_Satair_Continuous support China ( Ref. SE: 64261428)" u="1"/>
        <s v="4c_BU groove_Satair_Dulles IAD Redesign" u="1"/>
        <s v="4c_BU rise_Satair_Supply Chain Remodeling" u="1"/>
        <s v="4c_BU rise_Satair_Material Services Consulting" u="1"/>
        <s v="4s_VIA_Continental Bakeries Haust B.V._4flow VIA - licenses and training 2025+" u="1"/>
        <s v="4c_BU groove_Intersnack Group GmbH &amp; Co. KG_Supply Chain Strategy 2035 - Phase 1: Be" u="1"/>
        <s v="4c_CN_Unilever_Transportation cost market benchmarking" u="1"/>
        <s v="4c_CN_Unilever_B2B warehouse operation benchmarking" u="1"/>
        <s v="4c_CN_Unilever_D2C logistics cost benchmarking" u="1"/>
        <s v="4c_CN_Unilever CN_Regular logistics cost trend monitor" u="1"/>
        <s v="4c_CN_Unilever CN_Digital supply chain transformation PMO" u="1"/>
        <s v="4c_CN_Unilever CN_2025 Tender strategy" u="1"/>
        <s v="4c_CN_Unilever CN_China B2B Transport Cost Model" u="1"/>
        <s v="4c_CN_Unilever CN_China B2B and D2C warehouse operation cost analysis" u="1"/>
        <s v="4c_CN_Unilever China_Transport market price benchmarking for Thailand and Philippines" u="1"/>
        <s v="4c_CN_Unilever Prestige_ERP transformation PMO - phase 2" u="1"/>
        <s v="4c_CN_Unilever China_China E-commerce Logistics Market Investigation and Analysis " u="1"/>
        <s v="4c_CN_Unilever China_Rental location price monitoring service" u="1"/>
        <s v="4m_dynamic_JDE_4PL services" u="1"/>
        <s v="4m_dynamic_Jacobs Douwe Egberts_Implementation Document publisher" u="1"/>
        <s v="4m_dynamic_JDE_TCT for Inbound and Green Beans" u="1"/>
        <s v="4m_CN_CP_Supply chain+" u="1"/>
        <s v="4c_BU buzz_Haleon_Network Design Study Europe" u="1"/>
        <s v="4m_dynamic_Hero_Sales Lead for a 4PL Control Tower" u="1"/>
        <s v="4m_dynamic_Hero_Invoice handling" u="1"/>
        <s v="4c_BU drive_KitchenAid_Warehouse Tender Support Australia" u="1"/>
        <s v="4c_BU drive_KitchenAid_Factory service strategy" u="1"/>
        <s v="4c_BU drive_KitchenAid_360 degree SC planning assessment" u="1"/>
        <s v="4c_BU drive_KitchenAid_Factory Service Tender EMEA" u="1"/>
        <s v="4c_BU groove_Ostfriesische Tee Gesellschaft GmbH &amp; Co. KG_Analyse des Produktions- und Logistiknetzwerk" u="1"/>
        <s v="4s_iTMS-4m_Mars EU_Implementation 4PL services" u="1"/>
        <s v="4m_dynamic_Mars_4PL services (ab 2020)" u="1"/>
        <s v="4m_dynamic_Mars_Implementation Inbound Transports" u="1"/>
        <s v="4m_dynamic_Mars_4flow analytics - additional users (100 additional users in iTMS)" u="1"/>
        <s v="4m_dynamic_Mars_RPA tool for status setting in iTMS (Implementation + running fee)" u="1"/>
        <s v="4m_dynamic_Mars Europe_CDI interface implementation for Mars" u="1"/>
        <s v="4c_BU groove_Mars Europe_Viersen warehouse optimization" u="1"/>
        <s v="4c_BU groove_Mars_Incoterm conversion" u="1"/>
        <s v="4m_dynamic__Introduction Regional TCT Concept" u="1"/>
        <s v="4c_CN_ABInbev China_Warehouse layout optimization" u="1"/>
        <s v="4c_CN_ABInBev APAC_Warehouse layout optimization WH&amp;SH" u="1"/>
        <s v="4c_NA_GEPP_Network optimization + solution implementation" u="1"/>
        <s v="4c_NA_GEPP_Network design Mexico - extension" u="1"/>
        <s v="GEPP - NA - 4s- VIA Running Fees" u="1"/>
        <s v="4m_dynamic_New/No Program (enter comment)_Nomad Foods 4PL Control Tower" u="1"/>
        <s v="4c_BU groove_Lesieur_Supply chain assesment and transformation plan" u="1"/>
        <s v="4c_NA_Tramontina_TMS Assessment" u="1"/>
        <s v="4m_dynamic_Fresh Trading Supply_Logistics 4PL partnership" u="1"/>
        <s v="4m_Supply Chain+_POSM Control Tower - Phase 2" u="1"/>
        <s v="4c_CN_Starbucks (Shanghai) supply chain Co. Ltd._CCO transport network study" u="1"/>
        <s v="4c_CN_Starbucks (Shanghai) supply chain Co. Ltd._Supplier network study" u="1"/>
        <s v="4c_CN_Starbucks (Shanghai) supply chain Co. Ltd._CDC Implementation Support" u="1"/>
        <s v="4c_CN_Starbucks (Shanghai) supply chain Co. Ltd._Logistics organization study (phase 2)" u="1"/>
        <s v="4c_CN_Starbucks (Shanghai) supply chain Co. Ltd._CCO implementation North and South CDC" u="1"/>
        <s v="4c_CN_Starbucks (Shanghai) supply chain Co. Ltd._CCO North China and South China OEM selection support" u="1"/>
        <s v="4c_NA_Starbucks_Supply Chain Transformation US – Strategy and Concept Phase" u="1"/>
        <s v="4c_CN_Starbucks (Shanghai) supply chain Co. Ltd._Logistics audit" u="1"/>
        <s v="4c_BU groove_Starbucks EMEA Ltd._Network Optimization EMEA" u="1"/>
        <s v="4c_CN_Starbucks_Logistics performance assessment phase 2" u="1"/>
        <s v="4c_BU groove_HARIBO BRASIL INDUSTRIA E COMERCIO DE PRODUTOS ALIMENTICIOS LTDA_Transport optimization &amp; WH location assessment" u="1"/>
        <s v="4c_BU groove_Carl Kühne KG (GmbH &amp; Co.)_SAP Beratung und Entwicklung" u="1"/>
        <s v="4c_w/o BU_Carl Kühne KG (GmbH &amp; Co.)_SAP EWM Beratung und Entwicklung" u="1"/>
        <s v="4c_BU groove_Carl Kühne_Optimierung des Produktions- und Logistiknetzwerks" u="1"/>
        <s v="4c_BU groove_Carl Kühne KG_Optimierung Transportmanagement und Transportausschreibung" u="1"/>
        <s v="4c_BU groove_Carl Kühne KG (GmbH &amp; Co.)_CR Behältermanagement" u="1"/>
        <s v="4c_BU groove_ADM_Global transport optimization" u="1"/>
        <s v="4c_CN_ANTA_Supplier sustainability management" u="1"/>
        <s v="4c_BU groove_Danone S.A._Bierun warehouse optimization" u="1"/>
        <s v="4c_BU groove_Danone S.A._Audit of HAPS DC" u="1"/>
        <s v="4c_BU groove_Danone S.A. _Layout Optimization Bucharest Warehouse" u="1"/>
        <s v="4c_BU groove_Raps GmbH_Audit of warehouse and planning processes" u="1"/>
        <s v="4c_CN_PepsiCo_Concept design for distribution center in Shanghai" u="1"/>
        <s v="4c_BU groove_HiPP GmbH &amp; Co. Vertrieb KG_Kostensimulation für mögliche Standorte des neuen HIPP- Zentrallagers" u="1"/>
        <s v="4c_BU groove_FFS_Strategische Optimierung des Logistiknetzwerks" u="1"/>
        <s v="4c_BU groove_Radeberger Gruppe_VFV - Vorausschauend – Flexibel – Vernetzt" u="1"/>
        <s v="4c_BU groove_McCormick &amp; Company, Inc._Digital Maturity Supply Chain Assessment" u="1"/>
        <s v="4c_SA_The Magnum Ice Cream Company_Revisão de malha logística - ICE Brasil" u="1"/>
        <s v="4s_vista_MIXUE Ice Cream &amp; Tea_4flow vista" u="1"/>
        <s v="4s_4flow VIA-SAMO_MIXUE Ice Cream &amp; Tea_4flow VIA running fees" u="1"/>
        <s v="4c_CN_7-Eleven Thailand_New DC master planning and automation concept design" u="1"/>
        <s v="4c_BU_groove MEGA Das Fach-Zentrum für die Metzgerei und Gastronomie eG_Logistitische Umgestaltung Stuttgart Fleischwerk und C&amp;C Markt" u="1"/>
        <s v="4c_BU boost_Wallenius Wilhelmsen ASA_Workshop TMS Functionalities" u="1"/>
        <s v="4c_BU boost_Wallenius Wilhelmsen ASA_TM concept design and TMS selection support" u="1"/>
        <s v="4s_iTMS-4m_Wallenius Wilhelmsen_Transport Management System for End-to-End outbound Vehicle Logistics" u="1"/>
        <s v="4c_BU boost_Wallenius Wilhelmsen ASA_Shaping the Digital Future of the WalWil Supply Chain" u="1"/>
        <s v="4c_BU boost_Wallenius Wilhelmsen _End2End design" u="1"/>
        <s v="4c_BU boost_Wallenius Wilhelmsen A/S_Scaling Excellence Impementation TMS" u="1"/>
        <s v="4c_BU rise_LOXXESS AG_Akquise" u="1"/>
        <s v="4s_VIA_Loxxess_Center of Gravity for Loxxess" u="1"/>
        <s v="4s_vista_Kazpost_4flow vista -vTMS PoC study" u="1"/>
        <s v="4s_vTMS-4m OTB_Kazpost_vTMS" u="1"/>
        <s v="4c_w/o BU_B+S GmbH Logistik und Dienstleistungen_Consulting B+S / Nagel Group" u="1"/>
        <s v="4c_BU groove_Mode Logistik GmbH &amp; Co. KG_Omni-Channel Bedburg 2.0" u="1"/>
        <s v="4c_BU groove_Mode Logistik GmbH &amp; Co. KG_Implementation support for the LVS Bedburg – Q3/2023" u="1"/>
        <s v="4c_BU groove_Mode Logistik GmbH &amp; Co. KG_Implementation support for the LVS Bedburg – Q4/2023" u="1"/>
        <s v="4c_BU groove_Mode Logistik GmbH &amp; Co. KG_Implementation support for the LVS Bedburg – Q1/2024" u="1"/>
        <s v="4c_BU groove_Mode Logistik GmbH &amp; Co. KG_Transportoptimierung Last Mile" u="1"/>
        <s v="4c_BU_groove Modelogistik GmbH &amp; Co. KG_Last Mile Optimization AT + Implementation Concept DE" u="1"/>
        <s v="4c_BU groove_Modelogistik GmbH &amp; Co. KG_Last Mile Tool" u="1"/>
        <s v="4s_vista_Shuhai SC_4flow vista - training_PoC Study" u="1"/>
        <s v="4s_vista_Österreichische Post AG_4flow vista Netzwerk- und Transportplanungssoftware" u="1"/>
        <s v="4c_BU rise_Österreichische Post AG_Projekt EOS - Konsolidierte Zeitungszustellung" u="1"/>
        <s v="4c_SA_MRS Logistica S/A_Otimização dos processos de planejamento e operação dos pátios" u="1"/>
        <s v="4c_BU groove_DB Fahrzeuginstandhaltung GmbH_SLUKE: Umsetzung Regionallager Nord – Planungs- und Ausschreibungsphase" u="1"/>
        <s v="4c_BU boost_BLG AutoTerminal Bremerhaven Gmbh &amp; Co. KG_Restustrukturierung ATB 2.0" u="1"/>
        <s v="4c_BU boost_BLG AutoTerminal Bremerhaven GmbH &amp; Co. KG_Implementation ATB 2.0" u="1"/>
        <s v="4c_BU boost_BLG Auto Terminal Bremerhaven GmbH &amp; Co. KG_Target picture TOS" u="1"/>
        <s v="4c_NA_Exel Inc. d/b/a DHL Supply Chain (USA)_MTM Study - Warehouse Cowpens" u="1"/>
        <s v="4c_NA_M+H Filtration Tech US LL_Cost Model Cowpens and VAS" u="1"/>
        <s v="4c_NA_M+H Filtration Tech US LL_Task Force Cowpens" u="1"/>
        <s v="4c_NA_Mann+Hummel_WMS Process Definition and Documentation" u="1"/>
        <s v="4c_CN_Feiliks_Sales support" u="1"/>
        <s v="4c_BU drive_Vehivle Trading International GmbH_Strategic optimization of preparation processes and logistics network" u="1"/>
        <s v="4c_BU rise_Paneuropa Transport GmbH_Supply Chain Audit" u="1"/>
        <s v="4c_BU buzz_Logwin AG_Development of service offering" u="1"/>
        <s v="4c_BU buzz_Logwin AG_Development of warehouse service offering" u="1"/>
        <s v="4c_BU buzz_Logwin AG_Solutions Service Offering - Sales Workshop and Mgmt Summary" u="1"/>
        <s v="4c_BU core_VX Logistics Development Co., Ltd._Industry and Value Chain Study" u="1"/>
        <s v="4c_BU boost_Humbaur GmbH_Logistics strategy site Augsburg" u="1"/>
        <s v="4c_BU drive_Seifert Logistics Group_Task Force - Stabilisierung ICC Bischweier" u="1"/>
        <s v="4c_BU drive_Seifert Logistics Group_Task Force zur Stabilisierung des ICC Bischweier – Erweiterung" u="1"/>
        <s v="4c_BU drive_Seifert Logistics Group_Task Force zur Stabilisierung des ICC Bischweier – Erweiterung 2" u="1"/>
        <s v="4c_BU drive_Seifert Logistics GmbH_Task Force zur Stabilisierung des ICC Bischweier – Erweiterung 3" u="1"/>
        <s v="4c_BU drive_Seifert Logistics GmbH_Task Force zur Stabilisierung des ICC Bischweier – Erweiterung 4" u="1"/>
        <s v="4c_BU drive_Seifert Logistics GmbH_Task Force zur Stabilisierung des ICC Bischweier – Erweiterung 5" u="1"/>
        <s v="4c_BU drive_MAGURA Bosch Parts &amp; Services (MBPS)_Fremdvergabe Logistik (NL, FR, UK)" u="1"/>
        <s v="4c_BU rise_Fritz Guppe_Planungsunterstützung Neubau Hochregallager" u="1"/>
        <s v="4c_BU rise_Fritz Gruppe_Detailplanung und Implementierung eines automatischen Hochregallagers" u="1"/>
        <s v="4s_vista_China Postal Express &amp; Logistics_4flow vista" u="1"/>
        <s v="4s_vista_Fujian China Post_4flow vista" u="1"/>
        <s v="4s_VIA-vista_Havi Logistics_PoC - Network Design Havi Logistics" u="1"/>
        <s v="4s_vista_XH_4flow vista" u="1"/>
        <s v="4c_CN_Enota logistics_Logistics sustainability study" u="1"/>
        <s v="4s_vista_Rhenus Logistics_Maintenance" u="1"/>
        <s v="4s_vista_Yusen CZ_Maintenance 12/2024-11/2025" u="1"/>
        <s v="4s_vista_Yusen HU_Maintenance 12/2023-11/2024" u="1"/>
        <s v="4s_iTMS-4s_WEPA_RFP TMS, RTT, SB" u="1"/>
        <s v="4c_BU groove_Lidl_Unterstützung bei der Detaillierung der Anforderungen für eine Ausschreibungs- und Verhandlungsplattform im Frachteneinkauf" u="1"/>
        <s v="4c_BU groove_Lidl_End-to-End Supply Chain Programm" u="1"/>
        <s v="4c_BU groove_Lidl_Entwicklung der strategischen SC-Organisation" u="1"/>
        <s v="4c_groove_Lidl_Extension E2E Supply Chain Programm" u="1"/>
        <s v="4c_groove_Lidl_Extension E2E Supply Chain Programm (Ref. SE 75054228)" u="1"/>
        <s v="4c_BU groove_Lidl_SC-Netzwerk: Bewertung weiterer Szenarien" u="1"/>
        <s v="4c_BU groove_Lidl_Extension TaskForce Warehouse Optimization" u="1"/>
        <s v="4c_BU groove_Lidl_Inventory optimization &amp; SC planning support" u="1"/>
        <s v="4c_BU groove_Lidl_Weiterentwicklung Data Science Modul" u="1"/>
        <s v="4c_BU groove_Lidl_Netzwerkdesign – Weitere Zusammenarbeit Lidl x 4flow" u="1"/>
        <s v="4s_VIA_Schwarz Dienstleistung KG_Lidl - 4flow VIA as part of E2E Supply Chain Program" u="1"/>
        <s v="4c_BU groove_Schwarz IT KG_DS network module" u="1"/>
        <s v="4c_BU groove_Kik Textilien und Non-Food GmbH_Supply Chain Assessment" u="1"/>
        <s v="4s_KNX-TLO_Peloton" u="1"/>
        <s v="4c_BU groove_Thalia _akquiese" u="1"/>
        <s v="4c_BU groove_Buchhandels-Fulfillment GmbH_SAP EWM und MFS Warehousemanagement System Logistik 2025" u="1"/>
        <s v="4c_BU groove_Thalia _Supply Chain Strategie Roadmap" u="1"/>
        <s v="4c_BU groove_Buchhandels-Fulfillment GmbH_Thalia Consulting Support 2024" u="1"/>
        <s v="4c_groove_Thalia_Beratungsunterstützung für Supply Chain Transformation GJ24/25 " u="1"/>
        <s v="4c_BU groove_Thalia Bücher GmbH _Logistics Engineering OCH Marl" u="1"/>
        <s v="4c-BU groove_Buchhandels-Fulfillment GmbH_Beratungsunterstützung für die Supply Chain" u="1"/>
        <s v="4c_BU groove_Buchhandels-Fulfillment GmbH _Taskforce Management: Vorbereitung Weihnachtsgeschäft / Analyse Lieferkettenprobleme" u="1"/>
        <s v="4c_BU groove_Buchhandels-Fulfillment GmbH _Taskforce: Weihnachtsgeschäft 2025" u="1"/>
        <s v="4c_BU groove_Thalia Bücher GmbH_Support Implementierung OMS und F&amp;R" u="1"/>
        <s v="4c_BU groove_Kaufland_Analyse der Kaufland Logistik Prozesse, Strukturen und Systeme" u="1"/>
        <s v="4c_BU groove_Hornbach Österreich Baumärkte GmbH_Optimierung der B2C-Kundenlogistik" u="1"/>
        <s v="4c_BU rise_Heizungsdiscount24 GmbH_Akquise" u="1"/>
        <s v="4c_BU rise_Al-Futtaim Trading Company LLC_AFG Kizad Logistics Hub Operating Equipment Detailed Design" u="1"/>
        <s v="4c_BU buzz_Diesel Technic SE_Akquise" u="1"/>
        <s v="4c_BU buzz_Momox SE_Akquise" u="1"/>
        <s v="4c_BU buzz_Momox SE_Detailed Planning and Implementation Leipzig" u="1"/>
        <s v="4c_EU_Cosnova_LATAM Analysis" u="1"/>
        <s v="4c_SA_Cosnova_LATAM Analysis" u="1"/>
        <s v="4c_BU groove_Gebr. Heinemann SE &amp; Co. KG_Zentrale Supply Chain Netzwerkoptimierung" u="1"/>
        <s v="4s_VIA_Lindt &amp; Sprüngli_4flow VIA CO2 Reporting" u="1"/>
        <s v="4c_BU groove_Lekkerland_Lager Taskforce für Lekkerland" u="1"/>
        <s v="4c_BU groove_Beiersdorf AG_Greenfield Concept Planning Khufu" u="1"/>
        <s v="4c_BU groove_Factory 54_akquiese" u="1"/>
        <s v="buzz" u="1"/>
        <s v="4c_BU buzz_ALDI SÜD Group Supply Chain Entity GmbH_KILO – Rebuild RDC Kirchheim" u="1"/>
        <s v="4c_BU buzz_ALDI SÜD Group Supply Chain Entity GmbH_TANGO – Extension RDC Mörfelden" u="1"/>
        <s v="4c_BU groove_igefa SE &amp; Co. KG_Weiterentwicklung einer zukunftsorientierten Netzwerkstrategie" u="1"/>
        <s v="4s_vista_Deichmann SE_strategic planning" u="1"/>
        <s v="4s_vista_Snipes SE_Training for new project" u="1"/>
        <s v="4c_BU groove_Vitakraft_VAR_Kinaxis Maestro Implementation " u="1"/>
        <s v="4c_BU buzz_reBuy reCommerce GmbH _Poznan layout and throughput optimization" u="1"/>
        <s v="4c_BU groove_Mister Spex_Outsourcing of the logistics- und production center WRD" u="1"/>
        <s v="4c_BU groove_Mister Spex SE_Partner Commercials &amp; Implementation Support" u="1"/>
        <s v="4c_BU groove_Mytheresa.com GmbH_Improving Supplier Connectivity" u="1"/>
        <s v="4c_BU groove_Metro AG_Setup of a modelling tool for the optimal MFC &amp; depot setup" u="1"/>
        <s v="4c_BU groove_Metro_European Logistics network optimization" u="1"/>
        <s v="4c_BU groove_METRO AG_ADT rollout support" u="1"/>
        <s v="4c_CN_Jahwa_Network and operations model diagnosis" u="1"/>
        <s v="4c_w/o BU_Tchibo_akquise" u="1"/>
        <s v="4c_BU buzz_Swiss Automotive Group_SCM strategy development " u="1"/>
        <s v="4c_drive_Metabowerke GmbH_Inventory optimization" u="1"/>
        <s v="4c_drive_Metabowerke GmbH_Network transformation Europe" u="1"/>
        <s v="4c_drive_Metabowerke GmbH_SCM operating model &amp; implementation" u="1"/>
        <s v="4c_BU drive_Koki Holdings_Implementation DC Eastern" u="1"/>
        <s v="4c_BU drive_Koki Holdings_Global Ocean network optimization" u="1"/>
        <s v="4c_BU drive_Koki Holdings_Value stream assessment plant Nürtingen" u="1"/>
        <s v="4c_BU drive_Koki Holdings_Due Diligence Asset Deal" u="1"/>
        <s v="4c_BU drive_Koki Holdings_Extension DC Implemenation" u="1"/>
        <s v="4c_BU drive_Koki Holding_Due Diligence Au Phase 2" u="1"/>
        <s v="4s_vista_Hayat Kimya_4flow vista for network optimization" u="1"/>
        <s v="4m_dynamic_ dsm-firmenich_Control Tower Road Europe" u="1"/>
        <s v="4c_SA_DSM-Firmenich ANH Brazil_Network Design Brazil" u="1"/>
        <s v="4c_BU groove_Transmed_End-to-End-Datentransparenz" u="1"/>
        <s v="4c_BU groove_transmed_End-to-end-Datentransparenz - Update Q2" u="1"/>
        <s v="4c_BU groove_Vedes AG_Logistikkonzept 2028" u="1"/>
        <s v="4c_BU groove_Delhaize Le Lion_Fresh Supply Chain Network Vision" u="1"/>
        <s v="4c_BU groove_Delhaize Group_DC Fresh Audit" u="1"/>
        <s v="4c_BU groove_Delhaize Le Lion_DCB bis implementation preparation" u="1"/>
        <s v="4c_BU groove_MANGO_Supply Chain Network Strategy" u="1"/>
        <s v="4c_BU groove_Deutsche Tiernahrung Cremer GmbH &amp; Co. KG_Analyse des Produktions- und Logistiknetzwerks" u="1"/>
        <s v="4c_CN_Richemont_Footprint study and RFx preparation" u="1"/>
        <s v="4c_CN_Lululemon_APAC network study" u="1"/>
        <s v="4c_CN_lululemon_JP network study validation" u="1"/>
        <s v="4c_CN_lululemon_APAC operating model comparison" u="1"/>
        <s v="4c_CN_lululemon_APAC fulfilment cost analysis, BCP and return network design" u="1"/>
        <s v="4c_CN_lululemon APAC_GBA study extension_x0009_" u="1"/>
        <s v="4c_CN_lululemon APAC_organization strategy update" u="1"/>
        <s v="4c_CN_lululemon APAC_Japan E-commerce Market Study" u="1"/>
        <s v="4c_core_LEROY MERLIN COMPANHIA BRASILEIRA DE BRICOLAGEM_Intralogistics optimization" u="1"/>
        <s v="4c_core_LEROY MERLIN COMPANHIA BRASILEIRA DE BRICOLAGEM_S4HANA migration support" u="1"/>
        <s v="4c_BU groove_Takkt_Supply Chain Audit and Transport Optimization" u="1"/>
        <s v="4m_dynamic_New/No Program (enter comment)_4PL Control Tower" u="1"/>
        <s v="4c_BU rise_LKQ Europe GmbH_Akquise" u="1"/>
        <s v="4c_BU buzz_LKQ Europe GmbH_Distribution Center Planning – CDC Poland (concept development)" u="1"/>
        <s v="4c_BU buzz_LKQ Dach _Assessment material management LKQ DACH" u="1"/>
        <s v="4c_BU buzz_LKQ Europe GmbH_EMOTIVE Warehouse Planning - Concept Development" u="1"/>
        <s v="4c_buzz_LKQ Europe GmbH_CPO SCP process enhancements and implementation" u="1"/>
        <s v="4c_BU buzz_LKQ Europe GmbH_LKQ Kinaxis Maestro Implementation " u="1"/>
        <s v="4c_BU buzz_LKQ Europe GmbH_SCP process and organization design BeNeLux/FR" u="1"/>
        <s v="4c_BU buzz_LKQ Europe GmbH_WMS Selection" u="1"/>
        <s v="4c_BU buzz_LKQ Europe GmbH_Emotive transformation concept validation and business case" u="1"/>
        <s v="4s_vista_Rack Room Shoes_4flow vista" u="1"/>
        <s v="4c_BU groove_NW Technology GmbH_Implementation Network Strategy" u="1"/>
        <s v="4c_BU buzz_LKQ Dach _Outbound process optimization Sulzbach-Rosenberg" u="1"/>
        <s v="4c_BU buzz_LKQ DACH_Automation technology selection for CDC Sulzbach-Rosenberg" u="1"/>
        <s v="4c_BU buzz_LKQ DACH_Last Mile Benchmarking" u="1"/>
        <s v="4c_BU buzz_LKQ Dach _SuRo Outbound tender preparation" u="1"/>
        <s v="4c_BU buzz_LKQ DACH_Carve-out strategy and operational due diligence" u="1"/>
        <s v="4c_BU wave_Stora Enso_Supply Chain Optimization &amp; Working Capital Reduction" u="1"/>
        <s v="4c_BU groove_Ravensburger_European logistics strategy 2036" u="1"/>
        <s v="4c_CN_Chanel China_Detailed design and implementation support for GDDC and future new DC" u="1"/>
        <s v="4c_CN_Chanel China_GDDC relayout" u="1"/>
        <s v="4c_CN_Chanel HKMO_FBP BOH process optimization" u="1"/>
        <s v="4c_CN_Chanel HKMO_FBP BOH innovation deep-dive and roll-out" u="1"/>
        <s v="4c_BU rise_Mosecker GmbH &amp; Co. KG_Netzwerkstudie Zentrallager &amp; Distribution" u="1"/>
        <s v="4c_BU rise_Mosecker GmbH &amp; Co. KG_Quick-Audit Lager- und WMS-Prozesse" u="1"/>
        <s v="4c_BU rise_Mosecker GmbH &amp; Co. KG_Implementierung Optimierungsmaßnahmen Lager" u="1"/>
        <s v="4c_core_Magalog_Automation diagnostics and optimization" u="1"/>
        <s v="4c_BU groove_ProSiebenSat.1 Media SE_Fulfillment Network Strategy – Flaconi" u="1"/>
        <s v="4c_BU groove_Migrolino AG_Projekt Evox: Logistik Zielbild 2035" u="1"/>
        <s v="4c_core_Grupo Saad_Supply chain assessment and diagnosis" u="1"/>
        <s v="4s_REWE_4flow VIA - licenses and training 2025_Running" u="1"/>
        <s v="4s_REWE_4flow VIA - licenses and training 2025_Customer Project" u="1"/>
        <s v="4s_4flow VIA - NWD PoC, Co-Dev and licenses 2025+_Running" u="1"/>
        <s v="4s_4flow VIA - NWD PoC, Co-Dev and licenses 2025+_Customer Project" u="1"/>
        <s v="4m_CN_LoyalHound _Supply Chain Plus" u="1"/>
        <s v="4c_BU groove_Südpack_Supply Chain Assessment und Bestandsanalyse" u="1"/>
        <s v="4c_BU groove_Intersport_Portugal program management" u="1"/>
        <s v="4c_core_Changzhou Yuyuang Textile Ltd_Procurement Assessment" u="1"/>
        <s v="4s_KNX-TLO_Carhartt_Carhartt - Kinaxis TLO - Running Fees" u="1"/>
        <s v="4c_BU rise_MEWA Textil-Service SE &amp; Co. Management OHG_MTS - Net" u="1"/>
        <s v="4c_BU rise_MEWA Textil-Service SE &amp; Co. Management OHG_Netzwerksimulation &amp; -optimierung" u="1"/>
        <s v="4c_BU groove_Gläser und Flaschen GmbH_Warehouse Taskforce DC Wustermark" u="1"/>
        <s v="4c_BU groove_Beaphar Nederland B.V._Distribution Network Optimization" u="1"/>
        <s v="4c_core_Kraft Heinz Company_Benchmarking and freight simulation tool" u="1"/>
        <s v="4c_core_Kraft Heinz Brasil_Optimization of Warehouse Layout - Blumenau's plant" u="1"/>
        <s v="4c_CN_Mondelez international China_Logitics pricing benchmarking and tender strategy for 2026" u="1"/>
        <s v="4c_CN_Mondelez international China_Cost model development and maintenance" u="1"/>
        <s v="4c_CN_Mondelez international China_China B2B Transport Should-cost Model Support" u="1"/>
        <s v="4c_BU rise_WÜSTHOF GmbH_Materialflussanalyse" u="1"/>
        <s v="4c_CN_ASICS_Logistics network design and DC automation" u="1"/>
        <s v="4c_CN_Paris Baguette_Value chain evaluation" u="1"/>
        <s v="4c_CN_Walmart CN_WMS strategy for future China operation" u="1"/>
        <s v="4c_CN_Walmart CN_JXDC Automation Tender and Implementation Support" u="1"/>
        <s v="4c_BU groove_REWE Markt GmbH_Entwicklung Netzwerkmodell" u="1"/>
        <s v="4c_NA_LVMH U.S._Cranbury DC planning – detailed design (phase 3)" u="1"/>
        <s v="4c_CN_LOUIS VUITTON_RFx support for new warehouse automation technology" u="1"/>
        <s v="4c_CN_P&amp;C (SHANGHAI) PERFUMES AND COSMETICS CO., LTD_Shanghai New Plant MHE Tender Support" u="1"/>
        <s v="4c_CN_P&amp;C (SHANGHAI) PERFUMES AND COSMETICS CO., LTD_Automation Detailed Design" u="1"/>
        <s v="4c_BU rise_Hermes_Zielbild Abrechnungsmodell" u="1"/>
        <s v="4c_rise_HERMES _Zukünftiges Abrechnungsmodell Detaillierung" u="1"/>
        <s v="4c_BU rise_HERMES Einrichtungs Service GmbH &amp; Co. KG_Projekt Pegasus - Due Dilligence" u="1"/>
        <s v="4c_BU rise_Otto (GmbH &amp; Co KG) _NOVA - Netzwerksimulation Szenarien Paketgeschäft" u="1"/>
        <s v="4c_BU rise_Hermes Germany GmbH_Auswahl und Einführung TMS" u="1"/>
        <s v="4c_BU rise_HERMES Einrichtungs Service GmbH &amp; Co. KG _PRISMA Phase 3" u="1"/>
        <s v="4c_BU rise_HERMES Einrichtungs Service GmbH &amp; Co. KG_Entwicklungs IT-Architektur" u="1"/>
        <s v="4c_BU rise_HERMES Einrichtungs Service GmbH &amp; Co. KG _PRISMA Phase 4" u="1"/>
        <s v="4c_BU rise_Hermes Einrichtungs Service GmbH &amp; Co. KG_Strategische Analyse letzte Meile" u="1"/>
        <s v="4c_BU rise_Hermes Einrichtungs Service GmbH &amp; Co. KG_Atlas - Systemtransformation Depot &amp; Letzte Meile" u="1"/>
        <s v="4c_BU rise_Hermes Einrichtungs Service GmbH &amp; Co. KG_PRISMA Phase 5" u="1"/>
        <s v="4c_BU rise_Hermes Einrichtungs Service GmbH &amp; Co. KG_ATLAS Phase 2" u="1"/>
        <s v="4c_BU wave_Kinaxis Corp_Business Consulting for Kinaxis" u="1"/>
        <s v="4s_KNX-TLO_Kinaxis-Scott's_Royalty fee" u="1"/>
        <s v="4s_KNX-TLO_Kinaxis-Boston Beer Company_Kinaxis TLO by 4flow" u="1"/>
        <s v="4s_KNX-TLO_Kinaxis-BAT_Royalty fee" u="1"/>
        <s v="4c_BU drive_Kinaxis_Kinaxis RapidResponse Implementation @ Bosch Trade Extension (June - Nov)" u="1"/>
        <s v="4c_BU drive_Kinaxis_Kinaxis RapidResponse Implementation @ Bosch Trade GB specifc requirements" u="1"/>
        <s v="4c_BU drive_Kinaxis_RapidRepsonse Blueprint  Bosch BBM - Extension Sept - Dec" u="1"/>
        <s v="4s_KNX-TLO_Kinaxis-Colgate-Palmolive_Royalty fee" u="1"/>
        <s v="4s_KNX-TLO_Kinaxis-SC Johnson_Royalty fee" u="1"/>
        <s v="4s_KNX-TLO_Kinaxis-Hershey_Royalty fee" u="1"/>
        <s v="4c_BU boost_Kinaxis_KTM RR Implementation – Release 1" u="1"/>
        <s v="4s_KNX-TLO_Kinaxis-Peloton_Royalty fee" u="1"/>
        <s v="4c_BU boost_Kinaxis _Implementation support for BP" u="1"/>
        <s v="4s_KNX-TLO_Kinaxis-Robert Bosch_Royalty fee" u="1"/>
        <s v="4s_KNX-TLO_Kinaxis-Indian Oil Company_Royalty fee" u="1"/>
        <s v="4c_BU wave_Kinaxis _Shell-RapidResponse Custom Training" u="1"/>
        <s v="4c_BU boost_Kinaxis_British Petroleum_RapidResponse Custom Training" u="1"/>
        <s v="4c_BU boost_Kinaxis_Arclin_RapidResponse Custom Training" u="1"/>
        <s v="4c_BU boost_Kinaxis_Bayer_RapidResponse Custom Training" u="1"/>
        <s v="4c_buzz_Aspen_[Kinaxis RR] Implementation" u="1"/>
        <s v="4s_KNX-TLO_Kinaxis-Le Groupe BEL S.A._Royalty fee" u="1"/>
        <s v="4c_BU wave_Kinaxis_Business Consulting for Kinaxis (Ford)" u="1"/>
        <s v="4c_BU driver_Kinaxis_Kinaxis Implementation" u="1"/>
        <s v="4c_BU drive_ ONLY TRAVELL COST _Kinaxis_RapidRepsonse Blueprint  Bosch BBM - Extension Sept - Dec" u="1"/>
        <s v="4c_BU boost_Bayer Crop Science –Crop Protection division_Maestro Training for Bayer Crop - Demand" u="1"/>
        <s v="4c_BU boost_ Bayer Crop Science 朇rop Protection division_Maestro Training for Bayer Crop Science - Supply_x000a_" u="1"/>
        <s v="4c_BU rise_Lexmark _CTP training for Lexmark" u="1"/>
        <s v="4c_BU boost_Shell_CTP training for Shell" u="1"/>
        <s v="4c_BU boost_Arlanxeo_Maestro training for Arlanexo" u="1"/>
        <s v="4c_BU boost_Synesqo_Maestro training for Synesqo - Slides" u="1"/>
        <s v="4m_more_New/No Program (enter comment)_4PL Services for Inbound Logistics" u="1"/>
        <s v="4c_BU boost_Shell_CTP training for Shell Demand" u="1"/>
        <s v="4c_BU boost_British Petroleum_Maestro support for BP" u="1"/>
        <s v="4c_BU drive_Bosch PT_Bosch PT Enterprise Scheduling" u="1"/>
        <s v="4c_BU drive_Bosch Rexroth_Bosch Rexroth Kinaxis Implementation" u="1"/>
        <s v="4c_BU boost_British Petroleum Lubricants (BP) _[Kinaxis Maestro] Training for BP - Supply_x000a_4c_BU boost_British Petroleum Lubricants (BP) _[Kinaxis Maestro] Training for BP - Supply" u="1"/>
        <s v="4c_BU boost_Arlanxeo_Maestro Custom Training for Arlanxeo - CR Supply extension" u="1"/>
        <s v="4c_BU rise_Delta Faucet_Maestro Custom Training for  Delta Faucet" u="1"/>
        <s v="4c_NA_Pall Corp_Kinaxis Maestro implementation" u="1"/>
        <s v="4s_vista_Alpega-Mondelez_Maintenance" u="1"/>
        <s v="4s_iTMS-4s_Alpega-Volvo-Scania_Maintenance" u="1"/>
        <s v="4s_iTMS-4s_Alpega-Kone" u="1"/>
        <s v="4s_iTMS-4s_Alpega-Volvo_Maintenance_for change request CCTI-5753 (KAM 98)" u="1"/>
        <s v="4s_iTMS-4s_Alpega-Kone_Maintenance_CRs CTI-11050 and CTI-11179 to customize the 3D load planning" u="1"/>
        <s v="4s_iTMS-4s_Alpega-Volvo_Maintenance_EMEA network shift - req 8 (Intermediate date)" u="1"/>
        <s v="4s_iTMS-4s_Alpega-Volvo-Scania_Maintenance_Hosting" u="1"/>
        <s v="4s_iTMS-4s_Alpega_Loading meter library" u="1"/>
        <s v="4s_iTMS-4s_Alpega-Kone_Ocean Freight China Support" u="1"/>
        <s v="4s_iTMS-4s_Alpega-Kone_CTI 17191 add additional services in the assign handler" u="1"/>
        <s v="4s_iTMS-4s_Alpega-Kone_ T&amp;M Implementation support 2023" u="1"/>
        <s v="4s_iTMS-4s_Alpega-Volvo-Scania_Volvo &amp; Scania T&amp;M support 2023" u="1"/>
        <s v="4s_iTMS-4s_Alpega-Volvo_Project Orbit - Volvo SCM transformation" u="1"/>
        <s v="4s_iTMS-4s_Alpega-Kone_ Project &quot;Efficio&quot;" u="1"/>
        <s v="4c_core_Knorr-Bremse_Warehouse redesign" u="1"/>
        <s v="4c_BU boost_emagine Consulting_Improvements of RapidResponse" u="1"/>
        <s v="4s_KNX-TLO_SC Johnson" u="1"/>
        <s v="4s_KNX-TLO_Spinnaker-BBC_TLO Implementierung Boston Beer (since 2023)" u="1"/>
        <s v="4s_vista_Minsait_4flow VISTA algorithms - licenses and development" u="1"/>
        <s v="4c_CN_CBRE_Automation warehouse design support_Merck" u="1"/>
        <s v="4r_Hochschule Osnabrück_Logist.Plus AP4c und AP5a" u="1"/>
        <s v="4c_EU_Constructor University Bremen gGmbH_Vorlesung Supply Chain Design" u="1"/>
        <s v="4s_vista_Universität Magdeburg_Maintenance_lean logistics lab" u="1"/>
        <s v="4s_vista_FH Ulm_Maintenance" u="1"/>
        <s v="4c_EU_Jacobs University Bremen_Lehrauftrag &quot;Supply Chain Design&quot;" u="1"/>
        <s v="4s_vista_Fachhochschule Münster" u="1"/>
        <s v="4s_4flow VIA - running fees and customer project" u="1"/>
        <s v="4s_VIA_Philip Morris International IT Service Center SARL_rental licenses 2025+" u="1"/>
        <s v="4c_BU groove_ORAFOL GmbH_Akquise" u="1"/>
        <s v="4c_BU groove_ORAFOL GmbH_Dispatch Optimization and Supply Chain Assessment" u="1"/>
        <s v="4c_BU groove_ORAFOL GmbH_Implementierungsbegleitung: Maßnahmen zur Versandoptimierung" u="1"/>
        <s v="4c_groove_ORAFOL GmbH_SAP IBP Concept Design" u="1"/>
        <s v="4c_BU groove_ORAFOL Europe GmbH _SAP IBP DP funktionale Erweiterung und Rollout Vorbereitung" u="1"/>
        <s v="4c_BU rise_Nuki Home Solutions GmbH_Re-design of the strategic supply chain setup" u="1"/>
        <s v="4m_dynamic_Tesa_4PL Global Air &amp; Sea" u="1"/>
        <s v="4m_dynamic_Tesa_Tender Management Air &amp; Ocean" u="1"/>
        <s v="4c_NA_TESA_Warehouse and Transport Assessment US&amp;Mexico" u="1"/>
        <s v="4c_BU groove_TESA_Supply Chain Audit" u="1"/>
        <s v="4c_BU groove_TESA_OTIF RACI workshop 3" u="1"/>
        <s v="4m_dynamic_Ritrama S. p. A_4PL Services Europe" u="1"/>
        <s v="4c_w/o BU_Ritrama S. p. A._Locations scouting and assessment" u="1"/>
        <s v="4m_dynamic_0_4PL Services Europe - Alpega costs" u="1"/>
        <s v="4c_core_Fedrigoni_Freight tender - Brazil" u="1"/>
        <s v="4c_BU groove_Obi_Akquise" u="1"/>
        <s v="4c_BU buzz_PAUL HARTMANN AG_Support for CDC and Transportation Tendering" u="1"/>
        <s v="4c_BU boost_Schmitz CargoBull AG_Coldchain Management Opportunities" u="1"/>
        <s v="4c_BU boost_Schmitz CargoBull AG_New Central Warehouse Spare Parts" u="1"/>
        <s v="4c_BU drive_Husqvarna Group_Warehousing Footprint 2030" u="1"/>
        <s v="4c_BU drive_Husqvarna_Design of Husqvarna´s new warehousing footprint - North America and Europe" u="1"/>
        <s v="4c_BU drive_Husqvarna Group_New footprint for Europe" u="1"/>
        <s v="4c_BU drive_Husqvarna Group_New footprint for North America" u="1"/>
        <s v="4c_BU drive_Husqvarna_New footprint for Australia" u="1"/>
        <s v="4c_BU drive_Husqvarna_SAP EWM Pre-Study " u="1"/>
        <s v="4s_VIA_Vaillant_4flow VIA Network Visualization" u="1"/>
        <s v="4c_BU groove_BRITA SE_Implementation RapidResponse" u="1"/>
        <s v="4c_BU rise_BRITA SE_Demand Go Live Support and Solution Enhancement" u="1"/>
        <s v="4c_BU rise_Brita SE_Maestro On-Demand Q&amp;A / Support" u="1"/>
        <s v="4m_dynamic_Inalfa_4PL services (EU)" u="1"/>
        <s v="4m_dynamic_Inalfa_4PL services (NA)" u="1"/>
        <s v="4m_dynamic_Inalfa_Sustainability services (EU)" u="1"/>
        <s v="4c_CN_L'Oreal (China) Co., Ltd._PMO support for WMS/Automation implementation (extension)" u="1"/>
        <s v="4c_BU groove_L’Oréal, société anonyme_E2E Supply Chain Responsiveness for Growth Methodology" u="1"/>
        <s v="4c_CN_L'Oreal (China) Co., Ltd._Technical support for CPD storage center and B2B fulfillment" u="1"/>
        <s v="4c_CN_L'Oreal (China) Co., Ltd._SUZHOU FF go-live support 2024" u="1"/>
        <s v="4c_CN_L'Oreal (China) Co., Ltd._SUZHOU CPD FF post go-live support 2024" u="1"/>
        <s v="4c_BU groove_L´Oreal_Transport Optimization - MGB Luxe Crossborder" u="1"/>
        <s v="4c_CN_L'Oreal (China) Co., Ltd._e-com shipper &amp; packing technology optimization" u="1"/>
        <s v="4c_CN_L'Oreal (China) Co., Ltd._Design and validation of global automation blueprint" u="1"/>
        <s v="4c_CN_L'Oreal (China) Co., Ltd._KR integration study of Aesop &amp; Dr. G" u="1"/>
        <s v="4c_NA_L'oreal_NA supply chain potimization project" u="1"/>
        <s v="4c_CN_L'Oréal_Global DC Automation Blueprint Development (Phase 2)" u="1"/>
        <s v="4c_BU groove_L'Oreal_Production Optimization Settimo plant: New Packaging Atelier" u="1"/>
        <s v="4c_CN_L'Oreal China_Global DC automation roll-out - detail design support" u="1"/>
        <s v="4c_CN_L'Oreal SE_Global automation DC roll out - technical support and PMO" u="1"/>
        <s v="4m_dynamic_Wilo_4PL services with SAP TM" u="1"/>
        <s v="4m_dynamic_Wilo_Sustainability Service" u="1"/>
        <s v="4c_BU groove_Josera Polska Sp. z o.o._3PL Warehouse tender Poland" u="1"/>
        <s v="4c_BU groove_Josera Erbacher Service GmbH &amp; Co. KG_S&amp;OP Assessment and Optimization" u="1"/>
        <s v="4c_BU rise_Viega GmbH &amp; Co. KG_Anbieterscreening Software Maschinenauslastung" u="1"/>
        <s v="4c_BU buzz_VAT AG_Falcon Phase III: Enabling MY organization" u="1"/>
        <s v="4c_BU buzz_VAT AG_PowerApp development D365 - VAT PLSCM" u="1"/>
        <s v="4c_BU buzz_VAT AG_360° Supplier Rating Framework" u="1"/>
        <s v="4c_BU buzz_VAT AG_Task Force - Factory Output" u="1"/>
        <s v="4c_BU buzz_VAT AG_Business Intelligence and Analytics" u="1"/>
        <s v="4c_BU buzz_VAT AG_360° Supplier rating – implementation of KPI set (Wave 1)" u="1"/>
        <s v="4c_BU buzz_VAT Vakuumventile AG_DarWin Reporting" u="1"/>
        <s v="4c_BU buzz_VAT AG_Support Operations &amp; Site Strategy" u="1"/>
        <s v="4c_BU rise_Vorwerk International AG, Wollerau - Schweiz_KPI System for SCM" u="1"/>
        <s v="4c_BU rise_Vorwerk_KPI System Ausarbeitung" u="1"/>
        <s v="4c_BU rise_Vorwerk_Asia Hub analysis" u="1"/>
        <s v="4c_CN_Sika China_New factory block layout design" u="1"/>
        <s v="4c_CN_Sika China_New production site intralogistics planning and implementation" u="1"/>
        <s v="4c_CN_Sika China_Workshop support" u="1"/>
        <s v="4c_CN_Sika Thailand_WH planning" u="1"/>
        <s v="4c_CN_Sika Japan_WH planning" u="1"/>
        <s v="4c_CN_Sika Japan_WH planning extension " u="1"/>
        <s v="4c_CN_sika JP_Autom Tender support" u="1"/>
        <s v="4c_CN_Sika APAC_Logistics optimization" u="1"/>
        <s v="4c_CN_L’Oréal (HK)_Network study with Aesop integration" u="1"/>
        <s v="4c_CN_L'Oreal Japan_Aesop integration study" u="1"/>
        <s v="4c_NA_Essity Professional Hygiene North America LLC _Future design of Essity’s US distribution network" u="1"/>
        <s v="4s_4flow vista_Essity_Vista implementation" u="1"/>
        <s v="4s_vista_Essity_Vista implementation_Europe " u="1"/>
        <s v="4s_4flow vista_Essity_4flow vista Network Design Tool - Training" u="1"/>
        <s v="4c_BU groove_essity_Network training and baseline" u="1"/>
        <s v="4m_dynamic_Coty_4PL TM Solution" u="1"/>
        <s v="4m_dynamic_Coty_4PL Services" u="1"/>
        <s v="4m_dynamic_Procter &amp; Gamble_Dynamic Slot Management" u="1"/>
        <s v="4c_BU rise_Richemont International SA_RID Reengineering" u="1"/>
        <s v="4c_BU rise_Richemont International SA_RID Modeling" u="1"/>
        <s v="4m_CN_China_Supply Chain Plus" u="1"/>
        <s v="4c_BU boost_Xella_Supply chain planning and Exceution Audit" u="1"/>
        <s v="4c_BU boost_Siemens France_Plant WH capacity study" u="1"/>
        <s v="4c_BU buzz_Siemens AG_Detailed planning: Material Flow Concept Fürth" u="1"/>
        <s v="4c_buzz_Saint-Gobain Weber_Quick assessment improvement measures in Silo Operations" u="1"/>
        <s v="4c_BU buzz_Saint Gobain Weber_Inbound Optimization" u="1"/>
        <s v="4c_BU buzz_Saint Gobain Weber_PROSILO - Detailed Planning" u="1"/>
        <s v="4c_BU buzz_Saint-Gobain_Optimization PROSILO &amp; Inbound" u="1"/>
        <s v="4c_BU buzz_B.Braun_SPOT - Supply Process Optimization for Tomorrow" u="1"/>
        <s v="4c_BU_buzz_Infineon_Global distribution network study" u="1"/>
        <s v="4c_BU_buzz_No Touch" u="1"/>
        <s v="4c_BU buzz_Infineon Technologies AG_Verkehrskonzept Dresden" u="1"/>
        <s v="4c_BU buzz_Infineon Technologies AG_Detailplanung und Umsetzungsbegleitung Verkehr" u="1"/>
        <s v="4s_4flow VIA - NWD licenses 2025+" u="1"/>
        <s v="4c_CN_Infineon Technologies CN_China distribution center concept design" u="1"/>
        <s v="4c_CN_Infineon Technologies CN_China distribution center detail design &amp; tender" u="1"/>
        <s v="4c_core_Cartones Yaguarete AS_Evaluation of cost-optimal location for new plant in Latin America" u="1"/>
        <s v="4c_BU drive_Ed. Züblin AG   _1._x0009_Design and evaluation of logistics concept BE-U" u="1"/>
        <s v="4c_BU drive_Miele Vertriebsgesellschaft Deutschland KG_S&amp;OP Refresh Rollout" u="1"/>
        <s v="4c_BU rise_BayWa AG _Aktualisierung Stückgutkonzept BayWa Agrar" u="1"/>
        <s v="4c_BU rise_BayWa AG_Neubewertung Stückgutkonzept Agrar: Zentrallager-Szenarien" u="1"/>
        <s v="4c_BU rise_BayWa AG_Ausschreibungsbegleitung Lager-Logistikdienstleistung für zwei neue Zentrallagerstandorte" u="1"/>
        <s v="4c_CN_STIHL Japan_WH Tender support" u="1"/>
        <s v="4c_BU boost_Meyer Werft_Extension PROLOG 2025" u="1"/>
        <s v="4c_BU boost_Meyer Werft_Material flow analysis shipyard Papenburg" u="1"/>
        <s v="4c_Boost_Neptun_11-wöchige Unterstützung bei SAP –Prozessvisualisierungen und im Schulungsprozess4flow" u="1"/>
        <s v="4c_boost_Meyer Werft Turku_Material Flow Concept Shipyard Turku" u="1"/>
        <s v="4c_Bu boost_MEYER TURKU Oy_Development of Vertical Transportation Concept" u="1"/>
        <s v="4c_BU boost_Meyer Turku Oy_Vertical Logistics - Drop Off Area Layout Planning" u="1"/>
        <s v="4c_BU boost_Meyer Turku Oy_Logistics Optimization Shipyard Turku" u="1"/>
        <s v="4c_BU boost_ThyssenKrupp Elevators_Network study forwarding hubs" u="1"/>
        <s v="4c_NA_British American Tobacco Plc (BAT)_Implementation Transportation Load Optimizer (TLO) - US Support of further topics 2023" u="1"/>
        <s v="4s_VIA_BAT_4flow network analysis solution" u="1"/>
        <s v="4c_BU groove_British American Tobacco Plc (BAT)_PoC Network study new category business" u="1"/>
        <s v="4c_BU groove_British American Tobacco Plc (BAT)_Warehouse Optimization Task Force Hungary" u="1"/>
        <s v="4s_BAT_VIA-NEVA_Running_4flow VIA - framework agreement 2025+, licenses 2025" u="1"/>
        <s v="4c_groove_BAT_Network optimization Poland and Germany" u="1"/>
        <s v="4c_VIA_BAT_4flow VIA - data interface configuration 2025+" u="1"/>
        <s v="4c_BU groove_BAT_Poland Optimization &amp; Greenfield Study                " u="1"/>
        <s v="4c_BU groove_BAT_Operations Optimization - Kanfanar" u="1"/>
        <s v="4c_BU groove_BRITISH AMERICAN TOBACCO_Supply Chain Network Readiness Assessment " u="1"/>
        <s v="4c_BU groove_BAT_Process Benchmarking" u="1"/>
        <s v="4c_NA_BAT Canada_Automation Catalogue" u="1"/>
        <s v="4c_BU groove_BRITISH AMERICAN TOBACCO_Benchmarking of DHL Warehousing &amp; Transport Services PL " u="1"/>
        <s v="4c_BU groove_BAT_Tactical Optimization Enablement &amp; Support" u="1"/>
        <s v="4c_CN_BAT_Inbound Network Study" u="1"/>
        <s v="4c_BU drive_ANDREAS STIHL AG &amp; Co. KG_Concept validation for central warehouse in Völklingen" u="1"/>
        <s v="4c_w/o BU_Leipziger Verkehrsbetriebe _Acquisition" u="1"/>
        <s v="4r_Funding_BMBF_RegioFab_Regionales Fabriksharing zur Steigerung von Resilienz und Nachhaltigkeit der Wertschöpfung von KMU" u="1"/>
        <s v="4r_Funding_mFund/Tüv Rheinland_SlidePlus_Verbundprojekt: Service-Plattform zur Störfallerkennung im Straßengüterverkehr mithilfe selbstlernender KI-Verfahren" u="1"/>
        <s v="4r_Funding_mFund/Tüv Rheinland_HEGEL - Hyperlogistics of German Logistics" u="1"/>
        <s v="4r_Funding_Deutsches Zentrum für Luft- und Raumfahrt e.V._ProvideQ_Quantum Readiness for Optimization Providers" u="1"/>
        <s v="4s_iTMS-4s_4c-Wallenius Wilhelmsen_Strategy Workshop about TMS solutions (Ref. 4c = 70100228)" u="1"/>
        <s v="4c_NA_AGCO_Transportation management NA services (project) (Ref. Inc. 19711341)" u="1"/>
        <s v="4c_SA_AGCO_Transportation management SA services (project) (Ref. Ltda. 19722641)" u="1"/>
        <s v="4s_PG_iTMS-4m_AGCO_GSI Divesture iTMS NA (Ref. Inc 19711547)" u="1"/>
        <s v="4c_NA_Colgate-Palmolive Company_KNX-TLO_Customer Project_NA TLO Implementation (Ref. Inc 60400216)" u="1"/>
        <s v="4s_iTMS-4m_4m-AGCO NA_Transportation management NA services (Ref. Inc. 19711347)" u="1"/>
        <s v="4s_iTMS-4m_4m-AGCO Brazil_Transportation management services (Ref. Ltda. 19722647)" u="1"/>
        <s v="4s_EMS_BMW_EMS workflow tool enhancement (Ref. Consulting " u="1"/>
        <s v="4s_iTMS-4m_4m-Magna_MSF CC for iTMS CRs 2024 (Ref. GmbH 20513147)" u="1"/>
        <s v="4c_groove_4m_dynamic_Fresh Trading Supply_Logistics 4PL partnership (Extern 6630024)" u="1"/>
        <s v="4s_iTMS-4m_4m-Fedrigoni_4m iTMS Integration (Ref. GmbH 80210244)" u="1"/>
        <s v="4s_iTMS-4m_4m-DuPont_Dangerous Goods_customer-specific_CUS-1533 (Ref. GmbH 30280247)" u="1"/>
        <s v="4s_iTMS-4m_4m-DuPont_Dangerous Goods_BG more_CUS-1533 (Ref. GmbH 99989349)" u="1"/>
        <s v="4s_iTMS-4m_4m-DuPont_Dangerous Goods_BG dynamic_CUS-1533 (Ref. GmbH 99988149)" u="1"/>
        <s v="4s_iTMS-4m_4m-UCB_CUS-1691: UCB Ex-Post setup (Ref. GmbH 60550247)" u="1"/>
        <s v="4s_iTMS-4m_4m-UCB_CUS-1653: Implement new service-handler for UCB (Ref. GmbH 60550247)" u="1"/>
        <s v="4s_iTMS-4m_4m-Adient_Activation of ERP connector (Running Fees) CUS-1695 (Ref. GmbH 20450647)" u="1"/>
        <s v="4s_iTMS-4m_4m-UCB_CUS-1673: Enable 2nd HU-level in iTMS DWH (Ref. GmbH 60550347)" u="1"/>
        <s v="4s_iTMS-4m_4m-Magna_Contract (Ref. GmbH 20513147)" u="1"/>
        <s v="4s_iTMS-4m_4m-Magna_Contract Alpega Support (Ref. GmbH 20513147)" u="1"/>
        <s v="4s_VIA_4m-Magna_Contract  (Ref. GmbH 20513147)" u="1"/>
        <s v="4s_iTMS-4m_4m-Knorr-Bremse_CUS-1726: KB EMS (Ref. GmbH 29074347)" u="1"/>
        <s v="4s_iTMS-4m_4m-Knorr-Bremse_CUS-1725: KB Shippeo Activation (Ref. GmbH 29074347)" u="1"/>
        <s v="4s_iTMS-4m_4m-UCB_CUS-1714_UCB: Running for long-term document storage (Ref. GmbH 60550247)" u="1"/>
        <s v="4s_iTMS-4m_4m-Magna_TMS-2789 (Ref. GmbH 20513147)" u="1"/>
        <s v="4s_iTMS-4m_4m-AGCO_demand interface SAP P01 &gt; iTMS CUS-1654 &amp; CUS-1669 (Ref. GmbH = 19700747)" u="1"/>
        <s v="4c_Knorr-Bremse_4PL_APAC-Launch (Ref. GmbH = 2907434)" u="1"/>
        <s v="4s_iTMS-4m_4m_RTV_Invest (Ref. GmbH 99995841)" u="1"/>
        <s v="4s_iTMS-4m_4m_Industry specific solutions (Ref. GmbH 99996141)" u="1"/>
        <s v="4s_iTMS-4m_4m_Future BI and mailing tool (Ref. GmbH 26849)" u="1"/>
        <s v="4s_iTMS-4m_4m_NextGen EMS support and monitoring (Ref. GmbH 99990447)" u="1"/>
        <s v="4s_iTMS-4m_4m_Data Solutions (Ref. GmbH 99996441)" u="1"/>
        <s v="4s_iTMS-4m_4m_Supply Chain Orchestration (Ref. GmbH 26241)" u="1"/>
        <s v="4s_iTMS-4m_4m_Sustainability Solution (Ref. GmbH 99995947)" u="1"/>
        <s v="4s_iTMS-4m_4m_Demand import report improvements (Ref. GmbH 99996141)" u="1"/>
        <s v="4s_iTMS-4m_4m_Future iTMS (Ref. GmbH 99996147)" u="1"/>
        <s v="4s_TORO_4m-BOS_4flow TORO (Ref. GmbH 29241843)" u="1"/>
        <s v="4s_iTMS-4m_4m-AGCO EME (Ref. GmbH 19700747)" u="1"/>
        <s v="4s_iTMS-4m_4m-Hero_(Ref. GmbH 66150241)" u="1"/>
        <s v="4s_iTMS-4m_4m-UCB_CUS-1804: Connector enhancements (Ref. GmbH 60550447)" u="1"/>
        <s v="4s_iTMS-4m_4m-BOS_iTMS_Network Study (Ref. GmbH 29240343)" u="1"/>
        <s v="4s_iTMS-4m_AGCO_iTMS Test Environment (Ref. GmbH 1970474)" u="1"/>
        <s v="4s_iTMS-4m_4flow management GmbH_Next gen XM (4m GmbH Ref. 20441)" u="1"/>
        <s v="4s_iTMS-4m_JDE_Implementation SB API &quot;Set timestamps&quot; (Ref. GmbH 6607034)" u="1"/>
        <s v="4s_iTMS-4m_IAC_Revision of iTMS for neutral branding (Ref. GmbH 2200034)" u="1"/>
        <s v="4s_iTMS-4m_Stellantis_Change Requests 4m MANU 2025 (Ref. GmbH 1770024)" u="1"/>
        <s v="4s_iTMS-4m_Stellantis_Change Requests 4m AFS 2025 (Ref. GmbH 1770324)" u="1"/>
        <s v="4s_iTMS-4m_UCB_EMS config Budget (Ref. GmbH 6055044)" u="1"/>
        <s v="4s_iTMS-4m_UCB_UCB-connector enhancements Part2 (Ref. GmbH 6055044)" u="1"/>
        <s v="4s_iTMS-4m_Knorr-Bremse Systeme für NFZ GmbH_AMS 2025 (Ref. GmbH 2907544)" u="1"/>
        <s v="4s_iTMS-4m_4m-BorgWarner_FFN/BorgWarner: Moving Shippeo from the pilot phase to full-project CUS-1936 (Ref. GmbH 2220174)" u="1"/>
        <s v="4s_iTMS-4m_Mars_Shippeo Carrier Onboarding (Ref. GmbH 6619054)" u="1"/>
        <s v="4s_iTMS-4m_AGCO_EME_Change Requests 2025 (Ref. GmbH 1970074)" u="1"/>
        <s v="4s_iTMS-4m_Knorr-Bremse_Creator licenses 4flow vista analytics (Ref. GmbH 2907574)" u="1"/>
        <s v="4s_iTMS-4m_UCB_FFU/UCB: Pre-filter in Vista-cockpit on SL (Ref. GmbH 6055044)" u="1"/>
        <s v="4s_iTMS-4m_PowerCo_4flow management iTMS setup (Ref. SE 1567204)" u="1"/>
        <s v="4s_iTMS-4m_4m-Magna_CRs 2025 (Ref. GmbH 2051314)" u="1"/>
        <s v="4c_EU_Fresh Trading Supply_Akquisition" u="1"/>
        <s v="4s_iTMS-4m_Mars Inc._CUS-1993: Add First Ls140 Pickup &amp; Delivery Date fields" u="1"/>
        <s v="4s_iTMS-4m_Mars Inc._CUS-1995: TO Date/Time update based on TO number via excel" u="1"/>
        <s v="4s_iTMS-4m_Mars Inc._CUS-1942: Delete empty strings in fields" u="1"/>
        <s v="4s_iTMS-4m_Mars Inc._CUS-1795: Customshippeo carrier onboarding CMA-CGM" u="1"/>
        <s v="4s_iTMS-4m_AGCO_EME_CEP Onboarding" u="1"/>
        <s v="4s_iTMS-4m_Fresh Trading Supply_4flow management iTMS (ref. 6630024)" u="1"/>
        <s v="4s_iTMS-4m_Nomad Food_4flow management iTMS" u="1"/>
        <s v="4s_iTMS-4m_DSM Firmenich_4flow management iTMS" u="1"/>
        <s v="4s_iTMS-4m_Ontex_4flow management iTMS" u="1"/>
        <s v="4s_iTMS-4m_UCB_CUS-1916: Integration DM-low code solution" u="1"/>
        <s v="4s_iTMS-4m_Magna Steyer_ERP connector for 4m MSF to update loads via IFTSTA" u="1"/>
        <s v="4s_iTMS-4m_DuPont_Change Requests 2025 (Ref. GmbH 30280247)" u="1"/>
        <s v="4s_iTMS-4m_Knorr-Bremse_EMS Budget Knorr-Bremse (2907434 GmbH )" u="1"/>
        <s v="4c_groove_4m_dynamic_Coty_4PL TM Solution (GmbH 8807024)" u="1"/>
        <s v="4s_iTMS-4m_Coty_Setup 4m iTMS for Coty" u="1"/>
        <s v="4c_SA_Knorr-Bremse_EMEA Network study" u="1"/>
        <s v="4c_core_Stellantis_Support for planning ramp up" u="1"/>
        <s v="4s_iTMS-4m_4flow management GmbH_KB_AMS 2026" u="1"/>
        <s v="4s_iTMS-4m_AGCO_NA_CRs 2025 (INC 19711347)" u="1"/>
        <s v="4s_iTMS-4m_4m-Lear Europe_Maintenance_(Ref. GmbH 21506447)" u="1"/>
        <s v="4s_iTMS-4s_Stellantis_PSA Groupe (Aftersales) (Ref. GmbH = 19880847)" u="1"/>
        <s v="4s_vista_Standardweiterentwicklung Air &amp; Sea (without crosscharge to customer)" u="1"/>
        <s v="4s_iTMS-4m_4m-AGCO EU_(Ref. GmbH = 19700747)" u="1"/>
        <s v="4s_iTMS-4m_4m-AGCO CN_intracompany fee (Ref. SE 99843611)" u="1"/>
        <s v="4s_vTMS-4m_4m-Continental_4flow management iTMS Implementation for Continental China (Ref. SHG 20970847)" u="1"/>
        <s v="4s_vista-SC+_4m-Zhongneng_SupplyChain+_License intracompany fee (Ref. SHG = 31390243)" u="1"/>
        <s v="4s_VIA-SC+_4m-By-health_License intracompany fee (Ref. SHG = 60960243)" u="1"/>
        <s v="4s_vista_4c_internal billing BU software to consulting" u="1"/>
        <s v="4s_VIA-SC+_4m-Zhongneng_License intracompany fee (Ref. SHG = 31390243)" u="1"/>
        <s v="4s_VIA-SC+_4m-Haleon_License intracompany fee (Ref. SHG = 66120243)" u="1"/>
        <s v="4s_VIA-SC+_4m-Nanfu_License intracompany fee (Ref. SHG = 75720243)" u="1"/>
        <s v="4s_vista-SC+_4m-CP_SupplyChain+_License intracompany fee (Ref. SHG = 66080243)" u="1"/>
        <s v="4s_VIA-vista_4m-CP_SupplyChain+_License intracompany fee (Ref. SHG = 66080243)" u="1"/>
        <s v="4s_VIA-SC+_4m-CP_License intracompany fee (Ref. SHG = 66080243)" u="1"/>
        <s v="4c_CN_Knorr-Bremse_Control tower project  intracompany fee (Ref. SHG =2907564)" u="1"/>
        <s v="4s_4flow VIA-vista – SC+_Loyal Hound_SC+ 4flow vista running fees - LOYAL HOUND (Ref. SHG = 7670024)" u="1"/>
        <s v="4s_iTMS-4m_4m-AGCO CN_intracompany fee (Ref. SHG = 19701147)" u="1"/>
        <s v="4s_vTMS_4m-Continental China_intracompany fee (Ref. SHG =20970847)" u="1"/>
        <s v="4s_vTMS_4m-Continental China_planning service intracompany fee (Ref. SHG = 20970849)" u="1"/>
        <s v="4s_vista_4c-BMW_BMW aNWM (prolongation 2022) (Ref. AG 11107126)" u="1"/>
        <s v="4s_iTMS-4m_4m-Inalfa NA_intracompany fee (Ref. Inc 99914244)" u="1"/>
        <s v="4s_vista-SC+_4m-Converse_SupplyChain+_License intracompany fee (Ref. SHG = 31220243)" u="1"/>
        <s v="4s_vista-SC+_4m-Mars_SupplyChain+_License intracompany fee (Ref. SHG = 66370444)" u="1"/>
        <s v="4s_vista-SC+_4m-By-health_SupplyChain+_License intracompany fee (Ref. SHG = 60960243)" u="1"/>
        <s v="4s_vista_4c-BMW_BMW aNWM (prolongation 2023) (Ref. AG 11107326)" u="1"/>
        <s v="4s_iTMS-4m_4m-Baxter_EMS (Ref. Inc 60740244)" u="1"/>
        <s v="4m_more_AGCO 4m services SA_AGCO NA MS - inet licences (Ref. Inc. = 19710211)" u="1"/>
        <s v="4m_more_AGCO 4m services SA_iTMS AGCO BRA [non-Inc mgmt colleagues; project tracker] (Ref. Inc = 19720311/-13)" u="1"/>
        <s v="4s_iTMS-4m_4m-Inalfa NA_(Ref. SE 99864711)" u="1"/>
        <s v="4s_iTMS-4m_4m-Inalfa NA_Czarlite Maintenance (Ref. Inc. 99914242)" u="1"/>
        <s v="4s_KNX-TLO_4c-BAT_Implementation TLO - US Support of further topics 2023 (Ref. Inc. 89110628)" u="1"/>
        <s v="4m_dynamic_SA_Baxter_Baxter 4PL services - execution" u="1"/>
        <s v="4s_iTMS-4m_4m-Inalfa NA_EMS configuration budget (Ref. Inc. 99914244)" u="1"/>
        <s v="4s_iTMS-4m_4m-Baxter_EMS Prepaid Budget (Ref. Inc 60740244)" u="1"/>
        <s v="4s_iTMS-4m_4m-Vantive_Vantive (Ref. Inc 60990244)" u="1"/>
        <s v="4s_iTMS-4s_Knorr-Bremse_(Ref. GmbH = 29073747)" u="1"/>
        <s v="4s_iTMS-4m_4m-Adient_EU (Ref. GmbH = 20450647)" u="1"/>
        <s v="4s_iTMS-4m_4m-BOS_(Ref. GmbH = 29240347)" u="1"/>
        <s v="4s_iTMS-4m_4m-JDE_(Ref. GmbH = 66070347)" u="1"/>
        <s v="4s_iTMS-4m_4m-IAC_(Ref. GmbH = 22000347)" u="1"/>
        <s v="4s_iTMS-4m_4m-Magna Steyr_TMM next level (Ref. GmbH 20513147)" u="1"/>
        <s v="4s_iTMS-4m_4m-Mars EU_support Alpega module (Ref. GmbH = 66190547)" u="1"/>
        <s v="4s_iTMS-4m_4m-Adient_data security process enhancements (Ref. GmbH 20450647)" u="1"/>
        <s v="4s_iTMS-4m_4m-Yanfeng_(Ref. GmbH 20440244)" u="1"/>
        <s v="4s_iTMS-4m_4m-AGCO EU_support for Alpega modules (Ref. GmbH = 19700747)" u="1"/>
        <s v="4s_iTMS-4m_4m-BOS_support for Alpega modules (Ref. GmbH = 29240347)" u="1"/>
        <s v="4s_iTMS-4m_4m-Adient_support for Alpega modules (Ref. GmbH = 20450647)" u="1"/>
        <s v="4s_iTMS-4m_4m-JDE_support for Alpega modules (Ref. GmbH = 66070347)" u="1"/>
        <s v="4s_iTMS-4m_4m-IAC_support for Alpega modules (Ref. GmbH 22000347)" u="1"/>
        <s v="4s_iTMS-4m_4m-Magna Steyr_support for Alpega modules (Ref. GmbH 20513147)" u="1"/>
        <s v="4s_SAP-Addon_4m-Wilo_(Ref. GmbH = 80870247)" u="1"/>
        <s v="4s_iTMS-4m_4m-Webasto" u="1"/>
        <s v="4s_iTMS-4m_Shippeo-4m_transaction and external service fees (Ref. GmbH = 99995847)" u="1"/>
        <s v="4s_iTMS-4m_4m_Solution management (Ref. GmbH 99994241)" u="1"/>
        <s v="4s_iTMS-4m_4m-Yanfeng_support Alpega modules (Ref. GmbH 20440244)" u="1"/>
        <s v="4s_iTMS-4m_4m-DuPont_4PL Services for Dupont" u="1"/>
        <s v="4s_iTMS-4m_4m_FMS usage by 4flow GmbH (Ref. GmbH = 99996749)" u="1"/>
        <s v="4s_iTMS-4m_4m-TRUMPF_(Ref. GmbH 30460547)" u="1"/>
        <s v="4s_iTMS-4m_4m-Mars EU_FTW (Ref. GmbH = 66190547)" u="1"/>
        <s v="4s_iTMS-4m_4m_selection and deployment of a new BI tool (Ref. GmbH 99996849)" u="1"/>
        <s v="4m_dynamic_Mars_Implemenation 4PL services" u="1"/>
        <s v="4s_iTMS-4m_4m-TRUMPF_support Alpega modules (Ref. GmbH = 30460547)" u="1"/>
        <s v="4s_iTMS-4s_Stellantis_PSA Groupe" u="1"/>
        <s v="4s_iTMS-4m_4m-Magna Steyr_EMS configuration prepaid budget (Ref. GmbH 20513147)" u="1"/>
        <s v="4s_iTMS-4m_4m-Magna_TMS-2337 (Ref. GmbH 20513143)" u="1"/>
        <s v="4s_iTMS-4m_4m-BorgWarner_European Managed Transportation Services (Ref. GmbH 22201447)" u="1"/>
        <s v="4s_iTMS-4m_4m-Lear_Fees Analytics and Data Center (Ref. GmbH 21506447)" u="1"/>
        <s v="4s_iTMS-4m_4m-BorgWarner_Support für Alpega Module (Ref. GmbH 22201447)" u="1"/>
        <s v="4s_iTMS-4m_4m-Inalfa EU_(Ref. GmbH 80630747)" u="1"/>
        <s v="4m_dynamic_Inalfa_4PL services (Execution NA)" u="1"/>
        <s v="4s_iTMS-4m_4m-Lear Europe_EMS (Ref. GmbH 21506447)" u="1"/>
        <s v="4s_iTMS-4m_4m-Webasto_Support für Alpega Module (Ref. GmbH 20070743)" u="1"/>
        <s v="4s_iTMS-4m_4m-Inalfa EU_Support für Alpega Module (Ref. GmbH 80630747)" u="1"/>
        <s v="4c_BU groove_Mars_4PL services (ab 2020)" u="1"/>
        <s v="4s_iTMS-4m_4m-DuPont_Support für Alpega Module (Ref. GmbH 30280247)" u="1"/>
        <s v="4s_iTMS-4m_4m-Mars EU_Testsystem Support &amp; Operations (Ref. GmbH = 66190547)" u="1"/>
        <s v="4s_vista_Robert Bosch GmbH_Bosch CN vista users (Ref. AG = 99919911)" u="1"/>
        <s v="4c_core_Stellantis_Control Tower Inbound OVL" u="1"/>
        <s v="4s_iTMS-4m_4mCT-Stellantis_Manufacturing" u="1"/>
        <s v="4s_4s-Central_4m-Stellantis_DK Support 4m for Operations Region FR (Ref. CT 17701143)" u="1"/>
        <s v="4s_iTMS-4m_4mCT-Stellantis_Stellantis AFS" u="1"/>
        <s v="4m_dynamic_BMW_Planungsleistung Auslandsversorgung BMW (from 01-2023)" u="1"/>
        <s v="4m_dynamic_BMW_Aktives Netzwerkmanagement 2023+" u="1"/>
        <s v="4m_dynamic_BMW_Operative Programmplanung PNW2 2022+ (from 01/23)" u="1"/>
        <s v="4c_EU_ElectroMobility Poland S.A._ElectroMobility_iTMS-4s_Running_4flow iTMS for inbound and outbound logistics" u="1"/>
        <s v="4s_iTMS-4m_4m-TESA_(Ref. GmbH 80180742)" u="1"/>
        <s v="4s_iTMS-4m_4m-TESA_Alpega support (Ref. GmbH 80180742)" u="1"/>
        <s v="4s_iTMS-4m_4m-LEAR" u="1"/>
        <s v="4c_BU buzz_Lear Europe_iTMS - Transition Project" u="1"/>
        <s v="4s_iTMS-4m_4m-LEAR_Alpega Support (Ref. GmbH 21508647)" u="1"/>
        <s v="4s_iTMS-4m_4m-DuPont_FFQ / Dupont: filter for LTR updates (Ref. GmbH 30280247)" u="1"/>
        <s v="4s_iTMS-4m_4m-JDE_Smart Booking for FFF/JDE (Ref. GmbH 66070347)" u="1"/>
        <s v="4s_iTMS-4m_4m-LEAR_CUS-1206 (Ref. GmbH 21508647)" u="1"/>
        <s v="4s_iTMS-4m_4m-LEAR_EMS configuration budget (Ref. GmbH 21508647)" u="1"/>
        <s v="4s_SAP-TORO_4m-IAC_(Ref. GmbH 22000347)" u="1"/>
        <s v="4s_iTMS-4m_Phinia_(Ref. GmbH 21150247)" u="1"/>
        <s v="4s_VIA_4m_EcoTransIT World (ETW) (Ref. GmbH 99994047)" u="1"/>
        <s v="4s_iTMS-4m_4m-DuPont_FFQ/DuPont: P23 - diverse CR (Ref. GmbH 30280247)" u="1"/>
        <s v="4s_iTMS-4m_4m-Phinia_support for Alpega modules (Ref. GmbH 21150247)" u="1"/>
        <s v="4s_iTMS-4m_4m-BOS_BOS Shippeo integration (Ref. GmbH = 29241241)" u="1"/>
        <s v="4s_iTMS-4m_4m-IAC_IAC Shippeo integration (Ref. GmbH = 22000347)" u="1"/>
        <s v="4s_iTMS-4m_4m-BorgWarner_BorgWarner Shippeo integration (Ref. GmbH = 22201744)" u="1"/>
        <s v="4s_iTMS-4m_4m-IAC_Set Up of Smart Booking for IAC (Ref. GmbH = 22000347)" u="1"/>
        <s v="4s_iTMS-4m_4m-DuPont_FFQ/DuPont: P80" u="1"/>
        <s v="4s_iTMS-4m_4m-DuPont_Smart Booking (Ref. GmbH 30280247)" u="1"/>
        <s v="4s_iTMS-4m_4m-Adient_EMS Prepaid Budget (Ref. GmbH 20450647)" u="1"/>
        <s v="4s_iTMS-4m_4m-JDE_EMS Prepaid Budget (Ref. GmbH 66070347)" u="1"/>
        <s v="4s_iTMS-4m_4m-Yanfeng_EMS Prepaid Budget (Ref. GmbH 20440244)" u="1"/>
        <s v="4s_iTMS-4m_4m-IAC_EMS Prepaid Budget (Ref. GmbH 22000344)" u="1"/>
        <s v="4s_iTMS-4m_4m-Lear_EMS Prepaid Budget (Ref. GmbH 21508644)" u="1"/>
        <s v="4s_iTMS-4m_4m-BOS_CUS 1287_Activate iTMS standard demand interface (Ref. GmbH 29241341)" u="1"/>
        <s v="4s_iTMS-4m_4m-TRUMPF_TRUMPF Connector (Ref. GmbH 30461247)" u="1"/>
        <s v="4s_iTMS-4m_4m-AGCO EU_CUS-1257 Integration of Agentbase ODET2 (APTMS) (Ref. GmbH 19700747)" u="1"/>
        <s v="4s_iTMS-4m_4m-Fedrigoni_4flow management iTMS for Fedrigoni (Ref. GmbH 80210244)" u="1"/>
        <s v="4s_EMS_4m_NextGen EMS Project TREX_3471 (Ref. GmbH 99994041)" u="1"/>
        <s v="4s_iTMS-4m_4m-Mercedes_Mercedes_EMS / Data Center / Analytics (Ref. GmbH 12410947)" u="1"/>
        <s v="4s_iTMS-4m_4m-Mars_1453 (Ref. GmbH 66190547)" u="1"/>
        <s v="4s_iTMS-4m_4m-BOS_BOS EMS config prepaid budget (Ref. GmbH 29240347) " u="1"/>
        <s v="4s_iTMS-4m_4m-JDE_JDE: Activation of document publisher_CUS 1354 (Ref. GmbH 66071644)" u="1"/>
        <s v="4s_iTMS-4m_4m-Magna_1: Empty TO creation via interface (Ref. GmbH 20513147)" u="1"/>
        <s v="4s_iTMS-4m_4m-Lear_1482 (Ref. GmbH 21508647)" u="1"/>
        <s v="4s_iTMS-4m_4m-EMS_TMS-2335 Palantir Snowflake Connection (Ref. GmbH 99994041)" u="1"/>
        <s v="4s_iTMS-4m_4m-AGCO_AGCO: migrate inet_document table to Snowflake_CUS-1515 (Ref. GmbH 19700747)" u="1"/>
        <s v="4s_iTMS-4m_4m-Resideo_Freight Cost Management Services (IT) (Ref. GmbH 30250247)" u="1"/>
        <s v="4s_iTMS-4m_4m-Mercedes_EMS budget (Ref. GmbH 12410947)" u="1"/>
        <s v="4s_iTMS-4m_4m-iTMS-4m_TMS-2202: BI - FMS Data Integration - IAC (Ref. GmbH 22000347)" u="1"/>
        <s v="4s_iTMS-4m_4m-iTMS-4m_TMS-2202: BI - FMS Data Integration - Adient (Ref. GmbH 20450647)" u="1"/>
        <s v="4s_iTMS-4m_4m-iTMS-4m_TMS-2202: BI - FMS Data Integration - JDE (Ref. GmbH 66070347)" u="1"/>
        <s v="4s_iTMS-4m_4m-iTMS-4m_TMS-2202: BI - FMS Data Integration - Inalfa EU (Ref. GmbH 80630744)" u="1"/>
        <s v="4s_iTMS-4m_4m-iTMS-4m_TMS-2202: BI - FMS Data Integration - Inalfa NA (Ref. GmbH 80630844)" u="1"/>
        <s v="4s_iTMS-4m_4m-iTMS-4m_TMS-2202: BI - FMS Data Integration - Borgwarner (Ref. GmbH 22201447)" u="1"/>
        <s v="4s_iTMS-4m_4m-iTMS-4m_TMS-2202: BI - FMS Data Integration - BOS (Ref. GmbH 29240344)" u="1"/>
        <s v="4s_iTMS-4m_4m-AGCO_TMS-2202: BI - FMS Data Integration - AGCO (Ref. GmbH 19700747)" u="1"/>
        <s v="4s_EMS_4m-AGCO_EMS - CRs (Ref. GmbH 19700747)" u="1"/>
        <s v="4s_iTMS-4m_4m-DuPont_diverse CRs (Ref. GmbH 30280247)" u="1"/>
        <s v="4s_iTMS-4m_4m-Magna_MSF Shippeo set up (Ref. GmbH 20513147)" u="1"/>
        <s v="4s_iTMS-4m_4flow management GmbH_TMS-2493: Per4mance report extension with FM KPIs (Ref. GmbH 99994241)" u="1"/>
        <s v="4s_iTMS-4m_UCB_Lead Logistic Provider (Ref. GmbH 60550244)" u="1"/>
        <s v="4s_iTMS-4m_4m-Magna_CUS-1555 (Ref. GmbH 20513147)" u="1"/>
        <s v="4s_iTMS-4m_4m-JDE_CIP-501 Implementation Shippeo for JDE (Ref. GmbH 66070347)" u="1"/>
        <s v="4s_iTMS-4m_4m-Magna_CUS-1525 (Ref. GmbH 20513147)" u="1"/>
        <s v="4s_iTMS-4m_4m-Knorr Bremse_CUS-1570: iTMS AMS 2024 (Ref. GmbH 29074647)" u="1"/>
        <s v="4s_iTMS-4m_4m-IAC_CUS-1304: Smartbooking for IAC (Ref. GmbH 22000347)" u="1"/>
        <s v="4s_iTMS-4m_4m-Mars_CUS-1116: Activation CDI for Mars (Ref. GmbH 66192847)" u="1"/>
        <s v="4s_iTMS-4m_4m-Lear_CUS-1479: Implementation of Cut-off time for late TOs (Ref. GmbH 21508642)" u="1"/>
        <s v="4s_iTMS-4m_4m-Knorr Bremse_CUS-431: Enable IFTMIN Outbound Process (Ref. GmbH 29074947)" u="1"/>
        <s v="4s_iTMS-4m_4m-Magna_RFQ (part of new contract 10/2024) - CUS-1172 / CUS-1364 / CUS-1567 (Ref. GmbH 20513147)" u="1"/>
        <s v="4s_iTMS-4m_4m-Magna_MSF - Integration of external CMS: CUS-1325/ CUS-1416/ CUS-1430/ CUS-1513 (Ref. GmbH 20513147)" u="1"/>
        <s v="4s_iTMS-4m_4m-Trumpf_EMS budget (Ref. GmbH 30460547)" u="1"/>
        <s v="4s_iTMS-4m_4m-DuPont_EMS budget (Ref. GmbH 30280247)" u="1"/>
        <s v="4s_iTMS-4m_4m-Yanfeng_EMS budget (Ref. GmbH 20440244)" u="1"/>
        <s v="4s_iTMS-4m_4m-Mercedes_diverse CRs (Ref. GmbH 12410947)" u="1"/>
        <s v="4s_iTMS-4m_Yanfeng_CRs 2025 ( GmbH: 2044024 )" u="1"/>
        <s v="4m_more_Webasto_Extent iTMS to NA_GmbH support (Ref SE 20071016)" u="1"/>
        <s v="4s_NA_GEPP_Network optimization + solution implementation (Ref 6623022)" u="1"/>
        <s v="4s_iTMS-4m_PowerCo_EMS Budget" u="1"/>
        <s v="4c_BU wave_PowerCo_EMS Budget (REF 1567204;specification 4m_Account Management)" u="1"/>
        <s v="4flow_HR_Educational Training" u="1"/>
        <s v="4c_Internal Project_Set-up Beijing" u="1"/>
        <s v="4m_SPM_iTMS_Low Code" u="1"/>
        <s v="4m_SPM_iTMS_RPA" u="1"/>
        <s v="4s_PG_Vista_Concept and Development" u="1"/>
        <s v="4s_PG_Vista SC+_Concept and Development" u="1"/>
        <s v="4s_PG_Vista_Sales and Go-To-Market" u="1"/>
      </sharedItems>
    </cacheField>
    <cacheField name="Specification" numFmtId="0">
      <sharedItems containsBlank="1" count="30">
        <s v="4c_Business consulting"/>
        <s v="4m_Planning"/>
        <s v="4m_Execution"/>
        <s v="Overheads"/>
        <s v="4s_Overheads_Other"/>
        <s v="4c_SAP Implementation"/>
        <s v="4m_Invest"/>
        <s v="4m_Running"/>
        <s v="4c_iSCM"/>
        <s v="4c_Intralogistics and Production"/>
        <s v="4c_Strategy"/>
        <s v="4c_IT Strategy"/>
        <s v="4c_Transport and Network"/>
        <s v="4c_Sustainability"/>
        <s v="4c_Logistics Engennering"/>
        <s v="4c_Kinaxis"/>
        <s v="4c_Data Science"/>
        <s v="4s_Change request"/>
        <s v="4s_Running fees"/>
        <s v="4s_Customer project"/>
        <s v="4m_IT"/>
        <m/>
        <s v="4m_Business development"/>
        <s v="4m_Launch"/>
        <s v="4m_Account Management"/>
        <s v="4c_Digital consulting"/>
        <s v="4r_Funding"/>
        <s v=""/>
        <s v="4m_Quality"/>
        <s v="4c_Logistics Enginnering" u="1"/>
      </sharedItems>
    </cacheField>
    <cacheField name="HGB group allocation" numFmtId="0">
      <sharedItems containsBlank="1"/>
    </cacheField>
  </cacheFields>
  <extLst>
    <ext xmlns:x14="http://schemas.microsoft.com/office/spreadsheetml/2009/9/main" uri="{725AE2AE-9491-48be-B2B4-4EB974FC3084}">
      <x14:pivotCacheDefinition pivotCacheId="28847005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42">
  <r>
    <s v="0"/>
    <m/>
    <x v="0"/>
    <x v="0"/>
    <m/>
    <m/>
    <m/>
    <n v="6093"/>
    <n v="4"/>
    <n v="2"/>
    <m/>
    <s v="01_SE"/>
    <x v="0"/>
    <m/>
    <m/>
    <m/>
    <m/>
    <x v="0"/>
    <s v="Project"/>
    <x v="0"/>
    <x v="0"/>
    <x v="0"/>
    <s v="Exclude in HGB Group allocation"/>
  </r>
  <r>
    <s v="0"/>
    <m/>
    <x v="0"/>
    <x v="0"/>
    <m/>
    <m/>
    <m/>
    <n v="6093"/>
    <n v="9"/>
    <n v="2"/>
    <m/>
    <s v="01_SE"/>
    <x v="0"/>
    <m/>
    <m/>
    <m/>
    <m/>
    <x v="0"/>
    <s v="Project"/>
    <x v="1"/>
    <x v="0"/>
    <x v="0"/>
    <s v="Exclude in HGB Group allocation"/>
  </r>
  <r>
    <s v="60930228"/>
    <m/>
    <x v="0"/>
    <x v="0"/>
    <m/>
    <m/>
    <m/>
    <n v="6093"/>
    <n v="2"/>
    <n v="2"/>
    <s v="60930228"/>
    <s v="01_SE"/>
    <x v="0"/>
    <m/>
    <m/>
    <m/>
    <m/>
    <x v="0"/>
    <s v="Project"/>
    <x v="2"/>
    <x v="0"/>
    <x v="0"/>
    <s v="Exclude in HGB Group allocation"/>
  </r>
  <r>
    <s v="60930328"/>
    <m/>
    <x v="0"/>
    <x v="0"/>
    <m/>
    <m/>
    <m/>
    <n v="6093"/>
    <n v="3"/>
    <n v="2"/>
    <s v="60930328"/>
    <s v="01_SE"/>
    <x v="0"/>
    <m/>
    <m/>
    <m/>
    <m/>
    <x v="0"/>
    <s v="Project"/>
    <x v="3"/>
    <x v="0"/>
    <x v="0"/>
    <s v="Exclude in HGB Group allocation"/>
  </r>
  <r>
    <s v="0"/>
    <m/>
    <x v="0"/>
    <x v="0"/>
    <m/>
    <m/>
    <m/>
    <n v="6093"/>
    <n v="5"/>
    <n v="2"/>
    <m/>
    <s v="01_SE"/>
    <x v="0"/>
    <m/>
    <m/>
    <m/>
    <m/>
    <x v="0"/>
    <s v="Project"/>
    <x v="4"/>
    <x v="0"/>
    <x v="0"/>
    <s v="Exclude in HGB Group allocation"/>
  </r>
  <r>
    <s v="0"/>
    <m/>
    <x v="0"/>
    <x v="0"/>
    <m/>
    <m/>
    <m/>
    <n v="6093"/>
    <n v="6"/>
    <n v="2"/>
    <m/>
    <s v="01_SE"/>
    <x v="0"/>
    <m/>
    <m/>
    <m/>
    <m/>
    <x v="0"/>
    <s v="Project"/>
    <x v="5"/>
    <x v="0"/>
    <x v="0"/>
    <s v="Exclude in HGB Group allocation"/>
  </r>
  <r>
    <s v="0"/>
    <m/>
    <x v="0"/>
    <x v="0"/>
    <m/>
    <m/>
    <m/>
    <n v="6093"/>
    <n v="7"/>
    <n v="2"/>
    <m/>
    <s v="01_SE"/>
    <x v="0"/>
    <m/>
    <m/>
    <m/>
    <m/>
    <x v="0"/>
    <s v="Project"/>
    <x v="6"/>
    <x v="0"/>
    <x v="0"/>
    <s v="Exclude in HGB Group allocation"/>
  </r>
  <r>
    <s v="0"/>
    <m/>
    <x v="0"/>
    <x v="0"/>
    <m/>
    <m/>
    <m/>
    <n v="6093"/>
    <n v="8"/>
    <n v="4"/>
    <m/>
    <s v="02_GmbH"/>
    <x v="1"/>
    <m/>
    <m/>
    <m/>
    <m/>
    <x v="0"/>
    <s v="Project"/>
    <x v="7"/>
    <x v="0"/>
    <x v="1"/>
    <s v="Exclude in HGB Group allocation"/>
  </r>
  <r>
    <s v="0"/>
    <m/>
    <x v="0"/>
    <x v="0"/>
    <m/>
    <m/>
    <m/>
    <n v="6093"/>
    <n v="8"/>
    <n v="4"/>
    <m/>
    <s v="02_GmbH"/>
    <x v="1"/>
    <m/>
    <m/>
    <m/>
    <m/>
    <x v="0"/>
    <s v="Project"/>
    <x v="7"/>
    <x v="0"/>
    <x v="2"/>
    <s v="Exclude in HGB Group allocation"/>
  </r>
  <r>
    <s v="99980000"/>
    <s v="4flow-internal"/>
    <x v="1"/>
    <x v="1"/>
    <s v="4flow management board"/>
    <s v="Management Board"/>
    <s v=""/>
    <n v="1"/>
    <n v="0"/>
    <n v="0"/>
    <s v="99980000"/>
    <s v="00_Group"/>
    <x v="2"/>
    <s v="MB &amp; MD"/>
    <s v="4flow management board"/>
    <m/>
    <m/>
    <x v="0"/>
    <s v="Cost center"/>
    <x v="8"/>
    <x v="1"/>
    <x v="3"/>
    <s v="Include in HGB Group allocation"/>
  </r>
  <r>
    <s v="99980100"/>
    <s v="4flow-internal"/>
    <x v="1"/>
    <x v="1"/>
    <s v="4flow management board"/>
    <s v="Management Board Assistance"/>
    <s v=""/>
    <n v="1"/>
    <n v="1"/>
    <n v="0"/>
    <s v="99980100"/>
    <s v="00_Group"/>
    <x v="2"/>
    <s v="MB &amp; MD"/>
    <s v="4flow management board - executive assistance"/>
    <m/>
    <m/>
    <x v="0"/>
    <s v="Cost center"/>
    <x v="9"/>
    <x v="2"/>
    <x v="3"/>
    <s v="Exclude in HGB Group allocation"/>
  </r>
  <r>
    <s v="99980200"/>
    <s v="4flow-internal"/>
    <x v="1"/>
    <x v="1"/>
    <s v="4flow management board"/>
    <s v="Management Board Assistance"/>
    <s v=""/>
    <n v="1"/>
    <n v="2"/>
    <n v="0"/>
    <s v="99980200"/>
    <s v="00_Group"/>
    <x v="2"/>
    <s v="MB &amp; MD"/>
    <s v="Alumni Network"/>
    <m/>
    <m/>
    <x v="0"/>
    <s v="Cost center"/>
    <x v="10"/>
    <x v="3"/>
    <x v="3"/>
    <s v="Include in HGB Group allocation"/>
  </r>
  <r>
    <s v="99980300"/>
    <s v="4flow-internal"/>
    <x v="1"/>
    <x v="1"/>
    <s v="4flow management board"/>
    <s v="Management Board"/>
    <s v=""/>
    <n v="1"/>
    <n v="3"/>
    <n v="0"/>
    <s v="99980300"/>
    <s v="00_Group"/>
    <x v="2"/>
    <s v="MB &amp; MD"/>
    <s v="EIC"/>
    <m/>
    <m/>
    <x v="0"/>
    <s v="Cost center"/>
    <x v="11"/>
    <x v="4"/>
    <x v="3"/>
    <s v="Include in HGB Group allocation"/>
  </r>
  <r>
    <s v="99981000"/>
    <s v="4flow-internal"/>
    <x v="1"/>
    <x v="1"/>
    <s v="4flow"/>
    <s v="Sales"/>
    <s v=""/>
    <n v="1"/>
    <n v="10"/>
    <n v="0"/>
    <s v="99981000"/>
    <s v="00_Group"/>
    <x v="2"/>
    <s v="MB &amp; MD"/>
    <s v="sales - 4flow (customer not specified)"/>
    <m/>
    <m/>
    <x v="0"/>
    <s v="Cost center"/>
    <x v="12"/>
    <x v="5"/>
    <x v="3"/>
    <s v="Include in HGB Group allocation"/>
  </r>
  <r>
    <s v="99981029"/>
    <s v="4flow-internal"/>
    <x v="1"/>
    <x v="1"/>
    <s v="4flow consulting"/>
    <s v="general"/>
    <s v=""/>
    <n v="1"/>
    <n v="10"/>
    <n v="29"/>
    <s v="99981029"/>
    <s v="00_Group"/>
    <x v="0"/>
    <s v="4c - Europe"/>
    <s v="sales - 4flow consulting (customer not specified)"/>
    <m/>
    <m/>
    <x v="0"/>
    <s v="Cost center"/>
    <x v="13"/>
    <x v="6"/>
    <x v="3"/>
    <s v="Include in HGB Group allocation"/>
  </r>
  <r>
    <s v="99981049"/>
    <s v="4flow-internal"/>
    <x v="1"/>
    <x v="1"/>
    <s v="4flow management"/>
    <s v=""/>
    <s v=""/>
    <n v="1"/>
    <n v="10"/>
    <n v="49"/>
    <s v="99981049"/>
    <s v="00_Group"/>
    <x v="1"/>
    <s v="4flow management internal"/>
    <s v="sales - 4flow management (customer not specified)"/>
    <m/>
    <m/>
    <x v="0"/>
    <s v="Cost center"/>
    <x v="14"/>
    <x v="7"/>
    <x v="3"/>
    <s v="Include in HGB Group allocation"/>
  </r>
  <r>
    <s v="99981500"/>
    <s v="4flow-internal"/>
    <x v="1"/>
    <x v="1"/>
    <s v="4flow strategy"/>
    <m/>
    <s v=""/>
    <n v="1"/>
    <n v="15"/>
    <n v="0"/>
    <s v="99981500"/>
    <s v="00_Group"/>
    <x v="2"/>
    <s v="Strategy"/>
    <s v="sales - 4flow (customer &amp; business line not specified)"/>
    <m/>
    <m/>
    <x v="0"/>
    <s v="Cost center"/>
    <x v="15"/>
    <x v="8"/>
    <x v="3"/>
    <s v="Include in HGB Group allocation"/>
  </r>
  <r>
    <s v="99981600"/>
    <s v="4flow-internal"/>
    <x v="1"/>
    <x v="1"/>
    <s v="4flow sales"/>
    <m/>
    <s v=""/>
    <n v="1"/>
    <n v="16"/>
    <n v="0"/>
    <n v="99981600"/>
    <s v="00_Group"/>
    <x v="2"/>
    <s v="Sales"/>
    <m/>
    <m/>
    <m/>
    <x v="0"/>
    <s v="Cost center"/>
    <x v="16"/>
    <x v="9"/>
    <x v="3"/>
    <s v="Include in HGB Group allocation"/>
  </r>
  <r>
    <s v="99982000"/>
    <s v="4flow-internal"/>
    <x v="1"/>
    <x v="1"/>
    <s v="4flow corporate services"/>
    <m/>
    <s v=""/>
    <n v="1"/>
    <n v="20"/>
    <n v="0"/>
    <s v="99982000"/>
    <s v="00_Group"/>
    <x v="2"/>
    <s v="Marketing"/>
    <s v="marketing - 4flow"/>
    <m/>
    <m/>
    <x v="0"/>
    <s v="Cost center"/>
    <x v="17"/>
    <x v="10"/>
    <x v="3"/>
    <s v="Include in HGB Group allocation"/>
  </r>
  <r>
    <s v="99982009"/>
    <s v="4flow-internal"/>
    <x v="1"/>
    <x v="1"/>
    <s v="4flow corporate services"/>
    <m/>
    <s v=""/>
    <n v="1"/>
    <n v="20"/>
    <n v="0"/>
    <s v="99982009"/>
    <s v="00_Group"/>
    <x v="2"/>
    <s v="Marketing"/>
    <s v="marketing - company"/>
    <m/>
    <m/>
    <x v="0"/>
    <s v="Cost center"/>
    <x v="17"/>
    <x v="10"/>
    <x v="3"/>
    <s v="Exclude in HGB Group allocation"/>
  </r>
  <r>
    <s v="99982029"/>
    <s v="4flow-internal"/>
    <x v="1"/>
    <x v="1"/>
    <s v="4flow consulting"/>
    <s v="general"/>
    <s v=""/>
    <n v="1"/>
    <n v="20"/>
    <n v="29"/>
    <s v="99982029"/>
    <s v="00_Group"/>
    <x v="0"/>
    <s v="4c - Europe"/>
    <s v="marketing - 4flow consulting"/>
    <m/>
    <m/>
    <x v="0"/>
    <s v="Cost center"/>
    <x v="18"/>
    <x v="11"/>
    <x v="3"/>
    <s v="Include in HGB Group allocation"/>
  </r>
  <r>
    <s v="99982049"/>
    <s v="4flow-internal"/>
    <x v="1"/>
    <x v="1"/>
    <s v="4flow management"/>
    <s v=""/>
    <s v=""/>
    <n v="1"/>
    <n v="20"/>
    <n v="49"/>
    <s v="99982049"/>
    <s v="00_Group"/>
    <x v="1"/>
    <s v="4flow management internal"/>
    <s v="marketing - 4flow management"/>
    <m/>
    <m/>
    <x v="0"/>
    <s v="Cost center"/>
    <x v="19"/>
    <x v="12"/>
    <x v="3"/>
    <s v="Include in HGB Group allocation"/>
  </r>
  <r>
    <s v="99982059"/>
    <s v="4flow-internal"/>
    <x v="1"/>
    <x v="1"/>
    <s v="4flow research"/>
    <m/>
    <s v=""/>
    <n v="1"/>
    <n v="20"/>
    <n v="59"/>
    <s v="99982059"/>
    <s v="00_Group"/>
    <x v="3"/>
    <m/>
    <s v="marketing - 4flow research"/>
    <m/>
    <m/>
    <x v="0"/>
    <s v="Cost center"/>
    <x v="20"/>
    <x v="13"/>
    <x v="3"/>
    <s v="Include in HGB Group allocation"/>
  </r>
  <r>
    <s v="99982100"/>
    <s v="4flow-internal"/>
    <x v="1"/>
    <x v="1"/>
    <s v="4flow"/>
    <m/>
    <s v=""/>
    <n v="1"/>
    <n v="21"/>
    <n v="0"/>
    <s v="99982100"/>
    <s v="00_Group"/>
    <x v="2"/>
    <s v="Internal Events"/>
    <s v="internal events - 4flow"/>
    <m/>
    <m/>
    <x v="0"/>
    <s v="Cost center"/>
    <x v="21"/>
    <x v="14"/>
    <x v="3"/>
    <s v="Include in HGB Group allocation"/>
  </r>
  <r>
    <s v="99982149"/>
    <s v="4flow-internal"/>
    <x v="1"/>
    <x v="2"/>
    <s v="4flow management"/>
    <s v="projects"/>
    <s v=""/>
    <n v="1"/>
    <n v="25"/>
    <n v="49"/>
    <s v="99982149"/>
    <s v="00_Group"/>
    <x v="1"/>
    <s v="BG dynamic"/>
    <s v="BG dynamic - pharma / life science"/>
    <m/>
    <m/>
    <x v="0"/>
    <s v="Cost center"/>
    <x v="22"/>
    <x v="15"/>
    <x v="3"/>
    <s v="Include in HGB Group allocation"/>
  </r>
  <r>
    <s v="99982200"/>
    <s v="4flow-internal"/>
    <x v="1"/>
    <x v="1"/>
    <s v="4flow"/>
    <m/>
    <s v=""/>
    <n v="1"/>
    <n v="22"/>
    <n v="0"/>
    <n v="99982200"/>
    <s v="00_Group"/>
    <x v="2"/>
    <s v="Internal Events"/>
    <s v="25 years 4flow"/>
    <m/>
    <m/>
    <x v="0"/>
    <s v="Cost center"/>
    <x v="23"/>
    <x v="16"/>
    <x v="3"/>
    <s v="Include in HGB Group allocation"/>
  </r>
  <r>
    <s v="99983000"/>
    <s v="4flow-internal"/>
    <x v="1"/>
    <x v="1"/>
    <s v="4flow corporate services"/>
    <s v="HR General"/>
    <s v=""/>
    <n v="1"/>
    <n v="30"/>
    <n v="0"/>
    <s v="99983000"/>
    <s v="00_Group"/>
    <x v="2"/>
    <s v="HR"/>
    <s v="HR - general activities"/>
    <m/>
    <m/>
    <x v="0"/>
    <s v="Cost center"/>
    <x v="24"/>
    <x v="17"/>
    <x v="3"/>
    <s v="Include in HGB Group allocation"/>
  </r>
  <r>
    <s v="99983009"/>
    <s v="4flow-internal"/>
    <x v="1"/>
    <x v="1"/>
    <s v="4flow corporate services"/>
    <s v="HR General"/>
    <s v=""/>
    <n v="1"/>
    <n v="30"/>
    <n v="0"/>
    <s v="99983009"/>
    <s v="00_Group"/>
    <x v="2"/>
    <s v="HR"/>
    <s v="hr - company"/>
    <m/>
    <m/>
    <x v="0"/>
    <s v="Cost center"/>
    <x v="24"/>
    <x v="17"/>
    <x v="3"/>
    <s v="Exclude in HGB Group allocation"/>
  </r>
  <r>
    <s v="99983100"/>
    <s v="4flow-internal"/>
    <x v="1"/>
    <x v="1"/>
    <s v="4flow corporate services"/>
    <s v="HR Talent Acquisition"/>
    <s v=""/>
    <n v="1"/>
    <n v="31"/>
    <n v="0"/>
    <s v="99983100"/>
    <s v="00_Group"/>
    <x v="2"/>
    <s v="HR"/>
    <s v="HR - talent acquistion"/>
    <m/>
    <m/>
    <x v="0"/>
    <s v="Cost center"/>
    <x v="25"/>
    <x v="18"/>
    <x v="3"/>
    <s v="Include in HGB Group allocation"/>
  </r>
  <r>
    <s v="99983200"/>
    <s v="4flow-internal"/>
    <x v="1"/>
    <x v="1"/>
    <s v="4flow corporate services"/>
    <s v="HR Talent Acquisition"/>
    <s v=""/>
    <n v="1"/>
    <n v="32"/>
    <n v="0"/>
    <s v="99983200"/>
    <s v="00_Group"/>
    <x v="2"/>
    <s v="HR"/>
    <s v="HR - campus recruitment"/>
    <m/>
    <m/>
    <x v="0"/>
    <s v="Cost center"/>
    <x v="26"/>
    <x v="19"/>
    <x v="3"/>
    <s v="Include in HGB Group allocation"/>
  </r>
  <r>
    <s v="99983229"/>
    <s v="4flow-internal"/>
    <x v="1"/>
    <x v="1"/>
    <s v="4flow consulting"/>
    <s v="general"/>
    <s v=""/>
    <n v="1"/>
    <n v="32"/>
    <n v="29"/>
    <s v="99983229"/>
    <s v="00_Group"/>
    <x v="0"/>
    <s v="4c - global"/>
    <s v="vacation &amp; sickness - 4flow consulting"/>
    <m/>
    <m/>
    <x v="0"/>
    <s v="Cost center"/>
    <x v="27"/>
    <x v="20"/>
    <x v="3"/>
    <s v="Include in HGB Group allocation"/>
  </r>
  <r>
    <s v="99983259"/>
    <s v="4flow-internal"/>
    <x v="1"/>
    <x v="1"/>
    <s v="4flow research"/>
    <s v="Absence"/>
    <s v=""/>
    <n v="1"/>
    <n v="83"/>
    <n v="59"/>
    <s v="99983259"/>
    <s v="00_Group"/>
    <x v="3"/>
    <m/>
    <s v="4r_vacation &amp; sickness - 4flow research"/>
    <m/>
    <m/>
    <x v="0"/>
    <s v="Cost center"/>
    <x v="28"/>
    <x v="21"/>
    <x v="3"/>
    <s v="Include in HGB Group allocation"/>
  </r>
  <r>
    <s v="99983400"/>
    <s v="4flow-internal"/>
    <x v="1"/>
    <x v="1"/>
    <s v="4flow corporate services"/>
    <s v="HR Learning &amp; Development"/>
    <s v=""/>
    <n v="1"/>
    <n v="34"/>
    <n v="0"/>
    <s v="99983400"/>
    <s v="00_Group"/>
    <x v="2"/>
    <s v="HR"/>
    <s v="HR - learning &amp; development"/>
    <m/>
    <m/>
    <x v="0"/>
    <s v="Cost center"/>
    <x v="29"/>
    <x v="22"/>
    <x v="3"/>
    <s v="Include in HGB Group allocation"/>
  </r>
  <r>
    <s v="99983429"/>
    <s v="4flow-internal"/>
    <x v="1"/>
    <x v="1"/>
    <s v="4flow consulting"/>
    <s v="general"/>
    <s v=""/>
    <n v="1"/>
    <n v="34"/>
    <n v="29"/>
    <s v="99983429"/>
    <s v="00_Group"/>
    <x v="0"/>
    <s v="4c - global"/>
    <s v="other absences - 4flow consulting"/>
    <m/>
    <m/>
    <x v="0"/>
    <s v="Cost center"/>
    <x v="30"/>
    <x v="23"/>
    <x v="3"/>
    <s v="Include in HGB Group allocation"/>
  </r>
  <r>
    <s v="99983449"/>
    <s v="4flow-internal"/>
    <x v="1"/>
    <x v="1"/>
    <s v="4flow management"/>
    <s v=""/>
    <s v=""/>
    <n v="1"/>
    <n v="34"/>
    <n v="49"/>
    <s v="99983449"/>
    <s v="00_Group"/>
    <x v="1"/>
    <s v="4flow management internal"/>
    <s v="other absences - 4flow management"/>
    <m/>
    <m/>
    <x v="0"/>
    <s v="Cost center"/>
    <x v="31"/>
    <x v="24"/>
    <x v="3"/>
    <s v="Include in HGB Group allocation"/>
  </r>
  <r>
    <s v="99983500"/>
    <s v="4flow-internal"/>
    <x v="1"/>
    <x v="1"/>
    <s v="4flow corporate services"/>
    <s v="HR Services &amp; Solutions"/>
    <s v=""/>
    <n v="1"/>
    <n v="35"/>
    <n v="0"/>
    <s v="99983500"/>
    <s v="00_Group"/>
    <x v="2"/>
    <s v="HR"/>
    <s v="HR - services &amp; solutions (until 2018 personnel marketing)"/>
    <m/>
    <m/>
    <x v="0"/>
    <s v="Cost center"/>
    <x v="32"/>
    <x v="25"/>
    <x v="3"/>
    <s v="Include in HGB Group allocation"/>
  </r>
  <r>
    <s v="99983600"/>
    <s v="4flow-internal"/>
    <x v="1"/>
    <x v="1"/>
    <s v="4flow corporate services"/>
    <s v="HR Quality Management &amp; Projects"/>
    <s v=""/>
    <n v="1"/>
    <n v="36"/>
    <n v="0"/>
    <s v="99983600"/>
    <s v="00_Group"/>
    <x v="2"/>
    <s v="HR"/>
    <s v="HR - quality management &amp; projects"/>
    <m/>
    <m/>
    <x v="0"/>
    <s v="Cost center"/>
    <x v="33"/>
    <x v="26"/>
    <x v="3"/>
    <s v="Include in HGB Group allocation"/>
  </r>
  <r>
    <s v="99983700"/>
    <s v="4flow-internal"/>
    <x v="1"/>
    <x v="1"/>
    <s v="4flow"/>
    <s v="HR Talent Acquisition"/>
    <s v=""/>
    <n v="1"/>
    <n v="37"/>
    <n v="0"/>
    <s v="99983700"/>
    <s v="00_Group"/>
    <x v="2"/>
    <s v="HR"/>
    <s v="HR - Employer Branding"/>
    <m/>
    <m/>
    <x v="0"/>
    <s v="Cost center"/>
    <x v="34"/>
    <x v="27"/>
    <x v="3"/>
    <s v="Include in HGB Group allocation"/>
  </r>
  <r>
    <s v="99983800"/>
    <s v="4flow-internal"/>
    <x v="1"/>
    <x v="1"/>
    <s v="4flow"/>
    <s v="HR Talent Acquisition"/>
    <s v=""/>
    <n v="1"/>
    <n v="38"/>
    <n v="0"/>
    <s v="99983800"/>
    <s v="00_Group"/>
    <x v="2"/>
    <s v="HR"/>
    <s v="HR - Diversity Equity &amp; Inclusion"/>
    <m/>
    <m/>
    <x v="0"/>
    <s v="Cost center"/>
    <x v="35"/>
    <x v="28"/>
    <x v="3"/>
    <s v="Include in HGB Group allocation"/>
  </r>
  <r>
    <s v="99983900"/>
    <s v="4flow-internal"/>
    <x v="1"/>
    <x v="1"/>
    <s v="4flow"/>
    <s v="HR workday"/>
    <s v=""/>
    <n v="1"/>
    <n v="39"/>
    <n v="0"/>
    <s v="99983900"/>
    <s v="00_Group"/>
    <x v="2"/>
    <s v="HR"/>
    <s v="FANS / HR Software für 4flow (Selektion und Implementierung) "/>
    <m/>
    <m/>
    <x v="0"/>
    <s v="Cost center"/>
    <x v="36"/>
    <x v="29"/>
    <x v="3"/>
    <s v="Include in HGB Group allocation"/>
  </r>
  <r>
    <s v="99984029"/>
    <s v="4flow-internal"/>
    <x v="1"/>
    <x v="1"/>
    <s v="4flow consulting"/>
    <s v="general"/>
    <s v=""/>
    <n v="1"/>
    <n v="40"/>
    <n v="29"/>
    <s v="99984029"/>
    <s v="00_Group"/>
    <x v="0"/>
    <s v="4c - Europe"/>
    <s v="educational training - 4flow consulting"/>
    <m/>
    <m/>
    <x v="0"/>
    <s v="Cost center"/>
    <x v="37"/>
    <x v="30"/>
    <x v="3"/>
    <s v="Exclude in HGB Group allocation"/>
  </r>
  <r>
    <s v="99984049"/>
    <s v="4flow-internal"/>
    <x v="1"/>
    <x v="1"/>
    <s v="4flow management"/>
    <s v=""/>
    <s v=""/>
    <n v="1"/>
    <n v="80"/>
    <n v="49"/>
    <s v="99984049"/>
    <s v="00_Group"/>
    <x v="1"/>
    <s v="4flow management internal"/>
    <s v="educational training - 4flow management"/>
    <m/>
    <m/>
    <x v="0"/>
    <s v="Cost center"/>
    <x v="38"/>
    <x v="31"/>
    <x v="3"/>
    <s v="Include in HGB Group allocation"/>
  </r>
  <r>
    <s v="99984059"/>
    <s v="4flow-internal"/>
    <x v="1"/>
    <x v="1"/>
    <s v="4flow research"/>
    <s v="Training"/>
    <s v=""/>
    <n v="1"/>
    <n v="40"/>
    <n v="59"/>
    <s v="99984059"/>
    <s v="00_Group"/>
    <x v="3"/>
    <m/>
    <s v="educational training - 4flow research"/>
    <m/>
    <m/>
    <x v="0"/>
    <s v="Cost center"/>
    <x v="39"/>
    <x v="32"/>
    <x v="3"/>
    <s v="Exclude in HGB Group allocation"/>
  </r>
  <r>
    <s v="99984100"/>
    <s v="4flow-internal"/>
    <x v="1"/>
    <x v="1"/>
    <s v="4flow corporate services"/>
    <s v="Workday"/>
    <s v=""/>
    <n v="1"/>
    <n v="41"/>
    <n v="0"/>
    <n v="99984100"/>
    <s v="00_Group"/>
    <x v="2"/>
    <s v="Workday"/>
    <s v="Workday"/>
    <m/>
    <m/>
    <x v="0"/>
    <s v="Cost center"/>
    <x v="40"/>
    <x v="33"/>
    <x v="3"/>
    <s v="Include in HGB Group allocation"/>
  </r>
  <r>
    <s v="99984200"/>
    <s v="4flow-internal"/>
    <x v="1"/>
    <x v="1"/>
    <s v="4flow"/>
    <s v="Global Standards"/>
    <s v=""/>
    <n v="1"/>
    <n v="42"/>
    <n v="0"/>
    <n v="99984200"/>
    <s v="00_Group"/>
    <x v="2"/>
    <s v="HR"/>
    <s v="Global Standards"/>
    <m/>
    <m/>
    <x v="0"/>
    <s v="Cost center"/>
    <x v="41"/>
    <x v="34"/>
    <x v="3"/>
    <s v="Include in HGB Group allocation"/>
  </r>
  <r>
    <s v="99985000"/>
    <s v="4flow-internal"/>
    <x v="1"/>
    <x v="1"/>
    <s v="4flow corporate services"/>
    <m/>
    <s v=""/>
    <n v="1"/>
    <n v="50"/>
    <n v="0"/>
    <s v="99985000"/>
    <s v="00_Group"/>
    <x v="2"/>
    <s v="Finance"/>
    <s v="finance - 4flow (incl. cost accounting, reporting, financial advice)"/>
    <m/>
    <m/>
    <x v="0"/>
    <s v="Cost center"/>
    <x v="42"/>
    <x v="35"/>
    <x v="3"/>
    <s v="Include in HGB Group allocation"/>
  </r>
  <r>
    <s v="99985109"/>
    <s v="4flow-internal"/>
    <x v="1"/>
    <x v="1"/>
    <s v="4flow corporate services"/>
    <m/>
    <s v=""/>
    <n v="1"/>
    <n v="50"/>
    <n v="0"/>
    <s v="99985109"/>
    <s v="00_Group"/>
    <x v="2"/>
    <s v="Finance"/>
    <s v="finance - company (incl. accounting, financial auditor, tax advisor)"/>
    <m/>
    <m/>
    <x v="0"/>
    <s v="Cost center"/>
    <x v="42"/>
    <x v="35"/>
    <x v="3"/>
    <s v="Exclude in HGB Group allocation"/>
  </r>
  <r>
    <s v="99985200"/>
    <s v="4flow-internal"/>
    <x v="1"/>
    <x v="1"/>
    <s v="4flow corporate services"/>
    <m/>
    <s v=""/>
    <n v="1"/>
    <n v="52"/>
    <n v="0"/>
    <s v="99985200"/>
    <s v="00_Group"/>
    <x v="2"/>
    <s v="Controlling"/>
    <s v="controlling - 4flow"/>
    <m/>
    <m/>
    <x v="0"/>
    <s v="Cost center"/>
    <x v="43"/>
    <x v="36"/>
    <x v="3"/>
    <s v="Include in HGB Group allocation"/>
  </r>
  <r>
    <s v="99985209"/>
    <s v="4flow-internal"/>
    <x v="1"/>
    <x v="1"/>
    <s v="4flow corporate services"/>
    <m/>
    <s v=""/>
    <n v="1"/>
    <n v="52"/>
    <n v="0"/>
    <s v="99985209"/>
    <s v="00_Group"/>
    <x v="2"/>
    <s v="Controlling"/>
    <s v="controlling - company"/>
    <m/>
    <m/>
    <x v="0"/>
    <s v="Cost center"/>
    <x v="43"/>
    <x v="36"/>
    <x v="3"/>
    <s v="Exclude in HGB Group allocation"/>
  </r>
  <r>
    <s v="99986000"/>
    <s v="4flow-internal"/>
    <x v="1"/>
    <x v="1"/>
    <s v="4flow corporate services"/>
    <m/>
    <s v=""/>
    <n v="1"/>
    <n v="60"/>
    <n v="0"/>
    <s v="99986000"/>
    <s v="00_Group"/>
    <x v="2"/>
    <s v="IT Services"/>
    <s v="it - 4flow"/>
    <m/>
    <m/>
    <x v="0"/>
    <s v="Cost center"/>
    <x v="44"/>
    <x v="37"/>
    <x v="3"/>
    <s v="Include in HGB Group allocation"/>
  </r>
  <r>
    <s v="99986100"/>
    <s v="4flow-internal"/>
    <x v="1"/>
    <x v="1"/>
    <s v="4flow corporate services"/>
    <m/>
    <s v=""/>
    <n v="1"/>
    <n v="61"/>
    <n v="0"/>
    <s v="99986100"/>
    <s v="00_Group"/>
    <x v="2"/>
    <s v="Compliance"/>
    <s v="Compliance - data protection &amp; ISO 27001"/>
    <m/>
    <m/>
    <x v="0"/>
    <s v="Cost center"/>
    <x v="45"/>
    <x v="38"/>
    <x v="3"/>
    <s v="Include in HGB Group allocation"/>
  </r>
  <r>
    <s v="99986200"/>
    <s v="4flow-internal"/>
    <x v="1"/>
    <x v="1"/>
    <s v="4flow corporate services"/>
    <m/>
    <s v=""/>
    <n v="1"/>
    <n v="62"/>
    <n v="0"/>
    <s v="99986200"/>
    <s v="00_Group"/>
    <x v="2"/>
    <s v="IT Services"/>
    <s v="IT-Services Infrastructure"/>
    <m/>
    <m/>
    <x v="0"/>
    <s v="Cost center"/>
    <x v="46"/>
    <x v="39"/>
    <x v="3"/>
    <s v="Include in HGB Group allocation"/>
  </r>
  <r>
    <s v="99986300"/>
    <s v="4flow-internal"/>
    <x v="1"/>
    <x v="1"/>
    <s v="4flow corporate services"/>
    <m/>
    <s v=""/>
    <n v="1"/>
    <n v="63"/>
    <n v="0"/>
    <s v="99986300"/>
    <s v="00_Group"/>
    <x v="2"/>
    <s v="IT Services"/>
    <s v="IT-Services Support"/>
    <m/>
    <m/>
    <x v="0"/>
    <s v="Cost center"/>
    <x v="47"/>
    <x v="40"/>
    <x v="3"/>
    <s v="Include in HGB Group allocation"/>
  </r>
  <r>
    <s v="99987000"/>
    <s v="4flow-internal"/>
    <x v="1"/>
    <x v="1"/>
    <s v="4flow corporate services"/>
    <m/>
    <s v=""/>
    <n v="1"/>
    <n v="70"/>
    <n v="0"/>
    <s v="99987000"/>
    <s v="00_Group"/>
    <x v="2"/>
    <s v="Administration"/>
    <s v="administration - 4flow"/>
    <m/>
    <m/>
    <x v="0"/>
    <s v="Cost center"/>
    <x v="48"/>
    <x v="41"/>
    <x v="3"/>
    <s v="Include in HGB Group allocation"/>
  </r>
  <r>
    <s v="99987109"/>
    <s v="4flow-internal"/>
    <x v="1"/>
    <x v="1"/>
    <s v="4flow corporate services"/>
    <m/>
    <s v=""/>
    <n v="1"/>
    <n v="70"/>
    <n v="0"/>
    <s v="99987109"/>
    <s v="00_Group"/>
    <x v="2"/>
    <s v="Administration"/>
    <s v="administration - company"/>
    <m/>
    <m/>
    <x v="0"/>
    <s v="Cost center"/>
    <x v="48"/>
    <x v="41"/>
    <x v="3"/>
    <s v="Exclude in HGB Group allocation"/>
  </r>
  <r>
    <s v="99987200"/>
    <s v="4flow-internal"/>
    <x v="1"/>
    <x v="1"/>
    <s v="4flow company"/>
    <s v="Corporate Development"/>
    <s v=""/>
    <n v="1"/>
    <n v="72"/>
    <n v="0"/>
    <s v="99987200"/>
    <s v="00_Group"/>
    <x v="2"/>
    <s v="Corporate Development"/>
    <s v="4flow corporate development"/>
    <m/>
    <m/>
    <x v="0"/>
    <s v="Cost center"/>
    <x v="49"/>
    <x v="42"/>
    <x v="3"/>
    <s v="Exclude in HGB Group allocation"/>
  </r>
  <r>
    <s v="99987209"/>
    <s v="4flow-internal"/>
    <x v="1"/>
    <x v="1"/>
    <s v="4flow company"/>
    <s v="Managing Director"/>
    <s v=""/>
    <n v="1"/>
    <n v="72"/>
    <n v="9"/>
    <s v="99987209"/>
    <s v="00_Group"/>
    <x v="2"/>
    <s v="MB &amp; MD"/>
    <s v="management of company (within the company)"/>
    <m/>
    <m/>
    <x v="0"/>
    <s v="Cost center"/>
    <x v="50"/>
    <x v="43"/>
    <x v="3"/>
    <s v="Exclude in HGB Group allocation"/>
  </r>
  <r>
    <s v="99987300"/>
    <s v="4flow-internal"/>
    <x v="1"/>
    <x v="1"/>
    <s v="4flow management board"/>
    <s v="Management Board"/>
    <s v=""/>
    <n v="1"/>
    <n v="73"/>
    <n v="0"/>
    <s v="99987300"/>
    <s v="00_Group"/>
    <x v="2"/>
    <s v="MB &amp; MD"/>
    <s v="management of 4flow Group (management board only) – cross charged"/>
    <m/>
    <m/>
    <x v="0"/>
    <s v="Cost center"/>
    <x v="51"/>
    <x v="44"/>
    <x v="3"/>
    <s v="Exclude in HGB Group allocation"/>
  </r>
  <r>
    <s v="99987309"/>
    <s v="4flow-internal"/>
    <x v="1"/>
    <x v="1"/>
    <s v="4flow management board"/>
    <s v="Management Board"/>
    <s v=""/>
    <n v="1"/>
    <n v="73"/>
    <n v="0"/>
    <s v="99987309"/>
    <s v="00_Group"/>
    <x v="2"/>
    <s v="MB &amp; MD"/>
    <s v="management of 4flow (management board only)"/>
    <m/>
    <m/>
    <x v="0"/>
    <s v="Cost center"/>
    <x v="51"/>
    <x v="44"/>
    <x v="3"/>
    <s v="Exclude in HGB Group allocation"/>
  </r>
  <r>
    <s v="99987400"/>
    <s v="4flow-internal"/>
    <x v="1"/>
    <x v="1"/>
    <s v="4flow company"/>
    <s v="Legal"/>
    <s v=""/>
    <n v="1"/>
    <n v="74"/>
    <n v="0"/>
    <s v="99987400"/>
    <s v="00_Group"/>
    <x v="2"/>
    <s v="Legal"/>
    <s v="legal matters – cross charged"/>
    <m/>
    <m/>
    <x v="0"/>
    <s v="Cost center"/>
    <x v="52"/>
    <x v="45"/>
    <x v="3"/>
    <s v="Include in HGB Group allocation"/>
  </r>
  <r>
    <s v="99987500"/>
    <s v="4flow-internal"/>
    <x v="1"/>
    <x v="1"/>
    <s v="4flow company"/>
    <s v="New Work"/>
    <s v=""/>
    <n v="1"/>
    <n v="75"/>
    <n v="0"/>
    <s v="99987500"/>
    <s v="00_Group"/>
    <x v="2"/>
    <s v="New Work"/>
    <s v="New Work"/>
    <m/>
    <m/>
    <x v="0"/>
    <s v="Cost center"/>
    <x v="53"/>
    <x v="46"/>
    <x v="3"/>
    <s v="Include in HGB Group allocation"/>
  </r>
  <r>
    <s v="99987600"/>
    <s v="4flow-internal"/>
    <x v="1"/>
    <x v="1"/>
    <s v="4flow company"/>
    <s v="Corporate Social Responsibility"/>
    <s v=""/>
    <n v="1"/>
    <n v="76"/>
    <n v="0"/>
    <s v="99987600"/>
    <s v="00_Group"/>
    <x v="2"/>
    <s v="Other"/>
    <s v="Corporate Social Responsibility"/>
    <m/>
    <m/>
    <x v="0"/>
    <s v="Cost center"/>
    <x v="54"/>
    <x v="47"/>
    <x v="3"/>
    <s v="Include in HGB Group allocation"/>
  </r>
  <r>
    <s v="99987700"/>
    <s v="4flow-internal"/>
    <x v="1"/>
    <x v="1"/>
    <s v="4flow corporate services"/>
    <s v="Corporate Projects"/>
    <s v=""/>
    <n v="1"/>
    <n v="77"/>
    <n v="0"/>
    <s v="99987700"/>
    <s v="00_Group"/>
    <x v="2"/>
    <s v="Corporate Projects"/>
    <s v="Corporate Projects"/>
    <m/>
    <m/>
    <x v="0"/>
    <s v="Cost center"/>
    <x v="55"/>
    <x v="48"/>
    <x v="3"/>
    <s v="Include in HGB Group allocation"/>
  </r>
  <r>
    <s v="99987800"/>
    <s v="4flow-internal"/>
    <x v="1"/>
    <x v="1"/>
    <s v="4flow company"/>
    <s v="New Work"/>
    <s v=""/>
    <n v="1"/>
    <n v="75"/>
    <n v="0"/>
    <s v="99987800"/>
    <s v="00_Group"/>
    <x v="2"/>
    <s v="New Work"/>
    <s v="New Work Berlin"/>
    <m/>
    <m/>
    <x v="0"/>
    <s v="Cost center"/>
    <x v="53"/>
    <x v="46"/>
    <x v="3"/>
    <s v="Include in HGB Group allocation"/>
  </r>
  <r>
    <s v="99987919"/>
    <s v="4flow-internal"/>
    <x v="1"/>
    <x v="1"/>
    <s v="4flow software"/>
    <m/>
    <s v=""/>
    <n v="1"/>
    <n v="79"/>
    <n v="19"/>
    <s v="99987919"/>
    <s v="00_Group"/>
    <x v="4"/>
    <s v="PG Central function w/o E2E"/>
    <s v="4s_general_Running_IT Systems_Further providers"/>
    <m/>
    <m/>
    <x v="0"/>
    <s v="Cost center"/>
    <x v="56"/>
    <x v="49"/>
    <x v="4"/>
    <s v="Include in HGB Group allocation"/>
  </r>
  <r>
    <s v="99988000"/>
    <s v="4flow-internal"/>
    <x v="1"/>
    <x v="1"/>
    <s v="4flow corporate services"/>
    <s v="Corporate Services"/>
    <s v=""/>
    <n v="1"/>
    <n v="80"/>
    <n v="0"/>
    <s v="99988000"/>
    <s v="00_Group"/>
    <x v="2"/>
    <s v="Other"/>
    <s v="Corporate Services - General"/>
    <m/>
    <m/>
    <x v="0"/>
    <s v="Cost center"/>
    <x v="57"/>
    <x v="50"/>
    <x v="3"/>
    <s v="Include in HGB Group allocation"/>
  </r>
  <r>
    <s v="99988019"/>
    <s v="4flow-internal"/>
    <x v="1"/>
    <x v="3"/>
    <s v="4flow software"/>
    <s v=""/>
    <s v=""/>
    <n v="1"/>
    <n v="80"/>
    <n v="19"/>
    <s v="99988019"/>
    <s v="00_Group"/>
    <x v="4"/>
    <s v="PG Central function w/o E2E"/>
    <s v="4s_general"/>
    <m/>
    <m/>
    <x v="0"/>
    <s v="Cost center"/>
    <x v="58"/>
    <x v="51"/>
    <x v="4"/>
    <s v="Include in HGB Group allocation"/>
  </r>
  <r>
    <s v="99988019"/>
    <s v="4flow-internal"/>
    <x v="1"/>
    <x v="3"/>
    <s v="4flow software"/>
    <s v=""/>
    <s v=""/>
    <n v="1"/>
    <n v="81"/>
    <n v="19"/>
    <s v="99988019"/>
    <s v="00_Group"/>
    <x v="4"/>
    <s v="PG Central function"/>
    <s v="4s_general"/>
    <m/>
    <m/>
    <x v="0"/>
    <s v="Cost center"/>
    <x v="59"/>
    <x v="51"/>
    <x v="4"/>
    <s v="Include in HGB Group allocation"/>
  </r>
  <r>
    <s v="99988029"/>
    <s v="4flow-internal"/>
    <x v="1"/>
    <x v="3"/>
    <s v="4flow consulting"/>
    <s v="general"/>
    <s v=""/>
    <n v="1"/>
    <n v="80"/>
    <n v="29"/>
    <s v="99988029"/>
    <s v="00_Group"/>
    <x v="0"/>
    <s v="4c - Europe"/>
    <s v="4flow consulting in general - other internal activities"/>
    <m/>
    <m/>
    <x v="0"/>
    <s v="Cost center"/>
    <x v="60"/>
    <x v="52"/>
    <x v="3"/>
    <s v="Include in HGB Group allocation"/>
  </r>
  <r>
    <s v="99988049"/>
    <s v="4flow-internal"/>
    <x v="1"/>
    <x v="3"/>
    <s v="4flow management"/>
    <s v=""/>
    <s v=""/>
    <n v="1"/>
    <n v="80"/>
    <n v="49"/>
    <s v="99988049"/>
    <s v="00_Group"/>
    <x v="1"/>
    <s v="4flow management internal"/>
    <s v="4flow management - other internal activities"/>
    <m/>
    <m/>
    <x v="0"/>
    <s v="Cost center"/>
    <x v="38"/>
    <x v="31"/>
    <x v="3"/>
    <s v="Include in HGB Group allocation"/>
  </r>
  <r>
    <s v="99988059"/>
    <s v="4flow-internal"/>
    <x v="1"/>
    <x v="4"/>
    <s v="4flow research"/>
    <s v="Internal"/>
    <s v=""/>
    <n v="1"/>
    <n v="80"/>
    <n v="59"/>
    <s v="99988059"/>
    <s v="00_Group"/>
    <x v="3"/>
    <m/>
    <s v="4flow research - other internal activities"/>
    <m/>
    <m/>
    <x v="0"/>
    <s v="Cost center"/>
    <x v="61"/>
    <x v="53"/>
    <x v="3"/>
    <s v="Include in HGB Group allocation"/>
  </r>
  <r>
    <s v="99988129"/>
    <s v="4flow-internal"/>
    <x v="1"/>
    <x v="5"/>
    <s v="4flow consulting"/>
    <s v="general"/>
    <s v=""/>
    <n v="1"/>
    <n v="81"/>
    <n v="29"/>
    <s v="99988129"/>
    <s v="00_Group"/>
    <x v="0"/>
    <s v="BU drive"/>
    <s v="4flow consulting BU drive - other internal activities"/>
    <m/>
    <m/>
    <x v="0"/>
    <s v="Cost center"/>
    <x v="62"/>
    <x v="54"/>
    <x v="3"/>
    <s v="Include in HGB Group allocation"/>
  </r>
  <r>
    <s v="99988149"/>
    <s v="4flow-internal"/>
    <x v="1"/>
    <x v="2"/>
    <s v="4flow management"/>
    <s v=""/>
    <s v=""/>
    <n v="1"/>
    <n v="81"/>
    <n v="49"/>
    <s v="99988149"/>
    <s v="00_Group"/>
    <x v="1"/>
    <s v="BG dynamic"/>
    <s v="4flow management BG dynamic - other internal activities"/>
    <m/>
    <m/>
    <x v="0"/>
    <s v="Cost center"/>
    <x v="63"/>
    <x v="55"/>
    <x v="3"/>
    <s v="Include in HGB Group allocation"/>
  </r>
  <r>
    <s v="99988229"/>
    <s v="4flow-internal"/>
    <x v="1"/>
    <x v="5"/>
    <s v="4flow consulting"/>
    <s v="general"/>
    <s v=""/>
    <n v="1"/>
    <n v="82"/>
    <n v="29"/>
    <s v="99988229"/>
    <s v="00_Group"/>
    <x v="0"/>
    <s v="BU groove"/>
    <s v="4flow consulting BU groove - other internal activities"/>
    <m/>
    <m/>
    <x v="0"/>
    <s v="Cost center"/>
    <x v="64"/>
    <x v="56"/>
    <x v="3"/>
    <s v="Include in HGB Group allocation"/>
  </r>
  <r>
    <s v="99988249"/>
    <s v="4flow-internal"/>
    <x v="1"/>
    <x v="2"/>
    <s v="4flow management"/>
    <s v=""/>
    <s v=""/>
    <n v="1"/>
    <n v="82"/>
    <n v="49"/>
    <s v="99988249"/>
    <s v="00_Group"/>
    <x v="1"/>
    <s v="BG infinite"/>
    <s v="4flow management BG infinite - other internal activities"/>
    <m/>
    <m/>
    <x v="0"/>
    <s v="Cost center"/>
    <x v="65"/>
    <x v="57"/>
    <x v="3"/>
    <s v="Include in HGB Group allocation"/>
  </r>
  <r>
    <s v="99988349"/>
    <s v="4flow-internal"/>
    <x v="1"/>
    <x v="2"/>
    <s v="4flow management"/>
    <s v=""/>
    <s v=""/>
    <n v="1"/>
    <n v="83"/>
    <n v="49"/>
    <s v="99988349"/>
    <s v="00_Group"/>
    <x v="1"/>
    <s v="BG more"/>
    <s v="4flow management BG more - other internal activities"/>
    <m/>
    <m/>
    <x v="0"/>
    <s v="Cost center"/>
    <x v="66"/>
    <x v="58"/>
    <x v="3"/>
    <s v="Include in HGB Group allocation"/>
  </r>
  <r>
    <s v="99988429"/>
    <s v="4flow-internal"/>
    <x v="1"/>
    <x v="5"/>
    <s v="4flow consulting"/>
    <s v="general"/>
    <s v=""/>
    <n v="1"/>
    <n v="84"/>
    <n v="29"/>
    <s v="99988429"/>
    <s v="00_Group"/>
    <x v="0"/>
    <s v="BU rise"/>
    <s v="4flow consulting BU rise - other internal activities"/>
    <m/>
    <m/>
    <x v="0"/>
    <s v="Cost center"/>
    <x v="67"/>
    <x v="59"/>
    <x v="3"/>
    <s v="Include in HGB Group allocation"/>
  </r>
  <r>
    <s v="99988449"/>
    <s v="4flow-internal"/>
    <x v="1"/>
    <x v="3"/>
    <s v="4flow management"/>
    <s v=""/>
    <s v=""/>
    <n v="1"/>
    <n v="84"/>
    <n v="49"/>
    <s v="99988449"/>
    <s v="00_Group"/>
    <x v="1"/>
    <s v="4flow management China domestic"/>
    <s v="4flow management China - other internal activities"/>
    <m/>
    <m/>
    <x v="0"/>
    <s v="Cost center"/>
    <x v="68"/>
    <x v="60"/>
    <x v="3"/>
    <s v="Include in HGB Group allocation"/>
  </r>
  <r>
    <s v="99988529"/>
    <s v="4flow-internal"/>
    <x v="1"/>
    <x v="5"/>
    <s v="4flow consulting"/>
    <s v="general"/>
    <s v=""/>
    <n v="1"/>
    <n v="85"/>
    <n v="29"/>
    <s v="99988529"/>
    <s v="00_Group"/>
    <x v="0"/>
    <s v="BU boost"/>
    <s v="4flow consulting BU boost - other internal activities"/>
    <m/>
    <m/>
    <x v="0"/>
    <s v="Cost center"/>
    <x v="69"/>
    <x v="61"/>
    <x v="3"/>
    <s v="Include in HGB Group allocation"/>
  </r>
  <r>
    <s v="99988549"/>
    <s v="4flow-internal"/>
    <x v="1"/>
    <x v="3"/>
    <s v="4flow management"/>
    <s v=""/>
    <s v=""/>
    <n v="1"/>
    <n v="85"/>
    <n v="49"/>
    <s v="99988549"/>
    <s v="00_Group"/>
    <x v="1"/>
    <s v="4flow management North America domestic"/>
    <s v="4flow management North America - other internal activities"/>
    <m/>
    <m/>
    <x v="0"/>
    <s v="Cost center"/>
    <x v="70"/>
    <x v="62"/>
    <x v="3"/>
    <s v="Include in HGB Group allocation"/>
  </r>
  <r>
    <s v="99988619"/>
    <s v="4flow-internal"/>
    <x v="1"/>
    <x v="1"/>
    <s v="4flow software"/>
    <m/>
    <s v=""/>
    <n v="1"/>
    <n v="86"/>
    <n v="19"/>
    <s v="99988619"/>
    <s v="00_Group"/>
    <x v="4"/>
    <s v="PG Central function w/o E2E"/>
    <s v="4s_general_Running_IT Systems_internal test environments"/>
    <m/>
    <m/>
    <x v="0"/>
    <s v="Cost center"/>
    <x v="71"/>
    <x v="63"/>
    <x v="4"/>
    <s v="Include in HGB Group allocation"/>
  </r>
  <r>
    <s v="99988629"/>
    <s v="4flow-internal"/>
    <x v="1"/>
    <x v="3"/>
    <s v="4flow consulting"/>
    <s v="general"/>
    <s v=""/>
    <n v="1"/>
    <n v="86"/>
    <n v="29"/>
    <s v="99988629"/>
    <s v="00_Group"/>
    <x v="0"/>
    <s v="4c - Europe"/>
    <s v="4flow consulting in general - mandated activities"/>
    <m/>
    <m/>
    <x v="0"/>
    <s v="Cost center"/>
    <x v="72"/>
    <x v="64"/>
    <x v="3"/>
    <s v="Include in HGB Group allocation"/>
  </r>
  <r>
    <s v="99988649"/>
    <s v="4flow-internal"/>
    <x v="1"/>
    <x v="3"/>
    <s v="4flow management"/>
    <s v=""/>
    <s v=""/>
    <n v="1"/>
    <n v="86"/>
    <n v="49"/>
    <s v="99988649"/>
    <s v="00_Group"/>
    <x v="1"/>
    <s v="4flow management internal"/>
    <s v="4flow management - Strategy &amp; Innovation"/>
    <m/>
    <m/>
    <x v="0"/>
    <s v="Cost center"/>
    <x v="73"/>
    <x v="65"/>
    <x v="3"/>
    <s v="Include in HGB Group allocation"/>
  </r>
  <r>
    <s v="99988719"/>
    <s v="4flow-internal"/>
    <x v="1"/>
    <x v="1"/>
    <s v="4flow software"/>
    <m/>
    <s v=""/>
    <n v="1"/>
    <n v="87"/>
    <n v="19"/>
    <s v="99988719"/>
    <s v="00_Group"/>
    <x v="4"/>
    <s v="PG Central function w/o E2E"/>
    <s v="4s_general_Running_IT Systems_Common infrastructure"/>
    <m/>
    <m/>
    <x v="0"/>
    <s v="Cost center"/>
    <x v="74"/>
    <x v="66"/>
    <x v="4"/>
    <s v="Include in HGB Group allocation"/>
  </r>
  <r>
    <s v="99988729"/>
    <s v="4flow-internal"/>
    <x v="1"/>
    <x v="5"/>
    <s v="4flow consulting"/>
    <s v="general"/>
    <s v=""/>
    <n v="1"/>
    <n v="87"/>
    <n v="29"/>
    <s v="99988729"/>
    <s v="00_Group"/>
    <x v="0"/>
    <s v="BU buzz"/>
    <s v="4flow consulting BU buzz - other internal activities"/>
    <m/>
    <m/>
    <x v="0"/>
    <s v="Cost center"/>
    <x v="75"/>
    <x v="67"/>
    <x v="3"/>
    <s v="Include in HGB Group allocation"/>
  </r>
  <r>
    <s v="99988819"/>
    <s v="4flow-internal"/>
    <x v="1"/>
    <x v="1"/>
    <s v="4flow software"/>
    <m/>
    <s v=""/>
    <n v="1"/>
    <n v="88"/>
    <n v="19"/>
    <s v="99988819"/>
    <s v="00_Group"/>
    <x v="4"/>
    <s v="PG Central function w/o E2E"/>
    <s v="4s_general_Running_IT Systems_4flow vista terminal servers"/>
    <m/>
    <m/>
    <x v="0"/>
    <s v="Cost center"/>
    <x v="76"/>
    <x v="68"/>
    <x v="4"/>
    <s v="Include in HGB Group allocation"/>
  </r>
  <r>
    <s v="99988829"/>
    <s v="4flow-internal"/>
    <x v="1"/>
    <x v="2"/>
    <s v="4flow consulting"/>
    <s v="digital"/>
    <s v=""/>
    <n v="1"/>
    <n v="88"/>
    <n v="29"/>
    <s v="99988829"/>
    <s v="00_Group"/>
    <x v="0"/>
    <s v="4c - global"/>
    <s v="BG SAP - other internal activities"/>
    <m/>
    <m/>
    <x v="0"/>
    <s v="Cost center"/>
    <x v="77"/>
    <x v="69"/>
    <x v="5"/>
    <s v="Include in HGB Group allocation"/>
  </r>
  <r>
    <s v="99988929"/>
    <s v="4flow-internal"/>
    <x v="1"/>
    <x v="6"/>
    <s v="4flow consulting"/>
    <s v="general"/>
    <s v=""/>
    <n v="1"/>
    <n v="89"/>
    <n v="29"/>
    <s v="99988929"/>
    <s v="00_Group"/>
    <x v="0"/>
    <s v="4c - global"/>
    <s v="4flow consulting - Project Shadowing"/>
    <m/>
    <m/>
    <x v="0"/>
    <s v="Cost center"/>
    <x v="78"/>
    <x v="70"/>
    <x v="3"/>
    <s v="Include in HGB Group allocation"/>
  </r>
  <r>
    <s v="99989029"/>
    <s v="4flow-internal"/>
    <x v="1"/>
    <x v="5"/>
    <s v="4flow consulting"/>
    <s v="general"/>
    <s v=""/>
    <n v="1"/>
    <n v="90"/>
    <n v="29"/>
    <s v="99989029"/>
    <s v="00_Group"/>
    <x v="0"/>
    <s v="BU wave"/>
    <s v="4flow consulting BU wave - other internal activities"/>
    <m/>
    <m/>
    <x v="0"/>
    <s v="Cost center"/>
    <x v="79"/>
    <x v="71"/>
    <x v="3"/>
    <s v="Include in HGB Group allocation"/>
  </r>
  <r>
    <s v="99989049"/>
    <s v="4flow-internal"/>
    <x v="1"/>
    <x v="7"/>
    <m/>
    <s v="Sales"/>
    <s v=""/>
    <n v="1"/>
    <n v="90"/>
    <n v="49"/>
    <s v="99989049"/>
    <s v="00_Group"/>
    <x v="1"/>
    <s v="4flow management internal"/>
    <s v="presales 4flow management"/>
    <m/>
    <m/>
    <x v="0"/>
    <s v="Cost center"/>
    <x v="80"/>
    <x v="72"/>
    <x v="3"/>
    <s v="Include in HGB Group allocation"/>
  </r>
  <r>
    <s v="99989129"/>
    <s v="4flow-internal"/>
    <x v="1"/>
    <x v="5"/>
    <m/>
    <m/>
    <s v=""/>
    <n v="1"/>
    <n v="91"/>
    <n v="29"/>
    <s v="99989129"/>
    <s v="00_Group"/>
    <x v="0"/>
    <s v="BU boost"/>
    <s v="4flow consulting BU boost - sales"/>
    <m/>
    <m/>
    <x v="0"/>
    <s v="Cost center"/>
    <x v="81"/>
    <x v="73"/>
    <x v="3"/>
    <s v="Include in HGB Group allocation"/>
  </r>
  <r>
    <s v="99989149"/>
    <s v="4flow-internal"/>
    <x v="1"/>
    <x v="2"/>
    <m/>
    <s v="Sales"/>
    <s v=""/>
    <n v="1"/>
    <n v="94"/>
    <n v="49"/>
    <s v="99989149"/>
    <s v="00_Group"/>
    <x v="1"/>
    <s v="BG dynamic"/>
    <s v="presales BG dynamic"/>
    <m/>
    <m/>
    <x v="0"/>
    <s v="Cost center"/>
    <x v="82"/>
    <x v="74"/>
    <x v="3"/>
    <s v="Include in HGB Group allocation"/>
  </r>
  <r>
    <s v="99989159"/>
    <s v="4flow-internal"/>
    <x v="1"/>
    <x v="4"/>
    <s v="4flow research"/>
    <s v="Knowledge Service"/>
    <s v=""/>
    <n v="1"/>
    <n v="91"/>
    <n v="59"/>
    <s v="99989159"/>
    <s v="00_Group"/>
    <x v="3"/>
    <m/>
    <s v="Knowledge as a Service"/>
    <m/>
    <m/>
    <x v="0"/>
    <s v="Cost center"/>
    <x v="83"/>
    <x v="75"/>
    <x v="3"/>
    <s v="Include in HGB Group allocation"/>
  </r>
  <r>
    <s v="99989229"/>
    <s v="4flow-internal"/>
    <x v="1"/>
    <x v="5"/>
    <m/>
    <m/>
    <s v=""/>
    <n v="1"/>
    <n v="92"/>
    <n v="29"/>
    <s v="99989229"/>
    <s v="00_Group"/>
    <x v="0"/>
    <s v="BU buzz"/>
    <s v="4flow consulting BU buzz - sales"/>
    <m/>
    <m/>
    <x v="0"/>
    <s v="Cost center"/>
    <x v="84"/>
    <x v="76"/>
    <x v="3"/>
    <s v="Include in HGB Group allocation"/>
  </r>
  <r>
    <s v="99989249"/>
    <s v="4flow-internal"/>
    <x v="1"/>
    <x v="2"/>
    <m/>
    <s v="Sales"/>
    <s v=""/>
    <n v="1"/>
    <n v="95"/>
    <n v="49"/>
    <s v="99989249"/>
    <s v="00_Group"/>
    <x v="1"/>
    <s v="BG infinite"/>
    <s v="presales BG infinite"/>
    <m/>
    <m/>
    <x v="0"/>
    <s v="Cost center"/>
    <x v="85"/>
    <x v="77"/>
    <x v="3"/>
    <s v="Include in HGB Group allocation"/>
  </r>
  <r>
    <s v="99989329"/>
    <s v="4flow-internal"/>
    <x v="1"/>
    <x v="5"/>
    <m/>
    <m/>
    <s v=""/>
    <n v="1"/>
    <n v="93"/>
    <n v="29"/>
    <s v="99989329"/>
    <s v="00_Group"/>
    <x v="0"/>
    <s v="BU drive"/>
    <s v="4flow consulting BU drive - sales"/>
    <m/>
    <m/>
    <x v="0"/>
    <s v="Cost center"/>
    <x v="86"/>
    <x v="78"/>
    <x v="3"/>
    <s v="Include in HGB Group allocation"/>
  </r>
  <r>
    <s v="99989349"/>
    <s v="4flow-internal"/>
    <x v="1"/>
    <x v="2"/>
    <m/>
    <s v="Sales"/>
    <s v=""/>
    <n v="1"/>
    <n v="96"/>
    <n v="49"/>
    <s v="99989349"/>
    <s v="00_Group"/>
    <x v="1"/>
    <s v="BG more"/>
    <s v="presales BG more"/>
    <m/>
    <m/>
    <x v="0"/>
    <s v="Cost center"/>
    <x v="87"/>
    <x v="79"/>
    <x v="3"/>
    <s v="Include in HGB Group allocation"/>
  </r>
  <r>
    <s v="99989359"/>
    <s v="4flow-internal"/>
    <x v="1"/>
    <x v="4"/>
    <s v="4flow research"/>
    <s v="Study"/>
    <s v=""/>
    <n v="1"/>
    <n v="93"/>
    <n v="59"/>
    <s v="99989359"/>
    <s v="00_Group"/>
    <x v="3"/>
    <m/>
    <s v="4flow study Transportintensity"/>
    <m/>
    <m/>
    <x v="0"/>
    <s v="Cost center"/>
    <x v="88"/>
    <x v="80"/>
    <x v="3"/>
    <s v="Include in HGB Group allocation"/>
  </r>
  <r>
    <s v="99989429"/>
    <s v="4flow-internal"/>
    <x v="1"/>
    <x v="5"/>
    <m/>
    <m/>
    <s v=""/>
    <n v="1"/>
    <n v="94"/>
    <n v="29"/>
    <s v="99989429"/>
    <s v="00_Group"/>
    <x v="0"/>
    <s v="BU groove"/>
    <s v="4flow consulting BU groove - sales"/>
    <m/>
    <m/>
    <x v="0"/>
    <s v="Cost center"/>
    <x v="89"/>
    <x v="81"/>
    <x v="3"/>
    <s v="Include in HGB Group allocation"/>
  </r>
  <r>
    <s v="99989529"/>
    <s v="4flow-internal"/>
    <x v="1"/>
    <x v="5"/>
    <m/>
    <m/>
    <s v=""/>
    <n v="1"/>
    <n v="95"/>
    <n v="29"/>
    <s v="99989529"/>
    <s v="00_Group"/>
    <x v="0"/>
    <s v="BU rise"/>
    <s v="4flow consulting BU rise - sales"/>
    <m/>
    <m/>
    <x v="0"/>
    <s v="Cost center"/>
    <x v="90"/>
    <x v="82"/>
    <x v="3"/>
    <s v="Include in HGB Group allocation"/>
  </r>
  <r>
    <s v="99989559"/>
    <s v="4flow-internal"/>
    <x v="1"/>
    <x v="4"/>
    <s v="4flow research"/>
    <s v="Innovation"/>
    <s v=""/>
    <n v="1"/>
    <n v="95"/>
    <n v="59"/>
    <s v="99989559"/>
    <s v="00_Group"/>
    <x v="3"/>
    <m/>
    <s v="Innovation internal project"/>
    <m/>
    <m/>
    <x v="0"/>
    <s v="Cost center"/>
    <x v="91"/>
    <x v="83"/>
    <x v="3"/>
    <s v="Include in HGB Group allocation"/>
  </r>
  <r>
    <s v="99989629"/>
    <s v="4flow-internal"/>
    <x v="1"/>
    <x v="5"/>
    <m/>
    <m/>
    <s v=""/>
    <n v="1"/>
    <n v="96"/>
    <n v="29"/>
    <s v="99989629"/>
    <s v="00_Group"/>
    <x v="0"/>
    <s v="BU wave"/>
    <s v="4flow consulting BU wave - sales"/>
    <m/>
    <m/>
    <x v="0"/>
    <s v="Cost center"/>
    <x v="92"/>
    <x v="84"/>
    <x v="3"/>
    <s v="Include in HGB Group allocation"/>
  </r>
  <r>
    <s v="99989659"/>
    <s v="4flow-internal"/>
    <x v="1"/>
    <x v="4"/>
    <s v="4flow research"/>
    <s v="Knowledge Service"/>
    <s v=""/>
    <n v="1"/>
    <n v="96"/>
    <n v="59"/>
    <s v="99989659"/>
    <s v="00_Group"/>
    <x v="3"/>
    <m/>
    <s v="Knowledge as a Service for 4flow software"/>
    <m/>
    <m/>
    <x v="0"/>
    <s v="Cost center"/>
    <x v="93"/>
    <x v="85"/>
    <x v="3"/>
    <s v="Include in HGB Group allocation"/>
  </r>
  <r>
    <s v="99989759"/>
    <s v="4flow-internal"/>
    <x v="1"/>
    <x v="4"/>
    <s v="4flow research"/>
    <s v="Knowledge Service"/>
    <s v=""/>
    <n v="1"/>
    <n v="97"/>
    <n v="59"/>
    <s v="99989759"/>
    <s v="00_Group"/>
    <x v="3"/>
    <m/>
    <s v="Knowledge as a Service for 4flow consulting"/>
    <m/>
    <m/>
    <x v="0"/>
    <s v="Cost center"/>
    <x v="94"/>
    <x v="86"/>
    <x v="3"/>
    <s v="Include in HGB Group allocation"/>
  </r>
  <r>
    <s v="99989859"/>
    <s v="4flow-internal"/>
    <x v="1"/>
    <x v="4"/>
    <s v="4flow research"/>
    <s v="Knowledge Service"/>
    <s v=""/>
    <n v="1"/>
    <n v="98"/>
    <n v="59"/>
    <s v="99989859"/>
    <s v="00_Group"/>
    <x v="3"/>
    <m/>
    <s v="Knowledge as a Service for 4flow management"/>
    <m/>
    <m/>
    <x v="0"/>
    <s v="Cost center"/>
    <x v="95"/>
    <x v="87"/>
    <x v="3"/>
    <s v="Include in HGB Group allocation"/>
  </r>
  <r>
    <s v="99999999"/>
    <s v="4flow-internal"/>
    <x v="1"/>
    <x v="1"/>
    <s v="don't use!"/>
    <m/>
    <s v=""/>
    <n v="1"/>
    <n v="50"/>
    <n v="0"/>
    <s v="99999999"/>
    <s v="00_Group"/>
    <x v="2"/>
    <s v="Finance"/>
    <s v="Konzernumlage "/>
    <m/>
    <m/>
    <x v="0"/>
    <s v="Cost center"/>
    <x v="42"/>
    <x v="35"/>
    <x v="3"/>
    <s v="Exclude in HGB Group allocation"/>
  </r>
  <r>
    <s v="0"/>
    <s v="4flow-internal"/>
    <x v="1"/>
    <x v="8"/>
    <m/>
    <m/>
    <s v=""/>
    <n v="2"/>
    <n v="41"/>
    <n v="12"/>
    <m/>
    <s v="00_Group"/>
    <x v="4"/>
    <s v="PG 4flow vista - SC+"/>
    <m/>
    <m/>
    <m/>
    <x v="0"/>
    <s v="Cost center"/>
    <x v="96"/>
    <x v="88"/>
    <x v="4"/>
    <s v="Include in HGB Group allocation"/>
  </r>
  <r>
    <s v="0"/>
    <s v="4flow-internal"/>
    <x v="1"/>
    <x v="8"/>
    <s v="4flow software"/>
    <m/>
    <s v=""/>
    <n v="2"/>
    <n v="73"/>
    <n v="11"/>
    <m/>
    <s v="00_Group"/>
    <x v="4"/>
    <s v="PG E2E"/>
    <s v="4s_PG_E2E_EMS NextGen_Concept and Development"/>
    <m/>
    <m/>
    <x v="0"/>
    <s v="Cost center"/>
    <x v="97"/>
    <x v="89"/>
    <x v="4"/>
    <s v="Include in HGB Group allocation"/>
  </r>
  <r>
    <s v="99510756"/>
    <s v="4flow-internal"/>
    <x v="1"/>
    <x v="8"/>
    <s v="4flow research"/>
    <s v="Innovation"/>
    <s v=""/>
    <n v="2"/>
    <n v="77"/>
    <n v="59"/>
    <s v="99510756"/>
    <s v="00_Group"/>
    <x v="3"/>
    <m/>
    <s v="Evaluation of costs and benefits of platooning in road transportation networks"/>
    <m/>
    <m/>
    <x v="0"/>
    <s v="Cost center"/>
    <x v="98"/>
    <x v="90"/>
    <x v="3"/>
    <s v="Include in HGB Group allocation"/>
  </r>
  <r>
    <s v="99918041"/>
    <s v="4flow-internal"/>
    <x v="1"/>
    <x v="8"/>
    <m/>
    <m/>
    <s v=""/>
    <n v="2"/>
    <n v="41"/>
    <n v="41"/>
    <s v="99918041"/>
    <s v="00_Group"/>
    <x v="1"/>
    <s v="4flow management internal"/>
    <s v="Solution Design &amp; Projects"/>
    <m/>
    <m/>
    <x v="0"/>
    <s v="Cost center"/>
    <x v="99"/>
    <x v="91"/>
    <x v="3"/>
    <s v="Include in HGB Group allocation"/>
  </r>
  <r>
    <s v="99990249"/>
    <s v="4flow-internal"/>
    <x v="1"/>
    <x v="8"/>
    <m/>
    <m/>
    <s v=""/>
    <n v="2"/>
    <n v="2"/>
    <n v="49"/>
    <s v="99990249"/>
    <s v="00_Group"/>
    <x v="1"/>
    <s v="4flow management internal"/>
    <s v="4m internal projects - Badges"/>
    <m/>
    <m/>
    <x v="0"/>
    <s v="Cost center"/>
    <x v="100"/>
    <x v="92"/>
    <x v="3"/>
    <s v="Include in HGB Group allocation"/>
  </r>
  <r>
    <s v="99990349"/>
    <s v="4flow-internal"/>
    <x v="1"/>
    <x v="8"/>
    <m/>
    <m/>
    <s v=""/>
    <n v="2"/>
    <n v="3"/>
    <n v="49"/>
    <s v="99990349"/>
    <s v="00_Group"/>
    <x v="1"/>
    <s v="4flow management internal"/>
    <s v="4m project tracking for Corporate projects"/>
    <m/>
    <m/>
    <x v="0"/>
    <s v="Cost center"/>
    <x v="101"/>
    <x v="93"/>
    <x v="3"/>
    <s v="Include in HGB Group allocation"/>
  </r>
  <r>
    <s v="99990441"/>
    <s v="4flow-internal"/>
    <x v="1"/>
    <x v="8"/>
    <m/>
    <s v="iTMS"/>
    <s v=""/>
    <n v="2"/>
    <n v="4"/>
    <n v="41"/>
    <s v="99990441"/>
    <s v="00_Group"/>
    <x v="1"/>
    <s v="SPM"/>
    <s v="4m_SPM_iTMS_nextGen XM_Invest"/>
    <m/>
    <m/>
    <x v="0"/>
    <s v="Cost center"/>
    <x v="102"/>
    <x v="94"/>
    <x v="6"/>
    <s v="Include in HGB Group allocation"/>
  </r>
  <r>
    <s v="99990447"/>
    <s v="4flow-internal"/>
    <x v="1"/>
    <x v="8"/>
    <m/>
    <s v="iTMS"/>
    <s v=""/>
    <n v="2"/>
    <n v="4"/>
    <n v="41"/>
    <s v="99990447"/>
    <s v="00_Group"/>
    <x v="1"/>
    <s v="SPM"/>
    <s v="4m_SPM_iTMS_nextGen XM_Running"/>
    <m/>
    <m/>
    <x v="0"/>
    <s v="Cost center"/>
    <x v="102"/>
    <x v="94"/>
    <x v="7"/>
    <s v="Include in HGB Group allocation"/>
  </r>
  <r>
    <s v="99990628"/>
    <s v="4flow-internal"/>
    <x v="1"/>
    <x v="8"/>
    <s v="4flow consulting"/>
    <s v="general"/>
    <s v=""/>
    <n v="2"/>
    <n v="6"/>
    <n v="28"/>
    <s v="99990628"/>
    <s v="00_Group"/>
    <x v="0"/>
    <s v="4c - global"/>
    <s v="iSCM"/>
    <m/>
    <m/>
    <x v="0"/>
    <s v="Cost center"/>
    <x v="103"/>
    <x v="95"/>
    <x v="8"/>
    <s v="Include in HGB Group allocation"/>
  </r>
  <r>
    <s v="99991119"/>
    <s v="4flow-internal"/>
    <x v="1"/>
    <x v="8"/>
    <s v="4flow software"/>
    <m/>
    <s v=""/>
    <n v="2"/>
    <n v="11"/>
    <n v="11"/>
    <s v="99991119"/>
    <s v="00_Group"/>
    <x v="4"/>
    <s v="PG iTMS-4s"/>
    <s v="iTMS-4s_concept and development"/>
    <m/>
    <m/>
    <x v="0"/>
    <s v="Cost center"/>
    <x v="104"/>
    <x v="96"/>
    <x v="4"/>
    <s v="Include in HGB Group allocation"/>
  </r>
  <r>
    <s v="99991319"/>
    <s v="4flow-internal"/>
    <x v="1"/>
    <x v="8"/>
    <s v="4flow software"/>
    <m/>
    <s v=""/>
    <n v="2"/>
    <n v="11"/>
    <n v="12"/>
    <s v="99991319"/>
    <s v="00_Group"/>
    <x v="4"/>
    <s v="PG iTMS-4m"/>
    <s v="iTMS-4m_concept and development"/>
    <m/>
    <m/>
    <x v="0"/>
    <s v="Cost center"/>
    <x v="105"/>
    <x v="97"/>
    <x v="4"/>
    <s v="Include in HGB Group allocation"/>
  </r>
  <r>
    <s v="99991519"/>
    <s v="4flow-internal"/>
    <x v="1"/>
    <x v="8"/>
    <s v="4flow software"/>
    <m/>
    <s v=""/>
    <n v="2"/>
    <n v="17"/>
    <n v="12"/>
    <s v="99991519"/>
    <s v="00_Group"/>
    <x v="4"/>
    <s v="PG iTMS-4m"/>
    <s v="iTMS-4m_concept and development_EMS NextGen"/>
    <m/>
    <m/>
    <x v="0"/>
    <s v="Cost center"/>
    <x v="106"/>
    <x v="98"/>
    <x v="4"/>
    <s v="Include in HGB Group allocation"/>
  </r>
  <r>
    <s v="99991619"/>
    <s v="4flow-internal"/>
    <x v="1"/>
    <x v="8"/>
    <s v="4flow software"/>
    <m/>
    <s v=""/>
    <n v="2"/>
    <n v="13"/>
    <n v="12"/>
    <s v="99991619"/>
    <s v="00_Group"/>
    <x v="4"/>
    <s v="PG iTMS-4m"/>
    <s v="iTMS-4m_conception and estimation of CRs (w/o Stellantis)"/>
    <m/>
    <m/>
    <x v="0"/>
    <s v="Cost center"/>
    <x v="107"/>
    <x v="99"/>
    <x v="4"/>
    <s v="Include in HGB Group allocation"/>
  </r>
  <r>
    <s v="99991719"/>
    <s v="4flow-internal"/>
    <x v="1"/>
    <x v="8"/>
    <s v="4flow software"/>
    <m/>
    <s v=""/>
    <n v="2"/>
    <n v="14"/>
    <n v="12"/>
    <s v="99991719"/>
    <s v="00_Group"/>
    <x v="4"/>
    <s v="PG iTMS-4m"/>
    <s v="iTMS-4m_concept and development_EMS"/>
    <m/>
    <m/>
    <x v="0"/>
    <s v="Cost center"/>
    <x v="108"/>
    <x v="100"/>
    <x v="4"/>
    <s v="Include in HGB Group allocation"/>
  </r>
  <r>
    <s v="99991819"/>
    <s v="4flow-internal"/>
    <x v="1"/>
    <x v="8"/>
    <s v="4flow software"/>
    <m/>
    <s v=""/>
    <n v="2"/>
    <n v="15"/>
    <n v="12"/>
    <s v="99991819"/>
    <s v="00_Group"/>
    <x v="4"/>
    <s v="PG iTMS-4m"/>
    <s v="iTMS-4m_Share_Business Plans"/>
    <m/>
    <m/>
    <x v="0"/>
    <s v="Cost center"/>
    <x v="109"/>
    <x v="101"/>
    <x v="4"/>
    <s v="Include in HGB Group allocation"/>
  </r>
  <r>
    <s v="99991919"/>
    <s v="4flow-internal"/>
    <x v="1"/>
    <x v="8"/>
    <s v="4flow software"/>
    <m/>
    <s v=""/>
    <n v="2"/>
    <n v="16"/>
    <n v="12"/>
    <s v="99991919"/>
    <s v="00_Group"/>
    <x v="4"/>
    <s v="PG iTMS-4m"/>
    <s v="iTMS-4m_Share_Modernization"/>
    <m/>
    <m/>
    <x v="0"/>
    <s v="Cost center"/>
    <x v="110"/>
    <x v="102"/>
    <x v="4"/>
    <s v="Include in HGB Group allocation"/>
  </r>
  <r>
    <s v="99992119"/>
    <s v="4flow-internal"/>
    <x v="1"/>
    <x v="8"/>
    <s v="4flow software"/>
    <m/>
    <s v=""/>
    <n v="2"/>
    <n v="11"/>
    <n v="13"/>
    <s v="99992119"/>
    <s v="00_Group"/>
    <x v="4"/>
    <s v="PG SAP-Addon"/>
    <s v="SAP-Addon_concept and development"/>
    <m/>
    <m/>
    <x v="0"/>
    <s v="Cost center"/>
    <x v="111"/>
    <x v="103"/>
    <x v="4"/>
    <s v="Include in HGB Group allocation"/>
  </r>
  <r>
    <s v="99992319"/>
    <s v="4flow-internal"/>
    <x v="1"/>
    <x v="8"/>
    <s v="4flow software"/>
    <m/>
    <s v=""/>
    <n v="2"/>
    <n v="21"/>
    <n v="11"/>
    <s v="99992319"/>
    <s v="00_Group"/>
    <x v="4"/>
    <s v="PG 4flow TORO"/>
    <s v="TORO_concept and development"/>
    <m/>
    <m/>
    <x v="0"/>
    <s v="Cost center"/>
    <x v="112"/>
    <x v="104"/>
    <x v="4"/>
    <s v="Include in HGB Group allocation"/>
  </r>
  <r>
    <s v="99992819"/>
    <s v="4flow-internal"/>
    <x v="1"/>
    <x v="8"/>
    <s v="4flow software"/>
    <m/>
    <s v=""/>
    <n v="2"/>
    <n v="28"/>
    <n v="19"/>
    <s v="99992819"/>
    <s v="00_Group"/>
    <x v="4"/>
    <s v="PG iTMS-4m"/>
    <s v="iTMS-4m_Running_IT Systems_4flow vista DC nodes in test and production"/>
    <m/>
    <m/>
    <x v="0"/>
    <s v="Cost center"/>
    <x v="113"/>
    <x v="105"/>
    <x v="4"/>
    <s v="Include in HGB Group allocation"/>
  </r>
  <r>
    <s v="99992919"/>
    <s v="4flow-internal"/>
    <x v="1"/>
    <x v="8"/>
    <s v="4flow software"/>
    <m/>
    <s v=""/>
    <n v="2"/>
    <n v="29"/>
    <n v="19"/>
    <s v="99992919"/>
    <s v="00_Group"/>
    <x v="4"/>
    <s v="PG iTMS-4m"/>
    <s v="iTMS-4m_Running_IT Systems_Analytics application servers and databases"/>
    <m/>
    <m/>
    <x v="0"/>
    <s v="Cost center"/>
    <x v="114"/>
    <x v="106"/>
    <x v="4"/>
    <s v="Include in HGB Group allocation"/>
  </r>
  <r>
    <s v="99993119"/>
    <s v="4flow-internal"/>
    <x v="1"/>
    <x v="8"/>
    <s v="4flow software"/>
    <m/>
    <s v=""/>
    <n v="2"/>
    <n v="31"/>
    <n v="11"/>
    <s v="99993119"/>
    <s v="00_Group"/>
    <x v="4"/>
    <s v="PG KNX-TLO"/>
    <s v="KNX-TLO_concept and development"/>
    <m/>
    <m/>
    <x v="0"/>
    <s v="Cost center"/>
    <x v="115"/>
    <x v="107"/>
    <x v="4"/>
    <s v="Include in HGB Group allocation"/>
  </r>
  <r>
    <s v="99993819"/>
    <s v="4flow-internal"/>
    <x v="1"/>
    <x v="8"/>
    <s v="4flow software"/>
    <m/>
    <s v=""/>
    <n v="2"/>
    <n v="32"/>
    <n v="12"/>
    <s v="99993819"/>
    <s v="00_Group"/>
    <x v="4"/>
    <s v="PG KNX-NWD"/>
    <s v="KNX-NEVA_sales and go-to-market"/>
    <m/>
    <m/>
    <x v="0"/>
    <s v="Cost center"/>
    <x v="116"/>
    <x v="108"/>
    <x v="4"/>
    <s v="Include in HGB Group allocation"/>
  </r>
  <r>
    <s v="99994041"/>
    <s v="4flow-internal"/>
    <x v="1"/>
    <x v="8"/>
    <m/>
    <s v=""/>
    <s v=""/>
    <n v="2"/>
    <n v="40"/>
    <n v="41"/>
    <s v="99994041"/>
    <s v="00_Group"/>
    <x v="1"/>
    <s v="SPM"/>
    <s v="4m_SPM_General_Invest"/>
    <m/>
    <m/>
    <x v="0"/>
    <s v="Cost center"/>
    <x v="117"/>
    <x v="109"/>
    <x v="6"/>
    <s v="Include in HGB Group allocation"/>
  </r>
  <r>
    <s v="99994047"/>
    <s v="4flow-internal"/>
    <x v="1"/>
    <x v="8"/>
    <m/>
    <s v=""/>
    <s v=""/>
    <n v="2"/>
    <n v="40"/>
    <n v="41"/>
    <s v="99994047"/>
    <s v="00_Group"/>
    <x v="1"/>
    <s v="SPM"/>
    <s v="4m_SPM_General_Running"/>
    <m/>
    <m/>
    <x v="0"/>
    <s v="Cost center"/>
    <x v="117"/>
    <x v="109"/>
    <x v="7"/>
    <s v="Include in HGB Group allocation"/>
  </r>
  <r>
    <s v="99994141"/>
    <s v="4flow-internal"/>
    <x v="1"/>
    <x v="8"/>
    <m/>
    <s v=""/>
    <s v=""/>
    <n v="2"/>
    <n v="41"/>
    <n v="41"/>
    <s v="99994141"/>
    <s v="00_Group"/>
    <x v="1"/>
    <s v="4flow management internal"/>
    <s v="Solution Design &amp; Projects"/>
    <m/>
    <m/>
    <x v="0"/>
    <s v="Cost center"/>
    <x v="99"/>
    <x v="91"/>
    <x v="3"/>
    <s v="Include in HGB Group allocation"/>
  </r>
  <r>
    <s v="99994241"/>
    <s v="4flow-internal"/>
    <x v="1"/>
    <x v="8"/>
    <m/>
    <s v="iTMS"/>
    <s v=""/>
    <n v="2"/>
    <n v="42"/>
    <n v="41"/>
    <s v="99994241"/>
    <s v="00_Group"/>
    <x v="1"/>
    <s v="SPM"/>
    <s v="4m_SPM_iTMS_General_Running"/>
    <m/>
    <m/>
    <x v="0"/>
    <s v="Cost center"/>
    <x v="118"/>
    <x v="110"/>
    <x v="7"/>
    <s v="Include in HGB Group allocation"/>
  </r>
  <r>
    <s v="99994249"/>
    <s v="4flow-internal"/>
    <x v="1"/>
    <x v="8"/>
    <m/>
    <s v="iTMS"/>
    <s v=""/>
    <n v="2"/>
    <n v="42"/>
    <n v="41"/>
    <s v="99994249"/>
    <s v="00_Group"/>
    <x v="1"/>
    <s v="SPM"/>
    <s v="4m_SPM_iTMS_General_Invest"/>
    <m/>
    <m/>
    <x v="0"/>
    <s v="Cost center"/>
    <x v="118"/>
    <x v="110"/>
    <x v="6"/>
    <s v="Include in HGB Group allocation"/>
  </r>
  <r>
    <s v="99994729"/>
    <s v="4flow-internal"/>
    <x v="1"/>
    <x v="8"/>
    <s v="4flow consulting"/>
    <s v="general"/>
    <s v=""/>
    <n v="2"/>
    <n v="47"/>
    <n v="29"/>
    <s v="99994729"/>
    <s v="00_Group"/>
    <x v="0"/>
    <s v="4c - global"/>
    <s v="Support US"/>
    <m/>
    <m/>
    <x v="0"/>
    <s v="Cost center"/>
    <x v="119"/>
    <x v="111"/>
    <x v="3"/>
    <s v="Include in HGB Group allocation"/>
  </r>
  <r>
    <s v="99994829"/>
    <s v="4flow-internal"/>
    <x v="1"/>
    <x v="8"/>
    <m/>
    <m/>
    <s v=""/>
    <n v="2"/>
    <n v="48"/>
    <n v="29"/>
    <s v="99994829"/>
    <s v="00_Group"/>
    <x v="0"/>
    <s v="4c - global"/>
    <s v="Support CN"/>
    <m/>
    <m/>
    <x v="0"/>
    <s v="Cost center"/>
    <x v="120"/>
    <x v="112"/>
    <x v="3"/>
    <s v="Include in HGB Group allocation"/>
  </r>
  <r>
    <s v="99995119"/>
    <s v="4flow-internal"/>
    <x v="1"/>
    <x v="8"/>
    <s v="4flow software"/>
    <m/>
    <s v=""/>
    <n v="2"/>
    <n v="41"/>
    <n v="11"/>
    <s v="99995119"/>
    <s v="00_Group"/>
    <x v="4"/>
    <s v="PG 4flow vista"/>
    <s v="VIA-vista_concept and development"/>
    <m/>
    <m/>
    <x v="0"/>
    <s v="Cost center"/>
    <x v="121"/>
    <x v="113"/>
    <x v="4"/>
    <s v="Include in HGB Group allocation"/>
  </r>
  <r>
    <s v="99995129"/>
    <s v="4flow-internal"/>
    <x v="1"/>
    <x v="8"/>
    <m/>
    <s v="general"/>
    <s v=""/>
    <n v="2"/>
    <n v="51"/>
    <n v="29"/>
    <s v="99995129"/>
    <s v="00_Group"/>
    <x v="0"/>
    <s v="4c - global"/>
    <s v="lntralogistics &amp; Production"/>
    <m/>
    <m/>
    <x v="0"/>
    <s v="Cost center"/>
    <x v="122"/>
    <x v="114"/>
    <x v="9"/>
    <s v="Include in HGB Group allocation"/>
  </r>
  <r>
    <s v="99995229"/>
    <s v="4flow-internal"/>
    <x v="1"/>
    <x v="8"/>
    <m/>
    <s v="general"/>
    <s v=""/>
    <n v="2"/>
    <n v="52"/>
    <n v="29"/>
    <s v="99995229"/>
    <s v="00_Group"/>
    <x v="0"/>
    <s v="4c - global"/>
    <s v="Practice Strategy"/>
    <m/>
    <m/>
    <x v="0"/>
    <s v="Cost center"/>
    <x v="123"/>
    <x v="115"/>
    <x v="10"/>
    <s v="Include in HGB Group allocation"/>
  </r>
  <r>
    <s v="99995319"/>
    <s v="4flow-internal"/>
    <x v="1"/>
    <x v="8"/>
    <s v="4flow software"/>
    <m/>
    <s v=""/>
    <n v="2"/>
    <n v="51"/>
    <n v="11"/>
    <s v="99995319"/>
    <s v="00_Group"/>
    <x v="4"/>
    <s v="PG 4flow VIA"/>
    <s v="VIA-NEVA_concept and development"/>
    <m/>
    <m/>
    <x v="0"/>
    <s v="Cost center"/>
    <x v="124"/>
    <x v="116"/>
    <x v="4"/>
    <s v="Include in HGB Group allocation"/>
  </r>
  <r>
    <s v="99995329"/>
    <s v="4flow-internal"/>
    <x v="1"/>
    <x v="8"/>
    <m/>
    <s v="general"/>
    <s v=""/>
    <n v="2"/>
    <n v="53"/>
    <n v="29"/>
    <s v="99995329"/>
    <s v="00_Group"/>
    <x v="0"/>
    <s v="4c - global"/>
    <s v="OEM Group"/>
    <m/>
    <m/>
    <x v="0"/>
    <s v="Cost center"/>
    <x v="125"/>
    <x v="117"/>
    <x v="3"/>
    <s v="Include in HGB Group allocation"/>
  </r>
  <r>
    <s v="99995729"/>
    <s v="4flow-internal"/>
    <x v="1"/>
    <x v="8"/>
    <m/>
    <s v="general"/>
    <s v=""/>
    <n v="2"/>
    <n v="57"/>
    <n v="29"/>
    <s v="99995729"/>
    <s v="00_Group"/>
    <x v="0"/>
    <s v="4c - global"/>
    <s v="Working Groups"/>
    <m/>
    <m/>
    <x v="0"/>
    <s v="Cost center"/>
    <x v="126"/>
    <x v="118"/>
    <x v="3"/>
    <s v="Include in HGB Group allocation"/>
  </r>
  <r>
    <s v="99995841"/>
    <s v="4flow-internal"/>
    <x v="1"/>
    <x v="8"/>
    <m/>
    <s v="iTMS"/>
    <s v=""/>
    <n v="2"/>
    <n v="58"/>
    <n v="47"/>
    <s v="99995841"/>
    <s v="00_Group"/>
    <x v="1"/>
    <s v="SPM"/>
    <s v="4m_SPM_iTMS_RTV_Invest"/>
    <m/>
    <m/>
    <x v="0"/>
    <s v="Cost center"/>
    <x v="127"/>
    <x v="119"/>
    <x v="6"/>
    <s v="Include in HGB Group allocation"/>
  </r>
  <r>
    <s v="99995847"/>
    <s v="4flow-internal"/>
    <x v="1"/>
    <x v="8"/>
    <m/>
    <s v="iTMS"/>
    <s v=""/>
    <n v="2"/>
    <n v="58"/>
    <n v="47"/>
    <s v="99995847"/>
    <s v="00_Group"/>
    <x v="1"/>
    <s v="SPM"/>
    <s v="4m_SPM_iTMS_RTV_Running"/>
    <m/>
    <m/>
    <x v="0"/>
    <s v="Cost center"/>
    <x v="127"/>
    <x v="119"/>
    <x v="7"/>
    <s v="Include in HGB Group allocation"/>
  </r>
  <r>
    <s v="99995929"/>
    <s v="4flow-internal"/>
    <x v="1"/>
    <x v="8"/>
    <s v="4flow consulting"/>
    <s v="general"/>
    <s v=""/>
    <n v="2"/>
    <n v="59"/>
    <n v="29"/>
    <s v="99995929"/>
    <s v="00_Group"/>
    <x v="0"/>
    <s v="4c - global"/>
    <s v="IT Strategy"/>
    <m/>
    <m/>
    <x v="0"/>
    <s v="Cost center"/>
    <x v="128"/>
    <x v="120"/>
    <x v="11"/>
    <s v="Include in HGB Group allocation"/>
  </r>
  <r>
    <s v="99995941"/>
    <s v="4flow-internal"/>
    <x v="1"/>
    <x v="8"/>
    <m/>
    <s v="iTMS"/>
    <s v=""/>
    <n v="2"/>
    <n v="59"/>
    <n v="41"/>
    <s v="99995941"/>
    <s v="00_Group"/>
    <x v="1"/>
    <s v="SPM"/>
    <s v="4m_SPM_iTMS_Sustainability Solution_Invest"/>
    <m/>
    <m/>
    <x v="0"/>
    <s v="Cost center"/>
    <x v="129"/>
    <x v="121"/>
    <x v="6"/>
    <s v="Include in HGB Group allocation"/>
  </r>
  <r>
    <s v="99995947"/>
    <s v="4flow-internal"/>
    <x v="1"/>
    <x v="8"/>
    <m/>
    <s v="iTMS"/>
    <s v=""/>
    <n v="2"/>
    <n v="59"/>
    <n v="41"/>
    <s v="99995947"/>
    <s v="00_Group"/>
    <x v="1"/>
    <s v="SPM"/>
    <s v="4m_SPM_iTMS_Sustainability Solution_Running"/>
    <m/>
    <m/>
    <x v="0"/>
    <s v="Cost center"/>
    <x v="129"/>
    <x v="121"/>
    <x v="7"/>
    <s v="Include in HGB Group allocation"/>
  </r>
  <r>
    <s v="99996029"/>
    <s v="4flow-internal"/>
    <x v="1"/>
    <x v="8"/>
    <s v="4flow consulting"/>
    <s v="general"/>
    <s v=""/>
    <n v="2"/>
    <n v="60"/>
    <n v="29"/>
    <s v="99996029"/>
    <s v="00_Group"/>
    <x v="0"/>
    <s v="4c - global"/>
    <s v="Practice Transport &amp; Network"/>
    <m/>
    <m/>
    <x v="0"/>
    <s v="Cost center"/>
    <x v="130"/>
    <x v="122"/>
    <x v="12"/>
    <s v="Include in HGB Group allocation"/>
  </r>
  <r>
    <s v="99996041"/>
    <s v="4flow-internal"/>
    <x v="1"/>
    <x v="8"/>
    <m/>
    <s v="Data Solutions"/>
    <s v=""/>
    <n v="2"/>
    <n v="60"/>
    <n v="41"/>
    <s v="99996041"/>
    <s v="00_Group"/>
    <x v="1"/>
    <s v="SPM"/>
    <s v="4m_SPM_iTMS_Low Code_Invest"/>
    <m/>
    <m/>
    <x v="0"/>
    <s v="Cost center"/>
    <x v="131"/>
    <x v="123"/>
    <x v="6"/>
    <s v="Include in HGB Group allocation"/>
  </r>
  <r>
    <s v="99996047"/>
    <s v="4flow-internal"/>
    <x v="1"/>
    <x v="8"/>
    <m/>
    <s v="Data Solutions"/>
    <s v=""/>
    <n v="2"/>
    <n v="60"/>
    <n v="41"/>
    <s v="99996047"/>
    <s v="00_Group"/>
    <x v="1"/>
    <s v="SPM"/>
    <s v="4m_SPM_iTMS_Low Code_Running"/>
    <m/>
    <m/>
    <x v="0"/>
    <s v="Cost center"/>
    <x v="131"/>
    <x v="123"/>
    <x v="7"/>
    <s v="Include in HGB Group allocation"/>
  </r>
  <r>
    <s v="99996129"/>
    <s v="4flow-internal"/>
    <x v="1"/>
    <x v="8"/>
    <s v="4flow consulting"/>
    <s v="general"/>
    <s v=""/>
    <n v="2"/>
    <n v="61"/>
    <n v="29"/>
    <s v="99996129"/>
    <s v="00_Group"/>
    <x v="0"/>
    <s v="4c - global"/>
    <s v="Travel for face-to-face meetings of virtual project teams (4c)"/>
    <m/>
    <m/>
    <x v="0"/>
    <s v="Cost center"/>
    <x v="132"/>
    <x v="124"/>
    <x v="3"/>
    <s v="Include in HGB Group allocation"/>
  </r>
  <r>
    <s v="99996141"/>
    <s v="4flow-internal"/>
    <x v="1"/>
    <x v="8"/>
    <m/>
    <s v="iTMS"/>
    <s v=""/>
    <n v="2"/>
    <n v="61"/>
    <n v="41"/>
    <s v="99996141"/>
    <s v="00_Group"/>
    <x v="1"/>
    <s v="SPM"/>
    <s v="4m_SPM_iTMS_future iTMS_Invest"/>
    <m/>
    <m/>
    <x v="0"/>
    <s v="Cost center"/>
    <x v="133"/>
    <x v="125"/>
    <x v="6"/>
    <s v="Include in HGB Group allocation"/>
  </r>
  <r>
    <s v="99996147"/>
    <s v="4flow-internal"/>
    <x v="1"/>
    <x v="8"/>
    <m/>
    <s v="iTMS"/>
    <s v=""/>
    <n v="2"/>
    <n v="61"/>
    <n v="41"/>
    <s v="99996147"/>
    <s v="00_Group"/>
    <x v="1"/>
    <s v="SPM"/>
    <s v="4m_SPM_iTMS_future iTMS_Running"/>
    <m/>
    <m/>
    <x v="0"/>
    <s v="Cost center"/>
    <x v="133"/>
    <x v="125"/>
    <x v="7"/>
    <s v="Include in HGB Group allocation"/>
  </r>
  <r>
    <s v="99996229"/>
    <s v="4flow-internal"/>
    <x v="1"/>
    <x v="8"/>
    <s v="4flow consulting"/>
    <s v="general"/>
    <s v=""/>
    <n v="2"/>
    <n v="62"/>
    <n v="29"/>
    <s v="99996229"/>
    <s v="00_Group"/>
    <x v="0"/>
    <s v="4c - global"/>
    <s v="Sustainability"/>
    <m/>
    <m/>
    <x v="0"/>
    <s v="Cost center"/>
    <x v="134"/>
    <x v="126"/>
    <x v="13"/>
    <s v="Include in HGB Group allocation"/>
  </r>
  <r>
    <s v="99996241"/>
    <s v="4flow-internal"/>
    <x v="1"/>
    <x v="8"/>
    <m/>
    <s v="SCO"/>
    <s v=""/>
    <n v="2"/>
    <n v="62"/>
    <n v="41"/>
    <s v="99996241"/>
    <s v="00_Group"/>
    <x v="1"/>
    <s v="SPM"/>
    <s v="4m_SPM_SCO_Data Orchestration Layer_Invest"/>
    <m/>
    <m/>
    <x v="0"/>
    <s v="Cost center"/>
    <x v="135"/>
    <x v="127"/>
    <x v="6"/>
    <s v="Include in HGB Group allocation"/>
  </r>
  <r>
    <s v="99996247"/>
    <s v="4flow-internal"/>
    <x v="1"/>
    <x v="8"/>
    <m/>
    <s v="SCO"/>
    <s v=""/>
    <n v="2"/>
    <n v="62"/>
    <n v="41"/>
    <s v="99996247"/>
    <s v="00_Group"/>
    <x v="1"/>
    <s v="SPM"/>
    <s v="4m_SPM_SCO_Data Orchestration Layer_Running"/>
    <m/>
    <m/>
    <x v="0"/>
    <s v="Cost center"/>
    <x v="135"/>
    <x v="127"/>
    <x v="7"/>
    <s v="Include in HGB Group allocation"/>
  </r>
  <r>
    <s v="99996341"/>
    <s v="4flow-internal"/>
    <x v="1"/>
    <x v="8"/>
    <m/>
    <s v="SCO"/>
    <s v=""/>
    <n v="2"/>
    <n v="63"/>
    <n v="41"/>
    <s v="99996341"/>
    <s v="00_Group"/>
    <x v="1"/>
    <s v="SPM"/>
    <s v="4m_SPM_SCO_General_Invest"/>
    <m/>
    <m/>
    <x v="0"/>
    <s v="Cost center"/>
    <x v="136"/>
    <x v="128"/>
    <x v="6"/>
    <s v="Include in HGB Group allocation"/>
  </r>
  <r>
    <s v="99996347"/>
    <s v="4flow-internal"/>
    <x v="1"/>
    <x v="8"/>
    <m/>
    <s v="SCO"/>
    <s v=""/>
    <n v="2"/>
    <n v="63"/>
    <n v="41"/>
    <s v="99996347"/>
    <s v="00_Group"/>
    <x v="1"/>
    <s v="SPM"/>
    <s v="4m_SPM_SCO_General_Running"/>
    <m/>
    <m/>
    <x v="0"/>
    <s v="Cost center"/>
    <x v="136"/>
    <x v="128"/>
    <x v="7"/>
    <s v="Include in HGB Group allocation"/>
  </r>
  <r>
    <s v="99996441"/>
    <s v="4flow-internal"/>
    <x v="1"/>
    <x v="8"/>
    <m/>
    <s v="Data Solutions"/>
    <s v=""/>
    <n v="2"/>
    <n v="64"/>
    <n v="41"/>
    <s v="99996441"/>
    <s v="00_Group"/>
    <x v="1"/>
    <s v="SPM"/>
    <s v="4m_SPM_Data Solutions_General_Invest"/>
    <m/>
    <m/>
    <x v="0"/>
    <s v="Cost center"/>
    <x v="137"/>
    <x v="129"/>
    <x v="6"/>
    <s v="Include in HGB Group allocation"/>
  </r>
  <r>
    <s v="99996447"/>
    <s v="4flow-internal"/>
    <x v="1"/>
    <x v="8"/>
    <m/>
    <s v="Data Solutions"/>
    <s v=""/>
    <n v="2"/>
    <n v="64"/>
    <n v="41"/>
    <s v="99996447"/>
    <s v="00_Group"/>
    <x v="1"/>
    <s v="SPM"/>
    <s v="4m_SPM_Data Solutions_General_Running"/>
    <m/>
    <m/>
    <x v="0"/>
    <s v="Cost center"/>
    <x v="137"/>
    <x v="129"/>
    <x v="7"/>
    <s v="Include in HGB Group allocation"/>
  </r>
  <r>
    <s v="99996649"/>
    <s v="4flow-internal"/>
    <x v="1"/>
    <x v="8"/>
    <s v="4flow management"/>
    <s v="Supply Chain+"/>
    <s v=""/>
    <n v="2"/>
    <n v="66"/>
    <n v="49"/>
    <s v="99996649"/>
    <s v="00_Group"/>
    <x v="1"/>
    <s v="4flow management China domestic"/>
    <s v="Supply Chain+ (product)"/>
    <m/>
    <m/>
    <x v="0"/>
    <s v="Cost center"/>
    <x v="138"/>
    <x v="130"/>
    <x v="3"/>
    <s v="Include in HGB Group allocation"/>
  </r>
  <r>
    <s v="99996741"/>
    <s v="4flow-internal"/>
    <x v="1"/>
    <x v="8"/>
    <s v="4flow management"/>
    <s v="iTMS"/>
    <s v=""/>
    <n v="2"/>
    <n v="67"/>
    <n v="49"/>
    <s v="99996741"/>
    <s v="00_Group"/>
    <x v="1"/>
    <s v="SPM"/>
    <s v="4m_SPM_iTMS_FMS_Invest"/>
    <m/>
    <m/>
    <x v="0"/>
    <s v="Cost center"/>
    <x v="139"/>
    <x v="131"/>
    <x v="6"/>
    <s v="Include in HGB Group allocation"/>
  </r>
  <r>
    <s v="99996749"/>
    <s v="4flow-internal"/>
    <x v="1"/>
    <x v="8"/>
    <s v="4flow management"/>
    <s v="iTMS"/>
    <s v=""/>
    <n v="2"/>
    <n v="67"/>
    <n v="49"/>
    <s v="99996749"/>
    <s v="00_Group"/>
    <x v="1"/>
    <s v="SPM"/>
    <s v="4m_SPM_iTMS_FMS_Running"/>
    <m/>
    <m/>
    <x v="0"/>
    <s v="Cost center"/>
    <x v="139"/>
    <x v="131"/>
    <x v="7"/>
    <s v="Include in HGB Group allocation"/>
  </r>
  <r>
    <s v="99996841"/>
    <s v="4flow-internal"/>
    <x v="1"/>
    <x v="8"/>
    <s v="4flow management"/>
    <s v="iTMS"/>
    <s v=""/>
    <n v="2"/>
    <n v="68"/>
    <n v="49"/>
    <s v="99996841"/>
    <s v="00_Group"/>
    <x v="1"/>
    <s v="SPM"/>
    <s v="4m_SPM_iTMS_4fva_Invest"/>
    <m/>
    <m/>
    <x v="0"/>
    <s v="Cost center"/>
    <x v="140"/>
    <x v="132"/>
    <x v="6"/>
    <s v="Include in HGB Group allocation"/>
  </r>
  <r>
    <s v="99996849"/>
    <s v="4flow-internal"/>
    <x v="1"/>
    <x v="8"/>
    <s v="4flow management"/>
    <s v="iTMS"/>
    <s v=""/>
    <n v="2"/>
    <n v="68"/>
    <n v="49"/>
    <s v="99996849"/>
    <s v="00_Group"/>
    <x v="1"/>
    <s v="SPM"/>
    <s v="4m_SPM_iTMS_4fva_Running"/>
    <m/>
    <m/>
    <x v="0"/>
    <s v="Cost center"/>
    <x v="140"/>
    <x v="132"/>
    <x v="7"/>
    <s v="Include in HGB Group allocation"/>
  </r>
  <r>
    <s v="99996941"/>
    <s v="4flow-internal"/>
    <x v="1"/>
    <x v="8"/>
    <s v="4flow management"/>
    <s v="Data Solutions"/>
    <s v=""/>
    <n v="2"/>
    <n v="69"/>
    <n v="49"/>
    <s v="99996941"/>
    <s v="00_Group"/>
    <x v="1"/>
    <s v="SPM"/>
    <s v="4m_SPM_iTMS_RPA_Invest"/>
    <m/>
    <m/>
    <x v="0"/>
    <s v="Cost center"/>
    <x v="141"/>
    <x v="133"/>
    <x v="6"/>
    <s v="Include in HGB Group allocation"/>
  </r>
  <r>
    <s v="99996949"/>
    <s v="4flow-internal"/>
    <x v="1"/>
    <x v="8"/>
    <s v="4flow management"/>
    <s v="Data Solutions"/>
    <s v=""/>
    <n v="2"/>
    <n v="69"/>
    <n v="49"/>
    <s v="99996949"/>
    <s v="00_Group"/>
    <x v="1"/>
    <s v="SPM"/>
    <s v="4m_SPM_iTMS_RPA_Running"/>
    <m/>
    <m/>
    <x v="0"/>
    <s v="Cost center"/>
    <x v="141"/>
    <x v="133"/>
    <x v="7"/>
    <s v="Include in HGB Group allocation"/>
  </r>
  <r>
    <s v="99997059"/>
    <s v="4flow-internal"/>
    <x v="1"/>
    <x v="8"/>
    <s v="4flow research"/>
    <s v="Innovation"/>
    <s v=""/>
    <n v="2"/>
    <n v="70"/>
    <n v="59"/>
    <s v="99997059"/>
    <s v="00_Group"/>
    <x v="3"/>
    <m/>
    <s v="Projekt Methodenentwicklung und -evaluierung Bestandsoptimierung - Forschungszulage"/>
    <m/>
    <m/>
    <x v="0"/>
    <s v="Cost center"/>
    <x v="142"/>
    <x v="134"/>
    <x v="3"/>
    <s v="Include in HGB Group allocation"/>
  </r>
  <r>
    <s v="99997159"/>
    <s v="4flow-internal"/>
    <x v="1"/>
    <x v="8"/>
    <s v="4flow research"/>
    <s v="Innovation"/>
    <s v=""/>
    <n v="2"/>
    <n v="71"/>
    <n v="59"/>
    <s v="99997159"/>
    <s v="00_Group"/>
    <x v="3"/>
    <m/>
    <s v="Transport Market Monitor and Dashboards"/>
    <m/>
    <m/>
    <x v="0"/>
    <s v="Cost center"/>
    <x v="143"/>
    <x v="135"/>
    <x v="3"/>
    <s v="Include in HGB Group allocation"/>
  </r>
  <r>
    <s v="99997259"/>
    <s v="4flow-internal"/>
    <x v="1"/>
    <x v="8"/>
    <s v="4flow research"/>
    <s v="Innovation"/>
    <s v=""/>
    <n v="2"/>
    <n v="72"/>
    <n v="59"/>
    <s v="99997259"/>
    <s v="00_Group"/>
    <x v="3"/>
    <m/>
    <s v="Inventory Optimization Toolbox"/>
    <m/>
    <m/>
    <x v="0"/>
    <s v="Cost center"/>
    <x v="144"/>
    <x v="136"/>
    <x v="3"/>
    <s v="Include in HGB Group allocation"/>
  </r>
  <r>
    <s v="99997359"/>
    <s v="4flow-internal"/>
    <x v="1"/>
    <x v="8"/>
    <s v="4flow research"/>
    <s v="Innovation"/>
    <s v=""/>
    <n v="2"/>
    <n v="73"/>
    <n v="59"/>
    <s v="99997359"/>
    <s v="00_Group"/>
    <x v="3"/>
    <m/>
    <s v="Warehouse equipment automization and optimization"/>
    <m/>
    <m/>
    <x v="0"/>
    <s v="Cost center"/>
    <x v="145"/>
    <x v="137"/>
    <x v="3"/>
    <s v="Include in HGB Group allocation"/>
  </r>
  <r>
    <s v="99997459"/>
    <s v="4flow-internal"/>
    <x v="1"/>
    <x v="8"/>
    <s v="4flow research"/>
    <s v="Innovation"/>
    <s v=""/>
    <n v="2"/>
    <n v="74"/>
    <n v="59"/>
    <s v="99997459"/>
    <s v="00_Group"/>
    <x v="3"/>
    <m/>
    <s v="Study E-Commerce, Packaging and Sustainability"/>
    <m/>
    <m/>
    <x v="0"/>
    <s v="Cost center"/>
    <x v="146"/>
    <x v="138"/>
    <x v="3"/>
    <s v="Include in HGB Group allocation"/>
  </r>
  <r>
    <s v="99997559"/>
    <s v="4flow-internal"/>
    <x v="1"/>
    <x v="8"/>
    <s v="4flow research"/>
    <s v="Innovation"/>
    <s v=""/>
    <n v="2"/>
    <n v="75"/>
    <n v="59"/>
    <s v="99997559"/>
    <s v="00_Group"/>
    <x v="3"/>
    <m/>
    <s v="Centre of Gravity and Location Optimization Toolbox"/>
    <m/>
    <m/>
    <x v="0"/>
    <s v="Cost center"/>
    <x v="147"/>
    <x v="139"/>
    <x v="3"/>
    <s v="Include in HGB Group allocation"/>
  </r>
  <r>
    <s v="99997629"/>
    <s v="4flow-internal"/>
    <x v="1"/>
    <x v="8"/>
    <s v="4flow consulting"/>
    <m/>
    <s v=""/>
    <n v="2"/>
    <n v="76"/>
    <n v="29"/>
    <s v="99997629"/>
    <s v="00_Group"/>
    <x v="0"/>
    <s v="4c - global"/>
    <s v="Logistics Engineering - other internal activities"/>
    <m/>
    <m/>
    <x v="0"/>
    <s v="Cost center"/>
    <x v="148"/>
    <x v="140"/>
    <x v="14"/>
    <s v="Include in HGB Group allocation"/>
  </r>
  <r>
    <s v="99997659"/>
    <s v="4flow-internal"/>
    <x v="1"/>
    <x v="8"/>
    <s v="4flow research"/>
    <s v="Innovation"/>
    <s v=""/>
    <n v="2"/>
    <n v="76"/>
    <n v="59"/>
    <s v="99997659"/>
    <s v="00_Group"/>
    <x v="3"/>
    <m/>
    <s v="Capacitated Clustering Algorithms"/>
    <m/>
    <m/>
    <x v="0"/>
    <s v="Cost center"/>
    <x v="149"/>
    <x v="141"/>
    <x v="3"/>
    <s v="Include in HGB Group allocation"/>
  </r>
  <r>
    <s v="99997729"/>
    <s v="4flow-internal"/>
    <x v="1"/>
    <x v="8"/>
    <s v="4flow consulting"/>
    <m/>
    <s v=""/>
    <n v="2"/>
    <n v="77"/>
    <n v="29"/>
    <s v="99997729"/>
    <s v="00_Group"/>
    <x v="0"/>
    <s v="4c - global"/>
    <s v="Kinaxis - other internal activities"/>
    <m/>
    <m/>
    <x v="0"/>
    <s v="Cost center"/>
    <x v="150"/>
    <x v="142"/>
    <x v="15"/>
    <s v="Include in HGB Group allocation"/>
  </r>
  <r>
    <s v="99997829"/>
    <s v="4flow-internal"/>
    <x v="1"/>
    <x v="8"/>
    <s v="4flow consulting"/>
    <m/>
    <s v=""/>
    <n v="2"/>
    <n v="78"/>
    <n v="29"/>
    <s v="99997829"/>
    <s v="00_Group"/>
    <x v="0"/>
    <s v="4c - global"/>
    <s v="Data Science - other internal activities"/>
    <m/>
    <m/>
    <x v="0"/>
    <s v="Cost center"/>
    <x v="151"/>
    <x v="143"/>
    <x v="16"/>
    <s v="Include in HGB Group allocation"/>
  </r>
  <r>
    <s v="99997859"/>
    <s v="4flow-internal"/>
    <x v="1"/>
    <x v="8"/>
    <s v="4flow research"/>
    <s v="Innovation"/>
    <s v=""/>
    <n v="2"/>
    <n v="78"/>
    <n v="59"/>
    <n v="99997859"/>
    <s v="00_Group"/>
    <x v="3"/>
    <m/>
    <s v="BOS Inventory Optimization Pilot"/>
    <m/>
    <m/>
    <x v="0"/>
    <s v="Cost center"/>
    <x v="152"/>
    <x v="144"/>
    <x v="3"/>
    <s v="Include in HGB Group allocation"/>
  </r>
  <r>
    <s v="99997959"/>
    <s v="4flow-internal"/>
    <x v="1"/>
    <x v="8"/>
    <s v="4flow research"/>
    <s v="Innovation"/>
    <s v=""/>
    <n v="2"/>
    <n v="79"/>
    <n v="59"/>
    <n v="99997959"/>
    <s v="00_Group"/>
    <x v="3"/>
    <m/>
    <s v="Dashboard Toolbox"/>
    <m/>
    <m/>
    <x v="0"/>
    <s v="Cost center"/>
    <x v="153"/>
    <x v="145"/>
    <x v="3"/>
    <s v="Include in HGB Group allocation"/>
  </r>
  <r>
    <s v="99998059"/>
    <s v="4flow-internal"/>
    <x v="1"/>
    <x v="8"/>
    <s v="4flow research"/>
    <s v="Innovation"/>
    <s v=""/>
    <n v="2"/>
    <n v="80"/>
    <n v="59"/>
    <n v="99998059"/>
    <s v="00_Group"/>
    <x v="3"/>
    <m/>
    <s v="Routing and Balancing Optimization Lear"/>
    <m/>
    <m/>
    <x v="0"/>
    <s v="Cost center"/>
    <x v="154"/>
    <x v="146"/>
    <x v="3"/>
    <s v="Include in HGB Group allocation"/>
  </r>
  <r>
    <s v="99998129"/>
    <s v="4flow-internal"/>
    <x v="1"/>
    <x v="8"/>
    <m/>
    <m/>
    <s v=""/>
    <n v="2"/>
    <n v="81"/>
    <n v="29"/>
    <n v="99998129"/>
    <s v="00_Group"/>
    <x v="0"/>
    <s v="4c - global"/>
    <m/>
    <m/>
    <m/>
    <x v="0"/>
    <s v="Cost center"/>
    <x v="155"/>
    <x v="147"/>
    <x v="5"/>
    <s v="Include in HGB Group allocation"/>
  </r>
  <r>
    <s v="99998159"/>
    <s v="4flow-internal"/>
    <x v="1"/>
    <x v="8"/>
    <s v="4flow research"/>
    <s v="Innovation"/>
    <s v=""/>
    <n v="2"/>
    <n v="81"/>
    <n v="59"/>
    <n v="99998159"/>
    <s v="00_Group"/>
    <x v="3"/>
    <m/>
    <s v="Entwicklung und Evaluation von Forecastingmethoden für Supply Chain Anwendungen"/>
    <m/>
    <m/>
    <x v="0"/>
    <s v="Cost center"/>
    <x v="156"/>
    <x v="148"/>
    <x v="3"/>
    <s v="Include in HGB Group allocation"/>
  </r>
  <r>
    <s v="99998229"/>
    <s v="4flow-internal"/>
    <x v="1"/>
    <x v="8"/>
    <m/>
    <m/>
    <s v=""/>
    <n v="2"/>
    <n v="82"/>
    <n v="29"/>
    <n v="99998229"/>
    <s v="00_Group"/>
    <x v="0"/>
    <s v="4c - global"/>
    <m/>
    <m/>
    <m/>
    <x v="0"/>
    <s v="Cost center"/>
    <x v="157"/>
    <x v="149"/>
    <x v="5"/>
    <s v="Include in HGB Group allocation"/>
  </r>
  <r>
    <s v="99998259"/>
    <s v="4flow-internal"/>
    <x v="1"/>
    <x v="8"/>
    <s v="4flow research"/>
    <s v="Innovation"/>
    <s v=""/>
    <n v="2"/>
    <n v="82"/>
    <n v="59"/>
    <n v="99998259"/>
    <s v="00_Group"/>
    <x v="3"/>
    <m/>
    <s v="Transport order data analyze and visualization process and tool"/>
    <m/>
    <m/>
    <x v="0"/>
    <s v="Cost center"/>
    <x v="158"/>
    <x v="150"/>
    <x v="3"/>
    <s v="Include in HGB Group allocation"/>
  </r>
  <r>
    <s v="99998319"/>
    <s v="4flow-internal"/>
    <x v="1"/>
    <x v="8"/>
    <s v="4flow software"/>
    <m/>
    <s v=""/>
    <n v="2"/>
    <n v="61"/>
    <n v="11"/>
    <s v="99998319"/>
    <s v="00_Group"/>
    <x v="4"/>
    <s v="PG vTMS-4m"/>
    <s v="vTMS-4m_concept and development"/>
    <m/>
    <m/>
    <x v="0"/>
    <s v="Cost center"/>
    <x v="159"/>
    <x v="151"/>
    <x v="4"/>
    <s v="Include in HGB Group allocation"/>
  </r>
  <r>
    <s v="99998329"/>
    <s v="4flow-internal"/>
    <x v="1"/>
    <x v="8"/>
    <m/>
    <m/>
    <s v=""/>
    <n v="2"/>
    <n v="83"/>
    <n v="29"/>
    <s v="99998329"/>
    <s v="00_Group"/>
    <x v="0"/>
    <s v="4c - global"/>
    <s v="Data Driven consulting"/>
    <m/>
    <m/>
    <x v="0"/>
    <s v="Cost center"/>
    <x v="160"/>
    <x v="152"/>
    <x v="3"/>
    <s v="Include in HGB Group allocation"/>
  </r>
  <r>
    <s v="99998519"/>
    <s v="4flow-internal"/>
    <x v="1"/>
    <x v="8"/>
    <s v="4flow software"/>
    <m/>
    <s v=""/>
    <n v="2"/>
    <n v="71"/>
    <n v="11"/>
    <s v="99998519"/>
    <s v="00_Group"/>
    <x v="4"/>
    <s v="PG E2E"/>
    <s v="E2E-Platform_concept and development"/>
    <m/>
    <m/>
    <x v="0"/>
    <s v="Cost center"/>
    <x v="161"/>
    <x v="153"/>
    <x v="4"/>
    <s v="Include in HGB Group allocation"/>
  </r>
  <r>
    <s v="99998556"/>
    <s v="4flow-internal"/>
    <x v="1"/>
    <x v="8"/>
    <s v="4flow research"/>
    <m/>
    <s v=""/>
    <n v="2"/>
    <n v="85"/>
    <n v="56"/>
    <s v="99998556"/>
    <s v="00_Group"/>
    <x v="3"/>
    <m/>
    <s v="Trendmonitor"/>
    <m/>
    <m/>
    <x v="0"/>
    <s v="Cost center"/>
    <x v="162"/>
    <x v="154"/>
    <x v="3"/>
    <s v="Include in HGB Group allocation"/>
  </r>
  <r>
    <s v="99998656"/>
    <s v="4flow-internal"/>
    <x v="1"/>
    <x v="8"/>
    <s v="4flow research"/>
    <m/>
    <s v=""/>
    <n v="2"/>
    <n v="86"/>
    <n v="56"/>
    <s v="99998656"/>
    <s v="00_Group"/>
    <x v="3"/>
    <m/>
    <s v="Knowledge Management with Large Language Models"/>
    <m/>
    <m/>
    <x v="0"/>
    <s v="Cost center"/>
    <x v="163"/>
    <x v="155"/>
    <x v="3"/>
    <s v="Include in HGB Group allocation"/>
  </r>
  <r>
    <s v="0"/>
    <s v="4flow-internal"/>
    <x v="1"/>
    <x v="8"/>
    <s v="4flow management"/>
    <s v="iTMS"/>
    <s v=""/>
    <n v="2"/>
    <n v="60"/>
    <n v="47"/>
    <m/>
    <s v="00_Group"/>
    <x v="1"/>
    <s v="SPM"/>
    <m/>
    <m/>
    <m/>
    <x v="0"/>
    <s v="Cost center"/>
    <x v="164"/>
    <x v="156"/>
    <x v="7"/>
    <s v="Include in HGB Group allocation"/>
  </r>
  <r>
    <s v="0"/>
    <s v="4flow-internal"/>
    <x v="1"/>
    <x v="8"/>
    <s v="4flow research"/>
    <s v="Innovation"/>
    <s v=""/>
    <n v="2"/>
    <n v="83"/>
    <n v="59"/>
    <m/>
    <s v="00_Group"/>
    <x v="3"/>
    <m/>
    <m/>
    <m/>
    <m/>
    <x v="0"/>
    <s v="Cost center"/>
    <x v="165"/>
    <x v="157"/>
    <x v="3"/>
    <s v="Include in HGB Group allocation"/>
  </r>
  <r>
    <s v="0"/>
    <s v="4flow-internal"/>
    <x v="1"/>
    <x v="8"/>
    <s v="4flow research"/>
    <s v="Innovation"/>
    <s v=""/>
    <n v="2"/>
    <n v="84"/>
    <n v="59"/>
    <m/>
    <s v="00_Group"/>
    <x v="3"/>
    <m/>
    <m/>
    <m/>
    <m/>
    <x v="0"/>
    <s v="Cost center"/>
    <x v="166"/>
    <x v="158"/>
    <x v="3"/>
    <s v="Include in HGB Group allocation"/>
  </r>
  <r>
    <s v="0"/>
    <s v="4flow-internal"/>
    <x v="1"/>
    <x v="8"/>
    <s v="4flow management"/>
    <s v="iTMS"/>
    <s v=""/>
    <n v="2"/>
    <n v="60"/>
    <n v="47"/>
    <m/>
    <s v="00_Group"/>
    <x v="1"/>
    <s v="SPM"/>
    <m/>
    <m/>
    <m/>
    <x v="0"/>
    <s v="Cost center"/>
    <x v="164"/>
    <x v="156"/>
    <x v="6"/>
    <s v="Include in HGB Group allocation"/>
  </r>
  <r>
    <s v="0"/>
    <m/>
    <x v="0"/>
    <x v="0"/>
    <m/>
    <m/>
    <m/>
    <n v="9963"/>
    <n v="2"/>
    <n v="2"/>
    <m/>
    <s v="01_SE"/>
    <x v="0"/>
    <m/>
    <m/>
    <m/>
    <m/>
    <x v="0"/>
    <s v="Project"/>
    <x v="167"/>
    <x v="0"/>
    <x v="0"/>
    <s v="Exclude in HGB Group allocation"/>
  </r>
  <r>
    <s v="99630213"/>
    <m/>
    <x v="0"/>
    <x v="0"/>
    <m/>
    <m/>
    <m/>
    <n v="9963"/>
    <n v="2"/>
    <n v="1"/>
    <s v="99630213"/>
    <s v="01_SE"/>
    <x v="4"/>
    <m/>
    <m/>
    <m/>
    <m/>
    <x v="0"/>
    <s v="Project"/>
    <x v="168"/>
    <x v="0"/>
    <x v="17"/>
    <s v="Exclude in HGB Group allocation"/>
  </r>
  <r>
    <s v="99630411"/>
    <m/>
    <x v="0"/>
    <x v="0"/>
    <m/>
    <m/>
    <m/>
    <n v="9963"/>
    <n v="4"/>
    <n v="1"/>
    <s v="99630411"/>
    <s v="01_SE"/>
    <x v="4"/>
    <m/>
    <m/>
    <m/>
    <m/>
    <x v="0"/>
    <s v="Project"/>
    <x v="169"/>
    <x v="0"/>
    <x v="18"/>
    <s v="Exclude in HGB Group allocation"/>
  </r>
  <r>
    <s v="99630416"/>
    <m/>
    <x v="0"/>
    <x v="0"/>
    <m/>
    <m/>
    <m/>
    <n v="9963"/>
    <n v="4"/>
    <n v="1"/>
    <s v="99630416"/>
    <s v="01_SE"/>
    <x v="4"/>
    <m/>
    <m/>
    <m/>
    <m/>
    <x v="0"/>
    <s v="Project"/>
    <x v="169"/>
    <x v="0"/>
    <x v="19"/>
    <s v="Exclude in HGB Group allocation"/>
  </r>
  <r>
    <s v="99630613"/>
    <m/>
    <x v="0"/>
    <x v="0"/>
    <m/>
    <m/>
    <m/>
    <n v="9963"/>
    <n v="6"/>
    <n v="1"/>
    <s v="99630613"/>
    <s v="01_SE"/>
    <x v="4"/>
    <m/>
    <m/>
    <m/>
    <m/>
    <x v="0"/>
    <s v="Project"/>
    <x v="170"/>
    <x v="0"/>
    <x v="17"/>
    <s v="Exclude in HGB Group allocation"/>
  </r>
  <r>
    <s v="99968113"/>
    <m/>
    <x v="0"/>
    <x v="0"/>
    <m/>
    <m/>
    <m/>
    <n v="9963"/>
    <n v="6"/>
    <n v="1"/>
    <s v="99968113"/>
    <s v="01_SE"/>
    <x v="4"/>
    <m/>
    <m/>
    <m/>
    <m/>
    <x v="0"/>
    <s v="Project"/>
    <x v="170"/>
    <x v="0"/>
    <x v="17"/>
    <s v="Exclude in HGB Group allocation"/>
  </r>
  <r>
    <s v="99630713"/>
    <m/>
    <x v="0"/>
    <x v="0"/>
    <m/>
    <m/>
    <m/>
    <n v="9963"/>
    <n v="7"/>
    <n v="1"/>
    <s v="99630713"/>
    <s v="01_SE"/>
    <x v="4"/>
    <m/>
    <m/>
    <m/>
    <m/>
    <x v="0"/>
    <s v="Project"/>
    <x v="171"/>
    <x v="0"/>
    <x v="17"/>
    <s v="Exclude in HGB Group allocation"/>
  </r>
  <r>
    <s v="99630813"/>
    <m/>
    <x v="0"/>
    <x v="0"/>
    <m/>
    <m/>
    <m/>
    <n v="9963"/>
    <n v="8"/>
    <n v="1"/>
    <s v="99630813"/>
    <s v="01_SE"/>
    <x v="4"/>
    <m/>
    <m/>
    <m/>
    <m/>
    <x v="0"/>
    <s v="Project"/>
    <x v="172"/>
    <x v="0"/>
    <x v="17"/>
    <s v="Exclude in HGB Group allocation"/>
  </r>
  <r>
    <s v="99630911"/>
    <m/>
    <x v="0"/>
    <x v="0"/>
    <m/>
    <m/>
    <m/>
    <n v="9963"/>
    <n v="9"/>
    <n v="1"/>
    <s v="99630911"/>
    <s v="01_SE"/>
    <x v="4"/>
    <m/>
    <m/>
    <m/>
    <m/>
    <x v="0"/>
    <s v="Project"/>
    <x v="173"/>
    <x v="0"/>
    <x v="18"/>
    <s v="Exclude in HGB Group allocation"/>
  </r>
  <r>
    <s v="0"/>
    <m/>
    <x v="0"/>
    <x v="0"/>
    <m/>
    <m/>
    <m/>
    <n v="9963"/>
    <n v="10"/>
    <n v="4"/>
    <m/>
    <s v="09_Ltda"/>
    <x v="1"/>
    <m/>
    <m/>
    <m/>
    <m/>
    <x v="0"/>
    <s v="Project"/>
    <x v="174"/>
    <x v="0"/>
    <x v="2"/>
    <s v="Exclude in HGB Group allocation"/>
  </r>
  <r>
    <s v="99631111"/>
    <m/>
    <x v="0"/>
    <x v="0"/>
    <m/>
    <m/>
    <m/>
    <n v="9963"/>
    <n v="11"/>
    <n v="1"/>
    <s v="99631111"/>
    <s v="01_SE"/>
    <x v="4"/>
    <m/>
    <m/>
    <m/>
    <m/>
    <x v="0"/>
    <s v="Project"/>
    <x v="175"/>
    <x v="0"/>
    <x v="18"/>
    <s v="Exclude in HGB Group allocation"/>
  </r>
  <r>
    <s v="99631113"/>
    <m/>
    <x v="0"/>
    <x v="0"/>
    <m/>
    <m/>
    <m/>
    <n v="9963"/>
    <n v="11"/>
    <n v="1"/>
    <s v="99631113"/>
    <s v="01_SE"/>
    <x v="4"/>
    <m/>
    <m/>
    <m/>
    <m/>
    <x v="0"/>
    <s v="Project"/>
    <x v="175"/>
    <x v="0"/>
    <x v="17"/>
    <s v="Exclude in HGB Group allocation"/>
  </r>
  <r>
    <s v="99631213"/>
    <m/>
    <x v="0"/>
    <x v="0"/>
    <m/>
    <m/>
    <m/>
    <n v="9963"/>
    <n v="12"/>
    <n v="1"/>
    <s v="99631213"/>
    <s v="01_SE"/>
    <x v="4"/>
    <m/>
    <m/>
    <m/>
    <m/>
    <x v="0"/>
    <s v="Project"/>
    <x v="176"/>
    <x v="0"/>
    <x v="17"/>
    <s v="Exclude in HGB Group allocation"/>
  </r>
  <r>
    <s v="0"/>
    <m/>
    <x v="0"/>
    <x v="0"/>
    <m/>
    <m/>
    <m/>
    <n v="9981"/>
    <n v="2"/>
    <n v="2"/>
    <m/>
    <s v="02_GmbH"/>
    <x v="0"/>
    <m/>
    <m/>
    <m/>
    <m/>
    <x v="0"/>
    <s v="Project"/>
    <x v="177"/>
    <x v="0"/>
    <x v="0"/>
    <s v="Exclude in HGB Group allocation"/>
  </r>
  <r>
    <s v="99850811"/>
    <m/>
    <x v="0"/>
    <x v="0"/>
    <m/>
    <m/>
    <m/>
    <n v="9985"/>
    <n v="8"/>
    <n v="1"/>
    <s v="99850811"/>
    <s v="01_SE"/>
    <x v="4"/>
    <m/>
    <m/>
    <m/>
    <m/>
    <x v="0"/>
    <s v="Project"/>
    <x v="178"/>
    <x v="0"/>
    <x v="18"/>
    <s v="Exclude in HGB Group allocation"/>
  </r>
  <r>
    <s v="99896311"/>
    <m/>
    <x v="0"/>
    <x v="0"/>
    <m/>
    <m/>
    <m/>
    <n v="9989"/>
    <n v="63"/>
    <n v="1"/>
    <s v="99896311"/>
    <s v="01_SE"/>
    <x v="4"/>
    <m/>
    <m/>
    <m/>
    <m/>
    <x v="0"/>
    <s v="Project"/>
    <x v="179"/>
    <x v="0"/>
    <x v="18"/>
    <s v="Exclude in HGB Group allocation"/>
  </r>
  <r>
    <s v="99896316"/>
    <m/>
    <x v="0"/>
    <x v="0"/>
    <m/>
    <m/>
    <m/>
    <n v="9989"/>
    <n v="63"/>
    <n v="1"/>
    <s v="99896316"/>
    <s v="01_SE"/>
    <x v="4"/>
    <m/>
    <m/>
    <m/>
    <m/>
    <x v="0"/>
    <s v="Project"/>
    <x v="179"/>
    <x v="0"/>
    <x v="19"/>
    <s v="Exclude in HGB Group allocation"/>
  </r>
  <r>
    <s v="99896611"/>
    <m/>
    <x v="0"/>
    <x v="0"/>
    <m/>
    <m/>
    <m/>
    <n v="9989"/>
    <n v="66"/>
    <n v="1"/>
    <s v="99896611"/>
    <s v="01_SE"/>
    <x v="4"/>
    <m/>
    <m/>
    <m/>
    <m/>
    <x v="0"/>
    <s v="Project"/>
    <x v="180"/>
    <x v="0"/>
    <x v="18"/>
    <s v="Exclude in HGB Group allocation"/>
  </r>
  <r>
    <s v="99896613"/>
    <m/>
    <x v="0"/>
    <x v="0"/>
    <m/>
    <m/>
    <m/>
    <n v="9989"/>
    <n v="66"/>
    <n v="1"/>
    <s v="99896613"/>
    <s v="01_SE"/>
    <x v="4"/>
    <m/>
    <m/>
    <m/>
    <m/>
    <x v="0"/>
    <s v="Project"/>
    <x v="180"/>
    <x v="0"/>
    <x v="17"/>
    <s v="Exclude in HGB Group allocation"/>
  </r>
  <r>
    <s v="99897211"/>
    <m/>
    <x v="0"/>
    <x v="0"/>
    <m/>
    <m/>
    <m/>
    <n v="9989"/>
    <n v="72"/>
    <n v="1"/>
    <s v="99897211"/>
    <s v="01_SE"/>
    <x v="4"/>
    <m/>
    <m/>
    <m/>
    <m/>
    <x v="0"/>
    <s v="Project"/>
    <x v="181"/>
    <x v="0"/>
    <x v="18"/>
    <s v="Exclude in HGB Group allocation"/>
  </r>
  <r>
    <s v="99899411"/>
    <m/>
    <x v="0"/>
    <x v="0"/>
    <m/>
    <m/>
    <m/>
    <n v="9989"/>
    <n v="94"/>
    <n v="1"/>
    <s v="99899411"/>
    <s v="01_SE"/>
    <x v="4"/>
    <m/>
    <m/>
    <m/>
    <m/>
    <x v="0"/>
    <s v="Project"/>
    <x v="182"/>
    <x v="0"/>
    <x v="18"/>
    <s v="Exclude in HGB Group allocation"/>
  </r>
  <r>
    <s v="99899413"/>
    <m/>
    <x v="0"/>
    <x v="0"/>
    <m/>
    <m/>
    <m/>
    <n v="9989"/>
    <n v="94"/>
    <n v="1"/>
    <s v="99899413"/>
    <s v="01_SE"/>
    <x v="4"/>
    <m/>
    <m/>
    <m/>
    <m/>
    <x v="0"/>
    <s v="Project"/>
    <x v="182"/>
    <x v="0"/>
    <x v="17"/>
    <s v="Exclude in HGB Group allocation"/>
  </r>
  <r>
    <s v="99968213"/>
    <m/>
    <x v="0"/>
    <x v="0"/>
    <m/>
    <m/>
    <m/>
    <n v="9989"/>
    <n v="66"/>
    <n v="1"/>
    <s v="99968213"/>
    <s v="01_SE"/>
    <x v="4"/>
    <m/>
    <m/>
    <m/>
    <m/>
    <x v="0"/>
    <s v="Project"/>
    <x v="180"/>
    <x v="0"/>
    <x v="17"/>
    <s v="Exclude in HGB Group allocation"/>
  </r>
  <r>
    <s v="99952816"/>
    <m/>
    <x v="0"/>
    <x v="0"/>
    <m/>
    <m/>
    <m/>
    <n v="9995"/>
    <n v="28"/>
    <n v="1"/>
    <s v="99952816"/>
    <s v="01_SE"/>
    <x v="4"/>
    <m/>
    <m/>
    <m/>
    <m/>
    <x v="0"/>
    <s v="Project"/>
    <x v="183"/>
    <x v="0"/>
    <x v="19"/>
    <s v="Exclude in HGB Group allocation"/>
  </r>
  <r>
    <s v="99955211"/>
    <m/>
    <x v="0"/>
    <x v="0"/>
    <m/>
    <m/>
    <m/>
    <n v="9995"/>
    <n v="52"/>
    <n v="1"/>
    <s v="99955211"/>
    <s v="01_SE"/>
    <x v="4"/>
    <m/>
    <m/>
    <m/>
    <m/>
    <x v="0"/>
    <s v="Project"/>
    <x v="184"/>
    <x v="0"/>
    <x v="18"/>
    <s v="Exclude in HGB Group allocation"/>
  </r>
  <r>
    <s v="99955216"/>
    <m/>
    <x v="0"/>
    <x v="0"/>
    <m/>
    <m/>
    <m/>
    <n v="9995"/>
    <n v="52"/>
    <n v="1"/>
    <s v="99955216"/>
    <s v="01_SE"/>
    <x v="4"/>
    <m/>
    <m/>
    <m/>
    <m/>
    <x v="0"/>
    <s v="Project"/>
    <x v="184"/>
    <x v="0"/>
    <x v="19"/>
    <s v="Exclude in HGB Group allocation"/>
  </r>
  <r>
    <s v="99956113"/>
    <m/>
    <x v="0"/>
    <x v="0"/>
    <m/>
    <m/>
    <m/>
    <n v="9995"/>
    <n v="61"/>
    <n v="1"/>
    <s v="99956113"/>
    <s v="01_SE"/>
    <x v="4"/>
    <m/>
    <m/>
    <m/>
    <m/>
    <x v="0"/>
    <s v="Project"/>
    <x v="185"/>
    <x v="0"/>
    <x v="17"/>
    <s v="Exclude in HGB Group allocation"/>
  </r>
  <r>
    <s v="99957713"/>
    <m/>
    <x v="0"/>
    <x v="0"/>
    <m/>
    <m/>
    <m/>
    <n v="9995"/>
    <n v="77"/>
    <n v="1"/>
    <s v="99957713"/>
    <s v="01_SE"/>
    <x v="4"/>
    <m/>
    <m/>
    <m/>
    <m/>
    <x v="0"/>
    <s v="Project"/>
    <x v="186"/>
    <x v="0"/>
    <x v="17"/>
    <s v="Exclude in HGB Group allocation"/>
  </r>
  <r>
    <s v="99631311"/>
    <m/>
    <x v="0"/>
    <x v="0"/>
    <m/>
    <m/>
    <m/>
    <n v="9963"/>
    <n v="13"/>
    <n v="1"/>
    <s v="99631311"/>
    <s v="01_SE"/>
    <x v="4"/>
    <m/>
    <m/>
    <m/>
    <m/>
    <x v="0"/>
    <s v="Project"/>
    <x v="187"/>
    <x v="0"/>
    <x v="18"/>
    <s v="Exclude in HGB Group allocation"/>
  </r>
  <r>
    <s v="0"/>
    <m/>
    <x v="0"/>
    <x v="0"/>
    <m/>
    <m/>
    <m/>
    <n v="6600"/>
    <n v="2"/>
    <n v="1"/>
    <m/>
    <s v="01_SE"/>
    <x v="4"/>
    <m/>
    <m/>
    <m/>
    <m/>
    <x v="0"/>
    <s v="Project"/>
    <x v="188"/>
    <x v="0"/>
    <x v="18"/>
    <s v="Exclude in HGB Group allocation"/>
  </r>
  <r>
    <s v="0"/>
    <m/>
    <x v="0"/>
    <x v="0"/>
    <m/>
    <m/>
    <m/>
    <n v="6600"/>
    <n v="2"/>
    <n v="1"/>
    <m/>
    <s v="01_SE"/>
    <x v="4"/>
    <m/>
    <m/>
    <m/>
    <m/>
    <x v="0"/>
    <s v="Project"/>
    <x v="188"/>
    <x v="0"/>
    <x v="19"/>
    <s v="Exclude in HGB Group allocation"/>
  </r>
  <r>
    <s v="0"/>
    <m/>
    <x v="0"/>
    <x v="0"/>
    <m/>
    <m/>
    <m/>
    <n v="6604"/>
    <n v="4"/>
    <n v="2"/>
    <m/>
    <s v="01_SE"/>
    <x v="0"/>
    <m/>
    <m/>
    <m/>
    <m/>
    <x v="0"/>
    <s v="Project"/>
    <x v="189"/>
    <x v="0"/>
    <x v="0"/>
    <s v="Exclude in HGB Group allocation"/>
  </r>
  <r>
    <s v="0"/>
    <m/>
    <x v="0"/>
    <x v="0"/>
    <m/>
    <m/>
    <m/>
    <n v="6606"/>
    <n v="8"/>
    <n v="2"/>
    <m/>
    <s v="05_Shg"/>
    <x v="0"/>
    <m/>
    <m/>
    <m/>
    <m/>
    <x v="0"/>
    <s v="Project"/>
    <x v="190"/>
    <x v="0"/>
    <x v="0"/>
    <s v="Exclude in HGB Group allocation"/>
  </r>
  <r>
    <s v="0"/>
    <m/>
    <x v="0"/>
    <x v="0"/>
    <m/>
    <m/>
    <m/>
    <n v="4010"/>
    <n v="3"/>
    <n v="2"/>
    <m/>
    <s v="01_SE"/>
    <x v="0"/>
    <m/>
    <m/>
    <m/>
    <m/>
    <x v="0"/>
    <s v="Project"/>
    <x v="191"/>
    <x v="0"/>
    <x v="0"/>
    <s v="Exclude in HGB Group allocation"/>
  </r>
  <r>
    <s v="0"/>
    <m/>
    <x v="0"/>
    <x v="0"/>
    <m/>
    <m/>
    <m/>
    <n v="4010"/>
    <n v="2"/>
    <n v="2"/>
    <m/>
    <s v="01_SE"/>
    <x v="0"/>
    <m/>
    <m/>
    <m/>
    <m/>
    <x v="0"/>
    <s v="Project"/>
    <x v="192"/>
    <x v="0"/>
    <x v="0"/>
    <s v="Exclude in HGB Group allocation"/>
  </r>
  <r>
    <s v="20450643"/>
    <m/>
    <x v="0"/>
    <x v="0"/>
    <m/>
    <m/>
    <m/>
    <n v="2045"/>
    <n v="6"/>
    <n v="4"/>
    <s v="20450643"/>
    <s v="02_GmbH"/>
    <x v="1"/>
    <m/>
    <m/>
    <m/>
    <m/>
    <x v="0"/>
    <s v="Project"/>
    <x v="193"/>
    <x v="0"/>
    <x v="1"/>
    <s v="Exclude in HGB Group allocation"/>
  </r>
  <r>
    <s v="20450644"/>
    <m/>
    <x v="0"/>
    <x v="0"/>
    <m/>
    <m/>
    <m/>
    <n v="2045"/>
    <n v="6"/>
    <n v="4"/>
    <s v="20450644"/>
    <s v="02_GmbH"/>
    <x v="1"/>
    <m/>
    <m/>
    <m/>
    <m/>
    <x v="0"/>
    <s v="Project"/>
    <x v="193"/>
    <x v="0"/>
    <x v="2"/>
    <s v="Exclude in HGB Group allocation"/>
  </r>
  <r>
    <s v="20450647"/>
    <m/>
    <x v="0"/>
    <x v="0"/>
    <m/>
    <m/>
    <m/>
    <n v="2045"/>
    <n v="6"/>
    <n v="4"/>
    <s v="20450647"/>
    <s v="02_GmbH"/>
    <x v="1"/>
    <m/>
    <m/>
    <m/>
    <m/>
    <x v="0"/>
    <s v="Project"/>
    <x v="193"/>
    <x v="0"/>
    <x v="20"/>
    <s v="Exclude in HGB Group allocation"/>
  </r>
  <r>
    <s v="20450648"/>
    <m/>
    <x v="0"/>
    <x v="0"/>
    <m/>
    <m/>
    <m/>
    <n v="2045"/>
    <n v="6"/>
    <n v="4"/>
    <s v="20450648"/>
    <s v="02_GmbH"/>
    <x v="1"/>
    <m/>
    <m/>
    <m/>
    <m/>
    <x v="0"/>
    <s v="Project"/>
    <x v="193"/>
    <x v="0"/>
    <x v="1"/>
    <s v="Exclude in HGB Group allocation"/>
  </r>
  <r>
    <s v="20451744"/>
    <m/>
    <x v="0"/>
    <x v="0"/>
    <m/>
    <m/>
    <m/>
    <n v="2045"/>
    <n v="17"/>
    <n v="4"/>
    <s v="20451744"/>
    <s v="02_GmbH"/>
    <x v="1"/>
    <m/>
    <m/>
    <m/>
    <m/>
    <x v="0"/>
    <s v="Project"/>
    <x v="194"/>
    <x v="0"/>
    <x v="21"/>
    <s v="Exclude in HGB Group allocation"/>
  </r>
  <r>
    <s v="20251944"/>
    <m/>
    <x v="0"/>
    <x v="0"/>
    <m/>
    <m/>
    <m/>
    <n v="2045"/>
    <n v="19"/>
    <n v="4"/>
    <n v="20251944"/>
    <s v="02_GmbH"/>
    <x v="1"/>
    <m/>
    <m/>
    <m/>
    <m/>
    <x v="0"/>
    <s v="Project"/>
    <x v="195"/>
    <x v="0"/>
    <x v="2"/>
    <s v="Exclude in HGB Group allocation"/>
  </r>
  <r>
    <s v="99881643"/>
    <m/>
    <x v="0"/>
    <x v="0"/>
    <m/>
    <m/>
    <m/>
    <n v="2045"/>
    <n v="6"/>
    <n v="4"/>
    <s v="99881643"/>
    <s v="02_GmbH"/>
    <x v="1"/>
    <m/>
    <m/>
    <m/>
    <m/>
    <x v="0"/>
    <s v="Project"/>
    <x v="193"/>
    <x v="0"/>
    <x v="1"/>
    <s v="Exclude in HGB Group allocation"/>
  </r>
  <r>
    <s v="99881644"/>
    <m/>
    <x v="0"/>
    <x v="0"/>
    <m/>
    <m/>
    <m/>
    <n v="2045"/>
    <n v="6"/>
    <n v="4"/>
    <s v="99881644"/>
    <s v="02_GmbH"/>
    <x v="1"/>
    <m/>
    <m/>
    <m/>
    <m/>
    <x v="0"/>
    <s v="Project"/>
    <x v="193"/>
    <x v="0"/>
    <x v="2"/>
    <s v="Exclude in HGB Group allocation"/>
  </r>
  <r>
    <s v="20340628"/>
    <m/>
    <x v="0"/>
    <x v="0"/>
    <m/>
    <m/>
    <m/>
    <n v="2034"/>
    <n v="6"/>
    <n v="2"/>
    <s v="20340628"/>
    <s v="01_SE"/>
    <x v="0"/>
    <m/>
    <m/>
    <m/>
    <m/>
    <x v="0"/>
    <s v="Project"/>
    <x v="196"/>
    <x v="0"/>
    <x v="0"/>
    <s v="Exclude in HGB Group allocation"/>
  </r>
  <r>
    <s v="0"/>
    <m/>
    <x v="0"/>
    <x v="0"/>
    <m/>
    <m/>
    <m/>
    <n v="2045"/>
    <n v="18"/>
    <n v="2"/>
    <m/>
    <s v="01_SE"/>
    <x v="0"/>
    <m/>
    <m/>
    <m/>
    <m/>
    <x v="0"/>
    <s v="Project"/>
    <x v="197"/>
    <x v="0"/>
    <x v="0"/>
    <s v="Exclude in HGB Group allocation"/>
  </r>
  <r>
    <s v="0"/>
    <m/>
    <x v="0"/>
    <x v="0"/>
    <m/>
    <m/>
    <m/>
    <n v="2045"/>
    <n v="18"/>
    <n v="2"/>
    <m/>
    <s v="01_SE"/>
    <x v="0"/>
    <m/>
    <m/>
    <m/>
    <m/>
    <x v="0"/>
    <s v="Project"/>
    <x v="197"/>
    <x v="0"/>
    <x v="0"/>
    <s v="Exclude in HGB Group allocation"/>
  </r>
  <r>
    <s v="99631413"/>
    <m/>
    <x v="0"/>
    <x v="0"/>
    <m/>
    <m/>
    <m/>
    <n v="9963"/>
    <n v="14"/>
    <n v="1"/>
    <s v="99631413"/>
    <s v="01_SE"/>
    <x v="4"/>
    <m/>
    <m/>
    <m/>
    <m/>
    <x v="0"/>
    <s v="Project"/>
    <x v="198"/>
    <x v="0"/>
    <x v="17"/>
    <s v="Exclude in HGB Group allocation"/>
  </r>
  <r>
    <s v="99881911"/>
    <m/>
    <x v="0"/>
    <x v="0"/>
    <m/>
    <m/>
    <m/>
    <n v="9988"/>
    <n v="19"/>
    <n v="1"/>
    <s v="99881911"/>
    <s v="01_SE"/>
    <x v="4"/>
    <m/>
    <m/>
    <m/>
    <m/>
    <x v="0"/>
    <s v="Project"/>
    <x v="199"/>
    <x v="0"/>
    <x v="18"/>
    <s v="Exclude in HGB Group allocation"/>
  </r>
  <r>
    <s v="99932711"/>
    <m/>
    <x v="0"/>
    <x v="0"/>
    <m/>
    <m/>
    <m/>
    <n v="9988"/>
    <n v="19"/>
    <n v="1"/>
    <s v="99932711"/>
    <s v="01_SE"/>
    <x v="4"/>
    <m/>
    <m/>
    <m/>
    <m/>
    <x v="0"/>
    <s v="Project"/>
    <x v="199"/>
    <x v="0"/>
    <x v="18"/>
    <s v="Exclude in HGB Group allocation"/>
  </r>
  <r>
    <s v="99892513"/>
    <m/>
    <x v="0"/>
    <x v="0"/>
    <m/>
    <m/>
    <m/>
    <n v="9989"/>
    <n v="25"/>
    <n v="1"/>
    <s v="99892513"/>
    <s v="01_SE"/>
    <x v="4"/>
    <m/>
    <m/>
    <m/>
    <m/>
    <x v="0"/>
    <s v="Project"/>
    <x v="200"/>
    <x v="0"/>
    <x v="17"/>
    <s v="Exclude in HGB Group allocation"/>
  </r>
  <r>
    <s v="99893611"/>
    <m/>
    <x v="0"/>
    <x v="0"/>
    <m/>
    <m/>
    <m/>
    <n v="9989"/>
    <n v="36"/>
    <n v="1"/>
    <s v="99893611"/>
    <s v="01_SE"/>
    <x v="4"/>
    <m/>
    <m/>
    <m/>
    <m/>
    <x v="0"/>
    <s v="Project"/>
    <x v="201"/>
    <x v="0"/>
    <x v="18"/>
    <s v="Exclude in HGB Group allocation"/>
  </r>
  <r>
    <s v="99953913"/>
    <m/>
    <x v="0"/>
    <x v="0"/>
    <m/>
    <m/>
    <m/>
    <n v="9995"/>
    <n v="39"/>
    <n v="1"/>
    <s v="99953913"/>
    <s v="01_SE"/>
    <x v="4"/>
    <m/>
    <m/>
    <m/>
    <m/>
    <x v="0"/>
    <s v="Project"/>
    <x v="202"/>
    <x v="0"/>
    <x v="17"/>
    <s v="Exclude in HGB Group allocation"/>
  </r>
  <r>
    <s v="99956613"/>
    <m/>
    <x v="0"/>
    <x v="0"/>
    <m/>
    <m/>
    <m/>
    <n v="9995"/>
    <n v="66"/>
    <n v="1"/>
    <s v="99956613"/>
    <s v="01_SE"/>
    <x v="4"/>
    <m/>
    <m/>
    <m/>
    <m/>
    <x v="0"/>
    <s v="Project"/>
    <x v="203"/>
    <x v="0"/>
    <x v="17"/>
    <s v="Exclude in HGB Group allocation"/>
  </r>
  <r>
    <s v="0"/>
    <m/>
    <x v="0"/>
    <x v="0"/>
    <m/>
    <m/>
    <m/>
    <n v="6606"/>
    <n v="10"/>
    <n v="2"/>
    <m/>
    <s v="05_Shg"/>
    <x v="0"/>
    <m/>
    <m/>
    <m/>
    <m/>
    <x v="0"/>
    <s v="Project"/>
    <x v="204"/>
    <x v="0"/>
    <x v="0"/>
    <s v="Exclude in HGB Group allocation"/>
  </r>
  <r>
    <s v="0"/>
    <m/>
    <x v="0"/>
    <x v="0"/>
    <m/>
    <m/>
    <m/>
    <n v="6302"/>
    <n v="5"/>
    <n v="2"/>
    <m/>
    <s v="01_SE"/>
    <x v="0"/>
    <m/>
    <m/>
    <m/>
    <m/>
    <x v="0"/>
    <s v="Project"/>
    <x v="205"/>
    <x v="0"/>
    <x v="0"/>
    <s v="Exclude in HGB Group allocation"/>
  </r>
  <r>
    <s v="0"/>
    <m/>
    <x v="0"/>
    <x v="0"/>
    <m/>
    <m/>
    <m/>
    <n v="6302"/>
    <n v="6"/>
    <n v="2"/>
    <m/>
    <s v="01_SE"/>
    <x v="0"/>
    <m/>
    <m/>
    <m/>
    <m/>
    <x v="0"/>
    <s v="Project"/>
    <x v="206"/>
    <x v="0"/>
    <x v="0"/>
    <s v="Exclude in HGB Group allocation"/>
  </r>
  <r>
    <s v="0"/>
    <m/>
    <x v="0"/>
    <x v="0"/>
    <m/>
    <m/>
    <m/>
    <n v="6302"/>
    <n v="7"/>
    <n v="2"/>
    <m/>
    <s v="01_SE"/>
    <x v="0"/>
    <m/>
    <m/>
    <m/>
    <m/>
    <x v="0"/>
    <s v="Project"/>
    <x v="207"/>
    <x v="0"/>
    <x v="0"/>
    <s v="Exclude in HGB Group allocation"/>
  </r>
  <r>
    <s v="63020226"/>
    <m/>
    <x v="0"/>
    <x v="0"/>
    <m/>
    <m/>
    <m/>
    <n v="6302"/>
    <n v="2"/>
    <n v="2"/>
    <s v="63020226"/>
    <s v="01_SE"/>
    <x v="0"/>
    <m/>
    <m/>
    <m/>
    <m/>
    <x v="0"/>
    <s v="Project"/>
    <x v="208"/>
    <x v="0"/>
    <x v="0"/>
    <s v="Exclude in HGB Group allocation"/>
  </r>
  <r>
    <s v="63020328"/>
    <m/>
    <x v="0"/>
    <x v="0"/>
    <m/>
    <m/>
    <m/>
    <n v="6302"/>
    <n v="3"/>
    <n v="2"/>
    <s v="63020328"/>
    <s v="01_SE"/>
    <x v="0"/>
    <m/>
    <m/>
    <m/>
    <m/>
    <x v="0"/>
    <s v="Project"/>
    <x v="209"/>
    <x v="0"/>
    <x v="0"/>
    <s v="Exclude in HGB Group allocation"/>
  </r>
  <r>
    <s v="63020428"/>
    <m/>
    <x v="0"/>
    <x v="0"/>
    <m/>
    <m/>
    <m/>
    <n v="6302"/>
    <n v="4"/>
    <n v="2"/>
    <s v="63020428"/>
    <s v="01_SE"/>
    <x v="0"/>
    <m/>
    <m/>
    <m/>
    <m/>
    <x v="0"/>
    <s v="Project"/>
    <x v="210"/>
    <x v="0"/>
    <x v="0"/>
    <s v="Exclude in HGB Group allocation"/>
  </r>
  <r>
    <s v="99965328"/>
    <m/>
    <x v="0"/>
    <x v="0"/>
    <m/>
    <m/>
    <m/>
    <n v="6302"/>
    <n v="2"/>
    <n v="2"/>
    <s v="99965328"/>
    <s v="01_SE"/>
    <x v="0"/>
    <m/>
    <m/>
    <m/>
    <m/>
    <x v="0"/>
    <s v="Project"/>
    <x v="208"/>
    <x v="0"/>
    <x v="21"/>
    <s v="Exclude in HGB Group allocation"/>
  </r>
  <r>
    <s v="99967328"/>
    <m/>
    <x v="0"/>
    <x v="0"/>
    <m/>
    <m/>
    <m/>
    <n v="6302"/>
    <n v="4"/>
    <n v="2"/>
    <s v="99967328"/>
    <s v="01_SE"/>
    <x v="0"/>
    <m/>
    <m/>
    <m/>
    <m/>
    <x v="0"/>
    <s v="Project"/>
    <x v="210"/>
    <x v="0"/>
    <x v="0"/>
    <s v="Exclude in HGB Group allocation"/>
  </r>
  <r>
    <s v="60410228"/>
    <m/>
    <x v="0"/>
    <x v="0"/>
    <m/>
    <m/>
    <m/>
    <n v="6041"/>
    <n v="2"/>
    <n v="2"/>
    <s v="60410228"/>
    <s v="01_SE"/>
    <x v="0"/>
    <m/>
    <m/>
    <m/>
    <m/>
    <x v="0"/>
    <s v="Project"/>
    <x v="211"/>
    <x v="0"/>
    <x v="0"/>
    <s v="Exclude in HGB Group allocation"/>
  </r>
  <r>
    <s v="19710211"/>
    <m/>
    <x v="0"/>
    <x v="0"/>
    <m/>
    <m/>
    <m/>
    <n v="1971"/>
    <n v="2"/>
    <n v="1"/>
    <s v="19710211"/>
    <s v="07_Inc"/>
    <x v="4"/>
    <m/>
    <m/>
    <m/>
    <m/>
    <x v="0"/>
    <s v="Project"/>
    <x v="212"/>
    <x v="0"/>
    <x v="18"/>
    <s v="Exclude in HGB Group allocation"/>
  </r>
  <r>
    <s v="19710212"/>
    <m/>
    <x v="0"/>
    <x v="0"/>
    <m/>
    <m/>
    <m/>
    <n v="1971"/>
    <n v="2"/>
    <n v="1"/>
    <s v="19710212"/>
    <s v="07_Inc"/>
    <x v="4"/>
    <m/>
    <m/>
    <m/>
    <m/>
    <x v="0"/>
    <s v="Project"/>
    <x v="212"/>
    <x v="0"/>
    <x v="18"/>
    <s v="Exclude in HGB Group allocation"/>
  </r>
  <r>
    <s v="99860811"/>
    <m/>
    <x v="0"/>
    <x v="0"/>
    <m/>
    <m/>
    <m/>
    <n v="1971"/>
    <n v="2"/>
    <n v="1"/>
    <s v="99860811"/>
    <s v="07_Inc"/>
    <x v="4"/>
    <m/>
    <m/>
    <m/>
    <m/>
    <x v="0"/>
    <s v="Project"/>
    <x v="212"/>
    <x v="0"/>
    <x v="18"/>
    <s v="Exclude in HGB Group allocation"/>
  </r>
  <r>
    <s v="99860812"/>
    <m/>
    <x v="0"/>
    <x v="0"/>
    <m/>
    <m/>
    <m/>
    <n v="1971"/>
    <n v="2"/>
    <n v="1"/>
    <s v="99860812"/>
    <s v="07_Inc"/>
    <x v="4"/>
    <m/>
    <m/>
    <m/>
    <m/>
    <x v="0"/>
    <s v="Project"/>
    <x v="212"/>
    <x v="0"/>
    <x v="18"/>
    <s v="Exclude in HGB Group allocation"/>
  </r>
  <r>
    <s v="99931411"/>
    <m/>
    <x v="0"/>
    <x v="0"/>
    <m/>
    <m/>
    <m/>
    <n v="1971"/>
    <n v="2"/>
    <n v="1"/>
    <s v="99931411"/>
    <s v="07_Inc"/>
    <x v="4"/>
    <m/>
    <m/>
    <m/>
    <m/>
    <x v="0"/>
    <s v="Project"/>
    <x v="212"/>
    <x v="0"/>
    <x v="18"/>
    <s v="Exclude in HGB Group allocation"/>
  </r>
  <r>
    <s v="0"/>
    <m/>
    <x v="0"/>
    <x v="0"/>
    <m/>
    <m/>
    <m/>
    <n v="1973"/>
    <n v="2"/>
    <n v="2"/>
    <m/>
    <s v="01_SE"/>
    <x v="0"/>
    <m/>
    <m/>
    <m/>
    <m/>
    <x v="0"/>
    <s v="Project"/>
    <x v="213"/>
    <x v="0"/>
    <x v="0"/>
    <s v="Exclude in HGB Group allocation"/>
  </r>
  <r>
    <s v="0"/>
    <m/>
    <x v="0"/>
    <x v="0"/>
    <m/>
    <m/>
    <m/>
    <n v="9964"/>
    <n v="2"/>
    <n v="1"/>
    <m/>
    <s v="01_SE"/>
    <x v="4"/>
    <m/>
    <m/>
    <m/>
    <m/>
    <x v="0"/>
    <s v="Project"/>
    <x v="214"/>
    <x v="0"/>
    <x v="17"/>
    <s v="Exclude in HGB Group allocation"/>
  </r>
  <r>
    <s v="19720311"/>
    <m/>
    <x v="0"/>
    <x v="0"/>
    <m/>
    <m/>
    <m/>
    <n v="1972"/>
    <n v="3"/>
    <n v="1"/>
    <s v="19720311"/>
    <s v="07_Inc"/>
    <x v="4"/>
    <m/>
    <m/>
    <m/>
    <m/>
    <x v="0"/>
    <s v="Project"/>
    <x v="215"/>
    <x v="0"/>
    <x v="18"/>
    <s v="Exclude in HGB Group allocation"/>
  </r>
  <r>
    <s v="19720312"/>
    <m/>
    <x v="0"/>
    <x v="0"/>
    <m/>
    <m/>
    <m/>
    <n v="1972"/>
    <n v="3"/>
    <n v="1"/>
    <s v="19720312"/>
    <s v="07_Inc"/>
    <x v="4"/>
    <m/>
    <m/>
    <m/>
    <m/>
    <x v="0"/>
    <s v="Project"/>
    <x v="215"/>
    <x v="0"/>
    <x v="18"/>
    <s v="Exclude in HGB Group allocation"/>
  </r>
  <r>
    <s v="19720313"/>
    <m/>
    <x v="0"/>
    <x v="0"/>
    <m/>
    <m/>
    <m/>
    <n v="1972"/>
    <n v="3"/>
    <n v="1"/>
    <s v="19720313"/>
    <s v="07_Inc"/>
    <x v="4"/>
    <m/>
    <m/>
    <m/>
    <m/>
    <x v="0"/>
    <s v="Project"/>
    <x v="215"/>
    <x v="0"/>
    <x v="17"/>
    <s v="Exclude in HGB Group allocation"/>
  </r>
  <r>
    <s v="99861611"/>
    <m/>
    <x v="0"/>
    <x v="0"/>
    <m/>
    <m/>
    <m/>
    <n v="1972"/>
    <n v="3"/>
    <n v="1"/>
    <s v="99861611"/>
    <s v="07_Inc"/>
    <x v="4"/>
    <m/>
    <m/>
    <m/>
    <m/>
    <x v="0"/>
    <s v="Project"/>
    <x v="215"/>
    <x v="0"/>
    <x v="18"/>
    <s v="Exclude in HGB Group allocation"/>
  </r>
  <r>
    <s v="99932411"/>
    <m/>
    <x v="0"/>
    <x v="0"/>
    <m/>
    <m/>
    <m/>
    <n v="1972"/>
    <n v="3"/>
    <n v="1"/>
    <s v="99932411"/>
    <s v="07_Inc"/>
    <x v="4"/>
    <m/>
    <m/>
    <m/>
    <m/>
    <x v="0"/>
    <s v="Project"/>
    <x v="215"/>
    <x v="0"/>
    <x v="18"/>
    <s v="Exclude in HGB Group allocation"/>
  </r>
  <r>
    <s v="0"/>
    <m/>
    <x v="0"/>
    <x v="0"/>
    <m/>
    <m/>
    <m/>
    <n v="1973"/>
    <n v="3"/>
    <n v="2"/>
    <m/>
    <s v="01_SE"/>
    <x v="0"/>
    <m/>
    <m/>
    <m/>
    <m/>
    <x v="0"/>
    <s v="Project"/>
    <x v="216"/>
    <x v="0"/>
    <x v="0"/>
    <s v="Exclude in HGB Group allocation"/>
  </r>
  <r>
    <s v="99620328"/>
    <m/>
    <x v="0"/>
    <x v="0"/>
    <m/>
    <m/>
    <m/>
    <n v="9962"/>
    <n v="3"/>
    <n v="2"/>
    <s v="99620328"/>
    <s v="07_Inc"/>
    <x v="0"/>
    <m/>
    <m/>
    <m/>
    <m/>
    <x v="0"/>
    <s v="Project"/>
    <x v="217"/>
    <x v="0"/>
    <x v="0"/>
    <s v="Exclude in HGB Group allocation"/>
  </r>
  <r>
    <s v="99620428"/>
    <m/>
    <x v="0"/>
    <x v="0"/>
    <m/>
    <m/>
    <m/>
    <n v="9962"/>
    <n v="4"/>
    <n v="2"/>
    <s v="99620428"/>
    <s v="09_Ltda"/>
    <x v="0"/>
    <m/>
    <m/>
    <m/>
    <m/>
    <x v="0"/>
    <s v="Project"/>
    <x v="218"/>
    <x v="0"/>
    <x v="21"/>
    <s v="Exclude in HGB Group allocation"/>
  </r>
  <r>
    <s v="99620516"/>
    <m/>
    <x v="0"/>
    <x v="0"/>
    <m/>
    <m/>
    <m/>
    <n v="9962"/>
    <n v="5"/>
    <n v="1"/>
    <s v="99620516"/>
    <s v="07_Inc"/>
    <x v="4"/>
    <m/>
    <m/>
    <m/>
    <m/>
    <x v="0"/>
    <s v="Project"/>
    <x v="219"/>
    <x v="0"/>
    <x v="19"/>
    <s v="Exclude in HGB Group allocation"/>
  </r>
  <r>
    <s v="19700743"/>
    <m/>
    <x v="0"/>
    <x v="0"/>
    <m/>
    <m/>
    <m/>
    <n v="1970"/>
    <n v="7"/>
    <n v="4"/>
    <s v="19700743"/>
    <s v="02_GmbH"/>
    <x v="1"/>
    <m/>
    <m/>
    <m/>
    <m/>
    <x v="0"/>
    <s v="Project"/>
    <x v="220"/>
    <x v="0"/>
    <x v="1"/>
    <s v="Exclude in HGB Group allocation"/>
  </r>
  <r>
    <s v="19700744"/>
    <m/>
    <x v="0"/>
    <x v="0"/>
    <m/>
    <m/>
    <m/>
    <n v="1970"/>
    <n v="7"/>
    <n v="4"/>
    <s v="19700744"/>
    <s v="02_GmbH"/>
    <x v="1"/>
    <m/>
    <m/>
    <m/>
    <m/>
    <x v="0"/>
    <s v="Project"/>
    <x v="220"/>
    <x v="0"/>
    <x v="2"/>
    <s v="Exclude in HGB Group allocation"/>
  </r>
  <r>
    <s v="19700747"/>
    <m/>
    <x v="0"/>
    <x v="0"/>
    <m/>
    <m/>
    <m/>
    <n v="1970"/>
    <n v="7"/>
    <n v="4"/>
    <s v="19700747"/>
    <s v="02_GmbH"/>
    <x v="1"/>
    <m/>
    <m/>
    <m/>
    <m/>
    <x v="0"/>
    <s v="Project"/>
    <x v="220"/>
    <x v="0"/>
    <x v="20"/>
    <s v="Exclude in HGB Group allocation"/>
  </r>
  <r>
    <s v="99890943"/>
    <m/>
    <x v="0"/>
    <x v="0"/>
    <m/>
    <m/>
    <m/>
    <n v="1970"/>
    <n v="7"/>
    <n v="4"/>
    <s v="99890943"/>
    <s v="02_GmbH"/>
    <x v="1"/>
    <m/>
    <m/>
    <m/>
    <m/>
    <x v="0"/>
    <s v="Project"/>
    <x v="220"/>
    <x v="0"/>
    <x v="1"/>
    <s v="Exclude in HGB Group allocation"/>
  </r>
  <r>
    <s v="99910444"/>
    <m/>
    <x v="0"/>
    <x v="0"/>
    <m/>
    <m/>
    <m/>
    <n v="1970"/>
    <n v="7"/>
    <n v="4"/>
    <s v="99910444"/>
    <s v="02_GmbH"/>
    <x v="1"/>
    <m/>
    <m/>
    <m/>
    <m/>
    <x v="0"/>
    <s v="Project"/>
    <x v="220"/>
    <x v="0"/>
    <x v="2"/>
    <s v="Exclude in HGB Group allocation"/>
  </r>
  <r>
    <s v="99620711"/>
    <m/>
    <x v="0"/>
    <x v="0"/>
    <m/>
    <m/>
    <m/>
    <n v="9962"/>
    <n v="7"/>
    <n v="1"/>
    <s v="99620711"/>
    <s v="07_Inc"/>
    <x v="4"/>
    <m/>
    <m/>
    <m/>
    <m/>
    <x v="0"/>
    <s v="Project"/>
    <x v="221"/>
    <x v="0"/>
    <x v="18"/>
    <s v="Exclude in HGB Group allocation"/>
  </r>
  <r>
    <s v="99620713"/>
    <m/>
    <x v="0"/>
    <x v="0"/>
    <m/>
    <m/>
    <m/>
    <n v="9962"/>
    <n v="7"/>
    <n v="1"/>
    <s v="99620713"/>
    <s v="07_Inc"/>
    <x v="4"/>
    <m/>
    <m/>
    <m/>
    <m/>
    <x v="0"/>
    <s v="Project"/>
    <x v="221"/>
    <x v="0"/>
    <x v="17"/>
    <s v="Exclude in HGB Group allocation"/>
  </r>
  <r>
    <s v="99869911"/>
    <m/>
    <x v="0"/>
    <x v="0"/>
    <m/>
    <m/>
    <m/>
    <n v="9962"/>
    <n v="7"/>
    <n v="1"/>
    <s v="99869911"/>
    <s v="07_Inc"/>
    <x v="4"/>
    <m/>
    <m/>
    <m/>
    <m/>
    <x v="0"/>
    <s v="Project"/>
    <x v="221"/>
    <x v="0"/>
    <x v="18"/>
    <s v="Exclude in HGB Group allocation"/>
  </r>
  <r>
    <s v="99869913"/>
    <m/>
    <x v="0"/>
    <x v="0"/>
    <m/>
    <m/>
    <m/>
    <n v="9962"/>
    <n v="7"/>
    <n v="1"/>
    <s v="99869913"/>
    <s v="07_Inc"/>
    <x v="4"/>
    <m/>
    <m/>
    <m/>
    <m/>
    <x v="0"/>
    <s v="Project"/>
    <x v="221"/>
    <x v="0"/>
    <x v="17"/>
    <s v="Exclude in HGB Group allocation"/>
  </r>
  <r>
    <s v="99620911"/>
    <m/>
    <x v="0"/>
    <x v="0"/>
    <m/>
    <m/>
    <m/>
    <n v="9962"/>
    <n v="9"/>
    <n v="1"/>
    <s v="99620911"/>
    <s v="09_Ltda"/>
    <x v="4"/>
    <m/>
    <m/>
    <m/>
    <m/>
    <x v="0"/>
    <s v="Project"/>
    <x v="222"/>
    <x v="0"/>
    <x v="18"/>
    <s v="Exclude in HGB Group allocation"/>
  </r>
  <r>
    <s v="99620913"/>
    <m/>
    <x v="0"/>
    <x v="0"/>
    <m/>
    <m/>
    <m/>
    <n v="9962"/>
    <n v="9"/>
    <n v="1"/>
    <s v="99620913"/>
    <s v="09_Ltda"/>
    <x v="4"/>
    <m/>
    <m/>
    <m/>
    <m/>
    <x v="0"/>
    <s v="Project"/>
    <x v="222"/>
    <x v="0"/>
    <x v="17"/>
    <s v="Exclude in HGB Group allocation"/>
  </r>
  <r>
    <s v="99871411"/>
    <m/>
    <x v="0"/>
    <x v="0"/>
    <m/>
    <m/>
    <m/>
    <n v="9962"/>
    <n v="9"/>
    <n v="1"/>
    <s v="99871411"/>
    <s v="09_Ltda"/>
    <x v="4"/>
    <m/>
    <m/>
    <m/>
    <m/>
    <x v="0"/>
    <s v="Project"/>
    <x v="222"/>
    <x v="0"/>
    <x v="18"/>
    <s v="Exclude in HGB Group allocation"/>
  </r>
  <r>
    <s v="99871413"/>
    <m/>
    <x v="0"/>
    <x v="0"/>
    <m/>
    <m/>
    <m/>
    <n v="9962"/>
    <n v="9"/>
    <n v="1"/>
    <s v="99871413"/>
    <s v="09_Ltda"/>
    <x v="4"/>
    <m/>
    <m/>
    <m/>
    <m/>
    <x v="0"/>
    <s v="Project"/>
    <x v="222"/>
    <x v="0"/>
    <x v="17"/>
    <s v="Exclude in HGB Group allocation"/>
  </r>
  <r>
    <s v="19701143"/>
    <m/>
    <x v="0"/>
    <x v="0"/>
    <m/>
    <m/>
    <m/>
    <n v="1970"/>
    <n v="11"/>
    <n v="4"/>
    <s v="19701143"/>
    <s v="05_Shg"/>
    <x v="1"/>
    <m/>
    <m/>
    <m/>
    <m/>
    <x v="0"/>
    <s v="Project"/>
    <x v="223"/>
    <x v="0"/>
    <x v="1"/>
    <s v="Exclude in HGB Group allocation"/>
  </r>
  <r>
    <s v="19701144"/>
    <m/>
    <x v="0"/>
    <x v="0"/>
    <m/>
    <m/>
    <m/>
    <n v="1970"/>
    <n v="11"/>
    <n v="4"/>
    <s v="19701144"/>
    <s v="05_Shg"/>
    <x v="1"/>
    <m/>
    <m/>
    <m/>
    <m/>
    <x v="0"/>
    <s v="Project"/>
    <x v="223"/>
    <x v="0"/>
    <x v="2"/>
    <s v="Exclude in HGB Group allocation"/>
  </r>
  <r>
    <s v="19701147"/>
    <m/>
    <x v="0"/>
    <x v="0"/>
    <m/>
    <m/>
    <m/>
    <n v="1970"/>
    <n v="11"/>
    <n v="4"/>
    <s v="19701147"/>
    <s v="05_Shg"/>
    <x v="1"/>
    <m/>
    <m/>
    <m/>
    <m/>
    <x v="0"/>
    <s v="Project"/>
    <x v="223"/>
    <x v="0"/>
    <x v="20"/>
    <s v="Exclude in HGB Group allocation"/>
  </r>
  <r>
    <s v="99871241"/>
    <m/>
    <x v="0"/>
    <x v="0"/>
    <m/>
    <m/>
    <m/>
    <n v="9987"/>
    <n v="12"/>
    <n v="4"/>
    <s v="99871241"/>
    <s v="00_Group"/>
    <x v="1"/>
    <m/>
    <m/>
    <m/>
    <m/>
    <x v="0"/>
    <s v="Project"/>
    <x v="224"/>
    <x v="0"/>
    <x v="22"/>
    <s v="Exclude in HGB Group allocation"/>
  </r>
  <r>
    <s v="19711341"/>
    <m/>
    <x v="0"/>
    <x v="0"/>
    <m/>
    <m/>
    <m/>
    <n v="1971"/>
    <n v="13"/>
    <n v="4"/>
    <s v="19711341"/>
    <s v="07_Inc"/>
    <x v="1"/>
    <m/>
    <m/>
    <m/>
    <m/>
    <x v="0"/>
    <s v="Project"/>
    <x v="225"/>
    <x v="0"/>
    <x v="22"/>
    <s v="Exclude in HGB Group allocation"/>
  </r>
  <r>
    <s v="19711342"/>
    <m/>
    <x v="0"/>
    <x v="0"/>
    <m/>
    <m/>
    <m/>
    <n v="1971"/>
    <n v="13"/>
    <n v="4"/>
    <s v="19711342"/>
    <s v="07_Inc"/>
    <x v="1"/>
    <m/>
    <m/>
    <m/>
    <m/>
    <x v="0"/>
    <s v="Project"/>
    <x v="225"/>
    <x v="0"/>
    <x v="23"/>
    <s v="Exclude in HGB Group allocation"/>
  </r>
  <r>
    <s v="19711343"/>
    <m/>
    <x v="0"/>
    <x v="0"/>
    <m/>
    <m/>
    <m/>
    <n v="1971"/>
    <n v="13"/>
    <n v="4"/>
    <s v="19711343"/>
    <s v="07_Inc"/>
    <x v="1"/>
    <m/>
    <m/>
    <m/>
    <m/>
    <x v="0"/>
    <s v="Project"/>
    <x v="225"/>
    <x v="0"/>
    <x v="1"/>
    <s v="Exclude in HGB Group allocation"/>
  </r>
  <r>
    <s v="19711344"/>
    <m/>
    <x v="0"/>
    <x v="0"/>
    <m/>
    <m/>
    <m/>
    <n v="1971"/>
    <n v="13"/>
    <n v="4"/>
    <s v="19711344"/>
    <s v="07_Inc"/>
    <x v="1"/>
    <m/>
    <m/>
    <m/>
    <m/>
    <x v="0"/>
    <s v="Project"/>
    <x v="225"/>
    <x v="0"/>
    <x v="2"/>
    <s v="Exclude in HGB Group allocation"/>
  </r>
  <r>
    <s v="19711347"/>
    <m/>
    <x v="0"/>
    <x v="0"/>
    <m/>
    <m/>
    <m/>
    <n v="1971"/>
    <n v="13"/>
    <n v="4"/>
    <s v="19711347"/>
    <s v="07_Inc"/>
    <x v="1"/>
    <m/>
    <m/>
    <m/>
    <m/>
    <x v="0"/>
    <s v="Project"/>
    <x v="225"/>
    <x v="0"/>
    <x v="20"/>
    <s v="Exclude in HGB Group allocation"/>
  </r>
  <r>
    <s v="99867841"/>
    <m/>
    <x v="0"/>
    <x v="0"/>
    <m/>
    <m/>
    <m/>
    <n v="1971"/>
    <n v="13"/>
    <n v="4"/>
    <s v="99867841"/>
    <s v="07_Inc"/>
    <x v="1"/>
    <m/>
    <m/>
    <m/>
    <m/>
    <x v="0"/>
    <s v="Project"/>
    <x v="225"/>
    <x v="0"/>
    <x v="22"/>
    <s v="Exclude in HGB Group allocation"/>
  </r>
  <r>
    <s v="99867842"/>
    <m/>
    <x v="0"/>
    <x v="0"/>
    <m/>
    <m/>
    <m/>
    <n v="1971"/>
    <n v="13"/>
    <n v="4"/>
    <s v="99867842"/>
    <s v="07_Inc"/>
    <x v="1"/>
    <m/>
    <m/>
    <m/>
    <m/>
    <x v="0"/>
    <s v="Project"/>
    <x v="225"/>
    <x v="0"/>
    <x v="23"/>
    <s v="Exclude in HGB Group allocation"/>
  </r>
  <r>
    <s v="99867843"/>
    <m/>
    <x v="0"/>
    <x v="0"/>
    <m/>
    <m/>
    <m/>
    <n v="1971"/>
    <n v="13"/>
    <n v="4"/>
    <s v="99867843"/>
    <s v="07_Inc"/>
    <x v="1"/>
    <m/>
    <m/>
    <m/>
    <m/>
    <x v="0"/>
    <s v="Project"/>
    <x v="225"/>
    <x v="0"/>
    <x v="1"/>
    <s v="Exclude in HGB Group allocation"/>
  </r>
  <r>
    <s v="99867844"/>
    <m/>
    <x v="0"/>
    <x v="0"/>
    <m/>
    <m/>
    <m/>
    <n v="1971"/>
    <n v="13"/>
    <n v="4"/>
    <s v="99867844"/>
    <s v="07_Inc"/>
    <x v="1"/>
    <m/>
    <m/>
    <m/>
    <m/>
    <x v="0"/>
    <s v="Project"/>
    <x v="225"/>
    <x v="0"/>
    <x v="2"/>
    <s v="Exclude in HGB Group allocation"/>
  </r>
  <r>
    <s v="99869343"/>
    <m/>
    <x v="0"/>
    <x v="0"/>
    <m/>
    <m/>
    <m/>
    <n v="1971"/>
    <n v="13"/>
    <n v="4"/>
    <s v="99869343"/>
    <s v="07_Inc"/>
    <x v="1"/>
    <m/>
    <m/>
    <m/>
    <m/>
    <x v="0"/>
    <s v="Project"/>
    <x v="225"/>
    <x v="0"/>
    <x v="1"/>
    <s v="Exclude in HGB Group allocation"/>
  </r>
  <r>
    <s v="99869344"/>
    <m/>
    <x v="0"/>
    <x v="0"/>
    <m/>
    <m/>
    <m/>
    <n v="1971"/>
    <n v="13"/>
    <n v="4"/>
    <s v="99869344"/>
    <s v="07_Inc"/>
    <x v="1"/>
    <m/>
    <m/>
    <m/>
    <m/>
    <x v="0"/>
    <s v="Project"/>
    <x v="225"/>
    <x v="0"/>
    <x v="2"/>
    <s v="Exclude in HGB Group allocation"/>
  </r>
  <r>
    <s v="99861447"/>
    <m/>
    <x v="0"/>
    <x v="0"/>
    <m/>
    <m/>
    <m/>
    <n v="9986"/>
    <n v="14"/>
    <n v="4"/>
    <s v="99861447"/>
    <s v="02_GmbH"/>
    <x v="1"/>
    <m/>
    <m/>
    <m/>
    <m/>
    <x v="0"/>
    <s v="Project"/>
    <x v="226"/>
    <x v="0"/>
    <x v="20"/>
    <s v="Exclude in HGB Group allocation"/>
  </r>
  <r>
    <s v="19711547"/>
    <m/>
    <x v="0"/>
    <x v="0"/>
    <m/>
    <m/>
    <m/>
    <n v="1971"/>
    <n v="15"/>
    <n v="4"/>
    <s v="19711547"/>
    <s v="07_Inc"/>
    <x v="1"/>
    <m/>
    <m/>
    <m/>
    <m/>
    <x v="0"/>
    <s v="Project"/>
    <x v="227"/>
    <x v="0"/>
    <x v="21"/>
    <s v="Exclude in HGB Group allocation"/>
  </r>
  <r>
    <s v="19711628"/>
    <m/>
    <x v="0"/>
    <x v="0"/>
    <m/>
    <m/>
    <m/>
    <n v="1971"/>
    <n v="16"/>
    <n v="2"/>
    <s v="19711628"/>
    <s v="07_Inc"/>
    <x v="0"/>
    <m/>
    <m/>
    <m/>
    <m/>
    <x v="0"/>
    <s v="Project"/>
    <x v="228"/>
    <x v="0"/>
    <x v="21"/>
    <s v="Exclude in HGB Group allocation"/>
  </r>
  <r>
    <s v="99861647"/>
    <m/>
    <x v="0"/>
    <x v="0"/>
    <m/>
    <m/>
    <m/>
    <n v="9986"/>
    <n v="16"/>
    <n v="4"/>
    <s v="99861647"/>
    <s v="09_Ltda"/>
    <x v="1"/>
    <m/>
    <m/>
    <m/>
    <m/>
    <x v="0"/>
    <s v="Project"/>
    <x v="229"/>
    <x v="0"/>
    <x v="20"/>
    <s v="Exclude in HGB Group allocation"/>
  </r>
  <r>
    <s v="19721728"/>
    <m/>
    <x v="0"/>
    <x v="0"/>
    <m/>
    <m/>
    <m/>
    <n v="1972"/>
    <n v="17"/>
    <n v="2"/>
    <s v="19721728"/>
    <s v="09_Ltda"/>
    <x v="0"/>
    <m/>
    <m/>
    <m/>
    <m/>
    <x v="0"/>
    <s v="Project"/>
    <x v="230"/>
    <x v="0"/>
    <x v="21"/>
    <s v="Exclude in HGB Group allocation"/>
  </r>
  <r>
    <s v="19721928"/>
    <m/>
    <x v="0"/>
    <x v="0"/>
    <m/>
    <m/>
    <m/>
    <n v="1972"/>
    <n v="19"/>
    <n v="2"/>
    <s v="19721928"/>
    <s v="09_Ltda"/>
    <x v="0"/>
    <m/>
    <m/>
    <m/>
    <m/>
    <x v="0"/>
    <s v="Project"/>
    <x v="231"/>
    <x v="0"/>
    <x v="0"/>
    <s v="Exclude in HGB Group allocation"/>
  </r>
  <r>
    <s v="19722226"/>
    <m/>
    <x v="0"/>
    <x v="0"/>
    <m/>
    <m/>
    <m/>
    <n v="1972"/>
    <n v="22"/>
    <n v="2"/>
    <s v="19722226"/>
    <s v="09_Ltda"/>
    <x v="0"/>
    <m/>
    <m/>
    <m/>
    <m/>
    <x v="0"/>
    <s v="Project"/>
    <x v="232"/>
    <x v="0"/>
    <x v="21"/>
    <s v="Exclude in HGB Group allocation"/>
  </r>
  <r>
    <s v="99631511"/>
    <m/>
    <x v="0"/>
    <x v="0"/>
    <m/>
    <m/>
    <m/>
    <n v="9963"/>
    <n v="15"/>
    <n v="1"/>
    <s v="99631511"/>
    <s v="01_SE"/>
    <x v="4"/>
    <m/>
    <m/>
    <m/>
    <m/>
    <x v="0"/>
    <s v="Project"/>
    <x v="233"/>
    <x v="0"/>
    <x v="18"/>
    <s v="Exclude in HGB Group allocation"/>
  </r>
  <r>
    <s v="99631611"/>
    <m/>
    <x v="0"/>
    <x v="0"/>
    <m/>
    <m/>
    <m/>
    <n v="9963"/>
    <n v="16"/>
    <n v="1"/>
    <s v="99631611"/>
    <s v="01_SE"/>
    <x v="4"/>
    <m/>
    <m/>
    <m/>
    <m/>
    <x v="0"/>
    <s v="Project"/>
    <x v="234"/>
    <x v="0"/>
    <x v="18"/>
    <s v="Exclude in HGB Group allocation"/>
  </r>
  <r>
    <s v="19722428"/>
    <m/>
    <x v="0"/>
    <x v="0"/>
    <m/>
    <m/>
    <m/>
    <n v="1972"/>
    <n v="24"/>
    <n v="2"/>
    <s v="19722428"/>
    <s v="09_Ltda"/>
    <x v="0"/>
    <m/>
    <m/>
    <m/>
    <m/>
    <x v="0"/>
    <s v="Project"/>
    <x v="235"/>
    <x v="0"/>
    <x v="0"/>
    <s v="Exclude in HGB Group allocation"/>
  </r>
  <r>
    <s v="19722528"/>
    <m/>
    <x v="0"/>
    <x v="0"/>
    <m/>
    <m/>
    <m/>
    <n v="1972"/>
    <n v="25"/>
    <n v="2"/>
    <s v="19722528"/>
    <s v="09_Ltda"/>
    <x v="0"/>
    <m/>
    <m/>
    <m/>
    <m/>
    <x v="0"/>
    <s v="Project"/>
    <x v="236"/>
    <x v="0"/>
    <x v="21"/>
    <s v="Exclude in HGB Group allocation"/>
  </r>
  <r>
    <s v="19702643"/>
    <m/>
    <x v="0"/>
    <x v="0"/>
    <m/>
    <m/>
    <m/>
    <n v="1970"/>
    <n v="26"/>
    <n v="4"/>
    <s v="19702643"/>
    <s v="02_GmbH"/>
    <x v="1"/>
    <m/>
    <m/>
    <m/>
    <m/>
    <x v="0"/>
    <s v="Project"/>
    <x v="237"/>
    <x v="0"/>
    <x v="1"/>
    <s v="Exclude in HGB Group allocation"/>
  </r>
  <r>
    <s v="19702644"/>
    <m/>
    <x v="0"/>
    <x v="0"/>
    <m/>
    <m/>
    <m/>
    <n v="1970"/>
    <n v="26"/>
    <n v="4"/>
    <s v="19702644"/>
    <s v="02_GmbH"/>
    <x v="1"/>
    <m/>
    <m/>
    <m/>
    <m/>
    <x v="0"/>
    <s v="Project"/>
    <x v="237"/>
    <x v="0"/>
    <x v="2"/>
    <s v="Exclude in HGB Group allocation"/>
  </r>
  <r>
    <s v="19722641"/>
    <m/>
    <x v="0"/>
    <x v="0"/>
    <m/>
    <m/>
    <m/>
    <n v="1972"/>
    <n v="26"/>
    <n v="4"/>
    <s v="19722641"/>
    <s v="09_Ltda"/>
    <x v="1"/>
    <m/>
    <m/>
    <m/>
    <m/>
    <x v="0"/>
    <s v="Project"/>
    <x v="238"/>
    <x v="0"/>
    <x v="23"/>
    <s v="Exclude in HGB Group allocation"/>
  </r>
  <r>
    <s v="19722642"/>
    <m/>
    <x v="0"/>
    <x v="0"/>
    <m/>
    <m/>
    <m/>
    <n v="1972"/>
    <n v="26"/>
    <n v="4"/>
    <s v="19722642"/>
    <s v="09_Ltda"/>
    <x v="1"/>
    <m/>
    <m/>
    <m/>
    <m/>
    <x v="0"/>
    <s v="Project"/>
    <x v="238"/>
    <x v="0"/>
    <x v="23"/>
    <s v="Exclude in HGB Group allocation"/>
  </r>
  <r>
    <s v="19722643"/>
    <m/>
    <x v="0"/>
    <x v="0"/>
    <m/>
    <m/>
    <m/>
    <n v="1972"/>
    <n v="26"/>
    <n v="4"/>
    <s v="19722643"/>
    <s v="09_Ltda"/>
    <x v="1"/>
    <m/>
    <m/>
    <m/>
    <m/>
    <x v="0"/>
    <s v="Project"/>
    <x v="238"/>
    <x v="0"/>
    <x v="1"/>
    <s v="Exclude in HGB Group allocation"/>
  </r>
  <r>
    <s v="19722644"/>
    <m/>
    <x v="0"/>
    <x v="0"/>
    <m/>
    <m/>
    <m/>
    <n v="1972"/>
    <n v="26"/>
    <n v="4"/>
    <s v="19722644"/>
    <s v="09_Ltda"/>
    <x v="1"/>
    <m/>
    <m/>
    <m/>
    <m/>
    <x v="0"/>
    <s v="Project"/>
    <x v="238"/>
    <x v="0"/>
    <x v="2"/>
    <s v="Exclude in HGB Group allocation"/>
  </r>
  <r>
    <s v="19722647"/>
    <m/>
    <x v="0"/>
    <x v="0"/>
    <m/>
    <m/>
    <m/>
    <n v="1972"/>
    <n v="26"/>
    <n v="4"/>
    <s v="19722647"/>
    <s v="09_Ltda"/>
    <x v="1"/>
    <m/>
    <m/>
    <m/>
    <m/>
    <x v="0"/>
    <s v="Project"/>
    <x v="238"/>
    <x v="0"/>
    <x v="20"/>
    <s v="Exclude in HGB Group allocation"/>
  </r>
  <r>
    <s v="19722747"/>
    <m/>
    <x v="0"/>
    <x v="0"/>
    <m/>
    <m/>
    <m/>
    <n v="1972"/>
    <n v="27"/>
    <n v="4"/>
    <s v="19722747"/>
    <s v="09_Ltda"/>
    <x v="1"/>
    <m/>
    <m/>
    <m/>
    <m/>
    <x v="0"/>
    <s v="Project"/>
    <x v="239"/>
    <x v="0"/>
    <x v="20"/>
    <s v="Exclude in HGB Group allocation"/>
  </r>
  <r>
    <s v="19722749"/>
    <m/>
    <x v="0"/>
    <x v="0"/>
    <m/>
    <m/>
    <m/>
    <n v="1972"/>
    <n v="27"/>
    <n v="4"/>
    <s v="19722749"/>
    <s v="09_Ltda"/>
    <x v="1"/>
    <m/>
    <m/>
    <m/>
    <m/>
    <x v="0"/>
    <s v="Project"/>
    <x v="239"/>
    <x v="0"/>
    <x v="24"/>
    <s v="Exclude in HGB Group allocation"/>
  </r>
  <r>
    <s v="99893411"/>
    <m/>
    <x v="0"/>
    <x v="0"/>
    <m/>
    <m/>
    <m/>
    <n v="9989"/>
    <n v="34"/>
    <n v="1"/>
    <s v="99893411"/>
    <s v="01_SE"/>
    <x v="4"/>
    <m/>
    <m/>
    <m/>
    <m/>
    <x v="0"/>
    <s v="Project"/>
    <x v="240"/>
    <x v="0"/>
    <x v="18"/>
    <s v="Exclude in HGB Group allocation"/>
  </r>
  <r>
    <s v="19703543"/>
    <m/>
    <x v="0"/>
    <x v="0"/>
    <m/>
    <m/>
    <m/>
    <n v="1970"/>
    <n v="35"/>
    <n v="4"/>
    <s v="19703543"/>
    <s v="02_GmbH"/>
    <x v="1"/>
    <m/>
    <m/>
    <m/>
    <m/>
    <x v="0"/>
    <s v="Project"/>
    <x v="241"/>
    <x v="0"/>
    <x v="1"/>
    <s v="Exclude in HGB Group allocation"/>
  </r>
  <r>
    <s v="19703544"/>
    <m/>
    <x v="0"/>
    <x v="0"/>
    <m/>
    <m/>
    <m/>
    <n v="1970"/>
    <n v="35"/>
    <n v="4"/>
    <s v="19703544"/>
    <s v="02_GmbH"/>
    <x v="1"/>
    <m/>
    <m/>
    <m/>
    <m/>
    <x v="0"/>
    <s v="Project"/>
    <x v="241"/>
    <x v="0"/>
    <x v="2"/>
    <s v="Exclude in HGB Group allocation"/>
  </r>
  <r>
    <s v="19703643"/>
    <m/>
    <x v="0"/>
    <x v="0"/>
    <m/>
    <m/>
    <m/>
    <n v="1970"/>
    <n v="36"/>
    <n v="4"/>
    <s v="19703643"/>
    <s v="02_GmbH"/>
    <x v="1"/>
    <m/>
    <m/>
    <m/>
    <m/>
    <x v="0"/>
    <s v="Project"/>
    <x v="242"/>
    <x v="0"/>
    <x v="1"/>
    <s v="Exclude in HGB Group allocation"/>
  </r>
  <r>
    <s v="19703644"/>
    <m/>
    <x v="0"/>
    <x v="0"/>
    <m/>
    <m/>
    <m/>
    <n v="1970"/>
    <n v="36"/>
    <n v="4"/>
    <s v="19703644"/>
    <s v="02_GmbH"/>
    <x v="1"/>
    <m/>
    <m/>
    <m/>
    <m/>
    <x v="0"/>
    <s v="Project"/>
    <x v="242"/>
    <x v="0"/>
    <x v="2"/>
    <s v="Exclude in HGB Group allocation"/>
  </r>
  <r>
    <s v="99950744"/>
    <m/>
    <x v="0"/>
    <x v="0"/>
    <m/>
    <m/>
    <m/>
    <n v="1970"/>
    <n v="36"/>
    <n v="4"/>
    <s v="99950744"/>
    <s v="02_GmbH"/>
    <x v="1"/>
    <m/>
    <m/>
    <m/>
    <m/>
    <x v="0"/>
    <s v="Project"/>
    <x v="242"/>
    <x v="0"/>
    <x v="2"/>
    <s v="Exclude in HGB Group allocation"/>
  </r>
  <r>
    <s v="99951643"/>
    <m/>
    <x v="0"/>
    <x v="0"/>
    <m/>
    <m/>
    <m/>
    <n v="1970"/>
    <n v="36"/>
    <n v="4"/>
    <s v="99951643"/>
    <s v="02_GmbH"/>
    <x v="1"/>
    <m/>
    <m/>
    <m/>
    <m/>
    <x v="0"/>
    <s v="Project"/>
    <x v="242"/>
    <x v="0"/>
    <x v="1"/>
    <s v="Exclude in HGB Group allocation"/>
  </r>
  <r>
    <s v="99951644"/>
    <m/>
    <x v="0"/>
    <x v="0"/>
    <m/>
    <m/>
    <m/>
    <n v="1970"/>
    <n v="36"/>
    <n v="4"/>
    <s v="99951644"/>
    <s v="02_GmbH"/>
    <x v="1"/>
    <m/>
    <m/>
    <m/>
    <m/>
    <x v="0"/>
    <s v="Project"/>
    <x v="242"/>
    <x v="0"/>
    <x v="2"/>
    <s v="Exclude in HGB Group allocation"/>
  </r>
  <r>
    <s v="99968911"/>
    <m/>
    <x v="0"/>
    <x v="0"/>
    <m/>
    <m/>
    <m/>
    <n v="9984"/>
    <n v="36"/>
    <n v="1"/>
    <s v="99968911"/>
    <s v="11_FR"/>
    <x v="4"/>
    <m/>
    <m/>
    <m/>
    <m/>
    <x v="0"/>
    <s v="Project"/>
    <x v="243"/>
    <x v="0"/>
    <x v="18"/>
    <s v="Exclude in HGB Group allocation"/>
  </r>
  <r>
    <s v="99631711"/>
    <m/>
    <x v="0"/>
    <x v="0"/>
    <m/>
    <m/>
    <m/>
    <n v="9963"/>
    <n v="17"/>
    <n v="1"/>
    <s v="99631711"/>
    <s v="01_SE"/>
    <x v="4"/>
    <m/>
    <m/>
    <m/>
    <m/>
    <x v="0"/>
    <s v="Project"/>
    <x v="244"/>
    <x v="0"/>
    <x v="18"/>
    <s v="Exclude in HGB Group allocation"/>
  </r>
  <r>
    <s v="19704344"/>
    <m/>
    <x v="0"/>
    <x v="0"/>
    <m/>
    <m/>
    <m/>
    <n v="1970"/>
    <n v="43"/>
    <n v="4"/>
    <s v="19704344"/>
    <s v="02_GmbH"/>
    <x v="1"/>
    <m/>
    <m/>
    <m/>
    <m/>
    <x v="0"/>
    <s v="Project"/>
    <x v="245"/>
    <x v="0"/>
    <x v="2"/>
    <s v="Exclude in HGB Group allocation"/>
  </r>
  <r>
    <s v="19704447"/>
    <m/>
    <x v="0"/>
    <x v="0"/>
    <m/>
    <m/>
    <m/>
    <n v="1970"/>
    <n v="44"/>
    <n v="4"/>
    <s v="19704447"/>
    <s v="02_GmbH"/>
    <x v="1"/>
    <m/>
    <m/>
    <m/>
    <m/>
    <x v="0"/>
    <s v="Project"/>
    <x v="246"/>
    <x v="0"/>
    <x v="21"/>
    <s v="Exclude in HGB Group allocation"/>
  </r>
  <r>
    <s v="19704547"/>
    <m/>
    <x v="0"/>
    <x v="0"/>
    <m/>
    <m/>
    <m/>
    <n v="1970"/>
    <n v="45"/>
    <n v="4"/>
    <s v="19704547"/>
    <s v="02_GmbH"/>
    <x v="1"/>
    <m/>
    <m/>
    <m/>
    <m/>
    <x v="0"/>
    <s v="Project"/>
    <x v="247"/>
    <x v="0"/>
    <x v="21"/>
    <s v="Exclude in HGB Group allocation"/>
  </r>
  <r>
    <s v="99631811"/>
    <m/>
    <x v="0"/>
    <x v="0"/>
    <m/>
    <m/>
    <m/>
    <n v="9963"/>
    <n v="18"/>
    <n v="1"/>
    <s v="99631811"/>
    <s v="01_SE"/>
    <x v="4"/>
    <m/>
    <m/>
    <m/>
    <m/>
    <x v="0"/>
    <s v="Project"/>
    <x v="248"/>
    <x v="0"/>
    <x v="18"/>
    <s v="Exclude in HGB Group allocation"/>
  </r>
  <r>
    <s v="19704647"/>
    <m/>
    <x v="0"/>
    <x v="0"/>
    <m/>
    <m/>
    <m/>
    <n v="1970"/>
    <n v="46"/>
    <n v="4"/>
    <s v="19704647"/>
    <s v="02_GmbH"/>
    <x v="1"/>
    <m/>
    <m/>
    <m/>
    <m/>
    <x v="0"/>
    <s v="Project"/>
    <x v="249"/>
    <x v="0"/>
    <x v="21"/>
    <s v="Exclude in HGB Group allocation"/>
  </r>
  <r>
    <s v="19704743"/>
    <m/>
    <x v="0"/>
    <x v="0"/>
    <m/>
    <m/>
    <m/>
    <n v="1970"/>
    <n v="47"/>
    <n v="4"/>
    <s v="19704743"/>
    <s v="02_GmbH"/>
    <x v="1"/>
    <m/>
    <m/>
    <m/>
    <m/>
    <x v="0"/>
    <s v="Project"/>
    <x v="250"/>
    <x v="0"/>
    <x v="1"/>
    <s v="Exclude in HGB Group allocation"/>
  </r>
  <r>
    <s v="19704842"/>
    <m/>
    <x v="0"/>
    <x v="0"/>
    <m/>
    <m/>
    <m/>
    <n v="1970"/>
    <n v="48"/>
    <n v="4"/>
    <n v="19704842"/>
    <s v="02_GmbH"/>
    <x v="1"/>
    <m/>
    <m/>
    <m/>
    <m/>
    <x v="0"/>
    <s v="Project"/>
    <x v="251"/>
    <x v="0"/>
    <x v="23"/>
    <s v="Exclude in HGB Group allocation"/>
  </r>
  <r>
    <s v="19704942"/>
    <m/>
    <x v="0"/>
    <x v="0"/>
    <m/>
    <m/>
    <m/>
    <n v="1970"/>
    <n v="49"/>
    <n v="4"/>
    <n v="19704942"/>
    <s v="02_GmbH"/>
    <x v="1"/>
    <m/>
    <m/>
    <m/>
    <m/>
    <x v="0"/>
    <s v="Project"/>
    <x v="252"/>
    <x v="0"/>
    <x v="23"/>
    <s v="Exclude in HGB Group allocation"/>
  </r>
  <r>
    <s v="19705041"/>
    <m/>
    <x v="0"/>
    <x v="0"/>
    <m/>
    <m/>
    <m/>
    <n v="1970"/>
    <n v="50"/>
    <n v="4"/>
    <n v="19705041"/>
    <s v="02_GmbH"/>
    <x v="1"/>
    <m/>
    <m/>
    <m/>
    <m/>
    <x v="0"/>
    <s v="Project"/>
    <x v="253"/>
    <x v="0"/>
    <x v="22"/>
    <s v="Exclude in HGB Group allocation"/>
  </r>
  <r>
    <s v="19705042"/>
    <m/>
    <x v="0"/>
    <x v="0"/>
    <m/>
    <m/>
    <m/>
    <n v="1970"/>
    <n v="50"/>
    <n v="4"/>
    <n v="19705042"/>
    <s v="02_GmbH"/>
    <x v="1"/>
    <m/>
    <m/>
    <m/>
    <m/>
    <x v="0"/>
    <s v="Project"/>
    <x v="253"/>
    <x v="0"/>
    <x v="23"/>
    <s v="Exclude in HGB Group allocation"/>
  </r>
  <r>
    <s v="0"/>
    <m/>
    <x v="0"/>
    <x v="0"/>
    <m/>
    <m/>
    <m/>
    <n v="9981"/>
    <n v="3"/>
    <n v="1"/>
    <m/>
    <s v="01_SE"/>
    <x v="4"/>
    <m/>
    <m/>
    <m/>
    <m/>
    <x v="0"/>
    <s v="Project"/>
    <x v="254"/>
    <x v="0"/>
    <x v="17"/>
    <s v="Exclude in HGB Group allocation"/>
  </r>
  <r>
    <s v="0"/>
    <m/>
    <x v="0"/>
    <x v="0"/>
    <m/>
    <m/>
    <m/>
    <n v="9981"/>
    <n v="4"/>
    <n v="1"/>
    <m/>
    <s v="01_SE"/>
    <x v="4"/>
    <m/>
    <m/>
    <m/>
    <m/>
    <x v="0"/>
    <s v="Project"/>
    <x v="255"/>
    <x v="0"/>
    <x v="21"/>
    <s v="Exclude in HGB Group allocation"/>
  </r>
  <r>
    <s v="0"/>
    <m/>
    <x v="0"/>
    <x v="0"/>
    <m/>
    <m/>
    <m/>
    <n v="9981"/>
    <n v="6"/>
    <n v="1"/>
    <m/>
    <s v="01_SE"/>
    <x v="4"/>
    <m/>
    <m/>
    <m/>
    <m/>
    <x v="0"/>
    <s v="Project"/>
    <x v="256"/>
    <x v="0"/>
    <x v="19"/>
    <s v="Exclude in HGB Group allocation"/>
  </r>
  <r>
    <s v="99810712"/>
    <m/>
    <x v="0"/>
    <x v="0"/>
    <m/>
    <m/>
    <m/>
    <n v="9981"/>
    <n v="7"/>
    <n v="1"/>
    <s v="99810712"/>
    <s v="01_SE"/>
    <x v="4"/>
    <m/>
    <m/>
    <m/>
    <m/>
    <x v="0"/>
    <s v="Project"/>
    <x v="257"/>
    <x v="0"/>
    <x v="18"/>
    <s v="Exclude in HGB Group allocation"/>
  </r>
  <r>
    <s v="99955011"/>
    <m/>
    <x v="0"/>
    <x v="0"/>
    <m/>
    <m/>
    <m/>
    <n v="9995"/>
    <n v="50"/>
    <n v="1"/>
    <s v="99955011"/>
    <s v="01_SE"/>
    <x v="4"/>
    <m/>
    <m/>
    <m/>
    <m/>
    <x v="0"/>
    <s v="Project"/>
    <x v="258"/>
    <x v="0"/>
    <x v="18"/>
    <s v="Exclude in HGB Group allocation"/>
  </r>
  <r>
    <s v="99955013"/>
    <m/>
    <x v="0"/>
    <x v="0"/>
    <m/>
    <m/>
    <m/>
    <n v="9995"/>
    <n v="50"/>
    <n v="1"/>
    <s v="99955013"/>
    <s v="01_SE"/>
    <x v="4"/>
    <m/>
    <m/>
    <m/>
    <m/>
    <x v="0"/>
    <s v="Project"/>
    <x v="258"/>
    <x v="0"/>
    <x v="17"/>
    <s v="Exclude in HGB Group allocation"/>
  </r>
  <r>
    <s v="19705042"/>
    <m/>
    <x v="0"/>
    <x v="0"/>
    <m/>
    <m/>
    <m/>
    <n v="1970"/>
    <n v="51"/>
    <n v="4"/>
    <n v="19705042"/>
    <s v="02_GmbH"/>
    <x v="1"/>
    <m/>
    <m/>
    <m/>
    <m/>
    <x v="0"/>
    <s v="Project"/>
    <x v="259"/>
    <x v="0"/>
    <x v="23"/>
    <s v="Exclude in HGB Group allocation"/>
  </r>
  <r>
    <s v="19705042"/>
    <m/>
    <x v="0"/>
    <x v="0"/>
    <m/>
    <m/>
    <m/>
    <n v="1970"/>
    <n v="52"/>
    <n v="4"/>
    <n v="19705042"/>
    <s v="02_GmbH"/>
    <x v="1"/>
    <m/>
    <m/>
    <m/>
    <m/>
    <x v="0"/>
    <s v="Project"/>
    <x v="260"/>
    <x v="0"/>
    <x v="23"/>
    <s v="Exclude in HGB Group allocation"/>
  </r>
  <r>
    <s v="0"/>
    <m/>
    <x v="0"/>
    <x v="0"/>
    <m/>
    <m/>
    <m/>
    <n v="1970"/>
    <n v="54"/>
    <n v="4"/>
    <m/>
    <s v="02_GmbH"/>
    <x v="1"/>
    <m/>
    <m/>
    <m/>
    <m/>
    <x v="0"/>
    <s v="Project"/>
    <x v="261"/>
    <x v="0"/>
    <x v="23"/>
    <s v="Exclude in HGB Group allocation"/>
  </r>
  <r>
    <s v="19705542"/>
    <m/>
    <x v="0"/>
    <x v="0"/>
    <m/>
    <m/>
    <m/>
    <n v="1970"/>
    <n v="55"/>
    <n v="4"/>
    <n v="19705542"/>
    <s v="02_GmbH"/>
    <x v="1"/>
    <m/>
    <m/>
    <m/>
    <m/>
    <x v="0"/>
    <s v="Project"/>
    <x v="262"/>
    <x v="0"/>
    <x v="23"/>
    <s v="Exclude in HGB Group allocation"/>
  </r>
  <r>
    <s v="19705642"/>
    <m/>
    <x v="0"/>
    <x v="0"/>
    <m/>
    <m/>
    <m/>
    <n v="1970"/>
    <n v="56"/>
    <n v="4"/>
    <n v="19705642"/>
    <s v="02_GmbH"/>
    <x v="1"/>
    <m/>
    <m/>
    <m/>
    <m/>
    <x v="0"/>
    <s v="Project"/>
    <x v="263"/>
    <x v="0"/>
    <x v="23"/>
    <s v="Exclude in HGB Group allocation"/>
  </r>
  <r>
    <s v="19705742"/>
    <m/>
    <x v="0"/>
    <x v="0"/>
    <m/>
    <m/>
    <m/>
    <n v="1970"/>
    <n v="57"/>
    <n v="4"/>
    <n v="19705742"/>
    <s v="02_GmbH"/>
    <x v="1"/>
    <m/>
    <m/>
    <m/>
    <m/>
    <x v="0"/>
    <s v="Project"/>
    <x v="264"/>
    <x v="0"/>
    <x v="23"/>
    <s v="Exclude in HGB Group allocation"/>
  </r>
  <r>
    <s v="99631816"/>
    <m/>
    <x v="0"/>
    <x v="0"/>
    <m/>
    <m/>
    <m/>
    <n v="9963"/>
    <n v="18"/>
    <n v="1"/>
    <s v="99631816"/>
    <s v="01_SE"/>
    <x v="4"/>
    <m/>
    <m/>
    <m/>
    <m/>
    <x v="0"/>
    <s v="Project"/>
    <x v="248"/>
    <x v="0"/>
    <x v="19"/>
    <s v="Exclude in HGB Group allocation"/>
  </r>
  <r>
    <s v="99631916"/>
    <m/>
    <x v="0"/>
    <x v="0"/>
    <m/>
    <m/>
    <m/>
    <n v="9963"/>
    <n v="19"/>
    <n v="1"/>
    <s v="99631916"/>
    <s v="01_SE"/>
    <x v="4"/>
    <m/>
    <m/>
    <m/>
    <m/>
    <x v="0"/>
    <s v="Project"/>
    <x v="265"/>
    <x v="0"/>
    <x v="19"/>
    <s v="Exclude in HGB Group allocation"/>
  </r>
  <r>
    <s v="99632011"/>
    <m/>
    <x v="0"/>
    <x v="0"/>
    <m/>
    <m/>
    <m/>
    <n v="9963"/>
    <n v="20"/>
    <n v="1"/>
    <s v="99632011"/>
    <s v="01_SE"/>
    <x v="4"/>
    <m/>
    <m/>
    <m/>
    <m/>
    <x v="0"/>
    <s v="Project"/>
    <x v="266"/>
    <x v="0"/>
    <x v="18"/>
    <s v="Exclude in HGB Group allocation"/>
  </r>
  <r>
    <s v="0"/>
    <m/>
    <x v="0"/>
    <x v="0"/>
    <m/>
    <m/>
    <m/>
    <n v="1970"/>
    <n v="58"/>
    <n v="4"/>
    <m/>
    <s v="02_GmbH"/>
    <x v="1"/>
    <m/>
    <m/>
    <m/>
    <m/>
    <x v="0"/>
    <s v="Project"/>
    <x v="267"/>
    <x v="0"/>
    <x v="20"/>
    <s v="Exclude in HGB Group allocation"/>
  </r>
  <r>
    <s v="0"/>
    <m/>
    <x v="0"/>
    <x v="0"/>
    <m/>
    <m/>
    <m/>
    <n v="1970"/>
    <n v="59"/>
    <n v="2"/>
    <m/>
    <s v="01_SE"/>
    <x v="0"/>
    <m/>
    <m/>
    <m/>
    <m/>
    <x v="0"/>
    <s v="Project"/>
    <x v="268"/>
    <x v="0"/>
    <x v="0"/>
    <s v="Exclude in HGB Group allocation"/>
  </r>
  <r>
    <s v="0"/>
    <m/>
    <x v="0"/>
    <x v="0"/>
    <m/>
    <m/>
    <m/>
    <n v="1970"/>
    <n v="60"/>
    <n v="2"/>
    <m/>
    <s v="01_SE"/>
    <x v="0"/>
    <m/>
    <m/>
    <m/>
    <m/>
    <x v="0"/>
    <s v="Project"/>
    <x v="269"/>
    <x v="0"/>
    <x v="0"/>
    <s v="Exclude in HGB Group allocation"/>
  </r>
  <r>
    <s v="99956213"/>
    <m/>
    <x v="0"/>
    <x v="0"/>
    <m/>
    <m/>
    <m/>
    <n v="9995"/>
    <n v="62"/>
    <n v="1"/>
    <s v="99956213"/>
    <s v="01_SE"/>
    <x v="4"/>
    <m/>
    <m/>
    <m/>
    <m/>
    <x v="0"/>
    <s v="Project"/>
    <x v="270"/>
    <x v="0"/>
    <x v="17"/>
    <s v="Exclude in HGB Group allocation"/>
  </r>
  <r>
    <s v="99632013"/>
    <m/>
    <x v="0"/>
    <x v="0"/>
    <m/>
    <m/>
    <m/>
    <n v="9963"/>
    <n v="20"/>
    <n v="1"/>
    <s v="99632013"/>
    <s v="01_SE"/>
    <x v="4"/>
    <m/>
    <m/>
    <m/>
    <m/>
    <x v="0"/>
    <s v="Project"/>
    <x v="266"/>
    <x v="0"/>
    <x v="17"/>
    <s v="Exclude in HGB Group allocation"/>
  </r>
  <r>
    <s v="99957213"/>
    <m/>
    <x v="0"/>
    <x v="0"/>
    <m/>
    <m/>
    <m/>
    <n v="9995"/>
    <n v="72"/>
    <n v="1"/>
    <s v="99957213"/>
    <s v="01_SE"/>
    <x v="4"/>
    <m/>
    <m/>
    <m/>
    <m/>
    <x v="0"/>
    <s v="Project"/>
    <x v="271"/>
    <x v="0"/>
    <x v="17"/>
    <s v="Exclude in HGB Group allocation"/>
  </r>
  <r>
    <s v="99957313"/>
    <m/>
    <x v="0"/>
    <x v="0"/>
    <m/>
    <m/>
    <m/>
    <n v="9995"/>
    <n v="73"/>
    <n v="1"/>
    <s v="99957313"/>
    <s v="01_SE"/>
    <x v="4"/>
    <m/>
    <m/>
    <m/>
    <m/>
    <x v="0"/>
    <s v="Project"/>
    <x v="272"/>
    <x v="0"/>
    <x v="17"/>
    <s v="Exclude in HGB Group allocation"/>
  </r>
  <r>
    <s v="99843611"/>
    <m/>
    <x v="0"/>
    <x v="0"/>
    <m/>
    <m/>
    <m/>
    <n v="9985"/>
    <n v="74"/>
    <n v="1"/>
    <s v="99843611"/>
    <s v="05_Shg"/>
    <x v="4"/>
    <m/>
    <m/>
    <m/>
    <m/>
    <x v="0"/>
    <s v="Project"/>
    <x v="273"/>
    <x v="0"/>
    <x v="18"/>
    <s v="Exclude in HGB Group allocation"/>
  </r>
  <r>
    <s v="99857411"/>
    <m/>
    <x v="0"/>
    <x v="0"/>
    <m/>
    <m/>
    <m/>
    <n v="9985"/>
    <n v="74"/>
    <n v="1"/>
    <s v="99857411"/>
    <s v="05_Shg"/>
    <x v="4"/>
    <m/>
    <m/>
    <m/>
    <m/>
    <x v="0"/>
    <s v="Project"/>
    <x v="273"/>
    <x v="0"/>
    <x v="18"/>
    <s v="Exclude in HGB Group allocation"/>
  </r>
  <r>
    <s v="0"/>
    <m/>
    <x v="0"/>
    <x v="0"/>
    <m/>
    <m/>
    <m/>
    <n v="1971"/>
    <n v="88"/>
    <n v="4"/>
    <m/>
    <s v="07_Inc"/>
    <x v="1"/>
    <m/>
    <m/>
    <m/>
    <m/>
    <x v="0"/>
    <s v="Project"/>
    <x v="274"/>
    <x v="0"/>
    <x v="2"/>
    <s v="Exclude in HGB Group allocation"/>
  </r>
  <r>
    <s v="0"/>
    <m/>
    <x v="0"/>
    <x v="0"/>
    <m/>
    <m/>
    <m/>
    <n v="1972"/>
    <n v="89"/>
    <n v="4"/>
    <m/>
    <s v="09_Ltda"/>
    <x v="1"/>
    <m/>
    <m/>
    <m/>
    <m/>
    <x v="0"/>
    <s v="Project"/>
    <x v="275"/>
    <x v="0"/>
    <x v="2"/>
    <s v="Exclude in HGB Group allocation"/>
  </r>
  <r>
    <s v="31410228"/>
    <m/>
    <x v="0"/>
    <x v="0"/>
    <m/>
    <m/>
    <m/>
    <n v="3141"/>
    <n v="2"/>
    <n v="2"/>
    <s v="31410228"/>
    <s v="01_SE"/>
    <x v="0"/>
    <m/>
    <m/>
    <m/>
    <m/>
    <x v="0"/>
    <s v="Project"/>
    <x v="276"/>
    <x v="0"/>
    <x v="0"/>
    <s v="Exclude in HGB Group allocation"/>
  </r>
  <r>
    <s v="0"/>
    <m/>
    <x v="0"/>
    <x v="0"/>
    <m/>
    <m/>
    <m/>
    <n v="6409"/>
    <n v="2"/>
    <n v="2"/>
    <m/>
    <s v="01_SE"/>
    <x v="0"/>
    <m/>
    <m/>
    <m/>
    <m/>
    <x v="0"/>
    <s v="Project"/>
    <x v="277"/>
    <x v="0"/>
    <x v="0"/>
    <s v="Exclude in HGB Group allocation"/>
  </r>
  <r>
    <s v="64250128"/>
    <m/>
    <x v="0"/>
    <x v="0"/>
    <m/>
    <m/>
    <m/>
    <n v="6425"/>
    <n v="1"/>
    <n v="2"/>
    <s v="64250128"/>
    <s v="01_SE"/>
    <x v="0"/>
    <m/>
    <m/>
    <m/>
    <m/>
    <x v="0"/>
    <s v="Project"/>
    <x v="278"/>
    <x v="0"/>
    <x v="0"/>
    <s v="Exclude in HGB Group allocation"/>
  </r>
  <r>
    <s v="64252928"/>
    <m/>
    <x v="0"/>
    <x v="0"/>
    <m/>
    <m/>
    <m/>
    <n v="6425"/>
    <n v="29"/>
    <n v="2"/>
    <s v="64252928"/>
    <s v="01_SE"/>
    <x v="0"/>
    <m/>
    <m/>
    <m/>
    <m/>
    <x v="0"/>
    <s v="Project"/>
    <x v="279"/>
    <x v="0"/>
    <x v="0"/>
    <s v="Exclude in HGB Group allocation"/>
  </r>
  <r>
    <s v="99961428"/>
    <m/>
    <x v="0"/>
    <x v="0"/>
    <m/>
    <m/>
    <m/>
    <n v="6425"/>
    <n v="29"/>
    <n v="2"/>
    <s v="99961428"/>
    <s v="01_SE"/>
    <x v="0"/>
    <m/>
    <m/>
    <m/>
    <m/>
    <x v="0"/>
    <s v="Project"/>
    <x v="279"/>
    <x v="0"/>
    <x v="21"/>
    <s v="Exclude in HGB Group allocation"/>
  </r>
  <r>
    <s v="64253328"/>
    <m/>
    <x v="0"/>
    <x v="0"/>
    <m/>
    <m/>
    <m/>
    <n v="6425"/>
    <n v="33"/>
    <n v="2"/>
    <s v="64253328"/>
    <s v="01_SE"/>
    <x v="0"/>
    <m/>
    <m/>
    <m/>
    <m/>
    <x v="0"/>
    <s v="Project"/>
    <x v="280"/>
    <x v="0"/>
    <x v="0"/>
    <s v="Exclude in HGB Group allocation"/>
  </r>
  <r>
    <s v="64253428"/>
    <m/>
    <x v="0"/>
    <x v="0"/>
    <m/>
    <m/>
    <m/>
    <n v="6425"/>
    <n v="34"/>
    <n v="2"/>
    <s v="64253428"/>
    <s v="01_SE"/>
    <x v="0"/>
    <m/>
    <m/>
    <m/>
    <m/>
    <x v="0"/>
    <s v="Project"/>
    <x v="281"/>
    <x v="0"/>
    <x v="0"/>
    <s v="Exclude in HGB Group allocation"/>
  </r>
  <r>
    <s v="64253528"/>
    <m/>
    <x v="0"/>
    <x v="0"/>
    <m/>
    <m/>
    <m/>
    <n v="6425"/>
    <n v="35"/>
    <n v="2"/>
    <s v="64253528"/>
    <s v="01_SE"/>
    <x v="0"/>
    <m/>
    <m/>
    <m/>
    <m/>
    <x v="0"/>
    <s v="Project"/>
    <x v="282"/>
    <x v="0"/>
    <x v="0"/>
    <s v="Exclude in HGB Group allocation"/>
  </r>
  <r>
    <s v="64253628"/>
    <m/>
    <x v="0"/>
    <x v="0"/>
    <m/>
    <m/>
    <m/>
    <n v="6425"/>
    <n v="36"/>
    <n v="2"/>
    <s v="64253628"/>
    <s v="01_SE"/>
    <x v="0"/>
    <m/>
    <m/>
    <m/>
    <m/>
    <x v="0"/>
    <s v="Project"/>
    <x v="283"/>
    <x v="0"/>
    <x v="0"/>
    <s v="Exclude in HGB Group allocation"/>
  </r>
  <r>
    <s v="64253728"/>
    <m/>
    <x v="0"/>
    <x v="0"/>
    <m/>
    <m/>
    <m/>
    <n v="6425"/>
    <n v="37"/>
    <n v="2"/>
    <s v="64253728"/>
    <s v="01_SE"/>
    <x v="0"/>
    <m/>
    <m/>
    <m/>
    <m/>
    <x v="0"/>
    <s v="Project"/>
    <x v="284"/>
    <x v="0"/>
    <x v="0"/>
    <s v="Exclude in HGB Group allocation"/>
  </r>
  <r>
    <s v="0"/>
    <m/>
    <x v="0"/>
    <x v="0"/>
    <m/>
    <m/>
    <m/>
    <n v="6425"/>
    <n v="38"/>
    <n v="2"/>
    <m/>
    <s v="01_SE"/>
    <x v="0"/>
    <m/>
    <m/>
    <m/>
    <m/>
    <x v="0"/>
    <s v="Project"/>
    <x v="285"/>
    <x v="0"/>
    <x v="0"/>
    <s v="Exclude in HGB Group allocation"/>
  </r>
  <r>
    <s v="0"/>
    <m/>
    <x v="0"/>
    <x v="0"/>
    <m/>
    <m/>
    <m/>
    <n v="6425"/>
    <n v="39"/>
    <n v="2"/>
    <m/>
    <s v="07_Inc"/>
    <x v="0"/>
    <m/>
    <m/>
    <m/>
    <m/>
    <x v="0"/>
    <s v="Project"/>
    <x v="286"/>
    <x v="0"/>
    <x v="0"/>
    <s v="Exclude in HGB Group allocation"/>
  </r>
  <r>
    <s v="0"/>
    <m/>
    <x v="0"/>
    <x v="0"/>
    <m/>
    <m/>
    <m/>
    <n v="6425"/>
    <n v="40"/>
    <n v="2"/>
    <m/>
    <s v="01_SE"/>
    <x v="0"/>
    <m/>
    <m/>
    <m/>
    <m/>
    <x v="0"/>
    <s v="Project"/>
    <x v="287"/>
    <x v="0"/>
    <x v="0"/>
    <s v="Exclude in HGB Group allocation"/>
  </r>
  <r>
    <s v="0"/>
    <m/>
    <x v="0"/>
    <x v="0"/>
    <m/>
    <m/>
    <m/>
    <n v="6425"/>
    <n v="41"/>
    <n v="2"/>
    <m/>
    <s v="01_SE"/>
    <x v="0"/>
    <m/>
    <m/>
    <m/>
    <m/>
    <x v="0"/>
    <s v="Project"/>
    <x v="288"/>
    <x v="0"/>
    <x v="0"/>
    <s v="Exclude in HGB Group allocation"/>
  </r>
  <r>
    <s v="0"/>
    <m/>
    <x v="0"/>
    <x v="0"/>
    <m/>
    <m/>
    <m/>
    <n v="6425"/>
    <n v="42"/>
    <n v="2"/>
    <m/>
    <s v="01_SE"/>
    <x v="0"/>
    <m/>
    <m/>
    <m/>
    <m/>
    <x v="0"/>
    <s v="Project"/>
    <x v="289"/>
    <x v="0"/>
    <x v="0"/>
    <s v="Exclude in HGB Group allocation"/>
  </r>
  <r>
    <s v="0"/>
    <m/>
    <x v="0"/>
    <x v="0"/>
    <m/>
    <m/>
    <m/>
    <n v="6425"/>
    <n v="43"/>
    <n v="2"/>
    <m/>
    <s v="01_SE"/>
    <x v="0"/>
    <m/>
    <m/>
    <m/>
    <m/>
    <x v="0"/>
    <s v="Project"/>
    <x v="290"/>
    <x v="0"/>
    <x v="0"/>
    <s v="Exclude in HGB Group allocation"/>
  </r>
  <r>
    <s v="07_Inc"/>
    <m/>
    <x v="0"/>
    <x v="0"/>
    <m/>
    <m/>
    <m/>
    <n v="6425"/>
    <n v="44"/>
    <n v="2"/>
    <s v="07_Inc"/>
    <s v="07_Inc"/>
    <x v="0"/>
    <m/>
    <m/>
    <m/>
    <m/>
    <x v="0"/>
    <s v="Project"/>
    <x v="291"/>
    <x v="0"/>
    <x v="0"/>
    <s v="Exclude in HGB Group allocation"/>
  </r>
  <r>
    <s v="0"/>
    <m/>
    <x v="0"/>
    <x v="0"/>
    <m/>
    <m/>
    <m/>
    <n v="6425"/>
    <n v="45"/>
    <n v="2"/>
    <m/>
    <s v="07_Inc"/>
    <x v="0"/>
    <m/>
    <m/>
    <m/>
    <m/>
    <x v="0"/>
    <s v="Project"/>
    <x v="292"/>
    <x v="0"/>
    <x v="0"/>
    <s v="Exclude in HGB Group allocation"/>
  </r>
  <r>
    <s v="0"/>
    <m/>
    <x v="0"/>
    <x v="0"/>
    <m/>
    <m/>
    <m/>
    <n v="6425"/>
    <n v="46"/>
    <n v="2"/>
    <m/>
    <s v="07_Inc"/>
    <x v="0"/>
    <m/>
    <m/>
    <m/>
    <m/>
    <x v="0"/>
    <s v="Project"/>
    <x v="293"/>
    <x v="0"/>
    <x v="0"/>
    <s v="Exclude in HGB Group allocation"/>
  </r>
  <r>
    <s v="0"/>
    <m/>
    <x v="0"/>
    <x v="0"/>
    <m/>
    <m/>
    <m/>
    <n v="6425"/>
    <n v="47"/>
    <n v="2"/>
    <m/>
    <s v="01_SE"/>
    <x v="0"/>
    <m/>
    <m/>
    <m/>
    <m/>
    <x v="0"/>
    <s v="Project"/>
    <x v="294"/>
    <x v="0"/>
    <x v="0"/>
    <s v="Exclude in HGB Group allocation"/>
  </r>
  <r>
    <s v="0"/>
    <m/>
    <x v="0"/>
    <x v="0"/>
    <m/>
    <m/>
    <m/>
    <n v="6425"/>
    <n v="48"/>
    <n v="2"/>
    <m/>
    <s v="01_SE"/>
    <x v="0"/>
    <m/>
    <m/>
    <m/>
    <m/>
    <x v="0"/>
    <s v="Project"/>
    <x v="295"/>
    <x v="0"/>
    <x v="0"/>
    <s v="Exclude in HGB Group allocation"/>
  </r>
  <r>
    <s v="0"/>
    <m/>
    <x v="0"/>
    <x v="0"/>
    <m/>
    <m/>
    <m/>
    <n v="6425"/>
    <n v="49"/>
    <n v="2"/>
    <m/>
    <s v="01_SE"/>
    <x v="0"/>
    <m/>
    <m/>
    <m/>
    <m/>
    <x v="0"/>
    <s v="Project"/>
    <x v="296"/>
    <x v="0"/>
    <x v="0"/>
    <s v="Exclude in HGB Group allocation"/>
  </r>
  <r>
    <s v="0"/>
    <m/>
    <x v="0"/>
    <x v="0"/>
    <m/>
    <m/>
    <m/>
    <n v="6425"/>
    <n v="50"/>
    <n v="2"/>
    <m/>
    <s v="01_SE"/>
    <x v="0"/>
    <m/>
    <m/>
    <m/>
    <m/>
    <x v="0"/>
    <s v="Project"/>
    <x v="297"/>
    <x v="0"/>
    <x v="0"/>
    <s v="Exclude in HGB Group allocation"/>
  </r>
  <r>
    <s v="0"/>
    <m/>
    <x v="0"/>
    <x v="0"/>
    <m/>
    <m/>
    <m/>
    <n v="6425"/>
    <n v="51"/>
    <n v="2"/>
    <m/>
    <s v="01_SE"/>
    <x v="0"/>
    <m/>
    <m/>
    <m/>
    <m/>
    <x v="0"/>
    <s v="Project"/>
    <x v="298"/>
    <x v="0"/>
    <x v="0"/>
    <s v="Exclude in HGB Group allocation"/>
  </r>
  <r>
    <s v="0"/>
    <m/>
    <x v="0"/>
    <x v="0"/>
    <m/>
    <m/>
    <m/>
    <n v="6425"/>
    <n v="52"/>
    <n v="2"/>
    <m/>
    <s v="01_SE"/>
    <x v="0"/>
    <m/>
    <m/>
    <m/>
    <m/>
    <x v="0"/>
    <s v="Project"/>
    <x v="299"/>
    <x v="0"/>
    <x v="0"/>
    <s v="Exclude in HGB Group allocation"/>
  </r>
  <r>
    <s v="0"/>
    <m/>
    <x v="0"/>
    <x v="0"/>
    <m/>
    <m/>
    <m/>
    <n v="6425"/>
    <n v="53"/>
    <n v="2"/>
    <m/>
    <s v="01_SE"/>
    <x v="0"/>
    <m/>
    <m/>
    <m/>
    <m/>
    <x v="0"/>
    <s v="Project"/>
    <x v="300"/>
    <x v="0"/>
    <x v="0"/>
    <s v="Exclude in HGB Group allocation"/>
  </r>
  <r>
    <s v="64261126"/>
    <m/>
    <x v="0"/>
    <x v="0"/>
    <m/>
    <m/>
    <m/>
    <n v="6426"/>
    <n v="11"/>
    <n v="2"/>
    <s v="64261126"/>
    <s v="01_SE"/>
    <x v="0"/>
    <m/>
    <m/>
    <m/>
    <m/>
    <x v="0"/>
    <s v="Project"/>
    <x v="301"/>
    <x v="0"/>
    <x v="0"/>
    <s v="Exclude in HGB Group allocation"/>
  </r>
  <r>
    <s v="64261228"/>
    <m/>
    <x v="0"/>
    <x v="0"/>
    <m/>
    <m/>
    <m/>
    <n v="6426"/>
    <n v="12"/>
    <n v="2"/>
    <s v="64261228"/>
    <s v="01_SE"/>
    <x v="0"/>
    <m/>
    <m/>
    <m/>
    <m/>
    <x v="0"/>
    <s v="Project"/>
    <x v="302"/>
    <x v="0"/>
    <x v="0"/>
    <s v="Exclude in HGB Group allocation"/>
  </r>
  <r>
    <s v="99900528"/>
    <m/>
    <x v="0"/>
    <x v="0"/>
    <m/>
    <m/>
    <m/>
    <n v="6426"/>
    <n v="12"/>
    <n v="2"/>
    <s v="99900528"/>
    <s v="01_SE"/>
    <x v="0"/>
    <m/>
    <m/>
    <m/>
    <m/>
    <x v="0"/>
    <s v="Project"/>
    <x v="302"/>
    <x v="0"/>
    <x v="0"/>
    <s v="Exclude in HGB Group allocation"/>
  </r>
  <r>
    <s v="64261328"/>
    <m/>
    <x v="0"/>
    <x v="0"/>
    <m/>
    <m/>
    <m/>
    <n v="6426"/>
    <n v="13"/>
    <n v="2"/>
    <s v="64261328"/>
    <s v="01_SE"/>
    <x v="0"/>
    <m/>
    <m/>
    <m/>
    <m/>
    <x v="0"/>
    <s v="Project"/>
    <x v="303"/>
    <x v="0"/>
    <x v="0"/>
    <s v="Exclude in HGB Group allocation"/>
  </r>
  <r>
    <s v="64261428"/>
    <m/>
    <x v="0"/>
    <x v="0"/>
    <m/>
    <m/>
    <m/>
    <n v="6426"/>
    <n v="14"/>
    <n v="2"/>
    <s v="64261428"/>
    <s v="01_SE"/>
    <x v="0"/>
    <m/>
    <m/>
    <m/>
    <m/>
    <x v="0"/>
    <s v="Project"/>
    <x v="304"/>
    <x v="0"/>
    <x v="0"/>
    <s v="Exclude in HGB Group allocation"/>
  </r>
  <r>
    <s v="99964828"/>
    <m/>
    <x v="0"/>
    <x v="0"/>
    <m/>
    <m/>
    <m/>
    <n v="6426"/>
    <n v="14"/>
    <n v="2"/>
    <s v="99964828"/>
    <s v="01_SE"/>
    <x v="0"/>
    <m/>
    <m/>
    <m/>
    <m/>
    <x v="0"/>
    <s v="Project"/>
    <x v="304"/>
    <x v="0"/>
    <x v="0"/>
    <s v="Exclude in HGB Group allocation"/>
  </r>
  <r>
    <s v="64261528"/>
    <m/>
    <x v="0"/>
    <x v="0"/>
    <m/>
    <m/>
    <m/>
    <n v="6426"/>
    <n v="15"/>
    <n v="2"/>
    <s v="64261528"/>
    <s v="07_Inc"/>
    <x v="0"/>
    <m/>
    <m/>
    <m/>
    <m/>
    <x v="0"/>
    <s v="Project"/>
    <x v="305"/>
    <x v="0"/>
    <x v="21"/>
    <s v="Exclude in HGB Group allocation"/>
  </r>
  <r>
    <s v="99869728"/>
    <m/>
    <x v="0"/>
    <x v="0"/>
    <m/>
    <m/>
    <m/>
    <n v="6426"/>
    <n v="15"/>
    <n v="2"/>
    <s v="99869728"/>
    <s v="07_Inc"/>
    <x v="0"/>
    <m/>
    <m/>
    <m/>
    <m/>
    <x v="0"/>
    <s v="Project"/>
    <x v="305"/>
    <x v="0"/>
    <x v="0"/>
    <s v="Exclude in HGB Group allocation"/>
  </r>
  <r>
    <s v="0"/>
    <m/>
    <x v="0"/>
    <x v="0"/>
    <m/>
    <m/>
    <m/>
    <n v="6426"/>
    <n v="16"/>
    <n v="2"/>
    <m/>
    <s v="01_SE"/>
    <x v="0"/>
    <m/>
    <m/>
    <m/>
    <m/>
    <x v="0"/>
    <s v="Project"/>
    <x v="306"/>
    <x v="0"/>
    <x v="0"/>
    <s v="Exclude in HGB Group allocation"/>
  </r>
  <r>
    <s v="0"/>
    <m/>
    <x v="0"/>
    <x v="0"/>
    <m/>
    <m/>
    <m/>
    <n v="6426"/>
    <n v="17"/>
    <n v="2"/>
    <m/>
    <s v="01_SE"/>
    <x v="0"/>
    <m/>
    <m/>
    <m/>
    <m/>
    <x v="0"/>
    <s v="Project"/>
    <x v="307"/>
    <x v="0"/>
    <x v="0"/>
    <s v="Exclude in HGB Group allocation"/>
  </r>
  <r>
    <s v="0"/>
    <m/>
    <x v="0"/>
    <x v="0"/>
    <m/>
    <m/>
    <m/>
    <n v="6426"/>
    <n v="18"/>
    <n v="2"/>
    <m/>
    <s v="01_SE"/>
    <x v="0"/>
    <m/>
    <m/>
    <m/>
    <m/>
    <x v="0"/>
    <s v="Project"/>
    <x v="308"/>
    <x v="0"/>
    <x v="0"/>
    <s v="Exclude in HGB Group allocation"/>
  </r>
  <r>
    <s v="0"/>
    <m/>
    <x v="0"/>
    <x v="0"/>
    <m/>
    <m/>
    <m/>
    <n v="6426"/>
    <n v="19"/>
    <n v="2"/>
    <m/>
    <s v="01_SE"/>
    <x v="0"/>
    <m/>
    <m/>
    <m/>
    <m/>
    <x v="0"/>
    <s v="Project"/>
    <x v="309"/>
    <x v="0"/>
    <x v="0"/>
    <s v="Exclude in HGB Group allocation"/>
  </r>
  <r>
    <s v="0"/>
    <m/>
    <x v="0"/>
    <x v="0"/>
    <m/>
    <m/>
    <m/>
    <n v="6426"/>
    <n v="20"/>
    <n v="2"/>
    <m/>
    <s v="01_SE"/>
    <x v="0"/>
    <m/>
    <m/>
    <m/>
    <m/>
    <x v="0"/>
    <s v="Project"/>
    <x v="310"/>
    <x v="0"/>
    <x v="0"/>
    <s v="Exclude in HGB Group allocation"/>
  </r>
  <r>
    <s v="75500128"/>
    <m/>
    <x v="0"/>
    <x v="0"/>
    <m/>
    <m/>
    <m/>
    <n v="7550"/>
    <n v="1"/>
    <n v="2"/>
    <s v="75500128"/>
    <s v="01_SE"/>
    <x v="0"/>
    <m/>
    <m/>
    <m/>
    <m/>
    <x v="0"/>
    <s v="Project"/>
    <x v="311"/>
    <x v="0"/>
    <x v="0"/>
    <s v="Exclude in HGB Group allocation"/>
  </r>
  <r>
    <s v="75502128"/>
    <m/>
    <x v="0"/>
    <x v="0"/>
    <m/>
    <m/>
    <m/>
    <n v="7550"/>
    <n v="21"/>
    <n v="2"/>
    <s v="75502128"/>
    <s v="01_SE"/>
    <x v="0"/>
    <m/>
    <m/>
    <m/>
    <m/>
    <x v="0"/>
    <s v="Project"/>
    <x v="312"/>
    <x v="0"/>
    <x v="0"/>
    <s v="Exclude in HGB Group allocation"/>
  </r>
  <r>
    <s v="75502228"/>
    <m/>
    <x v="0"/>
    <x v="0"/>
    <m/>
    <m/>
    <m/>
    <n v="7550"/>
    <n v="22"/>
    <n v="2"/>
    <s v="75502228"/>
    <s v="01_SE"/>
    <x v="0"/>
    <m/>
    <m/>
    <m/>
    <m/>
    <x v="0"/>
    <s v="Project"/>
    <x v="313"/>
    <x v="0"/>
    <x v="0"/>
    <s v="Exclude in HGB Group allocation"/>
  </r>
  <r>
    <s v="75502328"/>
    <m/>
    <x v="0"/>
    <x v="0"/>
    <m/>
    <m/>
    <m/>
    <n v="7550"/>
    <n v="23"/>
    <n v="2"/>
    <s v="75502328"/>
    <s v="01_SE"/>
    <x v="0"/>
    <m/>
    <m/>
    <m/>
    <m/>
    <x v="0"/>
    <s v="Project"/>
    <x v="314"/>
    <x v="0"/>
    <x v="0"/>
    <s v="Exclude in HGB Group allocation"/>
  </r>
  <r>
    <s v="0"/>
    <m/>
    <x v="0"/>
    <x v="0"/>
    <m/>
    <m/>
    <m/>
    <n v="3081"/>
    <n v="30"/>
    <n v="2"/>
    <m/>
    <s v="01_SE"/>
    <x v="0"/>
    <m/>
    <m/>
    <m/>
    <m/>
    <x v="0"/>
    <s v="Project"/>
    <x v="315"/>
    <x v="0"/>
    <x v="0"/>
    <s v="Exclude in HGB Group allocation"/>
  </r>
  <r>
    <s v="0"/>
    <m/>
    <x v="0"/>
    <x v="0"/>
    <m/>
    <m/>
    <m/>
    <n v="3081"/>
    <n v="31"/>
    <n v="2"/>
    <m/>
    <s v="01_SE"/>
    <x v="0"/>
    <m/>
    <m/>
    <m/>
    <m/>
    <x v="0"/>
    <s v="Project"/>
    <x v="316"/>
    <x v="0"/>
    <x v="0"/>
    <s v="Exclude in HGB Group allocation"/>
  </r>
  <r>
    <s v="0"/>
    <m/>
    <x v="0"/>
    <x v="0"/>
    <m/>
    <m/>
    <m/>
    <n v="3081"/>
    <n v="32"/>
    <n v="2"/>
    <m/>
    <s v="01_SE"/>
    <x v="0"/>
    <m/>
    <m/>
    <m/>
    <m/>
    <x v="0"/>
    <s v="Project"/>
    <x v="317"/>
    <x v="0"/>
    <x v="0"/>
    <s v="Exclude in HGB Group allocation"/>
  </r>
  <r>
    <s v="0"/>
    <m/>
    <x v="0"/>
    <x v="0"/>
    <m/>
    <m/>
    <m/>
    <n v="3081"/>
    <n v="33"/>
    <n v="2"/>
    <m/>
    <s v="01_SE"/>
    <x v="0"/>
    <m/>
    <m/>
    <m/>
    <m/>
    <x v="0"/>
    <s v="Project"/>
    <x v="318"/>
    <x v="0"/>
    <x v="0"/>
    <s v="Exclude in HGB Group allocation"/>
  </r>
  <r>
    <s v="30811828"/>
    <m/>
    <x v="0"/>
    <x v="0"/>
    <m/>
    <m/>
    <m/>
    <n v="3081"/>
    <n v="18"/>
    <n v="2"/>
    <s v="30811828"/>
    <s v="01_SE"/>
    <x v="0"/>
    <m/>
    <m/>
    <m/>
    <m/>
    <x v="0"/>
    <s v="Project"/>
    <x v="319"/>
    <x v="0"/>
    <x v="0"/>
    <s v="Exclude in HGB Group allocation"/>
  </r>
  <r>
    <s v="30811911"/>
    <m/>
    <x v="0"/>
    <x v="0"/>
    <m/>
    <m/>
    <m/>
    <n v="3081"/>
    <n v="19"/>
    <n v="1"/>
    <s v="30811911"/>
    <s v="01_SE"/>
    <x v="4"/>
    <m/>
    <m/>
    <m/>
    <m/>
    <x v="0"/>
    <s v="Project"/>
    <x v="320"/>
    <x v="0"/>
    <x v="18"/>
    <s v="Exclude in HGB Group allocation"/>
  </r>
  <r>
    <s v="30812028"/>
    <m/>
    <x v="0"/>
    <x v="0"/>
    <m/>
    <m/>
    <m/>
    <n v="3081"/>
    <n v="20"/>
    <n v="2"/>
    <s v="30812028"/>
    <s v="01_SE"/>
    <x v="0"/>
    <m/>
    <m/>
    <m/>
    <m/>
    <x v="0"/>
    <s v="Project"/>
    <x v="321"/>
    <x v="0"/>
    <x v="0"/>
    <s v="Exclude in HGB Group allocation"/>
  </r>
  <r>
    <s v="30812128"/>
    <m/>
    <x v="0"/>
    <x v="0"/>
    <m/>
    <m/>
    <m/>
    <n v="3081"/>
    <n v="21"/>
    <n v="2"/>
    <s v="30812128"/>
    <s v="01_SE"/>
    <x v="0"/>
    <m/>
    <m/>
    <m/>
    <m/>
    <x v="0"/>
    <s v="Project"/>
    <x v="322"/>
    <x v="0"/>
    <x v="0"/>
    <s v="Exclude in HGB Group allocation"/>
  </r>
  <r>
    <s v="30812228"/>
    <m/>
    <x v="0"/>
    <x v="0"/>
    <m/>
    <m/>
    <m/>
    <n v="3081"/>
    <n v="22"/>
    <n v="2"/>
    <s v="30812228"/>
    <s v="01_SE"/>
    <x v="0"/>
    <m/>
    <m/>
    <m/>
    <m/>
    <x v="0"/>
    <s v="Project"/>
    <x v="323"/>
    <x v="0"/>
    <x v="0"/>
    <s v="Exclude in HGB Group allocation"/>
  </r>
  <r>
    <s v="30812328"/>
    <m/>
    <x v="0"/>
    <x v="0"/>
    <m/>
    <m/>
    <m/>
    <n v="3081"/>
    <n v="23"/>
    <n v="2"/>
    <s v="30812328"/>
    <s v="01_SE"/>
    <x v="0"/>
    <m/>
    <m/>
    <m/>
    <m/>
    <x v="0"/>
    <s v="Project"/>
    <x v="324"/>
    <x v="0"/>
    <x v="0"/>
    <s v="Exclude in HGB Group allocation"/>
  </r>
  <r>
    <s v="30812428"/>
    <m/>
    <x v="0"/>
    <x v="0"/>
    <m/>
    <m/>
    <m/>
    <n v="3081"/>
    <n v="24"/>
    <n v="2"/>
    <s v="30812428"/>
    <s v="01_SE"/>
    <x v="0"/>
    <m/>
    <m/>
    <m/>
    <m/>
    <x v="0"/>
    <s v="Project"/>
    <x v="325"/>
    <x v="0"/>
    <x v="0"/>
    <s v="Exclude in HGB Group allocation"/>
  </r>
  <r>
    <s v="30812528"/>
    <m/>
    <x v="0"/>
    <x v="0"/>
    <m/>
    <m/>
    <m/>
    <n v="3081"/>
    <n v="25"/>
    <n v="2"/>
    <s v="30812528"/>
    <s v="01_SE"/>
    <x v="0"/>
    <m/>
    <m/>
    <m/>
    <m/>
    <x v="0"/>
    <s v="Project"/>
    <x v="326"/>
    <x v="0"/>
    <x v="0"/>
    <s v="Exclude in HGB Group allocation"/>
  </r>
  <r>
    <s v="30812628"/>
    <m/>
    <x v="0"/>
    <x v="0"/>
    <m/>
    <m/>
    <m/>
    <n v="3081"/>
    <n v="26"/>
    <n v="2"/>
    <s v="30812628"/>
    <s v="01_SE"/>
    <x v="0"/>
    <m/>
    <m/>
    <m/>
    <m/>
    <x v="0"/>
    <s v="Project"/>
    <x v="327"/>
    <x v="0"/>
    <x v="0"/>
    <s v="Exclude in HGB Group allocation"/>
  </r>
  <r>
    <s v="30812728"/>
    <m/>
    <x v="0"/>
    <x v="0"/>
    <m/>
    <m/>
    <m/>
    <n v="3081"/>
    <n v="27"/>
    <n v="2"/>
    <s v="30812728"/>
    <s v="01_SE"/>
    <x v="0"/>
    <m/>
    <m/>
    <m/>
    <m/>
    <x v="0"/>
    <s v="Project"/>
    <x v="328"/>
    <x v="0"/>
    <x v="0"/>
    <s v="Exclude in HGB Group allocation"/>
  </r>
  <r>
    <s v="30812828"/>
    <m/>
    <x v="0"/>
    <x v="0"/>
    <m/>
    <m/>
    <m/>
    <n v="3081"/>
    <n v="28"/>
    <n v="2"/>
    <s v="30812828"/>
    <s v="01_SE"/>
    <x v="0"/>
    <m/>
    <m/>
    <m/>
    <m/>
    <x v="0"/>
    <s v="Project"/>
    <x v="329"/>
    <x v="0"/>
    <x v="0"/>
    <s v="Exclude in HGB Group allocation"/>
  </r>
  <r>
    <s v="30812928"/>
    <m/>
    <x v="0"/>
    <x v="0"/>
    <m/>
    <m/>
    <m/>
    <n v="3081"/>
    <n v="29"/>
    <n v="2"/>
    <s v="30812928"/>
    <s v="01_SE"/>
    <x v="0"/>
    <m/>
    <m/>
    <m/>
    <m/>
    <x v="0"/>
    <s v="Project"/>
    <x v="330"/>
    <x v="0"/>
    <x v="0"/>
    <s v="Exclude in HGB Group allocation"/>
  </r>
  <r>
    <s v="99949128"/>
    <m/>
    <x v="0"/>
    <x v="0"/>
    <m/>
    <m/>
    <m/>
    <n v="3081"/>
    <n v="14"/>
    <n v="2"/>
    <s v="99949128"/>
    <s v="09_Ltda"/>
    <x v="0"/>
    <m/>
    <m/>
    <m/>
    <m/>
    <x v="0"/>
    <s v="Project"/>
    <x v="331"/>
    <x v="0"/>
    <x v="0"/>
    <s v="Exclude in HGB Group allocation"/>
  </r>
  <r>
    <s v="99960428"/>
    <m/>
    <x v="0"/>
    <x v="0"/>
    <m/>
    <m/>
    <m/>
    <n v="3081"/>
    <n v="18"/>
    <n v="2"/>
    <s v="99960428"/>
    <s v="01_SE"/>
    <x v="0"/>
    <m/>
    <m/>
    <m/>
    <m/>
    <x v="0"/>
    <s v="Project"/>
    <x v="319"/>
    <x v="0"/>
    <x v="21"/>
    <s v="Exclude in HGB Group allocation"/>
  </r>
  <r>
    <s v="99961228"/>
    <m/>
    <x v="0"/>
    <x v="0"/>
    <m/>
    <m/>
    <m/>
    <n v="3081"/>
    <n v="20"/>
    <n v="2"/>
    <s v="99961228"/>
    <s v="01_SE"/>
    <x v="0"/>
    <m/>
    <m/>
    <m/>
    <m/>
    <x v="0"/>
    <s v="Project"/>
    <x v="321"/>
    <x v="0"/>
    <x v="0"/>
    <s v="Exclude in HGB Group allocation"/>
  </r>
  <r>
    <s v="99961928"/>
    <m/>
    <x v="0"/>
    <x v="0"/>
    <m/>
    <m/>
    <m/>
    <n v="3081"/>
    <n v="23"/>
    <n v="2"/>
    <s v="99961928"/>
    <s v="01_SE"/>
    <x v="0"/>
    <m/>
    <m/>
    <m/>
    <m/>
    <x v="0"/>
    <s v="Project"/>
    <x v="324"/>
    <x v="0"/>
    <x v="21"/>
    <s v="Exclude in HGB Group allocation"/>
  </r>
  <r>
    <s v="99962528"/>
    <m/>
    <x v="0"/>
    <x v="0"/>
    <m/>
    <m/>
    <m/>
    <n v="3081"/>
    <n v="24"/>
    <n v="2"/>
    <s v="99962528"/>
    <s v="01_SE"/>
    <x v="0"/>
    <m/>
    <m/>
    <m/>
    <m/>
    <x v="0"/>
    <s v="Project"/>
    <x v="325"/>
    <x v="0"/>
    <x v="21"/>
    <s v="Exclude in HGB Group allocation"/>
  </r>
  <r>
    <s v="99963528"/>
    <m/>
    <x v="0"/>
    <x v="0"/>
    <m/>
    <m/>
    <m/>
    <n v="3081"/>
    <n v="26"/>
    <n v="2"/>
    <s v="99963528"/>
    <s v="01_SE"/>
    <x v="0"/>
    <m/>
    <m/>
    <m/>
    <m/>
    <x v="0"/>
    <s v="Project"/>
    <x v="327"/>
    <x v="0"/>
    <x v="21"/>
    <s v="Exclude in HGB Group allocation"/>
  </r>
  <r>
    <s v="99964328"/>
    <m/>
    <x v="0"/>
    <x v="0"/>
    <m/>
    <m/>
    <m/>
    <n v="3081"/>
    <n v="22"/>
    <n v="2"/>
    <s v="99964328"/>
    <s v="01_SE"/>
    <x v="0"/>
    <m/>
    <m/>
    <m/>
    <m/>
    <x v="0"/>
    <s v="Project"/>
    <x v="323"/>
    <x v="0"/>
    <x v="21"/>
    <s v="Exclude in HGB Group allocation"/>
  </r>
  <r>
    <s v="99967728"/>
    <m/>
    <x v="0"/>
    <x v="0"/>
    <m/>
    <m/>
    <m/>
    <n v="3081"/>
    <n v="27"/>
    <n v="2"/>
    <s v="99967728"/>
    <s v="01_SE"/>
    <x v="0"/>
    <m/>
    <m/>
    <m/>
    <m/>
    <x v="0"/>
    <s v="Project"/>
    <x v="328"/>
    <x v="0"/>
    <x v="21"/>
    <s v="Exclude in HGB Group allocation"/>
  </r>
  <r>
    <s v="75280228"/>
    <m/>
    <x v="0"/>
    <x v="0"/>
    <m/>
    <m/>
    <m/>
    <n v="7528"/>
    <n v="2"/>
    <n v="2"/>
    <s v="75280228"/>
    <s v="01_SE"/>
    <x v="0"/>
    <m/>
    <m/>
    <m/>
    <m/>
    <x v="0"/>
    <s v="Project"/>
    <x v="332"/>
    <x v="0"/>
    <x v="0"/>
    <s v="Exclude in HGB Group allocation"/>
  </r>
  <r>
    <s v="20330228"/>
    <m/>
    <x v="0"/>
    <x v="0"/>
    <m/>
    <m/>
    <m/>
    <n v="2033"/>
    <n v="2"/>
    <n v="2"/>
    <s v="20330228"/>
    <s v="01_SE"/>
    <x v="0"/>
    <m/>
    <m/>
    <m/>
    <m/>
    <x v="0"/>
    <s v="Project"/>
    <x v="333"/>
    <x v="0"/>
    <x v="0"/>
    <s v="Exclude in HGB Group allocation"/>
  </r>
  <r>
    <s v="20130228"/>
    <m/>
    <x v="0"/>
    <x v="0"/>
    <m/>
    <m/>
    <m/>
    <n v="2013"/>
    <n v="2"/>
    <n v="2"/>
    <s v="20130228"/>
    <s v="01_SE"/>
    <x v="0"/>
    <m/>
    <m/>
    <m/>
    <m/>
    <x v="0"/>
    <s v="Project"/>
    <x v="334"/>
    <x v="0"/>
    <x v="0"/>
    <s v="Exclude in HGB Group allocation"/>
  </r>
  <r>
    <s v="20130328"/>
    <m/>
    <x v="0"/>
    <x v="0"/>
    <m/>
    <m/>
    <m/>
    <n v="2013"/>
    <n v="3"/>
    <n v="2"/>
    <s v="20130328"/>
    <s v="01_SE"/>
    <x v="0"/>
    <m/>
    <m/>
    <m/>
    <m/>
    <x v="0"/>
    <s v="Project"/>
    <x v="335"/>
    <x v="0"/>
    <x v="0"/>
    <s v="Exclude in HGB Group allocation"/>
  </r>
  <r>
    <s v="20130428"/>
    <m/>
    <x v="0"/>
    <x v="0"/>
    <m/>
    <m/>
    <m/>
    <n v="2013"/>
    <n v="4"/>
    <n v="2"/>
    <s v="20130428"/>
    <s v="01_SE"/>
    <x v="0"/>
    <m/>
    <m/>
    <m/>
    <m/>
    <x v="0"/>
    <s v="Project"/>
    <x v="336"/>
    <x v="0"/>
    <x v="0"/>
    <s v="Exclude in HGB Group allocation"/>
  </r>
  <r>
    <s v="0"/>
    <m/>
    <x v="0"/>
    <x v="0"/>
    <m/>
    <m/>
    <m/>
    <n v="4122"/>
    <n v="2"/>
    <n v="2"/>
    <m/>
    <s v="01_SE"/>
    <x v="0"/>
    <m/>
    <m/>
    <m/>
    <m/>
    <x v="0"/>
    <s v="Project"/>
    <x v="337"/>
    <x v="0"/>
    <x v="0"/>
    <s v="Exclude in HGB Group allocation"/>
  </r>
  <r>
    <s v="0"/>
    <m/>
    <x v="0"/>
    <x v="0"/>
    <m/>
    <m/>
    <m/>
    <n v="2111"/>
    <n v="2"/>
    <n v="2"/>
    <m/>
    <s v="01_SE"/>
    <x v="0"/>
    <m/>
    <m/>
    <m/>
    <m/>
    <x v="0"/>
    <s v="Project"/>
    <x v="338"/>
    <x v="0"/>
    <x v="0"/>
    <s v="Exclude in HGB Group allocation"/>
  </r>
  <r>
    <s v="0"/>
    <m/>
    <x v="0"/>
    <x v="0"/>
    <m/>
    <m/>
    <m/>
    <n v="8812"/>
    <n v="2"/>
    <n v="2"/>
    <m/>
    <s v="01_SE"/>
    <x v="0"/>
    <m/>
    <m/>
    <m/>
    <m/>
    <x v="0"/>
    <s v="Project"/>
    <x v="339"/>
    <x v="0"/>
    <x v="0"/>
    <s v="Exclude in HGB Group allocation"/>
  </r>
  <r>
    <s v="60240226"/>
    <m/>
    <x v="0"/>
    <x v="0"/>
    <m/>
    <m/>
    <m/>
    <n v="6024"/>
    <n v="2"/>
    <n v="2"/>
    <s v="60240226"/>
    <s v="01_SE"/>
    <x v="0"/>
    <m/>
    <m/>
    <m/>
    <m/>
    <x v="0"/>
    <s v="Project"/>
    <x v="340"/>
    <x v="0"/>
    <x v="0"/>
    <s v="Exclude in HGB Group allocation"/>
  </r>
  <r>
    <s v="60240344"/>
    <m/>
    <x v="0"/>
    <x v="0"/>
    <m/>
    <m/>
    <m/>
    <n v="6024"/>
    <n v="3"/>
    <n v="4"/>
    <s v="60240344"/>
    <s v="02_GmbH"/>
    <x v="1"/>
    <m/>
    <m/>
    <m/>
    <m/>
    <x v="0"/>
    <s v="Project"/>
    <x v="341"/>
    <x v="0"/>
    <x v="21"/>
    <s v="Exclude in HGB Group allocation"/>
  </r>
  <r>
    <s v="60240428"/>
    <m/>
    <x v="0"/>
    <x v="0"/>
    <m/>
    <m/>
    <m/>
    <n v="6024"/>
    <n v="4"/>
    <n v="2"/>
    <s v="60240428"/>
    <s v="01_SE"/>
    <x v="0"/>
    <m/>
    <m/>
    <m/>
    <m/>
    <x v="0"/>
    <s v="Project"/>
    <x v="342"/>
    <x v="0"/>
    <x v="0"/>
    <s v="Exclude in HGB Group allocation"/>
  </r>
  <r>
    <s v="99964026"/>
    <m/>
    <x v="0"/>
    <x v="0"/>
    <m/>
    <m/>
    <m/>
    <n v="6024"/>
    <n v="2"/>
    <n v="2"/>
    <s v="99964026"/>
    <s v="01_SE"/>
    <x v="0"/>
    <m/>
    <m/>
    <m/>
    <m/>
    <x v="0"/>
    <s v="Project"/>
    <x v="340"/>
    <x v="0"/>
    <x v="21"/>
    <s v="Exclude in HGB Group allocation"/>
  </r>
  <r>
    <s v="0"/>
    <m/>
    <x v="0"/>
    <x v="0"/>
    <m/>
    <m/>
    <m/>
    <n v="6132"/>
    <n v="2"/>
    <n v="2"/>
    <m/>
    <s v="01_SE"/>
    <x v="0"/>
    <m/>
    <m/>
    <m/>
    <m/>
    <x v="0"/>
    <s v="Project"/>
    <x v="343"/>
    <x v="0"/>
    <x v="0"/>
    <s v="Exclude in HGB Group allocation"/>
  </r>
  <r>
    <s v="0"/>
    <m/>
    <x v="0"/>
    <x v="0"/>
    <m/>
    <m/>
    <m/>
    <n v="6606"/>
    <n v="11"/>
    <n v="2"/>
    <m/>
    <s v="05_Shg"/>
    <x v="0"/>
    <m/>
    <m/>
    <m/>
    <m/>
    <x v="0"/>
    <s v="Project"/>
    <x v="344"/>
    <x v="0"/>
    <x v="0"/>
    <s v="Exclude in HGB Group allocation"/>
  </r>
  <r>
    <s v="78119511"/>
    <m/>
    <x v="0"/>
    <x v="0"/>
    <m/>
    <m/>
    <m/>
    <n v="7811"/>
    <n v="95"/>
    <n v="1"/>
    <s v="78119511"/>
    <s v="01_SE"/>
    <x v="4"/>
    <m/>
    <m/>
    <m/>
    <m/>
    <x v="0"/>
    <s v="Project"/>
    <x v="345"/>
    <x v="0"/>
    <x v="18"/>
    <s v="Exclude in HGB Group allocation"/>
  </r>
  <r>
    <s v="30050443"/>
    <m/>
    <x v="0"/>
    <x v="0"/>
    <m/>
    <m/>
    <m/>
    <n v="3005"/>
    <n v="4"/>
    <n v="4"/>
    <s v="30050443"/>
    <s v="02_GmbH"/>
    <x v="1"/>
    <m/>
    <m/>
    <m/>
    <m/>
    <x v="0"/>
    <s v="Project"/>
    <x v="346"/>
    <x v="0"/>
    <x v="21"/>
    <s v="Exclude in HGB Group allocation"/>
  </r>
  <r>
    <s v="0"/>
    <m/>
    <x v="0"/>
    <x v="0"/>
    <m/>
    <m/>
    <m/>
    <n v="7687"/>
    <n v="2"/>
    <n v="2"/>
    <m/>
    <s v="01_SE"/>
    <x v="0"/>
    <m/>
    <m/>
    <m/>
    <m/>
    <x v="0"/>
    <s v="Project"/>
    <x v="347"/>
    <x v="0"/>
    <x v="0"/>
    <s v="Exclude in HGB Group allocation"/>
  </r>
  <r>
    <s v="0"/>
    <m/>
    <x v="0"/>
    <x v="0"/>
    <m/>
    <m/>
    <m/>
    <n v="6606"/>
    <n v="12"/>
    <n v="2"/>
    <m/>
    <s v="05_Shg"/>
    <x v="0"/>
    <m/>
    <m/>
    <m/>
    <m/>
    <x v="0"/>
    <s v="Project"/>
    <x v="348"/>
    <x v="0"/>
    <x v="0"/>
    <s v="Exclude in HGB Group allocation"/>
  </r>
  <r>
    <s v="41160228"/>
    <m/>
    <x v="0"/>
    <x v="0"/>
    <m/>
    <m/>
    <m/>
    <n v="4116"/>
    <n v="2"/>
    <n v="2"/>
    <s v="41160228"/>
    <s v="01_SE"/>
    <x v="0"/>
    <m/>
    <m/>
    <m/>
    <m/>
    <x v="0"/>
    <s v="Project"/>
    <x v="349"/>
    <x v="0"/>
    <x v="0"/>
    <s v="Exclude in HGB Group allocation"/>
  </r>
  <r>
    <s v="0"/>
    <m/>
    <x v="0"/>
    <x v="0"/>
    <m/>
    <m/>
    <m/>
    <n v="4125"/>
    <n v="2"/>
    <n v="2"/>
    <m/>
    <s v="01_SE"/>
    <x v="0"/>
    <m/>
    <m/>
    <m/>
    <m/>
    <x v="0"/>
    <s v="Project"/>
    <x v="350"/>
    <x v="0"/>
    <x v="0"/>
    <s v="Exclude in HGB Group allocation"/>
  </r>
  <r>
    <s v="0"/>
    <m/>
    <x v="0"/>
    <x v="0"/>
    <m/>
    <m/>
    <m/>
    <n v="4126"/>
    <n v="2"/>
    <n v="2"/>
    <m/>
    <s v="01_SE"/>
    <x v="0"/>
    <m/>
    <m/>
    <m/>
    <m/>
    <x v="0"/>
    <s v="Project"/>
    <x v="351"/>
    <x v="0"/>
    <x v="0"/>
    <s v="Exclude in HGB Group allocation"/>
  </r>
  <r>
    <s v="0"/>
    <m/>
    <x v="0"/>
    <x v="0"/>
    <m/>
    <m/>
    <m/>
    <n v="6606"/>
    <n v="13"/>
    <n v="2"/>
    <m/>
    <s v="05_Shg"/>
    <x v="0"/>
    <m/>
    <m/>
    <m/>
    <m/>
    <x v="0"/>
    <s v="Project"/>
    <x v="352"/>
    <x v="0"/>
    <x v="0"/>
    <s v="Exclude in HGB Group allocation"/>
  </r>
  <r>
    <s v="0"/>
    <m/>
    <x v="0"/>
    <x v="0"/>
    <m/>
    <m/>
    <m/>
    <n v="6606"/>
    <n v="14"/>
    <n v="2"/>
    <m/>
    <s v="05_Shg"/>
    <x v="0"/>
    <m/>
    <m/>
    <m/>
    <m/>
    <x v="0"/>
    <s v="Project"/>
    <x v="353"/>
    <x v="0"/>
    <x v="0"/>
    <s v="Exclude in HGB Group allocation"/>
  </r>
  <r>
    <s v="0"/>
    <m/>
    <x v="0"/>
    <x v="0"/>
    <m/>
    <m/>
    <m/>
    <n v="6606"/>
    <n v="15"/>
    <n v="2"/>
    <m/>
    <s v="05_Shg"/>
    <x v="0"/>
    <m/>
    <m/>
    <m/>
    <m/>
    <x v="0"/>
    <s v="Project"/>
    <x v="354"/>
    <x v="0"/>
    <x v="0"/>
    <s v="Exclude in HGB Group allocation"/>
  </r>
  <r>
    <s v="99632113"/>
    <m/>
    <x v="0"/>
    <x v="0"/>
    <m/>
    <m/>
    <m/>
    <n v="9963"/>
    <n v="21"/>
    <n v="1"/>
    <s v="99632113"/>
    <s v="01_SE"/>
    <x v="4"/>
    <m/>
    <m/>
    <m/>
    <m/>
    <x v="0"/>
    <s v="Project"/>
    <x v="355"/>
    <x v="0"/>
    <x v="17"/>
    <s v="Exclude in HGB Group allocation"/>
  </r>
  <r>
    <s v="99932011"/>
    <m/>
    <x v="0"/>
    <x v="0"/>
    <m/>
    <m/>
    <m/>
    <n v="9981"/>
    <n v="7"/>
    <n v="1"/>
    <s v="99932011"/>
    <s v="01_SE"/>
    <x v="4"/>
    <m/>
    <m/>
    <m/>
    <m/>
    <x v="0"/>
    <s v="Project"/>
    <x v="257"/>
    <x v="0"/>
    <x v="18"/>
    <s v="Exclude in HGB Group allocation"/>
  </r>
  <r>
    <s v="2062024"/>
    <m/>
    <x v="0"/>
    <x v="0"/>
    <m/>
    <m/>
    <m/>
    <n v="2062"/>
    <n v="2"/>
    <n v="4"/>
    <n v="2062024"/>
    <s v="02_GmbH"/>
    <x v="1"/>
    <m/>
    <m/>
    <m/>
    <m/>
    <x v="0"/>
    <s v="Project"/>
    <x v="356"/>
    <x v="0"/>
    <x v="22"/>
    <s v="Exclude in HGB Group allocation"/>
  </r>
  <r>
    <s v="2062034"/>
    <m/>
    <x v="0"/>
    <x v="0"/>
    <m/>
    <m/>
    <m/>
    <n v="2062"/>
    <n v="3"/>
    <n v="4"/>
    <n v="2062034"/>
    <s v="02_GmbH"/>
    <x v="1"/>
    <m/>
    <m/>
    <m/>
    <m/>
    <x v="0"/>
    <s v="Project"/>
    <x v="357"/>
    <x v="0"/>
    <x v="23"/>
    <s v="Exclude in HGB Group allocation"/>
  </r>
  <r>
    <s v="2062034"/>
    <m/>
    <x v="0"/>
    <x v="0"/>
    <m/>
    <m/>
    <m/>
    <n v="2062"/>
    <n v="3"/>
    <n v="4"/>
    <n v="2062034"/>
    <s v="02_GmbH"/>
    <x v="1"/>
    <m/>
    <m/>
    <m/>
    <m/>
    <x v="0"/>
    <s v="Project"/>
    <x v="357"/>
    <x v="0"/>
    <x v="1"/>
    <s v="Exclude in HGB Group allocation"/>
  </r>
  <r>
    <s v="2062034"/>
    <m/>
    <x v="0"/>
    <x v="0"/>
    <m/>
    <m/>
    <m/>
    <n v="2062"/>
    <n v="3"/>
    <n v="4"/>
    <n v="2062034"/>
    <s v="02_GmbH"/>
    <x v="1"/>
    <m/>
    <m/>
    <m/>
    <m/>
    <x v="0"/>
    <s v="Project"/>
    <x v="357"/>
    <x v="0"/>
    <x v="2"/>
    <s v="Exclude in HGB Group allocation"/>
  </r>
  <r>
    <s v="80040628"/>
    <m/>
    <x v="0"/>
    <x v="0"/>
    <m/>
    <m/>
    <m/>
    <n v="8004"/>
    <n v="6"/>
    <n v="2"/>
    <s v="80040628"/>
    <s v="01_SE"/>
    <x v="0"/>
    <m/>
    <m/>
    <m/>
    <m/>
    <x v="0"/>
    <s v="Project"/>
    <x v="358"/>
    <x v="0"/>
    <x v="0"/>
    <s v="Exclude in HGB Group allocation"/>
  </r>
  <r>
    <s v="0"/>
    <m/>
    <x v="0"/>
    <x v="0"/>
    <m/>
    <m/>
    <m/>
    <n v="2046"/>
    <n v="2"/>
    <n v="2"/>
    <m/>
    <s v="01_SE"/>
    <x v="0"/>
    <m/>
    <m/>
    <m/>
    <m/>
    <x v="0"/>
    <s v="Project"/>
    <x v="359"/>
    <x v="0"/>
    <x v="0"/>
    <s v="Exclude in HGB Group allocation"/>
  </r>
  <r>
    <s v="0"/>
    <m/>
    <x v="0"/>
    <x v="0"/>
    <m/>
    <m/>
    <m/>
    <n v="2046"/>
    <n v="3"/>
    <n v="2"/>
    <m/>
    <s v="01_SE"/>
    <x v="0"/>
    <m/>
    <m/>
    <m/>
    <m/>
    <x v="0"/>
    <s v="Project"/>
    <x v="360"/>
    <x v="0"/>
    <x v="0"/>
    <s v="Exclude in HGB Group allocation"/>
  </r>
  <r>
    <s v="0"/>
    <m/>
    <x v="0"/>
    <x v="0"/>
    <m/>
    <m/>
    <m/>
    <n v="2046"/>
    <n v="4"/>
    <n v="2"/>
    <m/>
    <s v="01_SE"/>
    <x v="0"/>
    <m/>
    <m/>
    <m/>
    <m/>
    <x v="0"/>
    <s v="Project"/>
    <x v="361"/>
    <x v="0"/>
    <x v="0"/>
    <s v="Exclude in HGB Group allocation"/>
  </r>
  <r>
    <s v="0"/>
    <m/>
    <x v="0"/>
    <x v="0"/>
    <m/>
    <m/>
    <m/>
    <n v="3172"/>
    <n v="1"/>
    <n v="2"/>
    <m/>
    <s v="01_SE"/>
    <x v="0"/>
    <m/>
    <m/>
    <m/>
    <m/>
    <x v="0"/>
    <s v="Project"/>
    <x v="362"/>
    <x v="0"/>
    <x v="0"/>
    <s v="Exclude in HGB Group allocation"/>
  </r>
  <r>
    <s v="0"/>
    <m/>
    <x v="0"/>
    <x v="0"/>
    <m/>
    <m/>
    <m/>
    <n v="3172"/>
    <n v="2"/>
    <n v="2"/>
    <m/>
    <s v="01_SE"/>
    <x v="0"/>
    <m/>
    <m/>
    <m/>
    <m/>
    <x v="0"/>
    <s v="Project"/>
    <x v="363"/>
    <x v="0"/>
    <x v="0"/>
    <s v="Exclude in HGB Group allocation"/>
  </r>
  <r>
    <s v="78023728"/>
    <m/>
    <x v="0"/>
    <x v="0"/>
    <m/>
    <m/>
    <m/>
    <n v="7802"/>
    <n v="37"/>
    <n v="2"/>
    <s v="78023728"/>
    <s v="01_SE"/>
    <x v="0"/>
    <m/>
    <m/>
    <m/>
    <m/>
    <x v="0"/>
    <s v="Project"/>
    <x v="364"/>
    <x v="0"/>
    <x v="0"/>
    <s v="Exclude in HGB Group allocation"/>
  </r>
  <r>
    <s v="99965528"/>
    <m/>
    <x v="0"/>
    <x v="0"/>
    <m/>
    <m/>
    <m/>
    <n v="7802"/>
    <n v="37"/>
    <n v="2"/>
    <s v="99965528"/>
    <s v="01_SE"/>
    <x v="0"/>
    <m/>
    <m/>
    <m/>
    <m/>
    <x v="0"/>
    <s v="Project"/>
    <x v="364"/>
    <x v="0"/>
    <x v="21"/>
    <s v="Exclude in HGB Group allocation"/>
  </r>
  <r>
    <s v="0"/>
    <m/>
    <x v="0"/>
    <x v="0"/>
    <m/>
    <m/>
    <m/>
    <n v="3174"/>
    <n v="2"/>
    <n v="1"/>
    <m/>
    <s v="01_SE"/>
    <x v="4"/>
    <m/>
    <m/>
    <m/>
    <m/>
    <x v="0"/>
    <s v="Project"/>
    <x v="365"/>
    <x v="0"/>
    <x v="18"/>
    <s v="Exclude in HGB Group allocation"/>
  </r>
  <r>
    <s v="0"/>
    <m/>
    <x v="0"/>
    <x v="0"/>
    <m/>
    <m/>
    <m/>
    <n v="3174"/>
    <n v="2"/>
    <n v="1"/>
    <m/>
    <s v="01_SE"/>
    <x v="4"/>
    <m/>
    <m/>
    <m/>
    <m/>
    <x v="0"/>
    <s v="Project"/>
    <x v="365"/>
    <x v="0"/>
    <x v="19"/>
    <s v="Exclude in HGB Group allocation"/>
  </r>
  <r>
    <s v="0"/>
    <m/>
    <x v="0"/>
    <x v="0"/>
    <m/>
    <m/>
    <m/>
    <n v="6606"/>
    <n v="16"/>
    <n v="2"/>
    <m/>
    <s v="05_Shg"/>
    <x v="0"/>
    <m/>
    <m/>
    <m/>
    <m/>
    <x v="0"/>
    <s v="Project"/>
    <x v="366"/>
    <x v="0"/>
    <x v="0"/>
    <s v="Exclude in HGB Group allocation"/>
  </r>
  <r>
    <s v="0"/>
    <m/>
    <x v="0"/>
    <x v="0"/>
    <m/>
    <m/>
    <m/>
    <n v="6606"/>
    <n v="17"/>
    <n v="2"/>
    <m/>
    <s v="05_Shg"/>
    <x v="0"/>
    <m/>
    <m/>
    <m/>
    <m/>
    <x v="0"/>
    <s v="Project"/>
    <x v="367"/>
    <x v="0"/>
    <x v="0"/>
    <s v="Exclude in HGB Group allocation"/>
  </r>
  <r>
    <s v="0"/>
    <m/>
    <x v="0"/>
    <x v="0"/>
    <m/>
    <m/>
    <m/>
    <n v="7802"/>
    <n v="49"/>
    <n v="2"/>
    <m/>
    <s v="01_SE"/>
    <x v="0"/>
    <m/>
    <m/>
    <m/>
    <m/>
    <x v="0"/>
    <s v="Project"/>
    <x v="368"/>
    <x v="0"/>
    <x v="25"/>
    <s v="Exclude in HGB Group allocation"/>
  </r>
  <r>
    <s v="70400226"/>
    <m/>
    <x v="0"/>
    <x v="0"/>
    <m/>
    <m/>
    <m/>
    <n v="7040"/>
    <n v="2"/>
    <n v="2"/>
    <s v="70400226"/>
    <s v="01_SE"/>
    <x v="0"/>
    <m/>
    <m/>
    <m/>
    <m/>
    <x v="0"/>
    <s v="Project"/>
    <x v="369"/>
    <x v="0"/>
    <x v="0"/>
    <s v="Exclude in HGB Group allocation"/>
  </r>
  <r>
    <s v="0"/>
    <m/>
    <x v="0"/>
    <x v="0"/>
    <m/>
    <m/>
    <m/>
    <n v="6606"/>
    <n v="18"/>
    <n v="2"/>
    <m/>
    <s v="05_Shg"/>
    <x v="0"/>
    <m/>
    <m/>
    <m/>
    <m/>
    <x v="0"/>
    <s v="Project"/>
    <x v="370"/>
    <x v="0"/>
    <x v="0"/>
    <s v="Exclude in HGB Group allocation"/>
  </r>
  <r>
    <s v="0"/>
    <m/>
    <x v="0"/>
    <x v="0"/>
    <m/>
    <m/>
    <m/>
    <n v="6606"/>
    <n v="19"/>
    <n v="2"/>
    <m/>
    <s v="01_SE"/>
    <x v="0"/>
    <m/>
    <m/>
    <m/>
    <m/>
    <x v="0"/>
    <s v="Project"/>
    <x v="371"/>
    <x v="0"/>
    <x v="0"/>
    <s v="Exclude in HGB Group allocation"/>
  </r>
  <r>
    <s v="0"/>
    <m/>
    <x v="0"/>
    <x v="0"/>
    <m/>
    <m/>
    <m/>
    <n v="6606"/>
    <n v="20"/>
    <n v="2"/>
    <m/>
    <s v="05_Shg"/>
    <x v="0"/>
    <m/>
    <m/>
    <m/>
    <m/>
    <x v="0"/>
    <s v="Project"/>
    <x v="372"/>
    <x v="0"/>
    <x v="0"/>
    <s v="Exclude in HGB Group allocation"/>
  </r>
  <r>
    <s v="0"/>
    <m/>
    <x v="0"/>
    <x v="0"/>
    <m/>
    <m/>
    <m/>
    <n v="6606"/>
    <n v="21"/>
    <n v="2"/>
    <m/>
    <s v="05_Shg"/>
    <x v="0"/>
    <m/>
    <m/>
    <m/>
    <m/>
    <x v="0"/>
    <s v="Project"/>
    <x v="373"/>
    <x v="0"/>
    <x v="0"/>
    <s v="Exclude in HGB Group allocation"/>
  </r>
  <r>
    <s v="0"/>
    <m/>
    <x v="0"/>
    <x v="0"/>
    <m/>
    <m/>
    <m/>
    <n v="6606"/>
    <n v="22"/>
    <n v="2"/>
    <m/>
    <s v="05_Shg"/>
    <x v="0"/>
    <m/>
    <m/>
    <m/>
    <m/>
    <x v="0"/>
    <s v="Project"/>
    <x v="374"/>
    <x v="0"/>
    <x v="0"/>
    <s v="Exclude in HGB Group allocation"/>
  </r>
  <r>
    <s v="0"/>
    <m/>
    <x v="0"/>
    <x v="0"/>
    <m/>
    <m/>
    <m/>
    <n v="6607"/>
    <n v="22"/>
    <n v="4"/>
    <m/>
    <s v="02_GmbH"/>
    <x v="1"/>
    <m/>
    <m/>
    <m/>
    <m/>
    <x v="0"/>
    <s v="Project"/>
    <x v="375"/>
    <x v="0"/>
    <x v="25"/>
    <s v="Exclude in HGB Group allocation"/>
  </r>
  <r>
    <s v="0"/>
    <m/>
    <x v="0"/>
    <x v="0"/>
    <m/>
    <m/>
    <m/>
    <n v="6612"/>
    <n v="3"/>
    <n v="2"/>
    <m/>
    <s v="01_SE"/>
    <x v="0"/>
    <m/>
    <m/>
    <m/>
    <m/>
    <x v="0"/>
    <s v="Project"/>
    <x v="376"/>
    <x v="0"/>
    <x v="0"/>
    <s v="Exclude in HGB Group allocation"/>
  </r>
  <r>
    <s v="0"/>
    <m/>
    <x v="0"/>
    <x v="0"/>
    <m/>
    <m/>
    <m/>
    <n v="6612"/>
    <n v="4"/>
    <n v="1"/>
    <m/>
    <s v="05_Shg"/>
    <x v="4"/>
    <m/>
    <m/>
    <m/>
    <m/>
    <x v="0"/>
    <s v="Project"/>
    <x v="377"/>
    <x v="0"/>
    <x v="18"/>
    <s v="Exclude in HGB Group allocation"/>
  </r>
  <r>
    <s v="0"/>
    <m/>
    <x v="0"/>
    <x v="0"/>
    <m/>
    <m/>
    <m/>
    <n v="6615"/>
    <n v="3"/>
    <n v="4"/>
    <m/>
    <s v="02_GmbH"/>
    <x v="1"/>
    <m/>
    <m/>
    <m/>
    <m/>
    <x v="0"/>
    <s v="Project"/>
    <x v="378"/>
    <x v="0"/>
    <x v="2"/>
    <s v="Exclude in HGB Group allocation"/>
  </r>
  <r>
    <s v="0"/>
    <m/>
    <x v="0"/>
    <x v="0"/>
    <m/>
    <m/>
    <m/>
    <n v="6616"/>
    <n v="3"/>
    <n v="2"/>
    <m/>
    <s v="01_SE"/>
    <x v="0"/>
    <m/>
    <m/>
    <m/>
    <m/>
    <x v="0"/>
    <s v="Project"/>
    <x v="379"/>
    <x v="0"/>
    <x v="0"/>
    <s v="Exclude in HGB Group allocation"/>
  </r>
  <r>
    <s v="0"/>
    <m/>
    <x v="0"/>
    <x v="0"/>
    <m/>
    <m/>
    <m/>
    <n v="6616"/>
    <n v="4"/>
    <n v="2"/>
    <m/>
    <s v="01_SE"/>
    <x v="0"/>
    <m/>
    <m/>
    <m/>
    <m/>
    <x v="0"/>
    <s v="Project"/>
    <x v="380"/>
    <x v="0"/>
    <x v="0"/>
    <s v="Exclude in HGB Group allocation"/>
  </r>
  <r>
    <s v="60800228"/>
    <m/>
    <x v="0"/>
    <x v="0"/>
    <m/>
    <m/>
    <m/>
    <n v="6080"/>
    <n v="2"/>
    <n v="2"/>
    <s v="60800228"/>
    <s v="01_SE"/>
    <x v="0"/>
    <m/>
    <m/>
    <m/>
    <m/>
    <x v="0"/>
    <s v="Project"/>
    <x v="381"/>
    <x v="0"/>
    <x v="0"/>
    <s v="Exclude in HGB Group allocation"/>
  </r>
  <r>
    <s v="0"/>
    <m/>
    <x v="0"/>
    <x v="0"/>
    <m/>
    <m/>
    <m/>
    <n v="7685"/>
    <n v="2"/>
    <n v="2"/>
    <m/>
    <s v="05_Shg"/>
    <x v="0"/>
    <m/>
    <m/>
    <m/>
    <m/>
    <x v="0"/>
    <s v="Project"/>
    <x v="382"/>
    <x v="0"/>
    <x v="0"/>
    <s v="Exclude in HGB Group allocation"/>
  </r>
  <r>
    <s v="0"/>
    <m/>
    <x v="0"/>
    <x v="0"/>
    <m/>
    <m/>
    <m/>
    <n v="6105"/>
    <n v="2"/>
    <n v="2"/>
    <m/>
    <s v="01_SE"/>
    <x v="0"/>
    <m/>
    <m/>
    <m/>
    <m/>
    <x v="0"/>
    <s v="Project"/>
    <x v="383"/>
    <x v="0"/>
    <x v="0"/>
    <s v="Exclude in HGB Group allocation"/>
  </r>
  <r>
    <s v="0"/>
    <m/>
    <x v="0"/>
    <x v="0"/>
    <m/>
    <m/>
    <m/>
    <n v="6105"/>
    <n v="4"/>
    <n v="2"/>
    <m/>
    <s v="01_SE"/>
    <x v="0"/>
    <m/>
    <m/>
    <m/>
    <m/>
    <x v="0"/>
    <s v="Project"/>
    <x v="384"/>
    <x v="0"/>
    <x v="0"/>
    <s v="Exclude in HGB Group allocation"/>
  </r>
  <r>
    <s v="0"/>
    <m/>
    <x v="0"/>
    <x v="0"/>
    <m/>
    <m/>
    <m/>
    <n v="6105"/>
    <n v="5"/>
    <n v="2"/>
    <m/>
    <s v="01_SE"/>
    <x v="0"/>
    <m/>
    <m/>
    <m/>
    <m/>
    <x v="0"/>
    <s v="Project"/>
    <x v="385"/>
    <x v="0"/>
    <x v="0"/>
    <s v="Exclude in HGB Group allocation"/>
  </r>
  <r>
    <s v="0"/>
    <m/>
    <x v="0"/>
    <x v="0"/>
    <m/>
    <m/>
    <m/>
    <n v="6105"/>
    <n v="3"/>
    <n v="2"/>
    <m/>
    <s v="01_SE"/>
    <x v="0"/>
    <m/>
    <m/>
    <m/>
    <m/>
    <x v="0"/>
    <s v="Project"/>
    <x v="386"/>
    <x v="0"/>
    <x v="0"/>
    <s v="Exclude in HGB Group allocation"/>
  </r>
  <r>
    <s v="0"/>
    <m/>
    <x v="0"/>
    <x v="0"/>
    <m/>
    <m/>
    <m/>
    <n v="6105"/>
    <n v="6"/>
    <n v="2"/>
    <m/>
    <s v="01_SE"/>
    <x v="0"/>
    <m/>
    <m/>
    <m/>
    <m/>
    <x v="0"/>
    <s v="Project"/>
    <x v="387"/>
    <x v="0"/>
    <x v="0"/>
    <s v="Exclude in HGB Group allocation"/>
  </r>
  <r>
    <s v="78024028"/>
    <m/>
    <x v="0"/>
    <x v="0"/>
    <m/>
    <m/>
    <m/>
    <n v="7802"/>
    <n v="40"/>
    <n v="2"/>
    <s v="78024028"/>
    <s v="01_SE"/>
    <x v="0"/>
    <m/>
    <m/>
    <m/>
    <m/>
    <x v="0"/>
    <s v="Project"/>
    <x v="388"/>
    <x v="0"/>
    <x v="0"/>
    <s v="Exclude in HGB Group allocation"/>
  </r>
  <r>
    <s v="0"/>
    <m/>
    <x v="0"/>
    <x v="0"/>
    <m/>
    <m/>
    <m/>
    <n v="6616"/>
    <n v="5"/>
    <n v="2"/>
    <m/>
    <s v="01_SE"/>
    <x v="0"/>
    <m/>
    <m/>
    <m/>
    <m/>
    <x v="0"/>
    <s v="Project"/>
    <x v="389"/>
    <x v="0"/>
    <x v="0"/>
    <s v="Exclude in HGB Group allocation"/>
  </r>
  <r>
    <s v="0"/>
    <m/>
    <x v="0"/>
    <x v="0"/>
    <m/>
    <m/>
    <m/>
    <n v="6616"/>
    <n v="6"/>
    <n v="2"/>
    <m/>
    <s v="01_SE"/>
    <x v="0"/>
    <m/>
    <m/>
    <m/>
    <m/>
    <x v="0"/>
    <s v="Project"/>
    <x v="390"/>
    <x v="0"/>
    <x v="0"/>
    <s v="Exclude in HGB Group allocation"/>
  </r>
  <r>
    <s v="0"/>
    <m/>
    <x v="0"/>
    <x v="0"/>
    <m/>
    <m/>
    <m/>
    <n v="2248"/>
    <n v="5"/>
    <n v="2"/>
    <m/>
    <s v="07_Inc"/>
    <x v="0"/>
    <m/>
    <m/>
    <m/>
    <m/>
    <x v="0"/>
    <s v="Project"/>
    <x v="391"/>
    <x v="0"/>
    <x v="0"/>
    <s v="Exclude in HGB Group allocation"/>
  </r>
  <r>
    <s v="0"/>
    <m/>
    <x v="0"/>
    <x v="0"/>
    <m/>
    <m/>
    <m/>
    <n v="2248"/>
    <n v="6"/>
    <n v="1"/>
    <m/>
    <s v="07_Inc"/>
    <x v="4"/>
    <m/>
    <m/>
    <m/>
    <m/>
    <x v="0"/>
    <s v="Project"/>
    <x v="392"/>
    <x v="0"/>
    <x v="19"/>
    <s v="Exclude in HGB Group allocation"/>
  </r>
  <r>
    <s v="0"/>
    <m/>
    <x v="0"/>
    <x v="0"/>
    <m/>
    <m/>
    <m/>
    <n v="2248"/>
    <n v="7"/>
    <n v="1"/>
    <m/>
    <s v="07_Inc"/>
    <x v="4"/>
    <m/>
    <m/>
    <m/>
    <m/>
    <x v="0"/>
    <s v="Project"/>
    <x v="393"/>
    <x v="0"/>
    <x v="18"/>
    <s v="Exclude in HGB Group allocation"/>
  </r>
  <r>
    <s v="0"/>
    <m/>
    <x v="0"/>
    <x v="0"/>
    <m/>
    <m/>
    <m/>
    <n v="2248"/>
    <n v="9"/>
    <n v="2"/>
    <m/>
    <s v="07_Inc"/>
    <x v="0"/>
    <m/>
    <m/>
    <m/>
    <m/>
    <x v="0"/>
    <s v="Project"/>
    <x v="394"/>
    <x v="0"/>
    <x v="0"/>
    <s v="Exclude in HGB Group allocation"/>
  </r>
  <r>
    <s v="0"/>
    <m/>
    <x v="0"/>
    <x v="0"/>
    <m/>
    <m/>
    <m/>
    <n v="2248"/>
    <n v="10"/>
    <n v="1"/>
    <m/>
    <s v="07_Inc"/>
    <x v="4"/>
    <m/>
    <m/>
    <m/>
    <m/>
    <x v="0"/>
    <s v="Project"/>
    <x v="395"/>
    <x v="0"/>
    <x v="19"/>
    <s v="Exclude in HGB Group allocation"/>
  </r>
  <r>
    <s v="0"/>
    <m/>
    <x v="0"/>
    <x v="0"/>
    <m/>
    <m/>
    <m/>
    <n v="2248"/>
    <n v="8"/>
    <n v="1"/>
    <m/>
    <s v="07_Inc"/>
    <x v="4"/>
    <m/>
    <m/>
    <m/>
    <m/>
    <x v="0"/>
    <s v="Project"/>
    <x v="396"/>
    <x v="0"/>
    <x v="18"/>
    <s v="Exclude in HGB Group allocation"/>
  </r>
  <r>
    <s v="20720211"/>
    <m/>
    <x v="0"/>
    <x v="0"/>
    <m/>
    <m/>
    <m/>
    <n v="2072"/>
    <n v="2"/>
    <n v="1"/>
    <n v="20720211"/>
    <s v="01_SE"/>
    <x v="4"/>
    <m/>
    <m/>
    <m/>
    <m/>
    <x v="0"/>
    <s v="Project"/>
    <x v="397"/>
    <x v="0"/>
    <x v="18"/>
    <s v="Exclude in HGB Group allocation"/>
  </r>
  <r>
    <s v="20720216"/>
    <m/>
    <x v="0"/>
    <x v="0"/>
    <m/>
    <m/>
    <m/>
    <n v="2072"/>
    <n v="2"/>
    <n v="1"/>
    <n v="20720216"/>
    <s v="01_SE"/>
    <x v="4"/>
    <m/>
    <m/>
    <m/>
    <m/>
    <x v="0"/>
    <s v="Project"/>
    <x v="397"/>
    <x v="0"/>
    <x v="19"/>
    <s v="Exclude in HGB Group allocation"/>
  </r>
  <r>
    <s v="0"/>
    <m/>
    <x v="0"/>
    <x v="0"/>
    <m/>
    <m/>
    <m/>
    <n v="2895"/>
    <n v="4"/>
    <n v="2"/>
    <m/>
    <s v="07_Inc"/>
    <x v="0"/>
    <m/>
    <m/>
    <m/>
    <m/>
    <x v="0"/>
    <s v="Project"/>
    <x v="398"/>
    <x v="0"/>
    <x v="0"/>
    <s v="Exclude in HGB Group allocation"/>
  </r>
  <r>
    <s v="0"/>
    <m/>
    <x v="0"/>
    <x v="0"/>
    <m/>
    <m/>
    <m/>
    <n v="7048"/>
    <n v="2"/>
    <n v="2"/>
    <m/>
    <s v="01_SE"/>
    <x v="0"/>
    <m/>
    <m/>
    <m/>
    <m/>
    <x v="0"/>
    <s v="Project"/>
    <x v="399"/>
    <x v="0"/>
    <x v="0"/>
    <s v="Exclude in HGB Group allocation"/>
  </r>
  <r>
    <s v="63070328"/>
    <m/>
    <x v="0"/>
    <x v="0"/>
    <m/>
    <m/>
    <m/>
    <n v="6307"/>
    <n v="3"/>
    <n v="2"/>
    <s v="63070328"/>
    <s v="01_SE"/>
    <x v="0"/>
    <m/>
    <m/>
    <m/>
    <m/>
    <x v="0"/>
    <s v="Project"/>
    <x v="400"/>
    <x v="0"/>
    <x v="0"/>
    <s v="Exclude in HGB Group allocation"/>
  </r>
  <r>
    <s v="0"/>
    <m/>
    <x v="0"/>
    <x v="0"/>
    <m/>
    <m/>
    <m/>
    <n v="6618"/>
    <n v="2"/>
    <n v="2"/>
    <m/>
    <s v="01_SE"/>
    <x v="0"/>
    <m/>
    <m/>
    <m/>
    <m/>
    <x v="0"/>
    <s v="Project"/>
    <x v="401"/>
    <x v="0"/>
    <x v="0"/>
    <s v="Exclude in HGB Group allocation"/>
  </r>
  <r>
    <s v="76530428"/>
    <m/>
    <x v="0"/>
    <x v="0"/>
    <m/>
    <m/>
    <m/>
    <n v="7653"/>
    <n v="4"/>
    <n v="2"/>
    <s v="76530428"/>
    <s v="01_SE"/>
    <x v="0"/>
    <m/>
    <m/>
    <m/>
    <m/>
    <x v="0"/>
    <s v="Project"/>
    <x v="402"/>
    <x v="0"/>
    <x v="0"/>
    <s v="Exclude in HGB Group allocation"/>
  </r>
  <r>
    <s v="99962828"/>
    <m/>
    <x v="0"/>
    <x v="0"/>
    <m/>
    <m/>
    <m/>
    <n v="7653"/>
    <n v="4"/>
    <n v="2"/>
    <s v="99962828"/>
    <s v="01_SE"/>
    <x v="0"/>
    <m/>
    <m/>
    <m/>
    <m/>
    <x v="0"/>
    <s v="Project"/>
    <x v="402"/>
    <x v="0"/>
    <x v="21"/>
    <s v="Exclude in HGB Group allocation"/>
  </r>
  <r>
    <s v="0"/>
    <m/>
    <x v="0"/>
    <x v="0"/>
    <m/>
    <m/>
    <m/>
    <n v="8851"/>
    <n v="30"/>
    <n v="2"/>
    <m/>
    <s v="01_SE"/>
    <x v="0"/>
    <m/>
    <m/>
    <m/>
    <m/>
    <x v="0"/>
    <s v="Project"/>
    <x v="403"/>
    <x v="0"/>
    <x v="0"/>
    <s v="Exclude in HGB Group allocation"/>
  </r>
  <r>
    <s v="88512928"/>
    <m/>
    <x v="0"/>
    <x v="0"/>
    <m/>
    <m/>
    <m/>
    <n v="8851"/>
    <n v="29"/>
    <n v="2"/>
    <s v="88512928"/>
    <s v="01_SE"/>
    <x v="0"/>
    <m/>
    <m/>
    <m/>
    <m/>
    <x v="0"/>
    <s v="Project"/>
    <x v="404"/>
    <x v="0"/>
    <x v="0"/>
    <s v="Exclude in HGB Group allocation"/>
  </r>
  <r>
    <s v="0"/>
    <m/>
    <x v="0"/>
    <x v="0"/>
    <m/>
    <m/>
    <m/>
    <n v="8857"/>
    <n v="3"/>
    <n v="2"/>
    <m/>
    <s v="01_SE"/>
    <x v="0"/>
    <m/>
    <m/>
    <m/>
    <m/>
    <x v="0"/>
    <s v="Project"/>
    <x v="405"/>
    <x v="0"/>
    <x v="0"/>
    <s v="Exclude in HGB Group allocation"/>
  </r>
  <r>
    <s v="0"/>
    <m/>
    <x v="0"/>
    <x v="0"/>
    <m/>
    <m/>
    <m/>
    <n v="7912"/>
    <n v="2"/>
    <n v="2"/>
    <m/>
    <s v="01_SE"/>
    <x v="0"/>
    <m/>
    <m/>
    <m/>
    <m/>
    <x v="0"/>
    <s v="Project"/>
    <x v="406"/>
    <x v="0"/>
    <x v="0"/>
    <s v="Exclude in HGB Group allocation"/>
  </r>
  <r>
    <s v="0"/>
    <m/>
    <x v="0"/>
    <x v="0"/>
    <m/>
    <m/>
    <m/>
    <n v="6621"/>
    <n v="2"/>
    <n v="4"/>
    <m/>
    <s v="02_GmbH"/>
    <x v="1"/>
    <m/>
    <m/>
    <m/>
    <m/>
    <x v="0"/>
    <s v="Project"/>
    <x v="407"/>
    <x v="0"/>
    <x v="1"/>
    <s v="Exclude in HGB Group allocation"/>
  </r>
  <r>
    <s v="0"/>
    <m/>
    <x v="0"/>
    <x v="0"/>
    <m/>
    <m/>
    <m/>
    <n v="6623"/>
    <n v="2"/>
    <n v="2"/>
    <m/>
    <s v="07_Inc"/>
    <x v="0"/>
    <m/>
    <m/>
    <m/>
    <m/>
    <x v="0"/>
    <s v="Project"/>
    <x v="408"/>
    <x v="0"/>
    <x v="21"/>
    <s v="Exclude in HGB Group allocation"/>
  </r>
  <r>
    <s v="99851911"/>
    <m/>
    <x v="0"/>
    <x v="0"/>
    <m/>
    <m/>
    <m/>
    <n v="9985"/>
    <n v="19"/>
    <n v="1"/>
    <s v="99851911"/>
    <s v="05_Shg"/>
    <x v="4"/>
    <m/>
    <m/>
    <m/>
    <m/>
    <x v="0"/>
    <s v="Project"/>
    <x v="409"/>
    <x v="0"/>
    <x v="18"/>
    <s v="Exclude in HGB Group allocation"/>
  </r>
  <r>
    <s v="0"/>
    <m/>
    <x v="0"/>
    <x v="0"/>
    <m/>
    <m/>
    <m/>
    <n v="6623"/>
    <n v="3"/>
    <n v="2"/>
    <m/>
    <s v="07_Inc"/>
    <x v="0"/>
    <m/>
    <m/>
    <m/>
    <m/>
    <x v="0"/>
    <s v="Project"/>
    <x v="410"/>
    <x v="0"/>
    <x v="21"/>
    <s v="Exclude in HGB Group allocation"/>
  </r>
  <r>
    <s v="60010241"/>
    <m/>
    <x v="0"/>
    <x v="0"/>
    <m/>
    <m/>
    <m/>
    <n v="6001"/>
    <n v="2"/>
    <n v="4"/>
    <s v="60010241"/>
    <s v="02_GmbH"/>
    <x v="1"/>
    <m/>
    <m/>
    <m/>
    <m/>
    <x v="0"/>
    <s v="Project"/>
    <x v="411"/>
    <x v="0"/>
    <x v="21"/>
    <s v="Exclude in HGB Group allocation"/>
  </r>
  <r>
    <s v="0"/>
    <m/>
    <x v="0"/>
    <x v="0"/>
    <m/>
    <m/>
    <m/>
    <n v="3152"/>
    <n v="2"/>
    <n v="2"/>
    <m/>
    <s v="01_SE"/>
    <x v="0"/>
    <m/>
    <m/>
    <m/>
    <m/>
    <x v="0"/>
    <s v="Project"/>
    <x v="412"/>
    <x v="0"/>
    <x v="0"/>
    <s v="Exclude in HGB Group allocation"/>
  </r>
  <r>
    <s v="0"/>
    <m/>
    <x v="0"/>
    <x v="0"/>
    <m/>
    <m/>
    <m/>
    <n v="6074"/>
    <n v="7"/>
    <n v="4"/>
    <m/>
    <s v="07_Inc"/>
    <x v="1"/>
    <m/>
    <m/>
    <m/>
    <m/>
    <x v="0"/>
    <s v="Project"/>
    <x v="413"/>
    <x v="0"/>
    <x v="21"/>
    <s v="Exclude in HGB Group allocation"/>
  </r>
  <r>
    <s v="60740243"/>
    <m/>
    <x v="0"/>
    <x v="0"/>
    <m/>
    <m/>
    <m/>
    <n v="6074"/>
    <n v="2"/>
    <n v="4"/>
    <s v="60740243"/>
    <s v="07_Inc"/>
    <x v="1"/>
    <m/>
    <m/>
    <m/>
    <m/>
    <x v="0"/>
    <s v="Project"/>
    <x v="414"/>
    <x v="0"/>
    <x v="1"/>
    <s v="Exclude in HGB Group allocation"/>
  </r>
  <r>
    <s v="60740244"/>
    <m/>
    <x v="0"/>
    <x v="0"/>
    <m/>
    <m/>
    <m/>
    <n v="6074"/>
    <n v="2"/>
    <n v="4"/>
    <s v="60740244"/>
    <s v="07_Inc"/>
    <x v="1"/>
    <m/>
    <m/>
    <m/>
    <m/>
    <x v="0"/>
    <s v="Project"/>
    <x v="414"/>
    <x v="0"/>
    <x v="2"/>
    <s v="Exclude in HGB Group allocation"/>
  </r>
  <r>
    <s v="60740249"/>
    <m/>
    <x v="0"/>
    <x v="0"/>
    <m/>
    <m/>
    <m/>
    <n v="6074"/>
    <n v="2"/>
    <n v="4"/>
    <s v="60740249"/>
    <s v="07_Inc"/>
    <x v="1"/>
    <m/>
    <m/>
    <m/>
    <m/>
    <x v="0"/>
    <s v="Project"/>
    <x v="414"/>
    <x v="0"/>
    <x v="24"/>
    <s v="Exclude in HGB Group allocation"/>
  </r>
  <r>
    <s v="60740444"/>
    <m/>
    <x v="0"/>
    <x v="0"/>
    <m/>
    <m/>
    <m/>
    <n v="6074"/>
    <n v="4"/>
    <n v="4"/>
    <s v="60740444"/>
    <s v="07_Inc"/>
    <x v="1"/>
    <m/>
    <m/>
    <m/>
    <m/>
    <x v="0"/>
    <s v="Project"/>
    <x v="415"/>
    <x v="0"/>
    <x v="21"/>
    <s v="Exclude in HGB Group allocation"/>
  </r>
  <r>
    <s v="60740543"/>
    <m/>
    <x v="0"/>
    <x v="0"/>
    <m/>
    <m/>
    <m/>
    <n v="6074"/>
    <n v="5"/>
    <n v="4"/>
    <s v="60740543"/>
    <s v="02_GmbH"/>
    <x v="1"/>
    <m/>
    <m/>
    <m/>
    <m/>
    <x v="0"/>
    <s v="Project"/>
    <x v="416"/>
    <x v="0"/>
    <x v="21"/>
    <s v="Exclude in HGB Group allocation"/>
  </r>
  <r>
    <s v="60740643"/>
    <m/>
    <x v="0"/>
    <x v="0"/>
    <m/>
    <m/>
    <m/>
    <n v="6074"/>
    <n v="6"/>
    <n v="4"/>
    <s v="60740643"/>
    <s v="07_Inc"/>
    <x v="1"/>
    <m/>
    <m/>
    <m/>
    <m/>
    <x v="0"/>
    <s v="Project"/>
    <x v="417"/>
    <x v="0"/>
    <x v="21"/>
    <s v="Exclude in HGB Group allocation"/>
  </r>
  <r>
    <s v="99866141"/>
    <m/>
    <x v="0"/>
    <x v="0"/>
    <m/>
    <m/>
    <m/>
    <n v="6074"/>
    <n v="2"/>
    <n v="4"/>
    <s v="99866141"/>
    <s v="07_Inc"/>
    <x v="1"/>
    <m/>
    <m/>
    <m/>
    <m/>
    <x v="0"/>
    <s v="Project"/>
    <x v="414"/>
    <x v="0"/>
    <x v="22"/>
    <s v="Exclude in HGB Group allocation"/>
  </r>
  <r>
    <s v="99866143"/>
    <m/>
    <x v="0"/>
    <x v="0"/>
    <m/>
    <m/>
    <m/>
    <n v="6074"/>
    <n v="2"/>
    <n v="4"/>
    <s v="99866143"/>
    <s v="07_Inc"/>
    <x v="1"/>
    <m/>
    <m/>
    <m/>
    <m/>
    <x v="0"/>
    <s v="Project"/>
    <x v="414"/>
    <x v="0"/>
    <x v="1"/>
    <s v="Exclude in HGB Group allocation"/>
  </r>
  <r>
    <s v="99866144"/>
    <m/>
    <x v="0"/>
    <x v="0"/>
    <m/>
    <m/>
    <m/>
    <n v="6074"/>
    <n v="2"/>
    <n v="4"/>
    <s v="99866144"/>
    <s v="07_Inc"/>
    <x v="1"/>
    <m/>
    <m/>
    <m/>
    <m/>
    <x v="0"/>
    <s v="Project"/>
    <x v="414"/>
    <x v="0"/>
    <x v="2"/>
    <s v="Exclude in HGB Group allocation"/>
  </r>
  <r>
    <s v="99869144"/>
    <m/>
    <x v="0"/>
    <x v="0"/>
    <m/>
    <m/>
    <m/>
    <n v="6074"/>
    <n v="2"/>
    <n v="4"/>
    <s v="99869144"/>
    <s v="07_Inc"/>
    <x v="1"/>
    <m/>
    <m/>
    <m/>
    <m/>
    <x v="0"/>
    <s v="Project"/>
    <x v="414"/>
    <x v="0"/>
    <x v="2"/>
    <s v="Exclude in HGB Group allocation"/>
  </r>
  <r>
    <s v="60990241"/>
    <m/>
    <x v="0"/>
    <x v="0"/>
    <m/>
    <m/>
    <m/>
    <n v="6099"/>
    <n v="2"/>
    <n v="4"/>
    <s v="60990241"/>
    <s v="07_Inc"/>
    <x v="1"/>
    <m/>
    <m/>
    <m/>
    <m/>
    <x v="0"/>
    <s v="Project"/>
    <x v="418"/>
    <x v="0"/>
    <x v="22"/>
    <s v="Exclude in HGB Group allocation"/>
  </r>
  <r>
    <s v="60990243"/>
    <m/>
    <x v="0"/>
    <x v="0"/>
    <m/>
    <m/>
    <m/>
    <n v="6099"/>
    <n v="2"/>
    <n v="4"/>
    <s v="60990243"/>
    <s v="07_Inc"/>
    <x v="1"/>
    <m/>
    <m/>
    <m/>
    <m/>
    <x v="0"/>
    <s v="Project"/>
    <x v="418"/>
    <x v="0"/>
    <x v="1"/>
    <s v="Exclude in HGB Group allocation"/>
  </r>
  <r>
    <s v="60990244"/>
    <m/>
    <x v="0"/>
    <x v="0"/>
    <m/>
    <m/>
    <m/>
    <n v="6099"/>
    <n v="2"/>
    <n v="4"/>
    <s v="60990244"/>
    <s v="07_Inc"/>
    <x v="1"/>
    <m/>
    <m/>
    <m/>
    <m/>
    <x v="0"/>
    <s v="Project"/>
    <x v="418"/>
    <x v="0"/>
    <x v="2"/>
    <s v="Exclude in HGB Group allocation"/>
  </r>
  <r>
    <s v="60990249"/>
    <m/>
    <x v="0"/>
    <x v="0"/>
    <m/>
    <m/>
    <m/>
    <n v="6099"/>
    <n v="2"/>
    <n v="4"/>
    <s v="60990249"/>
    <s v="07_Inc"/>
    <x v="1"/>
    <m/>
    <m/>
    <m/>
    <m/>
    <x v="0"/>
    <s v="Project"/>
    <x v="418"/>
    <x v="0"/>
    <x v="24"/>
    <s v="Exclude in HGB Group allocation"/>
  </r>
  <r>
    <s v="60990343"/>
    <m/>
    <x v="0"/>
    <x v="0"/>
    <m/>
    <m/>
    <m/>
    <n v="6099"/>
    <n v="3"/>
    <n v="4"/>
    <n v="60990343"/>
    <s v="07_Inc"/>
    <x v="1"/>
    <m/>
    <m/>
    <m/>
    <m/>
    <x v="0"/>
    <s v="Project"/>
    <x v="419"/>
    <x v="0"/>
    <x v="1"/>
    <s v="Exclude in HGB Group allocation"/>
  </r>
  <r>
    <s v="99869841"/>
    <m/>
    <x v="0"/>
    <x v="0"/>
    <m/>
    <m/>
    <m/>
    <n v="6099"/>
    <n v="2"/>
    <n v="4"/>
    <s v="99869841"/>
    <s v="07_Inc"/>
    <x v="1"/>
    <m/>
    <m/>
    <m/>
    <m/>
    <x v="0"/>
    <s v="Project"/>
    <x v="418"/>
    <x v="0"/>
    <x v="22"/>
    <s v="Exclude in HGB Group allocation"/>
  </r>
  <r>
    <s v="99869843"/>
    <m/>
    <x v="0"/>
    <x v="0"/>
    <m/>
    <m/>
    <m/>
    <n v="6099"/>
    <n v="2"/>
    <n v="4"/>
    <s v="99869843"/>
    <s v="07_Inc"/>
    <x v="1"/>
    <m/>
    <m/>
    <m/>
    <m/>
    <x v="0"/>
    <s v="Project"/>
    <x v="418"/>
    <x v="0"/>
    <x v="1"/>
    <s v="Exclude in HGB Group allocation"/>
  </r>
  <r>
    <s v="99869844"/>
    <m/>
    <x v="0"/>
    <x v="0"/>
    <m/>
    <m/>
    <m/>
    <n v="6099"/>
    <n v="2"/>
    <n v="4"/>
    <s v="99869844"/>
    <s v="07_Inc"/>
    <x v="1"/>
    <m/>
    <m/>
    <m/>
    <m/>
    <x v="0"/>
    <s v="Project"/>
    <x v="418"/>
    <x v="0"/>
    <x v="2"/>
    <s v="Exclude in HGB Group allocation"/>
  </r>
  <r>
    <s v="99869849"/>
    <m/>
    <x v="0"/>
    <x v="0"/>
    <m/>
    <m/>
    <m/>
    <n v="6099"/>
    <n v="2"/>
    <n v="4"/>
    <s v="99869849"/>
    <s v="07_Inc"/>
    <x v="1"/>
    <m/>
    <m/>
    <m/>
    <m/>
    <x v="0"/>
    <s v="Project"/>
    <x v="418"/>
    <x v="0"/>
    <x v="24"/>
    <s v="Exclude in HGB Group allocation"/>
  </r>
  <r>
    <s v="99620811"/>
    <m/>
    <x v="0"/>
    <x v="0"/>
    <m/>
    <m/>
    <m/>
    <n v="9962"/>
    <n v="8"/>
    <n v="1"/>
    <s v="99620811"/>
    <s v="07_Inc"/>
    <x v="4"/>
    <m/>
    <m/>
    <m/>
    <m/>
    <x v="0"/>
    <s v="Project"/>
    <x v="420"/>
    <x v="0"/>
    <x v="18"/>
    <s v="Exclude in HGB Group allocation"/>
  </r>
  <r>
    <s v="99859811"/>
    <m/>
    <x v="0"/>
    <x v="0"/>
    <m/>
    <m/>
    <m/>
    <n v="9985"/>
    <n v="98"/>
    <n v="1"/>
    <s v="99859811"/>
    <s v="07_Inc"/>
    <x v="4"/>
    <m/>
    <m/>
    <m/>
    <m/>
    <x v="0"/>
    <s v="Project"/>
    <x v="421"/>
    <x v="0"/>
    <x v="18"/>
    <s v="Exclude in HGB Group allocation"/>
  </r>
  <r>
    <s v="99866111"/>
    <m/>
    <x v="0"/>
    <x v="0"/>
    <m/>
    <m/>
    <m/>
    <n v="9985"/>
    <n v="98"/>
    <n v="1"/>
    <s v="99866111"/>
    <s v="07_Inc"/>
    <x v="4"/>
    <m/>
    <m/>
    <m/>
    <m/>
    <x v="0"/>
    <s v="Project"/>
    <x v="421"/>
    <x v="0"/>
    <x v="18"/>
    <s v="Exclude in HGB Group allocation"/>
  </r>
  <r>
    <s v="99631044"/>
    <m/>
    <x v="0"/>
    <x v="0"/>
    <m/>
    <m/>
    <m/>
    <n v="9986"/>
    <n v="61"/>
    <n v="4"/>
    <s v="99631044"/>
    <s v="09_Ltda"/>
    <x v="1"/>
    <m/>
    <m/>
    <m/>
    <m/>
    <x v="0"/>
    <s v="Project"/>
    <x v="422"/>
    <x v="0"/>
    <x v="21"/>
    <s v="Exclude in HGB Group allocation"/>
  </r>
  <r>
    <s v="99867713"/>
    <m/>
    <x v="0"/>
    <x v="0"/>
    <m/>
    <m/>
    <m/>
    <n v="9986"/>
    <n v="77"/>
    <n v="1"/>
    <s v="99867713"/>
    <s v="01_SE"/>
    <x v="4"/>
    <m/>
    <m/>
    <m/>
    <m/>
    <x v="0"/>
    <s v="Project"/>
    <x v="423"/>
    <x v="0"/>
    <x v="17"/>
    <s v="Exclude in HGB Group allocation"/>
  </r>
  <r>
    <s v="99869811"/>
    <m/>
    <x v="0"/>
    <x v="0"/>
    <m/>
    <m/>
    <m/>
    <n v="9986"/>
    <n v="98"/>
    <n v="1"/>
    <s v="99869811"/>
    <s v="01_SE"/>
    <x v="4"/>
    <m/>
    <m/>
    <m/>
    <m/>
    <x v="0"/>
    <s v="Project"/>
    <x v="424"/>
    <x v="0"/>
    <x v="18"/>
    <s v="Exclude in HGB Group allocation"/>
  </r>
  <r>
    <s v="99869816"/>
    <m/>
    <x v="0"/>
    <x v="0"/>
    <m/>
    <m/>
    <m/>
    <n v="9986"/>
    <n v="98"/>
    <n v="1"/>
    <s v="99869816"/>
    <s v="01_SE"/>
    <x v="4"/>
    <m/>
    <m/>
    <m/>
    <m/>
    <x v="0"/>
    <s v="Project"/>
    <x v="424"/>
    <x v="0"/>
    <x v="19"/>
    <s v="Exclude in HGB Group allocation"/>
  </r>
  <r>
    <s v="0"/>
    <m/>
    <x v="0"/>
    <x v="0"/>
    <m/>
    <m/>
    <m/>
    <n v="6012"/>
    <n v="25"/>
    <n v="2"/>
    <m/>
    <s v="09_Ltda"/>
    <x v="0"/>
    <m/>
    <m/>
    <m/>
    <m/>
    <x v="0"/>
    <s v="Project"/>
    <x v="425"/>
    <x v="0"/>
    <x v="0"/>
    <s v="Exclude in HGB Group allocation"/>
  </r>
  <r>
    <s v="0"/>
    <m/>
    <x v="0"/>
    <x v="0"/>
    <m/>
    <m/>
    <m/>
    <n v="7802"/>
    <n v="45"/>
    <n v="2"/>
    <m/>
    <s v="01_SE"/>
    <x v="0"/>
    <m/>
    <m/>
    <m/>
    <m/>
    <x v="0"/>
    <s v="Project"/>
    <x v="426"/>
    <x v="0"/>
    <x v="25"/>
    <s v="Exclude in HGB Group allocation"/>
  </r>
  <r>
    <s v="0"/>
    <m/>
    <x v="0"/>
    <x v="0"/>
    <m/>
    <m/>
    <m/>
    <n v="7802"/>
    <n v="46"/>
    <n v="2"/>
    <m/>
    <s v="01_SE"/>
    <x v="0"/>
    <m/>
    <m/>
    <m/>
    <m/>
    <x v="0"/>
    <s v="Project"/>
    <x v="427"/>
    <x v="0"/>
    <x v="25"/>
    <s v="Exclude in HGB Group allocation"/>
  </r>
  <r>
    <s v="78023828"/>
    <m/>
    <x v="0"/>
    <x v="0"/>
    <m/>
    <m/>
    <m/>
    <n v="7802"/>
    <n v="38"/>
    <n v="2"/>
    <s v="78023828"/>
    <s v="01_SE"/>
    <x v="0"/>
    <m/>
    <m/>
    <m/>
    <m/>
    <x v="0"/>
    <s v="Project"/>
    <x v="428"/>
    <x v="0"/>
    <x v="0"/>
    <s v="Exclude in HGB Group allocation"/>
  </r>
  <r>
    <s v="99967428"/>
    <m/>
    <x v="0"/>
    <x v="0"/>
    <m/>
    <m/>
    <m/>
    <n v="7802"/>
    <n v="38"/>
    <n v="2"/>
    <s v="99967428"/>
    <s v="01_SE"/>
    <x v="0"/>
    <m/>
    <m/>
    <m/>
    <m/>
    <x v="0"/>
    <s v="Project"/>
    <x v="428"/>
    <x v="0"/>
    <x v="21"/>
    <s v="Exclude in HGB Group allocation"/>
  </r>
  <r>
    <s v="0"/>
    <m/>
    <x v="0"/>
    <x v="0"/>
    <m/>
    <m/>
    <m/>
    <n v="8879"/>
    <n v="21"/>
    <n v="2"/>
    <m/>
    <s v="01_SE"/>
    <x v="0"/>
    <m/>
    <m/>
    <m/>
    <m/>
    <x v="0"/>
    <s v="Project"/>
    <x v="429"/>
    <x v="0"/>
    <x v="0"/>
    <s v="Exclude in HGB Group allocation"/>
  </r>
  <r>
    <s v="0"/>
    <m/>
    <x v="0"/>
    <x v="0"/>
    <m/>
    <m/>
    <m/>
    <n v="8879"/>
    <n v="22"/>
    <n v="2"/>
    <m/>
    <s v="01_SE"/>
    <x v="0"/>
    <m/>
    <m/>
    <m/>
    <m/>
    <x v="0"/>
    <s v="Project"/>
    <x v="430"/>
    <x v="0"/>
    <x v="0"/>
    <s v="Exclude in HGB Group allocation"/>
  </r>
  <r>
    <s v="88791928"/>
    <m/>
    <x v="0"/>
    <x v="0"/>
    <m/>
    <m/>
    <m/>
    <n v="8879"/>
    <n v="19"/>
    <n v="2"/>
    <s v="88791928"/>
    <s v="01_SE"/>
    <x v="0"/>
    <m/>
    <m/>
    <m/>
    <m/>
    <x v="0"/>
    <s v="Project"/>
    <x v="431"/>
    <x v="0"/>
    <x v="0"/>
    <s v="Exclude in HGB Group allocation"/>
  </r>
  <r>
    <s v="88792028"/>
    <m/>
    <x v="0"/>
    <x v="0"/>
    <m/>
    <m/>
    <m/>
    <n v="8879"/>
    <n v="20"/>
    <n v="2"/>
    <s v="88792028"/>
    <s v="01_SE"/>
    <x v="0"/>
    <m/>
    <m/>
    <m/>
    <m/>
    <x v="0"/>
    <s v="Project"/>
    <x v="432"/>
    <x v="0"/>
    <x v="0"/>
    <s v="Exclude in HGB Group allocation"/>
  </r>
  <r>
    <s v="99967826"/>
    <m/>
    <x v="0"/>
    <x v="0"/>
    <m/>
    <m/>
    <m/>
    <n v="3124"/>
    <n v="9"/>
    <n v="2"/>
    <s v="99967826"/>
    <s v="01_SE"/>
    <x v="0"/>
    <m/>
    <m/>
    <m/>
    <m/>
    <x v="0"/>
    <s v="Project"/>
    <x v="433"/>
    <x v="0"/>
    <x v="0"/>
    <s v="Exclude in HGB Group allocation"/>
  </r>
  <r>
    <s v="0"/>
    <m/>
    <x v="0"/>
    <x v="0"/>
    <m/>
    <m/>
    <m/>
    <n v="3124"/>
    <n v="11"/>
    <n v="2"/>
    <m/>
    <s v="01_SE"/>
    <x v="0"/>
    <m/>
    <m/>
    <m/>
    <m/>
    <x v="0"/>
    <s v="Project"/>
    <x v="434"/>
    <x v="0"/>
    <x v="25"/>
    <s v="Exclude in HGB Group allocation"/>
  </r>
  <r>
    <s v="31240528"/>
    <m/>
    <x v="0"/>
    <x v="0"/>
    <m/>
    <m/>
    <m/>
    <n v="3124"/>
    <n v="5"/>
    <n v="2"/>
    <s v="31240528"/>
    <s v="01_SE"/>
    <x v="0"/>
    <m/>
    <m/>
    <m/>
    <m/>
    <x v="0"/>
    <s v="Project"/>
    <x v="435"/>
    <x v="0"/>
    <x v="0"/>
    <s v="Exclude in HGB Group allocation"/>
  </r>
  <r>
    <s v="31240628"/>
    <m/>
    <x v="0"/>
    <x v="0"/>
    <m/>
    <m/>
    <m/>
    <n v="3124"/>
    <n v="6"/>
    <n v="2"/>
    <s v="31240628"/>
    <s v="01_SE"/>
    <x v="0"/>
    <m/>
    <m/>
    <m/>
    <m/>
    <x v="0"/>
    <s v="Project"/>
    <x v="436"/>
    <x v="0"/>
    <x v="0"/>
    <s v="Exclude in HGB Group allocation"/>
  </r>
  <r>
    <s v="31240726"/>
    <m/>
    <x v="0"/>
    <x v="0"/>
    <m/>
    <m/>
    <m/>
    <n v="3124"/>
    <n v="7"/>
    <n v="2"/>
    <s v="31240726"/>
    <s v="01_SE"/>
    <x v="0"/>
    <m/>
    <m/>
    <m/>
    <m/>
    <x v="0"/>
    <s v="Project"/>
    <x v="437"/>
    <x v="0"/>
    <x v="0"/>
    <s v="Exclude in HGB Group allocation"/>
  </r>
  <r>
    <s v="31240828"/>
    <m/>
    <x v="0"/>
    <x v="0"/>
    <m/>
    <m/>
    <m/>
    <n v="3124"/>
    <n v="8"/>
    <n v="2"/>
    <s v="31240828"/>
    <s v="01_SE"/>
    <x v="0"/>
    <m/>
    <m/>
    <m/>
    <m/>
    <x v="0"/>
    <s v="Project"/>
    <x v="438"/>
    <x v="0"/>
    <x v="0"/>
    <s v="Exclude in HGB Group allocation"/>
  </r>
  <r>
    <s v="31240926"/>
    <m/>
    <x v="0"/>
    <x v="0"/>
    <m/>
    <m/>
    <m/>
    <n v="3124"/>
    <n v="9"/>
    <n v="2"/>
    <s v="31240926"/>
    <s v="01_SE"/>
    <x v="0"/>
    <m/>
    <m/>
    <m/>
    <m/>
    <x v="0"/>
    <s v="Project"/>
    <x v="433"/>
    <x v="0"/>
    <x v="0"/>
    <s v="Exclude in HGB Group allocation"/>
  </r>
  <r>
    <s v="31241028"/>
    <m/>
    <x v="0"/>
    <x v="0"/>
    <m/>
    <m/>
    <m/>
    <n v="3124"/>
    <n v="10"/>
    <n v="2"/>
    <s v="31241028"/>
    <s v="01_SE"/>
    <x v="0"/>
    <m/>
    <m/>
    <m/>
    <m/>
    <x v="0"/>
    <s v="Project"/>
    <x v="439"/>
    <x v="0"/>
    <x v="0"/>
    <s v="Exclude in HGB Group allocation"/>
  </r>
  <r>
    <s v="99949328"/>
    <m/>
    <x v="0"/>
    <x v="0"/>
    <m/>
    <m/>
    <m/>
    <n v="3124"/>
    <n v="5"/>
    <n v="2"/>
    <s v="99949328"/>
    <s v="01_SE"/>
    <x v="0"/>
    <m/>
    <m/>
    <m/>
    <m/>
    <x v="0"/>
    <s v="Project"/>
    <x v="435"/>
    <x v="0"/>
    <x v="0"/>
    <s v="Exclude in HGB Group allocation"/>
  </r>
  <r>
    <s v="99962928"/>
    <m/>
    <x v="0"/>
    <x v="0"/>
    <m/>
    <m/>
    <m/>
    <n v="3124"/>
    <n v="6"/>
    <n v="2"/>
    <s v="99962928"/>
    <s v="01_SE"/>
    <x v="0"/>
    <m/>
    <m/>
    <m/>
    <m/>
    <x v="0"/>
    <s v="Project"/>
    <x v="436"/>
    <x v="0"/>
    <x v="21"/>
    <s v="Exclude in HGB Group allocation"/>
  </r>
  <r>
    <s v="31320128"/>
    <m/>
    <x v="0"/>
    <x v="0"/>
    <m/>
    <m/>
    <m/>
    <n v="3132"/>
    <n v="1"/>
    <n v="2"/>
    <s v="31320128"/>
    <s v="01_SE"/>
    <x v="0"/>
    <m/>
    <m/>
    <m/>
    <m/>
    <x v="0"/>
    <s v="Project"/>
    <x v="440"/>
    <x v="0"/>
    <x v="0"/>
    <s v="Exclude in HGB Group allocation"/>
  </r>
  <r>
    <s v="31320528"/>
    <m/>
    <x v="0"/>
    <x v="0"/>
    <m/>
    <m/>
    <m/>
    <n v="3132"/>
    <n v="5"/>
    <n v="2"/>
    <s v="31320528"/>
    <s v="01_SE"/>
    <x v="0"/>
    <m/>
    <m/>
    <m/>
    <m/>
    <x v="0"/>
    <s v="Project"/>
    <x v="441"/>
    <x v="0"/>
    <x v="0"/>
    <s v="Exclude in HGB Group allocation"/>
  </r>
  <r>
    <s v="0"/>
    <m/>
    <x v="0"/>
    <x v="0"/>
    <m/>
    <m/>
    <m/>
    <n v="3150"/>
    <n v="3"/>
    <n v="2"/>
    <m/>
    <s v="01_SE"/>
    <x v="0"/>
    <m/>
    <m/>
    <m/>
    <m/>
    <x v="0"/>
    <s v="Project"/>
    <x v="442"/>
    <x v="0"/>
    <x v="0"/>
    <s v="Exclude in HGB Group allocation"/>
  </r>
  <r>
    <s v="0"/>
    <m/>
    <x v="0"/>
    <x v="0"/>
    <m/>
    <m/>
    <m/>
    <n v="3150"/>
    <n v="4"/>
    <n v="2"/>
    <m/>
    <s v="01_SE"/>
    <x v="0"/>
    <m/>
    <m/>
    <m/>
    <m/>
    <x v="0"/>
    <s v="Project"/>
    <x v="443"/>
    <x v="0"/>
    <x v="0"/>
    <s v="Exclude in HGB Group allocation"/>
  </r>
  <r>
    <s v="0"/>
    <m/>
    <x v="0"/>
    <x v="0"/>
    <m/>
    <m/>
    <m/>
    <n v="3150"/>
    <n v="5"/>
    <n v="2"/>
    <m/>
    <s v="01_SE"/>
    <x v="0"/>
    <m/>
    <m/>
    <m/>
    <m/>
    <x v="0"/>
    <s v="Project"/>
    <x v="444"/>
    <x v="0"/>
    <x v="0"/>
    <s v="Exclude in HGB Group allocation"/>
  </r>
  <r>
    <s v="0"/>
    <m/>
    <x v="0"/>
    <x v="0"/>
    <m/>
    <m/>
    <m/>
    <n v="3150"/>
    <n v="2"/>
    <n v="2"/>
    <m/>
    <s v="01_SE"/>
    <x v="0"/>
    <m/>
    <m/>
    <m/>
    <m/>
    <x v="0"/>
    <s v="Project"/>
    <x v="445"/>
    <x v="0"/>
    <x v="0"/>
    <s v="Exclude in HGB Group allocation"/>
  </r>
  <r>
    <s v="0"/>
    <m/>
    <x v="0"/>
    <x v="0"/>
    <m/>
    <m/>
    <m/>
    <n v="7679"/>
    <n v="2"/>
    <n v="2"/>
    <m/>
    <s v="01_SE"/>
    <x v="0"/>
    <m/>
    <m/>
    <m/>
    <m/>
    <x v="0"/>
    <s v="Project"/>
    <x v="446"/>
    <x v="0"/>
    <x v="0"/>
    <s v="Exclude in HGB Group allocation"/>
  </r>
  <r>
    <s v="60480226"/>
    <m/>
    <x v="0"/>
    <x v="0"/>
    <m/>
    <m/>
    <m/>
    <n v="6048"/>
    <n v="3"/>
    <n v="2"/>
    <s v="60480226"/>
    <s v="01_SE"/>
    <x v="0"/>
    <m/>
    <m/>
    <m/>
    <m/>
    <x v="0"/>
    <s v="Project"/>
    <x v="447"/>
    <x v="0"/>
    <x v="0"/>
    <s v="Exclude in HGB Group allocation"/>
  </r>
  <r>
    <s v="75400228"/>
    <m/>
    <x v="0"/>
    <x v="0"/>
    <m/>
    <m/>
    <m/>
    <n v="7540"/>
    <n v="2"/>
    <n v="2"/>
    <s v="75400228"/>
    <s v="01_SE"/>
    <x v="0"/>
    <m/>
    <m/>
    <m/>
    <m/>
    <x v="0"/>
    <s v="Project"/>
    <x v="448"/>
    <x v="0"/>
    <x v="0"/>
    <s v="Exclude in HGB Group allocation"/>
  </r>
  <r>
    <s v="75400328"/>
    <m/>
    <x v="0"/>
    <x v="0"/>
    <m/>
    <m/>
    <m/>
    <n v="7540"/>
    <n v="3"/>
    <n v="2"/>
    <s v="75400328"/>
    <s v="01_SE"/>
    <x v="0"/>
    <m/>
    <m/>
    <m/>
    <m/>
    <x v="0"/>
    <s v="Project"/>
    <x v="449"/>
    <x v="0"/>
    <x v="0"/>
    <s v="Exclude in HGB Group allocation"/>
  </r>
  <r>
    <s v="75400428"/>
    <m/>
    <x v="0"/>
    <x v="0"/>
    <m/>
    <m/>
    <m/>
    <n v="7540"/>
    <n v="4"/>
    <n v="2"/>
    <s v="75400428"/>
    <s v="01_SE"/>
    <x v="0"/>
    <m/>
    <m/>
    <m/>
    <m/>
    <x v="0"/>
    <s v="Project"/>
    <x v="450"/>
    <x v="0"/>
    <x v="0"/>
    <s v="Exclude in HGB Group allocation"/>
  </r>
  <r>
    <s v="76900226"/>
    <m/>
    <x v="0"/>
    <x v="0"/>
    <m/>
    <m/>
    <m/>
    <n v="7690"/>
    <n v="2"/>
    <n v="2"/>
    <s v="76900226"/>
    <s v="05_Shg"/>
    <x v="0"/>
    <m/>
    <m/>
    <m/>
    <m/>
    <x v="0"/>
    <s v="Project"/>
    <x v="451"/>
    <x v="0"/>
    <x v="21"/>
    <s v="Exclude in HGB Group allocation"/>
  </r>
  <r>
    <s v="0"/>
    <m/>
    <x v="0"/>
    <x v="0"/>
    <m/>
    <m/>
    <m/>
    <n v="7540"/>
    <n v="5"/>
    <n v="2"/>
    <m/>
    <s v="01_SE"/>
    <x v="0"/>
    <m/>
    <m/>
    <m/>
    <m/>
    <x v="0"/>
    <s v="Project"/>
    <x v="452"/>
    <x v="0"/>
    <x v="0"/>
    <s v="Exclude in HGB Group allocation"/>
  </r>
  <r>
    <s v="21210228"/>
    <m/>
    <x v="0"/>
    <x v="0"/>
    <m/>
    <m/>
    <m/>
    <n v="2121"/>
    <n v="2"/>
    <n v="2"/>
    <s v="21210228"/>
    <s v="05_Shg"/>
    <x v="0"/>
    <m/>
    <m/>
    <m/>
    <m/>
    <x v="0"/>
    <s v="Project"/>
    <x v="453"/>
    <x v="0"/>
    <x v="0"/>
    <s v="Exclude in HGB Group allocation"/>
  </r>
  <r>
    <s v="0"/>
    <m/>
    <x v="0"/>
    <x v="0"/>
    <m/>
    <m/>
    <m/>
    <n v="3188"/>
    <n v="5"/>
    <n v="2"/>
    <m/>
    <s v="07_Inc"/>
    <x v="0"/>
    <m/>
    <m/>
    <m/>
    <m/>
    <x v="0"/>
    <s v="Project"/>
    <x v="454"/>
    <x v="0"/>
    <x v="21"/>
    <s v="Exclude in HGB Group allocation"/>
  </r>
  <r>
    <s v="75870226"/>
    <m/>
    <x v="0"/>
    <x v="0"/>
    <m/>
    <m/>
    <m/>
    <n v="7587"/>
    <n v="2"/>
    <n v="2"/>
    <s v="75870226"/>
    <s v="01_SE"/>
    <x v="0"/>
    <m/>
    <m/>
    <m/>
    <m/>
    <x v="0"/>
    <s v="Project"/>
    <x v="455"/>
    <x v="0"/>
    <x v="0"/>
    <s v="Exclude in HGB Group allocation"/>
  </r>
  <r>
    <s v="75870328"/>
    <m/>
    <x v="0"/>
    <x v="0"/>
    <m/>
    <m/>
    <m/>
    <n v="7587"/>
    <n v="3"/>
    <n v="2"/>
    <s v="75870328"/>
    <s v="01_SE"/>
    <x v="0"/>
    <m/>
    <m/>
    <m/>
    <m/>
    <x v="0"/>
    <s v="Project"/>
    <x v="456"/>
    <x v="0"/>
    <x v="0"/>
    <s v="Exclude in HGB Group allocation"/>
  </r>
  <r>
    <s v="0"/>
    <m/>
    <x v="0"/>
    <x v="0"/>
    <m/>
    <m/>
    <m/>
    <n v="6133"/>
    <n v="2"/>
    <n v="2"/>
    <m/>
    <s v="01_SE"/>
    <x v="0"/>
    <m/>
    <m/>
    <m/>
    <m/>
    <x v="0"/>
    <s v="Project"/>
    <x v="457"/>
    <x v="0"/>
    <x v="0"/>
    <s v="Exclude in HGB Group allocation"/>
  </r>
  <r>
    <s v="0"/>
    <m/>
    <x v="0"/>
    <x v="0"/>
    <m/>
    <m/>
    <m/>
    <n v="6133"/>
    <n v="3"/>
    <n v="2"/>
    <m/>
    <s v="01_SE"/>
    <x v="0"/>
    <m/>
    <m/>
    <m/>
    <m/>
    <x v="0"/>
    <s v="Project"/>
    <x v="458"/>
    <x v="0"/>
    <x v="0"/>
    <s v="Exclude in HGB Group allocation"/>
  </r>
  <r>
    <s v="0"/>
    <m/>
    <x v="0"/>
    <x v="0"/>
    <m/>
    <m/>
    <m/>
    <n v="6140"/>
    <n v="2"/>
    <n v="2"/>
    <m/>
    <s v="01_SE"/>
    <x v="0"/>
    <m/>
    <m/>
    <m/>
    <m/>
    <x v="0"/>
    <s v="Project"/>
    <x v="459"/>
    <x v="0"/>
    <x v="0"/>
    <s v="Exclude in HGB Group allocation"/>
  </r>
  <r>
    <s v="0"/>
    <m/>
    <x v="0"/>
    <x v="0"/>
    <m/>
    <m/>
    <m/>
    <n v="6623"/>
    <n v="4"/>
    <n v="1"/>
    <m/>
    <s v="07_Inc"/>
    <x v="4"/>
    <m/>
    <m/>
    <m/>
    <m/>
    <x v="0"/>
    <s v="Project"/>
    <x v="460"/>
    <x v="0"/>
    <x v="18"/>
    <s v="Exclude in HGB Group allocation"/>
  </r>
  <r>
    <s v="0"/>
    <m/>
    <x v="0"/>
    <x v="0"/>
    <m/>
    <m/>
    <m/>
    <n v="6624"/>
    <n v="2"/>
    <n v="4"/>
    <m/>
    <s v="02_GmbH"/>
    <x v="1"/>
    <m/>
    <m/>
    <m/>
    <m/>
    <x v="0"/>
    <s v="Project"/>
    <x v="461"/>
    <x v="0"/>
    <x v="24"/>
    <s v="Exclude in HGB Group allocation"/>
  </r>
  <r>
    <s v="0"/>
    <m/>
    <x v="0"/>
    <x v="0"/>
    <m/>
    <m/>
    <m/>
    <n v="6624"/>
    <n v="2"/>
    <n v="4"/>
    <m/>
    <s v="02_GmbH"/>
    <x v="1"/>
    <m/>
    <m/>
    <m/>
    <m/>
    <x v="0"/>
    <s v="Project"/>
    <x v="461"/>
    <x v="0"/>
    <x v="1"/>
    <s v="Exclude in HGB Group allocation"/>
  </r>
  <r>
    <s v="0"/>
    <m/>
    <x v="0"/>
    <x v="0"/>
    <m/>
    <m/>
    <m/>
    <n v="7041"/>
    <n v="1"/>
    <n v="2"/>
    <m/>
    <s v="01_SE"/>
    <x v="0"/>
    <m/>
    <m/>
    <m/>
    <m/>
    <x v="0"/>
    <s v="Project"/>
    <x v="462"/>
    <x v="0"/>
    <x v="0"/>
    <s v="Exclude in HGB Group allocation"/>
  </r>
  <r>
    <s v="0"/>
    <m/>
    <x v="0"/>
    <x v="0"/>
    <m/>
    <m/>
    <m/>
    <n v="7042"/>
    <n v="3"/>
    <n v="2"/>
    <m/>
    <s v="01_SE"/>
    <x v="0"/>
    <m/>
    <m/>
    <m/>
    <m/>
    <x v="0"/>
    <s v="Project"/>
    <x v="463"/>
    <x v="0"/>
    <x v="0"/>
    <s v="Exclude in HGB Group allocation"/>
  </r>
  <r>
    <s v="0"/>
    <m/>
    <x v="0"/>
    <x v="0"/>
    <m/>
    <m/>
    <m/>
    <n v="7042"/>
    <n v="4"/>
    <n v="2"/>
    <m/>
    <s v="01_SE"/>
    <x v="0"/>
    <m/>
    <m/>
    <m/>
    <m/>
    <x v="0"/>
    <s v="Project"/>
    <x v="464"/>
    <x v="0"/>
    <x v="0"/>
    <s v="Exclude in HGB Group allocation"/>
  </r>
  <r>
    <s v="0"/>
    <m/>
    <x v="0"/>
    <x v="0"/>
    <m/>
    <m/>
    <m/>
    <n v="7042"/>
    <n v="5"/>
    <n v="2"/>
    <m/>
    <s v="01_SE"/>
    <x v="0"/>
    <m/>
    <m/>
    <m/>
    <m/>
    <x v="0"/>
    <s v="Project"/>
    <x v="465"/>
    <x v="0"/>
    <x v="0"/>
    <s v="Exclude in HGB Group allocation"/>
  </r>
  <r>
    <s v="0"/>
    <m/>
    <x v="0"/>
    <x v="0"/>
    <m/>
    <m/>
    <m/>
    <n v="7042"/>
    <n v="6"/>
    <n v="2"/>
    <m/>
    <s v="01_SE"/>
    <x v="0"/>
    <m/>
    <m/>
    <m/>
    <m/>
    <x v="0"/>
    <s v="Project"/>
    <x v="466"/>
    <x v="0"/>
    <x v="0"/>
    <s v="Exclude in HGB Group allocation"/>
  </r>
  <r>
    <s v="0"/>
    <m/>
    <x v="0"/>
    <x v="0"/>
    <m/>
    <m/>
    <m/>
    <n v="7042"/>
    <n v="1"/>
    <n v="2"/>
    <m/>
    <s v="01_SE"/>
    <x v="0"/>
    <m/>
    <m/>
    <m/>
    <m/>
    <x v="0"/>
    <s v="Project"/>
    <x v="467"/>
    <x v="0"/>
    <x v="0"/>
    <s v="Exclude in HGB Group allocation"/>
  </r>
  <r>
    <s v="70420228"/>
    <m/>
    <x v="0"/>
    <x v="0"/>
    <m/>
    <m/>
    <m/>
    <n v="7042"/>
    <n v="2"/>
    <n v="2"/>
    <s v="70420228"/>
    <s v="01_SE"/>
    <x v="0"/>
    <m/>
    <m/>
    <m/>
    <m/>
    <x v="0"/>
    <s v="Project"/>
    <x v="468"/>
    <x v="0"/>
    <x v="0"/>
    <s v="Exclude in HGB Group allocation"/>
  </r>
  <r>
    <s v="0"/>
    <m/>
    <x v="0"/>
    <x v="0"/>
    <m/>
    <m/>
    <m/>
    <n v="9956"/>
    <n v="8"/>
    <n v="5"/>
    <m/>
    <s v="01_SE"/>
    <x v="3"/>
    <m/>
    <m/>
    <m/>
    <m/>
    <x v="0"/>
    <s v="Project"/>
    <x v="469"/>
    <x v="0"/>
    <x v="26"/>
    <s v="Exclude in HGB Group allocation"/>
  </r>
  <r>
    <s v="99560556"/>
    <m/>
    <x v="0"/>
    <x v="0"/>
    <m/>
    <m/>
    <m/>
    <n v="9956"/>
    <n v="5"/>
    <n v="5"/>
    <s v="99560556"/>
    <s v="01_SE"/>
    <x v="3"/>
    <m/>
    <m/>
    <m/>
    <m/>
    <x v="0"/>
    <s v="Project"/>
    <x v="470"/>
    <x v="0"/>
    <x v="27"/>
    <s v="Exclude in HGB Group allocation"/>
  </r>
  <r>
    <s v="0"/>
    <m/>
    <x v="0"/>
    <x v="0"/>
    <m/>
    <m/>
    <m/>
    <n v="9956"/>
    <n v="9"/>
    <n v="5"/>
    <m/>
    <s v="01_SE"/>
    <x v="3"/>
    <m/>
    <m/>
    <m/>
    <m/>
    <x v="0"/>
    <s v="Project"/>
    <x v="471"/>
    <x v="0"/>
    <x v="26"/>
    <s v="Exclude in HGB Group allocation"/>
  </r>
  <r>
    <s v="99600256"/>
    <m/>
    <x v="0"/>
    <x v="0"/>
    <m/>
    <m/>
    <m/>
    <n v="9960"/>
    <n v="2"/>
    <n v="5"/>
    <s v="99600256"/>
    <s v="01_SE"/>
    <x v="3"/>
    <m/>
    <m/>
    <m/>
    <m/>
    <x v="0"/>
    <s v="Project"/>
    <x v="472"/>
    <x v="0"/>
    <x v="26"/>
    <s v="Exclude in HGB Group allocation"/>
  </r>
  <r>
    <s v="99600356"/>
    <m/>
    <x v="0"/>
    <x v="0"/>
    <m/>
    <m/>
    <m/>
    <n v="9960"/>
    <n v="3"/>
    <n v="5"/>
    <s v="99600356"/>
    <s v="01_SE"/>
    <x v="3"/>
    <m/>
    <m/>
    <m/>
    <m/>
    <x v="0"/>
    <s v="Project"/>
    <x v="473"/>
    <x v="0"/>
    <x v="26"/>
    <s v="Exclude in HGB Group allocation"/>
  </r>
  <r>
    <s v="10111828"/>
    <m/>
    <x v="0"/>
    <x v="0"/>
    <m/>
    <m/>
    <m/>
    <n v="1011"/>
    <n v="18"/>
    <n v="2"/>
    <s v="10111828"/>
    <s v="01_SE"/>
    <x v="0"/>
    <m/>
    <m/>
    <m/>
    <m/>
    <x v="0"/>
    <s v="Project"/>
    <x v="474"/>
    <x v="0"/>
    <x v="0"/>
    <s v="Exclude in HGB Group allocation"/>
  </r>
  <r>
    <s v="10111928"/>
    <m/>
    <x v="0"/>
    <x v="0"/>
    <m/>
    <m/>
    <m/>
    <n v="1011"/>
    <n v="19"/>
    <n v="2"/>
    <s v="10111928"/>
    <s v="01_SE"/>
    <x v="0"/>
    <m/>
    <m/>
    <m/>
    <m/>
    <x v="0"/>
    <s v="Project"/>
    <x v="475"/>
    <x v="0"/>
    <x v="0"/>
    <s v="Exclude in HGB Group allocation"/>
  </r>
  <r>
    <s v="10150728"/>
    <m/>
    <x v="0"/>
    <x v="0"/>
    <m/>
    <m/>
    <m/>
    <n v="1015"/>
    <n v="7"/>
    <n v="2"/>
    <s v="10150728"/>
    <s v="01_SE"/>
    <x v="0"/>
    <m/>
    <m/>
    <m/>
    <m/>
    <x v="0"/>
    <s v="Project"/>
    <x v="476"/>
    <x v="0"/>
    <x v="0"/>
    <s v="Exclude in HGB Group allocation"/>
  </r>
  <r>
    <s v="0"/>
    <m/>
    <x v="0"/>
    <x v="0"/>
    <m/>
    <m/>
    <m/>
    <n v="1044"/>
    <n v="14"/>
    <n v="2"/>
    <m/>
    <s v="05_Shg"/>
    <x v="0"/>
    <m/>
    <m/>
    <m/>
    <m/>
    <x v="0"/>
    <s v="Project"/>
    <x v="477"/>
    <x v="0"/>
    <x v="0"/>
    <s v="Exclude in HGB Group allocation"/>
  </r>
  <r>
    <s v="10441328"/>
    <m/>
    <x v="0"/>
    <x v="0"/>
    <m/>
    <m/>
    <m/>
    <n v="1044"/>
    <n v="13"/>
    <n v="2"/>
    <s v="10441328"/>
    <s v="05_Shg"/>
    <x v="0"/>
    <m/>
    <m/>
    <m/>
    <m/>
    <x v="0"/>
    <s v="Project"/>
    <x v="478"/>
    <x v="0"/>
    <x v="27"/>
    <s v="Exclude in HGB Group allocation"/>
  </r>
  <r>
    <s v="11060428"/>
    <m/>
    <x v="0"/>
    <x v="0"/>
    <m/>
    <m/>
    <m/>
    <n v="1106"/>
    <n v="4"/>
    <n v="2"/>
    <s v="11060428"/>
    <s v="01_SE"/>
    <x v="0"/>
    <m/>
    <m/>
    <m/>
    <m/>
    <x v="0"/>
    <s v="Project"/>
    <x v="479"/>
    <x v="0"/>
    <x v="0"/>
    <s v="Exclude in HGB Group allocation"/>
  </r>
  <r>
    <s v="11060828"/>
    <m/>
    <x v="0"/>
    <x v="0"/>
    <m/>
    <m/>
    <m/>
    <n v="1106"/>
    <n v="8"/>
    <n v="2"/>
    <s v="11060828"/>
    <s v="01_SE"/>
    <x v="0"/>
    <m/>
    <m/>
    <m/>
    <m/>
    <x v="0"/>
    <s v="Project"/>
    <x v="480"/>
    <x v="0"/>
    <x v="0"/>
    <s v="Exclude in HGB Group allocation"/>
  </r>
  <r>
    <s v="11060928"/>
    <m/>
    <x v="0"/>
    <x v="0"/>
    <m/>
    <m/>
    <m/>
    <n v="1106"/>
    <n v="9"/>
    <n v="2"/>
    <s v="11060928"/>
    <s v="01_SE"/>
    <x v="0"/>
    <m/>
    <m/>
    <m/>
    <m/>
    <x v="0"/>
    <s v="Project"/>
    <x v="481"/>
    <x v="0"/>
    <x v="0"/>
    <s v="Exclude in HGB Group allocation"/>
  </r>
  <r>
    <s v="99945128"/>
    <m/>
    <x v="0"/>
    <x v="0"/>
    <m/>
    <m/>
    <m/>
    <n v="1106"/>
    <n v="8"/>
    <n v="2"/>
    <s v="99945128"/>
    <s v="01_SE"/>
    <x v="0"/>
    <m/>
    <m/>
    <m/>
    <m/>
    <x v="0"/>
    <s v="Project"/>
    <x v="480"/>
    <x v="0"/>
    <x v="0"/>
    <s v="Exclude in HGB Group allocation"/>
  </r>
  <r>
    <s v="1107134"/>
    <m/>
    <x v="0"/>
    <x v="0"/>
    <m/>
    <m/>
    <m/>
    <n v="1107"/>
    <n v="13"/>
    <n v="4"/>
    <n v="1107134"/>
    <s v="01_SE"/>
    <x v="1"/>
    <m/>
    <m/>
    <m/>
    <m/>
    <x v="0"/>
    <s v="Project"/>
    <x v="482"/>
    <x v="0"/>
    <x v="1"/>
    <s v="Exclude in HGB Group allocation"/>
  </r>
  <r>
    <s v="1107134"/>
    <m/>
    <x v="0"/>
    <x v="0"/>
    <m/>
    <m/>
    <m/>
    <n v="1107"/>
    <n v="13"/>
    <n v="4"/>
    <n v="1107134"/>
    <s v="02_GmbH"/>
    <x v="1"/>
    <m/>
    <m/>
    <m/>
    <m/>
    <x v="0"/>
    <s v="Project"/>
    <x v="482"/>
    <x v="0"/>
    <x v="1"/>
    <s v="Exclude in HGB Group allocation"/>
  </r>
  <r>
    <s v="11071328"/>
    <m/>
    <x v="0"/>
    <x v="0"/>
    <m/>
    <m/>
    <m/>
    <n v="1107"/>
    <n v="13"/>
    <n v="2"/>
    <s v="11071328"/>
    <s v="01_SE"/>
    <x v="0"/>
    <m/>
    <m/>
    <m/>
    <m/>
    <x v="0"/>
    <s v="Project"/>
    <x v="483"/>
    <x v="0"/>
    <x v="0"/>
    <s v="Exclude in HGB Group allocation"/>
  </r>
  <r>
    <s v="1110024"/>
    <m/>
    <x v="0"/>
    <x v="0"/>
    <m/>
    <m/>
    <m/>
    <n v="1110"/>
    <n v="2"/>
    <n v="4"/>
    <n v="1110024"/>
    <s v="01_SE"/>
    <x v="1"/>
    <m/>
    <m/>
    <m/>
    <m/>
    <x v="0"/>
    <s v="Project"/>
    <x v="484"/>
    <x v="0"/>
    <x v="1"/>
    <s v="Exclude in HGB Group allocation"/>
  </r>
  <r>
    <s v="1110024"/>
    <m/>
    <x v="0"/>
    <x v="0"/>
    <m/>
    <m/>
    <m/>
    <n v="1110"/>
    <n v="2"/>
    <n v="4"/>
    <n v="1110024"/>
    <s v="02_GmbH"/>
    <x v="1"/>
    <m/>
    <m/>
    <m/>
    <m/>
    <x v="0"/>
    <s v="Project"/>
    <x v="484"/>
    <x v="0"/>
    <x v="1"/>
    <s v="Exclude in HGB Group allocation"/>
  </r>
  <r>
    <s v="1110734"/>
    <m/>
    <x v="0"/>
    <x v="0"/>
    <m/>
    <m/>
    <m/>
    <n v="1110"/>
    <n v="73"/>
    <n v="4"/>
    <n v="1110734"/>
    <s v="01_SE"/>
    <x v="1"/>
    <m/>
    <m/>
    <m/>
    <m/>
    <x v="0"/>
    <s v="Project"/>
    <x v="485"/>
    <x v="0"/>
    <x v="1"/>
    <s v="Exclude in HGB Group allocation"/>
  </r>
  <r>
    <s v="1110734"/>
    <m/>
    <x v="0"/>
    <x v="0"/>
    <m/>
    <m/>
    <m/>
    <n v="1110"/>
    <n v="73"/>
    <n v="4"/>
    <n v="1110734"/>
    <s v="02_GmbH"/>
    <x v="1"/>
    <m/>
    <m/>
    <m/>
    <m/>
    <x v="0"/>
    <s v="Project"/>
    <x v="485"/>
    <x v="0"/>
    <x v="1"/>
    <s v="Exclude in HGB Group allocation"/>
  </r>
  <r>
    <s v="0"/>
    <m/>
    <x v="0"/>
    <x v="0"/>
    <m/>
    <m/>
    <m/>
    <n v="1110"/>
    <n v="80"/>
    <n v="2"/>
    <m/>
    <s v="01_SE"/>
    <x v="0"/>
    <m/>
    <m/>
    <m/>
    <m/>
    <x v="0"/>
    <s v="Project"/>
    <x v="486"/>
    <x v="0"/>
    <x v="0"/>
    <s v="Exclude in HGB Group allocation"/>
  </r>
  <r>
    <s v="0"/>
    <m/>
    <x v="0"/>
    <x v="0"/>
    <m/>
    <m/>
    <m/>
    <n v="1110"/>
    <n v="81"/>
    <n v="2"/>
    <m/>
    <s v="01_SE"/>
    <x v="0"/>
    <m/>
    <m/>
    <m/>
    <m/>
    <x v="0"/>
    <s v="Project"/>
    <x v="487"/>
    <x v="0"/>
    <x v="0"/>
    <s v="Exclude in HGB Group allocation"/>
  </r>
  <r>
    <s v="0"/>
    <m/>
    <x v="0"/>
    <x v="0"/>
    <m/>
    <m/>
    <m/>
    <n v="1110"/>
    <n v="82"/>
    <n v="2"/>
    <m/>
    <s v="01_SE"/>
    <x v="0"/>
    <m/>
    <m/>
    <m/>
    <m/>
    <x v="0"/>
    <s v="Project"/>
    <x v="488"/>
    <x v="0"/>
    <x v="0"/>
    <s v="Exclude in HGB Group allocation"/>
  </r>
  <r>
    <s v="0"/>
    <m/>
    <x v="0"/>
    <x v="0"/>
    <m/>
    <m/>
    <m/>
    <n v="1110"/>
    <n v="83"/>
    <n v="1"/>
    <m/>
    <s v="01_SE"/>
    <x v="4"/>
    <m/>
    <m/>
    <m/>
    <m/>
    <x v="0"/>
    <s v="Project"/>
    <x v="489"/>
    <x v="0"/>
    <x v="18"/>
    <s v="Exclude in HGB Group allocation"/>
  </r>
  <r>
    <s v="0"/>
    <m/>
    <x v="0"/>
    <x v="0"/>
    <m/>
    <m/>
    <m/>
    <n v="1110"/>
    <n v="83"/>
    <n v="1"/>
    <m/>
    <s v="01_SE"/>
    <x v="4"/>
    <m/>
    <m/>
    <m/>
    <m/>
    <x v="0"/>
    <s v="Project"/>
    <x v="489"/>
    <x v="0"/>
    <x v="17"/>
    <s v="Exclude in HGB Group allocation"/>
  </r>
  <r>
    <s v="0"/>
    <m/>
    <x v="0"/>
    <x v="0"/>
    <m/>
    <m/>
    <m/>
    <n v="1110"/>
    <n v="83"/>
    <n v="1"/>
    <m/>
    <s v="01_SE"/>
    <x v="4"/>
    <m/>
    <m/>
    <m/>
    <m/>
    <x v="0"/>
    <s v="Project"/>
    <x v="489"/>
    <x v="0"/>
    <x v="19"/>
    <s v="Exclude in HGB Group allocation"/>
  </r>
  <r>
    <s v="0"/>
    <m/>
    <x v="0"/>
    <x v="0"/>
    <m/>
    <m/>
    <m/>
    <n v="1110"/>
    <n v="84"/>
    <n v="2"/>
    <m/>
    <s v="01_SE"/>
    <x v="0"/>
    <m/>
    <m/>
    <m/>
    <m/>
    <x v="0"/>
    <s v="Project"/>
    <x v="490"/>
    <x v="0"/>
    <x v="0"/>
    <s v="Exclude in HGB Group allocation"/>
  </r>
  <r>
    <s v="0"/>
    <m/>
    <x v="0"/>
    <x v="0"/>
    <m/>
    <m/>
    <m/>
    <n v="1110"/>
    <n v="85"/>
    <n v="2"/>
    <m/>
    <s v="01_SE"/>
    <x v="0"/>
    <m/>
    <m/>
    <m/>
    <m/>
    <x v="0"/>
    <s v="Project"/>
    <x v="491"/>
    <x v="0"/>
    <x v="0"/>
    <s v="Exclude in HGB Group allocation"/>
  </r>
  <r>
    <s v="11100128"/>
    <m/>
    <x v="0"/>
    <x v="0"/>
    <m/>
    <m/>
    <m/>
    <n v="1110"/>
    <n v="1"/>
    <n v="2"/>
    <s v="11100128"/>
    <s v="01_SE"/>
    <x v="0"/>
    <m/>
    <m/>
    <m/>
    <m/>
    <x v="0"/>
    <s v="Project"/>
    <x v="492"/>
    <x v="0"/>
    <x v="0"/>
    <s v="Exclude in HGB Group allocation"/>
  </r>
  <r>
    <s v="11105426"/>
    <m/>
    <x v="0"/>
    <x v="0"/>
    <m/>
    <m/>
    <m/>
    <n v="1110"/>
    <n v="54"/>
    <n v="2"/>
    <s v="11105426"/>
    <s v="01_SE"/>
    <x v="0"/>
    <m/>
    <m/>
    <m/>
    <m/>
    <x v="0"/>
    <s v="Project"/>
    <x v="493"/>
    <x v="0"/>
    <x v="0"/>
    <s v="Exclude in HGB Group allocation"/>
  </r>
  <r>
    <s v="11107326"/>
    <m/>
    <x v="0"/>
    <x v="0"/>
    <m/>
    <m/>
    <m/>
    <n v="1110"/>
    <n v="73"/>
    <n v="2"/>
    <s v="11107326"/>
    <s v="01_SE"/>
    <x v="0"/>
    <m/>
    <m/>
    <m/>
    <m/>
    <x v="0"/>
    <s v="Project"/>
    <x v="494"/>
    <x v="0"/>
    <x v="0"/>
    <s v="Exclude in HGB Group allocation"/>
  </r>
  <r>
    <s v="11107528"/>
    <m/>
    <x v="0"/>
    <x v="0"/>
    <m/>
    <m/>
    <m/>
    <n v="1110"/>
    <n v="75"/>
    <n v="2"/>
    <s v="11107528"/>
    <s v="01_SE"/>
    <x v="0"/>
    <m/>
    <m/>
    <m/>
    <m/>
    <x v="0"/>
    <s v="Project"/>
    <x v="495"/>
    <x v="0"/>
    <x v="0"/>
    <s v="Exclude in HGB Group allocation"/>
  </r>
  <r>
    <s v="11107711"/>
    <m/>
    <x v="0"/>
    <x v="0"/>
    <m/>
    <m/>
    <m/>
    <n v="1110"/>
    <n v="77"/>
    <n v="1"/>
    <s v="11107711"/>
    <s v="01_SE"/>
    <x v="4"/>
    <m/>
    <m/>
    <m/>
    <m/>
    <x v="0"/>
    <s v="Project"/>
    <x v="496"/>
    <x v="0"/>
    <x v="18"/>
    <s v="Exclude in HGB Group allocation"/>
  </r>
  <r>
    <s v="11107716"/>
    <m/>
    <x v="0"/>
    <x v="0"/>
    <m/>
    <m/>
    <m/>
    <n v="1110"/>
    <n v="77"/>
    <n v="1"/>
    <s v="11107716"/>
    <s v="01_SE"/>
    <x v="4"/>
    <m/>
    <m/>
    <m/>
    <m/>
    <x v="0"/>
    <s v="Project"/>
    <x v="496"/>
    <x v="0"/>
    <x v="19"/>
    <s v="Exclude in HGB Group allocation"/>
  </r>
  <r>
    <s v="11107828"/>
    <m/>
    <x v="0"/>
    <x v="0"/>
    <m/>
    <m/>
    <m/>
    <n v="1110"/>
    <n v="78"/>
    <n v="2"/>
    <s v="11107828"/>
    <s v="01_SE"/>
    <x v="0"/>
    <m/>
    <m/>
    <m/>
    <m/>
    <x v="0"/>
    <s v="Project"/>
    <x v="497"/>
    <x v="0"/>
    <x v="0"/>
    <s v="Exclude in HGB Group allocation"/>
  </r>
  <r>
    <s v="11107928"/>
    <m/>
    <x v="0"/>
    <x v="0"/>
    <m/>
    <m/>
    <m/>
    <n v="1110"/>
    <n v="79"/>
    <n v="2"/>
    <s v="11107928"/>
    <s v="01_SE"/>
    <x v="0"/>
    <m/>
    <m/>
    <m/>
    <m/>
    <x v="0"/>
    <s v="Project"/>
    <x v="498"/>
    <x v="0"/>
    <x v="0"/>
    <s v="Exclude in HGB Group allocation"/>
  </r>
  <r>
    <s v="99901316"/>
    <m/>
    <x v="0"/>
    <x v="0"/>
    <m/>
    <m/>
    <m/>
    <n v="1110"/>
    <n v="77"/>
    <n v="1"/>
    <s v="99901316"/>
    <s v="01_SE"/>
    <x v="4"/>
    <m/>
    <m/>
    <m/>
    <m/>
    <x v="0"/>
    <s v="Project"/>
    <x v="496"/>
    <x v="0"/>
    <x v="19"/>
    <s v="Exclude in HGB Group allocation"/>
  </r>
  <r>
    <s v="11131128"/>
    <m/>
    <x v="0"/>
    <x v="0"/>
    <m/>
    <m/>
    <m/>
    <n v="1113"/>
    <n v="11"/>
    <n v="2"/>
    <s v="11131128"/>
    <s v="01_SE"/>
    <x v="0"/>
    <m/>
    <m/>
    <m/>
    <m/>
    <x v="0"/>
    <s v="Project"/>
    <x v="499"/>
    <x v="0"/>
    <x v="0"/>
    <s v="Exclude in HGB Group allocation"/>
  </r>
  <r>
    <s v="11180328"/>
    <m/>
    <x v="0"/>
    <x v="0"/>
    <m/>
    <m/>
    <m/>
    <n v="1118"/>
    <n v="3"/>
    <n v="2"/>
    <s v="11180328"/>
    <s v="01_SE"/>
    <x v="0"/>
    <m/>
    <m/>
    <m/>
    <m/>
    <x v="0"/>
    <s v="Project"/>
    <x v="500"/>
    <x v="0"/>
    <x v="0"/>
    <s v="Exclude in HGB Group allocation"/>
  </r>
  <r>
    <s v="11180728"/>
    <m/>
    <x v="0"/>
    <x v="0"/>
    <m/>
    <m/>
    <m/>
    <n v="1118"/>
    <n v="7"/>
    <n v="2"/>
    <s v="11180728"/>
    <s v="01_SE"/>
    <x v="0"/>
    <m/>
    <m/>
    <m/>
    <m/>
    <x v="0"/>
    <s v="Project"/>
    <x v="501"/>
    <x v="0"/>
    <x v="0"/>
    <s v="Exclude in HGB Group allocation"/>
  </r>
  <r>
    <s v="11181228"/>
    <m/>
    <x v="0"/>
    <x v="0"/>
    <m/>
    <m/>
    <m/>
    <n v="1118"/>
    <n v="12"/>
    <n v="2"/>
    <s v="11181228"/>
    <s v="01_SE"/>
    <x v="0"/>
    <m/>
    <m/>
    <m/>
    <m/>
    <x v="0"/>
    <s v="Project"/>
    <x v="502"/>
    <x v="0"/>
    <x v="0"/>
    <s v="Exclude in HGB Group allocation"/>
  </r>
  <r>
    <s v="11181328"/>
    <m/>
    <x v="0"/>
    <x v="0"/>
    <m/>
    <m/>
    <m/>
    <n v="1118"/>
    <n v="13"/>
    <n v="2"/>
    <s v="11181328"/>
    <s v="01_SE"/>
    <x v="0"/>
    <m/>
    <m/>
    <m/>
    <m/>
    <x v="0"/>
    <s v="Project"/>
    <x v="503"/>
    <x v="0"/>
    <x v="0"/>
    <s v="Exclude in HGB Group allocation"/>
  </r>
  <r>
    <s v="11181428"/>
    <m/>
    <x v="0"/>
    <x v="0"/>
    <m/>
    <m/>
    <m/>
    <n v="1118"/>
    <n v="14"/>
    <n v="2"/>
    <s v="11181428"/>
    <s v="01_SE"/>
    <x v="0"/>
    <m/>
    <m/>
    <m/>
    <m/>
    <x v="0"/>
    <s v="Project"/>
    <x v="504"/>
    <x v="0"/>
    <x v="0"/>
    <s v="Exclude in HGB Group allocation"/>
  </r>
  <r>
    <s v="11181528"/>
    <m/>
    <x v="0"/>
    <x v="0"/>
    <m/>
    <m/>
    <m/>
    <n v="1118"/>
    <n v="15"/>
    <n v="2"/>
    <n v="11181528"/>
    <s v="01_SE"/>
    <x v="0"/>
    <m/>
    <m/>
    <m/>
    <m/>
    <x v="0"/>
    <s v="Project"/>
    <x v="505"/>
    <x v="0"/>
    <x v="0"/>
    <s v="Exclude in HGB Group allocation"/>
  </r>
  <r>
    <s v="99907128"/>
    <m/>
    <x v="0"/>
    <x v="0"/>
    <m/>
    <m/>
    <m/>
    <n v="1118"/>
    <n v="4"/>
    <n v="2"/>
    <s v="99907128"/>
    <s v="07_Inc"/>
    <x v="0"/>
    <m/>
    <m/>
    <m/>
    <m/>
    <x v="0"/>
    <s v="Project"/>
    <x v="506"/>
    <x v="0"/>
    <x v="0"/>
    <s v="Exclude in HGB Group allocation"/>
  </r>
  <r>
    <s v="99961728"/>
    <m/>
    <x v="0"/>
    <x v="0"/>
    <m/>
    <m/>
    <m/>
    <n v="1118"/>
    <n v="13"/>
    <n v="2"/>
    <s v="99961728"/>
    <s v="01_SE"/>
    <x v="0"/>
    <m/>
    <m/>
    <m/>
    <m/>
    <x v="0"/>
    <s v="Project"/>
    <x v="503"/>
    <x v="0"/>
    <x v="0"/>
    <s v="Exclude in HGB Group allocation"/>
  </r>
  <r>
    <s v="0"/>
    <m/>
    <x v="0"/>
    <x v="0"/>
    <m/>
    <m/>
    <m/>
    <n v="1125"/>
    <n v="23"/>
    <n v="2"/>
    <m/>
    <s v="07_Inc"/>
    <x v="0"/>
    <m/>
    <m/>
    <m/>
    <m/>
    <x v="0"/>
    <s v="Project"/>
    <x v="507"/>
    <x v="0"/>
    <x v="0"/>
    <s v="Exclude in HGB Group allocation"/>
  </r>
  <r>
    <s v="11242928"/>
    <m/>
    <x v="0"/>
    <x v="0"/>
    <m/>
    <m/>
    <m/>
    <n v="1124"/>
    <n v="29"/>
    <n v="2"/>
    <s v="11242928"/>
    <s v="01_SE"/>
    <x v="0"/>
    <m/>
    <m/>
    <m/>
    <m/>
    <x v="0"/>
    <s v="Project"/>
    <x v="508"/>
    <x v="0"/>
    <x v="0"/>
    <s v="Exclude in HGB Group allocation"/>
  </r>
  <r>
    <s v="11243028"/>
    <m/>
    <x v="0"/>
    <x v="0"/>
    <m/>
    <m/>
    <m/>
    <n v="1124"/>
    <n v="30"/>
    <n v="2"/>
    <s v="11243028"/>
    <s v="01_SE"/>
    <x v="0"/>
    <m/>
    <m/>
    <m/>
    <m/>
    <x v="0"/>
    <s v="Project"/>
    <x v="509"/>
    <x v="0"/>
    <x v="0"/>
    <s v="Exclude in HGB Group allocation"/>
  </r>
  <r>
    <s v="11243128"/>
    <m/>
    <x v="0"/>
    <x v="0"/>
    <m/>
    <m/>
    <m/>
    <n v="1124"/>
    <n v="31"/>
    <n v="2"/>
    <s v="11243128"/>
    <s v="01_SE"/>
    <x v="0"/>
    <m/>
    <m/>
    <m/>
    <m/>
    <x v="0"/>
    <s v="Project"/>
    <x v="510"/>
    <x v="0"/>
    <x v="0"/>
    <s v="Exclude in HGB Group allocation"/>
  </r>
  <r>
    <s v="11243249"/>
    <m/>
    <x v="0"/>
    <x v="0"/>
    <m/>
    <m/>
    <m/>
    <n v="1124"/>
    <n v="32"/>
    <n v="4"/>
    <s v="11243249"/>
    <s v="02_GmbH"/>
    <x v="1"/>
    <m/>
    <m/>
    <m/>
    <m/>
    <x v="0"/>
    <s v="Project"/>
    <x v="511"/>
    <x v="0"/>
    <x v="27"/>
    <s v="Exclude in HGB Group allocation"/>
  </r>
  <r>
    <s v="0"/>
    <m/>
    <x v="0"/>
    <x v="0"/>
    <m/>
    <m/>
    <m/>
    <n v="1156"/>
    <n v="23"/>
    <n v="2"/>
    <m/>
    <s v="01_SE"/>
    <x v="0"/>
    <m/>
    <m/>
    <m/>
    <m/>
    <x v="0"/>
    <s v="Project"/>
    <x v="512"/>
    <x v="0"/>
    <x v="0"/>
    <m/>
  </r>
  <r>
    <s v="11561828"/>
    <m/>
    <x v="0"/>
    <x v="0"/>
    <m/>
    <m/>
    <m/>
    <n v="1156"/>
    <n v="18"/>
    <n v="2"/>
    <s v="11561828"/>
    <s v="01_SE"/>
    <x v="0"/>
    <m/>
    <m/>
    <m/>
    <m/>
    <x v="0"/>
    <s v="Project"/>
    <x v="513"/>
    <x v="0"/>
    <x v="0"/>
    <s v="Exclude in HGB Group allocation"/>
  </r>
  <r>
    <s v="11561928"/>
    <m/>
    <x v="0"/>
    <x v="0"/>
    <m/>
    <m/>
    <m/>
    <n v="1156"/>
    <n v="19"/>
    <n v="2"/>
    <s v="11561928"/>
    <s v="01_SE"/>
    <x v="0"/>
    <m/>
    <m/>
    <m/>
    <m/>
    <x v="0"/>
    <s v="Project"/>
    <x v="514"/>
    <x v="0"/>
    <x v="0"/>
    <s v="Exclude in HGB Group allocation"/>
  </r>
  <r>
    <s v="11562028"/>
    <m/>
    <x v="0"/>
    <x v="0"/>
    <m/>
    <m/>
    <m/>
    <n v="1156"/>
    <n v="20"/>
    <n v="2"/>
    <s v="11562028"/>
    <s v="01_SE"/>
    <x v="0"/>
    <m/>
    <m/>
    <m/>
    <m/>
    <x v="0"/>
    <s v="Project"/>
    <x v="515"/>
    <x v="0"/>
    <x v="0"/>
    <s v="Exclude in HGB Group allocation"/>
  </r>
  <r>
    <s v="11562128"/>
    <m/>
    <x v="0"/>
    <x v="0"/>
    <m/>
    <m/>
    <m/>
    <n v="1156"/>
    <n v="21"/>
    <n v="2"/>
    <s v="11562128"/>
    <s v="01_SE"/>
    <x v="0"/>
    <m/>
    <m/>
    <m/>
    <m/>
    <x v="0"/>
    <s v="Project"/>
    <x v="516"/>
    <x v="0"/>
    <x v="0"/>
    <s v="Exclude in HGB Group allocation"/>
  </r>
  <r>
    <s v="11562228"/>
    <m/>
    <x v="0"/>
    <x v="0"/>
    <m/>
    <m/>
    <m/>
    <n v="1156"/>
    <n v="22"/>
    <n v="2"/>
    <s v="11562228"/>
    <s v="01_SE"/>
    <x v="0"/>
    <m/>
    <m/>
    <m/>
    <m/>
    <x v="0"/>
    <s v="Project"/>
    <x v="517"/>
    <x v="0"/>
    <x v="0"/>
    <s v="Exclude in HGB Group allocation"/>
  </r>
  <r>
    <s v="99964228"/>
    <m/>
    <x v="0"/>
    <x v="0"/>
    <m/>
    <m/>
    <m/>
    <n v="1156"/>
    <n v="19"/>
    <n v="2"/>
    <s v="99964228"/>
    <s v="01_SE"/>
    <x v="0"/>
    <m/>
    <m/>
    <m/>
    <m/>
    <x v="0"/>
    <s v="Project"/>
    <x v="514"/>
    <x v="0"/>
    <x v="0"/>
    <s v="Exclude in HGB Group allocation"/>
  </r>
  <r>
    <s v="99964628"/>
    <m/>
    <x v="0"/>
    <x v="0"/>
    <m/>
    <m/>
    <m/>
    <n v="1156"/>
    <n v="20"/>
    <n v="2"/>
    <s v="99964628"/>
    <s v="01_SE"/>
    <x v="0"/>
    <m/>
    <m/>
    <m/>
    <m/>
    <x v="0"/>
    <s v="Project"/>
    <x v="515"/>
    <x v="0"/>
    <x v="21"/>
    <s v="Exclude in HGB Group allocation"/>
  </r>
  <r>
    <s v="11900428"/>
    <m/>
    <x v="0"/>
    <x v="0"/>
    <m/>
    <m/>
    <m/>
    <n v="1190"/>
    <n v="4"/>
    <n v="2"/>
    <s v="11900428"/>
    <s v="01_SE"/>
    <x v="0"/>
    <m/>
    <m/>
    <m/>
    <m/>
    <x v="0"/>
    <s v="Project"/>
    <x v="518"/>
    <x v="0"/>
    <x v="0"/>
    <s v="Exclude in HGB Group allocation"/>
  </r>
  <r>
    <s v="0"/>
    <m/>
    <x v="0"/>
    <x v="0"/>
    <m/>
    <m/>
    <m/>
    <n v="9962"/>
    <n v="10"/>
    <n v="1"/>
    <m/>
    <s v="01_SE"/>
    <x v="4"/>
    <m/>
    <m/>
    <m/>
    <m/>
    <x v="0"/>
    <s v="Project"/>
    <x v="519"/>
    <x v="0"/>
    <x v="19"/>
    <s v="Exclude in HGB Group allocation"/>
  </r>
  <r>
    <s v="99632216"/>
    <m/>
    <x v="0"/>
    <x v="0"/>
    <m/>
    <m/>
    <m/>
    <n v="9963"/>
    <n v="22"/>
    <n v="1"/>
    <s v="99632216"/>
    <s v="01_SE"/>
    <x v="4"/>
    <m/>
    <m/>
    <m/>
    <m/>
    <x v="0"/>
    <s v="Project"/>
    <x v="520"/>
    <x v="0"/>
    <x v="19"/>
    <s v="Exclude in HGB Group allocation"/>
  </r>
  <r>
    <s v="99857911"/>
    <m/>
    <x v="0"/>
    <x v="0"/>
    <m/>
    <m/>
    <m/>
    <n v="9985"/>
    <n v="79"/>
    <n v="1"/>
    <s v="99857911"/>
    <s v="01_SE"/>
    <x v="4"/>
    <m/>
    <m/>
    <m/>
    <m/>
    <x v="0"/>
    <s v="Project"/>
    <x v="521"/>
    <x v="0"/>
    <x v="18"/>
    <s v="Exclude in HGB Group allocation"/>
  </r>
  <r>
    <s v="99630311"/>
    <m/>
    <x v="0"/>
    <x v="0"/>
    <m/>
    <m/>
    <m/>
    <n v="9963"/>
    <n v="3"/>
    <n v="1"/>
    <n v="99630311"/>
    <s v="01_SE"/>
    <x v="4"/>
    <m/>
    <m/>
    <m/>
    <m/>
    <x v="0"/>
    <s v="Project"/>
    <x v="522"/>
    <x v="0"/>
    <x v="18"/>
    <s v="Exclude in HGB Group allocation"/>
  </r>
  <r>
    <s v="99630311"/>
    <m/>
    <x v="0"/>
    <x v="0"/>
    <m/>
    <m/>
    <m/>
    <n v="9963"/>
    <n v="3"/>
    <n v="2"/>
    <n v="99630311"/>
    <s v="01_SE"/>
    <x v="0"/>
    <m/>
    <m/>
    <m/>
    <m/>
    <x v="0"/>
    <s v="Project"/>
    <x v="523"/>
    <x v="0"/>
    <x v="0"/>
    <s v="Exclude in HGB Group allocation"/>
  </r>
  <r>
    <s v="99859511"/>
    <m/>
    <x v="0"/>
    <x v="0"/>
    <m/>
    <m/>
    <m/>
    <n v="9985"/>
    <n v="95"/>
    <n v="1"/>
    <s v="99859511"/>
    <s v="01_SE"/>
    <x v="4"/>
    <m/>
    <m/>
    <m/>
    <m/>
    <x v="0"/>
    <s v="Project"/>
    <x v="524"/>
    <x v="0"/>
    <x v="18"/>
    <s v="Exclude in HGB Group allocation"/>
  </r>
  <r>
    <s v="99942043"/>
    <m/>
    <x v="0"/>
    <x v="0"/>
    <m/>
    <m/>
    <m/>
    <n v="9994"/>
    <n v="20"/>
    <n v="4"/>
    <s v="99942043"/>
    <s v="02_GmbH"/>
    <x v="1"/>
    <m/>
    <m/>
    <m/>
    <m/>
    <x v="0"/>
    <s v="Project"/>
    <x v="525"/>
    <x v="0"/>
    <x v="1"/>
    <s v="Exclude in HGB Group allocation"/>
  </r>
  <r>
    <s v="99942143"/>
    <m/>
    <x v="0"/>
    <x v="0"/>
    <m/>
    <m/>
    <m/>
    <n v="9994"/>
    <n v="21"/>
    <n v="4"/>
    <s v="99942143"/>
    <s v="02_GmbH"/>
    <x v="1"/>
    <m/>
    <m/>
    <m/>
    <m/>
    <x v="0"/>
    <s v="Project"/>
    <x v="526"/>
    <x v="0"/>
    <x v="1"/>
    <s v="Exclude in HGB Group allocation"/>
  </r>
  <r>
    <s v="99942145"/>
    <m/>
    <x v="0"/>
    <x v="0"/>
    <m/>
    <m/>
    <m/>
    <n v="9994"/>
    <n v="21"/>
    <n v="4"/>
    <s v="99942145"/>
    <s v="02_GmbH"/>
    <x v="1"/>
    <m/>
    <m/>
    <m/>
    <m/>
    <x v="0"/>
    <s v="Project"/>
    <x v="526"/>
    <x v="0"/>
    <x v="1"/>
    <s v="Exclude in HGB Group allocation"/>
  </r>
  <r>
    <s v="99943443"/>
    <m/>
    <x v="0"/>
    <x v="0"/>
    <m/>
    <m/>
    <m/>
    <n v="9994"/>
    <n v="34"/>
    <n v="4"/>
    <s v="99943443"/>
    <s v="02_GmbH"/>
    <x v="1"/>
    <m/>
    <m/>
    <m/>
    <m/>
    <x v="0"/>
    <s v="Project"/>
    <x v="527"/>
    <x v="0"/>
    <x v="1"/>
    <s v="Exclude in HGB Group allocation"/>
  </r>
  <r>
    <s v="99950643"/>
    <m/>
    <x v="0"/>
    <x v="0"/>
    <m/>
    <m/>
    <m/>
    <n v="9994"/>
    <n v="21"/>
    <n v="4"/>
    <s v="99950643"/>
    <s v="02_GmbH"/>
    <x v="1"/>
    <m/>
    <m/>
    <m/>
    <m/>
    <x v="0"/>
    <s v="Project"/>
    <x v="526"/>
    <x v="0"/>
    <x v="1"/>
    <s v="Exclude in HGB Group allocation"/>
  </r>
  <r>
    <s v="99968545"/>
    <m/>
    <x v="0"/>
    <x v="0"/>
    <m/>
    <m/>
    <m/>
    <n v="9996"/>
    <n v="85"/>
    <n v="4"/>
    <s v="99968545"/>
    <s v="02_GmbH"/>
    <x v="1"/>
    <m/>
    <m/>
    <m/>
    <m/>
    <x v="0"/>
    <s v="Project"/>
    <x v="528"/>
    <x v="0"/>
    <x v="1"/>
    <s v="Exclude in HGB Group allocation"/>
  </r>
  <r>
    <s v="0"/>
    <m/>
    <x v="0"/>
    <x v="0"/>
    <m/>
    <m/>
    <m/>
    <n v="6062"/>
    <n v="4"/>
    <n v="2"/>
    <m/>
    <s v="01_SE"/>
    <x v="0"/>
    <m/>
    <m/>
    <m/>
    <m/>
    <x v="0"/>
    <s v="Project"/>
    <x v="529"/>
    <x v="0"/>
    <x v="0"/>
    <s v="Exclude in HGB Group allocation"/>
  </r>
  <r>
    <s v="0"/>
    <m/>
    <x v="0"/>
    <x v="0"/>
    <m/>
    <m/>
    <m/>
    <n v="6062"/>
    <n v="5"/>
    <n v="2"/>
    <m/>
    <s v="01_SE"/>
    <x v="0"/>
    <m/>
    <m/>
    <m/>
    <m/>
    <x v="0"/>
    <s v="Project"/>
    <x v="530"/>
    <x v="0"/>
    <x v="0"/>
    <s v="Exclude in HGB Group allocation"/>
  </r>
  <r>
    <s v="74500428"/>
    <m/>
    <x v="0"/>
    <x v="0"/>
    <m/>
    <m/>
    <m/>
    <n v="7450"/>
    <n v="4"/>
    <n v="2"/>
    <s v="74500428"/>
    <s v="01_SE"/>
    <x v="0"/>
    <m/>
    <m/>
    <m/>
    <m/>
    <x v="0"/>
    <s v="Project"/>
    <x v="531"/>
    <x v="0"/>
    <x v="0"/>
    <s v="Exclude in HGB Group allocation"/>
  </r>
  <r>
    <s v="2220024"/>
    <m/>
    <x v="0"/>
    <x v="0"/>
    <m/>
    <m/>
    <m/>
    <n v="2220"/>
    <n v="2"/>
    <n v="4"/>
    <n v="2220024"/>
    <s v="02_GmbH"/>
    <x v="1"/>
    <m/>
    <m/>
    <m/>
    <m/>
    <x v="0"/>
    <s v="Project"/>
    <x v="532"/>
    <x v="0"/>
    <x v="2"/>
    <s v="Exclude in HGB Group allocation"/>
  </r>
  <r>
    <s v="0"/>
    <m/>
    <x v="0"/>
    <x v="0"/>
    <m/>
    <m/>
    <m/>
    <n v="2220"/>
    <n v="21"/>
    <n v="4"/>
    <m/>
    <s v="02_GmbH"/>
    <x v="1"/>
    <m/>
    <m/>
    <m/>
    <m/>
    <x v="0"/>
    <s v="Project"/>
    <x v="533"/>
    <x v="0"/>
    <x v="21"/>
    <s v="Exclude in HGB Group allocation"/>
  </r>
  <r>
    <s v="0"/>
    <m/>
    <x v="0"/>
    <x v="0"/>
    <m/>
    <m/>
    <m/>
    <n v="2220"/>
    <n v="22"/>
    <n v="4"/>
    <m/>
    <s v="02_GmbH"/>
    <x v="1"/>
    <m/>
    <m/>
    <m/>
    <m/>
    <x v="0"/>
    <s v="Project"/>
    <x v="534"/>
    <x v="0"/>
    <x v="21"/>
    <s v="Exclude in HGB Group allocation"/>
  </r>
  <r>
    <s v="0"/>
    <m/>
    <x v="0"/>
    <x v="0"/>
    <m/>
    <m/>
    <m/>
    <n v="2220"/>
    <n v="23"/>
    <n v="4"/>
    <m/>
    <s v="02_GmbH"/>
    <x v="1"/>
    <m/>
    <m/>
    <m/>
    <m/>
    <x v="0"/>
    <s v="Project"/>
    <x v="535"/>
    <x v="0"/>
    <x v="21"/>
    <s v="Exclude in HGB Group allocation"/>
  </r>
  <r>
    <s v="22201442"/>
    <m/>
    <x v="0"/>
    <x v="0"/>
    <m/>
    <m/>
    <m/>
    <n v="2220"/>
    <n v="14"/>
    <n v="4"/>
    <s v="22201442"/>
    <s v="02_GmbH"/>
    <x v="1"/>
    <m/>
    <m/>
    <m/>
    <m/>
    <x v="0"/>
    <s v="Project"/>
    <x v="536"/>
    <x v="0"/>
    <x v="23"/>
    <s v="Exclude in HGB Group allocation"/>
  </r>
  <r>
    <s v="22201443"/>
    <m/>
    <x v="0"/>
    <x v="0"/>
    <m/>
    <m/>
    <m/>
    <n v="2220"/>
    <n v="14"/>
    <n v="4"/>
    <s v="22201443"/>
    <s v="02_GmbH"/>
    <x v="1"/>
    <m/>
    <m/>
    <m/>
    <m/>
    <x v="0"/>
    <s v="Project"/>
    <x v="536"/>
    <x v="0"/>
    <x v="1"/>
    <s v="Exclude in HGB Group allocation"/>
  </r>
  <r>
    <s v="22201444"/>
    <m/>
    <x v="0"/>
    <x v="0"/>
    <m/>
    <m/>
    <m/>
    <n v="2220"/>
    <n v="14"/>
    <n v="4"/>
    <s v="22201444"/>
    <s v="02_GmbH"/>
    <x v="1"/>
    <m/>
    <m/>
    <m/>
    <m/>
    <x v="0"/>
    <s v="Project"/>
    <x v="536"/>
    <x v="0"/>
    <x v="2"/>
    <s v="Exclude in HGB Group allocation"/>
  </r>
  <r>
    <s v="22201447"/>
    <m/>
    <x v="0"/>
    <x v="0"/>
    <m/>
    <m/>
    <m/>
    <n v="2220"/>
    <n v="14"/>
    <n v="4"/>
    <s v="22201447"/>
    <s v="02_GmbH"/>
    <x v="1"/>
    <m/>
    <m/>
    <m/>
    <m/>
    <x v="0"/>
    <s v="Project"/>
    <x v="536"/>
    <x v="0"/>
    <x v="20"/>
    <s v="Exclude in HGB Group allocation"/>
  </r>
  <r>
    <s v="22201744"/>
    <m/>
    <x v="0"/>
    <x v="0"/>
    <m/>
    <m/>
    <m/>
    <n v="2220"/>
    <n v="17"/>
    <n v="4"/>
    <s v="22201744"/>
    <s v="02_GmbH"/>
    <x v="1"/>
    <m/>
    <m/>
    <m/>
    <m/>
    <x v="0"/>
    <s v="Project"/>
    <x v="537"/>
    <x v="0"/>
    <x v="2"/>
    <s v="Exclude in HGB Group allocation"/>
  </r>
  <r>
    <s v="22201943"/>
    <m/>
    <x v="0"/>
    <x v="0"/>
    <m/>
    <m/>
    <m/>
    <n v="2220"/>
    <n v="19"/>
    <n v="4"/>
    <s v="22201943"/>
    <s v="02_GmbH"/>
    <x v="1"/>
    <m/>
    <m/>
    <m/>
    <m/>
    <x v="0"/>
    <s v="Project"/>
    <x v="538"/>
    <x v="0"/>
    <x v="21"/>
    <s v="Exclude in HGB Group allocation"/>
  </r>
  <r>
    <s v="22202044"/>
    <m/>
    <x v="0"/>
    <x v="0"/>
    <m/>
    <m/>
    <m/>
    <n v="2220"/>
    <n v="20"/>
    <n v="4"/>
    <s v="22202044"/>
    <s v="02_GmbH"/>
    <x v="1"/>
    <m/>
    <m/>
    <m/>
    <m/>
    <x v="0"/>
    <s v="Project"/>
    <x v="539"/>
    <x v="0"/>
    <x v="21"/>
    <s v="Exclude in HGB Group allocation"/>
  </r>
  <r>
    <s v="22202443"/>
    <m/>
    <x v="0"/>
    <x v="0"/>
    <m/>
    <m/>
    <m/>
    <n v="2220"/>
    <n v="24"/>
    <n v="4"/>
    <n v="22202443"/>
    <s v="02_GmbH"/>
    <x v="1"/>
    <m/>
    <m/>
    <m/>
    <m/>
    <x v="0"/>
    <s v="Project"/>
    <x v="540"/>
    <x v="0"/>
    <x v="1"/>
    <s v="Exclude in HGB Group allocation"/>
  </r>
  <r>
    <s v="99912743"/>
    <m/>
    <x v="0"/>
    <x v="0"/>
    <m/>
    <m/>
    <m/>
    <n v="2220"/>
    <n v="14"/>
    <n v="4"/>
    <s v="99912743"/>
    <s v="02_GmbH"/>
    <x v="1"/>
    <m/>
    <m/>
    <m/>
    <m/>
    <x v="0"/>
    <s v="Project"/>
    <x v="536"/>
    <x v="0"/>
    <x v="1"/>
    <s v="Exclude in HGB Group allocation"/>
  </r>
  <r>
    <s v="99912744"/>
    <m/>
    <x v="0"/>
    <x v="0"/>
    <m/>
    <m/>
    <m/>
    <n v="2220"/>
    <n v="14"/>
    <n v="4"/>
    <s v="99912744"/>
    <s v="02_GmbH"/>
    <x v="1"/>
    <m/>
    <m/>
    <m/>
    <m/>
    <x v="0"/>
    <s v="Project"/>
    <x v="536"/>
    <x v="0"/>
    <x v="2"/>
    <s v="Exclude in HGB Group allocation"/>
  </r>
  <r>
    <s v="22210228"/>
    <m/>
    <x v="0"/>
    <x v="0"/>
    <m/>
    <m/>
    <m/>
    <n v="2221"/>
    <n v="2"/>
    <n v="2"/>
    <s v="22210228"/>
    <s v="09_Ltda"/>
    <x v="0"/>
    <m/>
    <m/>
    <m/>
    <m/>
    <x v="0"/>
    <s v="Project"/>
    <x v="541"/>
    <x v="0"/>
    <x v="0"/>
    <s v="Exclude in HGB Group allocation"/>
  </r>
  <r>
    <s v="99632216"/>
    <m/>
    <x v="0"/>
    <x v="0"/>
    <m/>
    <m/>
    <m/>
    <n v="9963"/>
    <n v="22"/>
    <n v="1"/>
    <n v="99632216"/>
    <s v="01_SE"/>
    <x v="4"/>
    <m/>
    <m/>
    <m/>
    <m/>
    <x v="0"/>
    <s v="Project"/>
    <x v="520"/>
    <x v="0"/>
    <x v="19"/>
    <s v="Exclude in HGB Group allocation"/>
  </r>
  <r>
    <s v="99912711"/>
    <m/>
    <x v="0"/>
    <x v="0"/>
    <m/>
    <m/>
    <m/>
    <n v="9991"/>
    <n v="27"/>
    <n v="1"/>
    <s v="99912711"/>
    <s v="01_SE"/>
    <x v="4"/>
    <m/>
    <m/>
    <m/>
    <m/>
    <x v="0"/>
    <s v="Project"/>
    <x v="542"/>
    <x v="0"/>
    <x v="18"/>
    <s v="Exclude in HGB Group allocation"/>
  </r>
  <r>
    <s v="99912716"/>
    <m/>
    <x v="0"/>
    <x v="0"/>
    <m/>
    <m/>
    <m/>
    <n v="9991"/>
    <n v="27"/>
    <n v="1"/>
    <s v="99912716"/>
    <s v="01_SE"/>
    <x v="4"/>
    <m/>
    <m/>
    <m/>
    <m/>
    <x v="0"/>
    <s v="Project"/>
    <x v="542"/>
    <x v="0"/>
    <x v="19"/>
    <s v="Exclude in HGB Group allocation"/>
  </r>
  <r>
    <s v="0"/>
    <m/>
    <x v="0"/>
    <x v="0"/>
    <m/>
    <m/>
    <m/>
    <n v="2221"/>
    <n v="3"/>
    <n v="2"/>
    <m/>
    <s v="09_Ltda"/>
    <x v="0"/>
    <m/>
    <m/>
    <m/>
    <m/>
    <x v="0"/>
    <s v="Project"/>
    <x v="543"/>
    <x v="0"/>
    <x v="0"/>
    <s v="Exclude in HGB Group allocation"/>
  </r>
  <r>
    <s v="99913111"/>
    <m/>
    <x v="0"/>
    <x v="0"/>
    <m/>
    <m/>
    <m/>
    <n v="9991"/>
    <n v="31"/>
    <n v="1"/>
    <s v="99913111"/>
    <s v="01_SE"/>
    <x v="4"/>
    <m/>
    <m/>
    <m/>
    <m/>
    <x v="0"/>
    <s v="Project"/>
    <x v="544"/>
    <x v="0"/>
    <x v="18"/>
    <s v="Exclude in HGB Group allocation"/>
  </r>
  <r>
    <s v="99931911"/>
    <m/>
    <x v="0"/>
    <x v="0"/>
    <m/>
    <m/>
    <m/>
    <n v="9991"/>
    <n v="27"/>
    <n v="1"/>
    <s v="99931911"/>
    <s v="01_SE"/>
    <x v="4"/>
    <m/>
    <m/>
    <m/>
    <m/>
    <x v="0"/>
    <s v="Project"/>
    <x v="542"/>
    <x v="0"/>
    <x v="18"/>
    <s v="Exclude in HGB Group allocation"/>
  </r>
  <r>
    <s v="99953416"/>
    <m/>
    <x v="0"/>
    <x v="0"/>
    <m/>
    <m/>
    <m/>
    <n v="9995"/>
    <n v="34"/>
    <n v="1"/>
    <s v="99953416"/>
    <s v="01_SE"/>
    <x v="4"/>
    <m/>
    <m/>
    <m/>
    <m/>
    <x v="0"/>
    <s v="Project"/>
    <x v="545"/>
    <x v="0"/>
    <x v="19"/>
    <s v="Exclude in HGB Group allocation"/>
  </r>
  <r>
    <s v="99957013"/>
    <m/>
    <x v="0"/>
    <x v="0"/>
    <m/>
    <m/>
    <m/>
    <n v="9995"/>
    <n v="70"/>
    <n v="1"/>
    <s v="99957013"/>
    <s v="01_SE"/>
    <x v="4"/>
    <m/>
    <m/>
    <m/>
    <m/>
    <x v="0"/>
    <s v="Project"/>
    <x v="546"/>
    <x v="0"/>
    <x v="17"/>
    <s v="Exclude in HGB Group allocation"/>
  </r>
  <r>
    <s v="29240342"/>
    <m/>
    <x v="0"/>
    <x v="0"/>
    <m/>
    <m/>
    <m/>
    <n v="2924"/>
    <n v="3"/>
    <n v="4"/>
    <s v="29240342"/>
    <s v="02_GmbH"/>
    <x v="1"/>
    <m/>
    <m/>
    <m/>
    <m/>
    <x v="0"/>
    <s v="Project"/>
    <x v="547"/>
    <x v="0"/>
    <x v="23"/>
    <s v="Exclude in HGB Group allocation"/>
  </r>
  <r>
    <s v="29240343"/>
    <m/>
    <x v="0"/>
    <x v="0"/>
    <m/>
    <m/>
    <m/>
    <n v="2924"/>
    <n v="3"/>
    <n v="4"/>
    <s v="29240343"/>
    <s v="02_GmbH"/>
    <x v="1"/>
    <m/>
    <m/>
    <m/>
    <m/>
    <x v="0"/>
    <s v="Project"/>
    <x v="547"/>
    <x v="0"/>
    <x v="1"/>
    <s v="Exclude in HGB Group allocation"/>
  </r>
  <r>
    <s v="29240344"/>
    <m/>
    <x v="0"/>
    <x v="0"/>
    <m/>
    <m/>
    <m/>
    <n v="2924"/>
    <n v="3"/>
    <n v="4"/>
    <s v="29240344"/>
    <s v="02_GmbH"/>
    <x v="1"/>
    <m/>
    <m/>
    <m/>
    <m/>
    <x v="0"/>
    <s v="Project"/>
    <x v="547"/>
    <x v="0"/>
    <x v="2"/>
    <s v="Exclude in HGB Group allocation"/>
  </r>
  <r>
    <s v="29240347"/>
    <m/>
    <x v="0"/>
    <x v="0"/>
    <m/>
    <m/>
    <m/>
    <n v="2924"/>
    <n v="3"/>
    <n v="4"/>
    <s v="29240347"/>
    <s v="02_GmbH"/>
    <x v="1"/>
    <m/>
    <m/>
    <m/>
    <m/>
    <x v="0"/>
    <s v="Project"/>
    <x v="547"/>
    <x v="0"/>
    <x v="20"/>
    <s v="Exclude in HGB Group allocation"/>
  </r>
  <r>
    <s v="29240349"/>
    <m/>
    <x v="0"/>
    <x v="0"/>
    <m/>
    <m/>
    <m/>
    <n v="2924"/>
    <n v="3"/>
    <n v="4"/>
    <s v="29240349"/>
    <s v="02_GmbH"/>
    <x v="1"/>
    <m/>
    <m/>
    <m/>
    <m/>
    <x v="0"/>
    <s v="Project"/>
    <x v="547"/>
    <x v="0"/>
    <x v="24"/>
    <s v="Exclude in HGB Group allocation"/>
  </r>
  <r>
    <s v="99882543"/>
    <m/>
    <x v="0"/>
    <x v="0"/>
    <m/>
    <m/>
    <m/>
    <n v="2924"/>
    <n v="3"/>
    <n v="4"/>
    <s v="99882543"/>
    <s v="02_GmbH"/>
    <x v="1"/>
    <m/>
    <m/>
    <m/>
    <m/>
    <x v="0"/>
    <s v="Project"/>
    <x v="547"/>
    <x v="0"/>
    <x v="1"/>
    <s v="Exclude in HGB Group allocation"/>
  </r>
  <r>
    <s v="99882544"/>
    <m/>
    <x v="0"/>
    <x v="0"/>
    <m/>
    <m/>
    <m/>
    <n v="2924"/>
    <n v="3"/>
    <n v="4"/>
    <s v="99882544"/>
    <s v="02_GmbH"/>
    <x v="1"/>
    <m/>
    <m/>
    <m/>
    <m/>
    <x v="0"/>
    <s v="Project"/>
    <x v="547"/>
    <x v="0"/>
    <x v="2"/>
    <s v="Exclude in HGB Group allocation"/>
  </r>
  <r>
    <s v="29240542"/>
    <m/>
    <x v="0"/>
    <x v="0"/>
    <m/>
    <m/>
    <m/>
    <n v="2924"/>
    <n v="5"/>
    <n v="4"/>
    <s v="29240542"/>
    <s v="02_GmbH"/>
    <x v="1"/>
    <m/>
    <m/>
    <m/>
    <m/>
    <x v="0"/>
    <s v="Project"/>
    <x v="548"/>
    <x v="0"/>
    <x v="23"/>
    <s v="Exclude in HGB Group allocation"/>
  </r>
  <r>
    <s v="29240644"/>
    <m/>
    <x v="0"/>
    <x v="0"/>
    <m/>
    <m/>
    <m/>
    <n v="2924"/>
    <n v="6"/>
    <n v="4"/>
    <s v="29240644"/>
    <s v="02_GmbH"/>
    <x v="1"/>
    <m/>
    <m/>
    <m/>
    <m/>
    <x v="0"/>
    <s v="Project"/>
    <x v="549"/>
    <x v="0"/>
    <x v="2"/>
    <s v="Exclude in HGB Group allocation"/>
  </r>
  <r>
    <s v="99916644"/>
    <m/>
    <x v="0"/>
    <x v="0"/>
    <m/>
    <m/>
    <m/>
    <n v="2924"/>
    <n v="6"/>
    <n v="4"/>
    <s v="99916644"/>
    <s v="02_GmbH"/>
    <x v="1"/>
    <m/>
    <m/>
    <m/>
    <m/>
    <x v="0"/>
    <s v="Project"/>
    <x v="549"/>
    <x v="0"/>
    <x v="2"/>
    <s v="Exclude in HGB Group allocation"/>
  </r>
  <r>
    <s v="29240842"/>
    <m/>
    <x v="0"/>
    <x v="0"/>
    <m/>
    <m/>
    <m/>
    <n v="2924"/>
    <n v="8"/>
    <n v="4"/>
    <s v="29240842"/>
    <s v="02_GmbH"/>
    <x v="1"/>
    <m/>
    <m/>
    <m/>
    <m/>
    <x v="0"/>
    <s v="Project"/>
    <x v="550"/>
    <x v="0"/>
    <x v="23"/>
    <s v="Exclude in HGB Group allocation"/>
  </r>
  <r>
    <s v="29241241"/>
    <m/>
    <x v="0"/>
    <x v="0"/>
    <m/>
    <m/>
    <m/>
    <n v="2924"/>
    <n v="12"/>
    <n v="4"/>
    <s v="29241241"/>
    <s v="02_GmbH"/>
    <x v="1"/>
    <m/>
    <m/>
    <m/>
    <m/>
    <x v="0"/>
    <s v="Project"/>
    <x v="551"/>
    <x v="0"/>
    <x v="22"/>
    <s v="Exclude in HGB Group allocation"/>
  </r>
  <r>
    <s v="29241341"/>
    <m/>
    <x v="0"/>
    <x v="0"/>
    <m/>
    <m/>
    <m/>
    <n v="2924"/>
    <n v="13"/>
    <n v="4"/>
    <s v="29241341"/>
    <s v="02_GmbH"/>
    <x v="1"/>
    <m/>
    <m/>
    <m/>
    <m/>
    <x v="0"/>
    <s v="Project"/>
    <x v="552"/>
    <x v="0"/>
    <x v="22"/>
    <s v="Exclude in HGB Group allocation"/>
  </r>
  <r>
    <s v="29241441"/>
    <m/>
    <x v="0"/>
    <x v="0"/>
    <m/>
    <m/>
    <m/>
    <n v="2924"/>
    <n v="14"/>
    <n v="4"/>
    <s v="29241441"/>
    <s v="02_GmbH"/>
    <x v="1"/>
    <m/>
    <m/>
    <m/>
    <m/>
    <x v="0"/>
    <s v="Project"/>
    <x v="553"/>
    <x v="0"/>
    <x v="22"/>
    <s v="Exclude in HGB Group allocation"/>
  </r>
  <r>
    <s v="29241841"/>
    <m/>
    <x v="0"/>
    <x v="0"/>
    <m/>
    <m/>
    <m/>
    <n v="2924"/>
    <n v="18"/>
    <n v="4"/>
    <s v="29241841"/>
    <s v="02_GmbH"/>
    <x v="1"/>
    <m/>
    <m/>
    <m/>
    <m/>
    <x v="0"/>
    <s v="Project"/>
    <x v="554"/>
    <x v="0"/>
    <x v="21"/>
    <s v="Exclude in HGB Group allocation"/>
  </r>
  <r>
    <s v="29241843"/>
    <m/>
    <x v="0"/>
    <x v="0"/>
    <m/>
    <m/>
    <m/>
    <n v="2924"/>
    <n v="18"/>
    <n v="4"/>
    <s v="29241843"/>
    <s v="02_GmbH"/>
    <x v="1"/>
    <m/>
    <m/>
    <m/>
    <m/>
    <x v="0"/>
    <s v="Project"/>
    <x v="554"/>
    <x v="0"/>
    <x v="7"/>
    <s v="Exclude in HGB Group allocation"/>
  </r>
  <r>
    <s v="29241941"/>
    <m/>
    <x v="0"/>
    <x v="0"/>
    <m/>
    <m/>
    <m/>
    <n v="2924"/>
    <n v="19"/>
    <n v="4"/>
    <s v="29241941"/>
    <s v="02_GmbH"/>
    <x v="1"/>
    <m/>
    <m/>
    <m/>
    <m/>
    <x v="0"/>
    <s v="Project"/>
    <x v="555"/>
    <x v="0"/>
    <x v="21"/>
    <s v="Exclude in HGB Group allocation"/>
  </r>
  <r>
    <s v="29242043"/>
    <m/>
    <x v="0"/>
    <x v="0"/>
    <m/>
    <m/>
    <m/>
    <n v="2924"/>
    <n v="20"/>
    <n v="4"/>
    <s v="29242043"/>
    <s v="02_GmbH"/>
    <x v="1"/>
    <m/>
    <m/>
    <m/>
    <m/>
    <x v="0"/>
    <s v="Project"/>
    <x v="556"/>
    <x v="0"/>
    <x v="1"/>
    <s v="Exclude in HGB Group allocation"/>
  </r>
  <r>
    <s v="29242143"/>
    <m/>
    <x v="0"/>
    <x v="0"/>
    <m/>
    <m/>
    <m/>
    <n v="2924"/>
    <n v="21"/>
    <n v="4"/>
    <s v="29242143"/>
    <s v="02_GmbH"/>
    <x v="1"/>
    <m/>
    <m/>
    <m/>
    <m/>
    <x v="0"/>
    <s v="Project"/>
    <x v="557"/>
    <x v="0"/>
    <x v="21"/>
    <s v="Exclude in HGB Group allocation"/>
  </r>
  <r>
    <s v="29242243"/>
    <m/>
    <x v="0"/>
    <x v="0"/>
    <m/>
    <m/>
    <m/>
    <n v="2924"/>
    <n v="22"/>
    <n v="4"/>
    <s v="29242243"/>
    <s v="02_GmbH"/>
    <x v="1"/>
    <m/>
    <m/>
    <m/>
    <m/>
    <x v="0"/>
    <s v="Project"/>
    <x v="558"/>
    <x v="0"/>
    <x v="21"/>
    <s v="Exclude in HGB Group allocation"/>
  </r>
  <r>
    <s v="29242328"/>
    <m/>
    <x v="0"/>
    <x v="0"/>
    <m/>
    <m/>
    <m/>
    <n v="2924"/>
    <n v="23"/>
    <n v="2"/>
    <s v="29242328"/>
    <s v="01_SE"/>
    <x v="0"/>
    <m/>
    <m/>
    <m/>
    <m/>
    <x v="0"/>
    <s v="Project"/>
    <x v="559"/>
    <x v="0"/>
    <x v="0"/>
    <s v="Exclude in HGB Group allocation"/>
  </r>
  <r>
    <s v="29242428"/>
    <m/>
    <x v="0"/>
    <x v="0"/>
    <m/>
    <m/>
    <m/>
    <n v="2924"/>
    <n v="24"/>
    <n v="2"/>
    <s v="29242428"/>
    <s v="01_SE"/>
    <x v="0"/>
    <m/>
    <m/>
    <m/>
    <m/>
    <x v="0"/>
    <s v="Project"/>
    <x v="560"/>
    <x v="0"/>
    <x v="0"/>
    <s v="Exclude in HGB Group allocation"/>
  </r>
  <r>
    <s v="29242541"/>
    <m/>
    <x v="0"/>
    <x v="0"/>
    <m/>
    <m/>
    <m/>
    <n v="2924"/>
    <n v="25"/>
    <n v="4"/>
    <s v="29242541"/>
    <s v="02_GmbH"/>
    <x v="1"/>
    <m/>
    <m/>
    <m/>
    <m/>
    <x v="0"/>
    <s v="Project"/>
    <x v="561"/>
    <x v="0"/>
    <x v="21"/>
    <s v="Exclude in HGB Group allocation"/>
  </r>
  <r>
    <s v="0"/>
    <m/>
    <x v="0"/>
    <x v="0"/>
    <m/>
    <m/>
    <m/>
    <n v="2924"/>
    <n v="26"/>
    <n v="4"/>
    <m/>
    <s v="02_GmbH"/>
    <x v="1"/>
    <m/>
    <m/>
    <m/>
    <m/>
    <x v="0"/>
    <s v="Project"/>
    <x v="562"/>
    <x v="0"/>
    <x v="22"/>
    <s v="Exclude in HGB Group allocation"/>
  </r>
  <r>
    <s v="0"/>
    <m/>
    <x v="0"/>
    <x v="0"/>
    <m/>
    <m/>
    <m/>
    <n v="2924"/>
    <n v="27"/>
    <n v="4"/>
    <m/>
    <s v="02_GmbH"/>
    <x v="1"/>
    <m/>
    <m/>
    <m/>
    <m/>
    <x v="0"/>
    <s v="Project"/>
    <x v="563"/>
    <x v="0"/>
    <x v="21"/>
    <s v="Exclude in HGB Group allocation"/>
  </r>
  <r>
    <s v="29242847"/>
    <m/>
    <x v="0"/>
    <x v="0"/>
    <m/>
    <m/>
    <m/>
    <n v="2924"/>
    <n v="28"/>
    <n v="4"/>
    <n v="29242847"/>
    <s v="02_GmbH"/>
    <x v="1"/>
    <m/>
    <m/>
    <m/>
    <m/>
    <x v="0"/>
    <s v="Project"/>
    <x v="564"/>
    <x v="0"/>
    <x v="20"/>
    <s v="Exclude in HGB Group allocation"/>
  </r>
  <r>
    <s v="0"/>
    <m/>
    <x v="0"/>
    <x v="0"/>
    <m/>
    <m/>
    <m/>
    <n v="2924"/>
    <n v="29"/>
    <n v="4"/>
    <m/>
    <s v="02_GmbH"/>
    <x v="1"/>
    <m/>
    <m/>
    <m/>
    <m/>
    <x v="0"/>
    <s v="Project"/>
    <x v="565"/>
    <x v="0"/>
    <x v="20"/>
    <s v="Exclude in HGB Group allocation"/>
  </r>
  <r>
    <s v="0"/>
    <m/>
    <x v="0"/>
    <x v="0"/>
    <m/>
    <m/>
    <m/>
    <n v="2924"/>
    <n v="30"/>
    <n v="4"/>
    <m/>
    <s v="02_GmbH"/>
    <x v="1"/>
    <m/>
    <m/>
    <m/>
    <m/>
    <x v="0"/>
    <s v="Project"/>
    <x v="566"/>
    <x v="0"/>
    <x v="20"/>
    <s v="Exclude in HGB Group allocation"/>
  </r>
  <r>
    <s v="0"/>
    <m/>
    <x v="0"/>
    <x v="0"/>
    <m/>
    <m/>
    <m/>
    <n v="2924"/>
    <n v="31"/>
    <n v="4"/>
    <m/>
    <s v="02_GmbH"/>
    <x v="1"/>
    <m/>
    <m/>
    <m/>
    <m/>
    <x v="0"/>
    <s v="Project"/>
    <x v="567"/>
    <x v="0"/>
    <x v="1"/>
    <s v="Exclude in HGB Group allocation"/>
  </r>
  <r>
    <s v="29243243"/>
    <m/>
    <x v="0"/>
    <x v="0"/>
    <m/>
    <m/>
    <m/>
    <n v="2924"/>
    <n v="32"/>
    <n v="4"/>
    <n v="29243243"/>
    <s v="02_GmbH"/>
    <x v="1"/>
    <m/>
    <m/>
    <m/>
    <m/>
    <x v="0"/>
    <s v="Project"/>
    <x v="568"/>
    <x v="0"/>
    <x v="1"/>
    <s v="Exclude in HGB Group allocation"/>
  </r>
  <r>
    <s v="0"/>
    <m/>
    <x v="0"/>
    <x v="0"/>
    <m/>
    <m/>
    <m/>
    <n v="2924"/>
    <n v="33"/>
    <n v="4"/>
    <m/>
    <s v="02_GmbH"/>
    <x v="1"/>
    <m/>
    <m/>
    <m/>
    <m/>
    <x v="0"/>
    <s v="Project"/>
    <x v="569"/>
    <x v="0"/>
    <x v="20"/>
    <s v="Exclude in HGB Group allocation"/>
  </r>
  <r>
    <s v="0"/>
    <m/>
    <x v="0"/>
    <x v="0"/>
    <m/>
    <m/>
    <m/>
    <n v="2924"/>
    <n v="34"/>
    <n v="4"/>
    <m/>
    <s v="02_GmbH"/>
    <x v="1"/>
    <m/>
    <m/>
    <m/>
    <m/>
    <x v="0"/>
    <s v="Project"/>
    <x v="570"/>
    <x v="0"/>
    <x v="1"/>
    <s v="Exclude in HGB Group allocation"/>
  </r>
  <r>
    <s v="0"/>
    <m/>
    <x v="0"/>
    <x v="0"/>
    <m/>
    <m/>
    <m/>
    <n v="2924"/>
    <n v="35"/>
    <n v="2"/>
    <m/>
    <s v="01_SE"/>
    <x v="0"/>
    <m/>
    <m/>
    <m/>
    <m/>
    <x v="0"/>
    <s v="Project"/>
    <x v="571"/>
    <x v="0"/>
    <x v="0"/>
    <s v="Exclude in HGB Group allocation"/>
  </r>
  <r>
    <s v="0"/>
    <m/>
    <x v="0"/>
    <x v="0"/>
    <m/>
    <m/>
    <m/>
    <n v="2924"/>
    <n v="35"/>
    <n v="4"/>
    <m/>
    <s v="02_GmbH"/>
    <x v="1"/>
    <m/>
    <m/>
    <m/>
    <m/>
    <x v="0"/>
    <s v="Project"/>
    <x v="572"/>
    <x v="0"/>
    <x v="22"/>
    <s v="Exclude in HGB Group allocation"/>
  </r>
  <r>
    <s v="0"/>
    <m/>
    <x v="0"/>
    <x v="0"/>
    <m/>
    <m/>
    <m/>
    <n v="2924"/>
    <n v="36"/>
    <n v="4"/>
    <m/>
    <s v="02_GmbH"/>
    <x v="1"/>
    <m/>
    <m/>
    <m/>
    <m/>
    <x v="0"/>
    <s v="Project"/>
    <x v="573"/>
    <x v="0"/>
    <x v="20"/>
    <s v="Exclude in HGB Group allocation"/>
  </r>
  <r>
    <s v="0"/>
    <m/>
    <x v="0"/>
    <x v="0"/>
    <m/>
    <m/>
    <m/>
    <n v="2924"/>
    <n v="37"/>
    <n v="4"/>
    <m/>
    <s v="02_GmbH"/>
    <x v="1"/>
    <m/>
    <m/>
    <m/>
    <m/>
    <x v="0"/>
    <s v="Project"/>
    <x v="574"/>
    <x v="0"/>
    <x v="20"/>
    <s v="Exclude in HGB Group allocation"/>
  </r>
  <r>
    <s v="99632726"/>
    <m/>
    <x v="0"/>
    <x v="0"/>
    <m/>
    <m/>
    <m/>
    <n v="9963"/>
    <n v="27"/>
    <n v="2"/>
    <s v="99632726"/>
    <s v="05_Shg"/>
    <x v="0"/>
    <m/>
    <m/>
    <m/>
    <m/>
    <x v="0"/>
    <s v="Project"/>
    <x v="575"/>
    <x v="0"/>
    <x v="0"/>
    <s v="Exclude in HGB Group allocation"/>
  </r>
  <r>
    <s v="99632813"/>
    <m/>
    <x v="0"/>
    <x v="0"/>
    <m/>
    <m/>
    <m/>
    <n v="9963"/>
    <n v="28"/>
    <n v="1"/>
    <s v="99632813"/>
    <s v="01_SE"/>
    <x v="4"/>
    <m/>
    <m/>
    <m/>
    <m/>
    <x v="0"/>
    <s v="Project"/>
    <x v="576"/>
    <x v="0"/>
    <x v="17"/>
    <s v="Exclude in HGB Group allocation"/>
  </r>
  <r>
    <s v="99632913"/>
    <m/>
    <x v="0"/>
    <x v="0"/>
    <m/>
    <m/>
    <m/>
    <n v="9963"/>
    <n v="29"/>
    <n v="1"/>
    <s v="99632913"/>
    <s v="01_SE"/>
    <x v="4"/>
    <m/>
    <m/>
    <m/>
    <m/>
    <x v="0"/>
    <s v="Project"/>
    <x v="577"/>
    <x v="0"/>
    <x v="17"/>
    <s v="Exclude in HGB Group allocation"/>
  </r>
  <r>
    <s v="99633013"/>
    <m/>
    <x v="0"/>
    <x v="0"/>
    <m/>
    <m/>
    <m/>
    <n v="9963"/>
    <n v="30"/>
    <n v="1"/>
    <s v="99633013"/>
    <s v="01_SE"/>
    <x v="4"/>
    <m/>
    <m/>
    <m/>
    <m/>
    <x v="0"/>
    <s v="Project"/>
    <x v="578"/>
    <x v="0"/>
    <x v="17"/>
    <s v="Exclude in HGB Group allocation"/>
  </r>
  <r>
    <s v="99882511"/>
    <m/>
    <x v="0"/>
    <x v="0"/>
    <m/>
    <m/>
    <m/>
    <n v="9988"/>
    <n v="25"/>
    <n v="1"/>
    <s v="99882511"/>
    <s v="01_SE"/>
    <x v="4"/>
    <m/>
    <m/>
    <m/>
    <m/>
    <x v="0"/>
    <s v="Project"/>
    <x v="579"/>
    <x v="0"/>
    <x v="18"/>
    <s v="Exclude in HGB Group allocation"/>
  </r>
  <r>
    <s v="99934211"/>
    <m/>
    <x v="0"/>
    <x v="0"/>
    <m/>
    <m/>
    <m/>
    <n v="9988"/>
    <n v="25"/>
    <n v="1"/>
    <s v="99934211"/>
    <s v="01_SE"/>
    <x v="4"/>
    <m/>
    <m/>
    <m/>
    <m/>
    <x v="0"/>
    <s v="Project"/>
    <x v="579"/>
    <x v="0"/>
    <x v="18"/>
    <s v="Exclude in HGB Group allocation"/>
  </r>
  <r>
    <s v="99893511"/>
    <m/>
    <x v="0"/>
    <x v="0"/>
    <m/>
    <m/>
    <m/>
    <n v="9989"/>
    <n v="35"/>
    <n v="1"/>
    <s v="99893511"/>
    <s v="01_SE"/>
    <x v="4"/>
    <m/>
    <m/>
    <m/>
    <m/>
    <x v="0"/>
    <s v="Project"/>
    <x v="580"/>
    <x v="0"/>
    <x v="18"/>
    <s v="Exclude in HGB Group allocation"/>
  </r>
  <r>
    <s v="99953216"/>
    <m/>
    <x v="0"/>
    <x v="0"/>
    <m/>
    <m/>
    <m/>
    <n v="9995"/>
    <n v="32"/>
    <n v="1"/>
    <s v="99953216"/>
    <s v="01_SE"/>
    <x v="4"/>
    <m/>
    <m/>
    <m/>
    <m/>
    <x v="0"/>
    <s v="Project"/>
    <x v="581"/>
    <x v="0"/>
    <x v="19"/>
    <s v="Exclude in HGB Group allocation"/>
  </r>
  <r>
    <s v="99954613"/>
    <m/>
    <x v="0"/>
    <x v="0"/>
    <m/>
    <m/>
    <m/>
    <n v="9995"/>
    <n v="46"/>
    <n v="1"/>
    <s v="99954613"/>
    <s v="01_SE"/>
    <x v="4"/>
    <m/>
    <m/>
    <m/>
    <m/>
    <x v="0"/>
    <s v="Project"/>
    <x v="582"/>
    <x v="0"/>
    <x v="17"/>
    <s v="Exclude in HGB Group allocation"/>
  </r>
  <r>
    <s v="99955713"/>
    <m/>
    <x v="0"/>
    <x v="0"/>
    <m/>
    <m/>
    <m/>
    <n v="9995"/>
    <n v="57"/>
    <n v="1"/>
    <s v="99955713"/>
    <s v="01_SE"/>
    <x v="4"/>
    <m/>
    <m/>
    <m/>
    <m/>
    <x v="0"/>
    <s v="Project"/>
    <x v="583"/>
    <x v="0"/>
    <x v="17"/>
    <s v="Exclude in HGB Group allocation"/>
  </r>
  <r>
    <s v="99957113"/>
    <m/>
    <x v="0"/>
    <x v="0"/>
    <m/>
    <m/>
    <m/>
    <n v="9995"/>
    <n v="71"/>
    <n v="1"/>
    <s v="99957113"/>
    <s v="01_SE"/>
    <x v="4"/>
    <m/>
    <m/>
    <m/>
    <m/>
    <x v="0"/>
    <s v="Project"/>
    <x v="584"/>
    <x v="0"/>
    <x v="17"/>
    <s v="Exclude in HGB Group allocation"/>
  </r>
  <r>
    <s v="0"/>
    <m/>
    <x v="0"/>
    <x v="0"/>
    <m/>
    <m/>
    <m/>
    <n v="3183"/>
    <n v="2"/>
    <n v="2"/>
    <m/>
    <s v="01_SE"/>
    <x v="0"/>
    <m/>
    <m/>
    <m/>
    <m/>
    <x v="0"/>
    <s v="Project"/>
    <x v="585"/>
    <x v="0"/>
    <x v="0"/>
    <s v="Exclude in HGB Group allocation"/>
  </r>
  <r>
    <s v="78020511"/>
    <m/>
    <x v="0"/>
    <x v="0"/>
    <m/>
    <m/>
    <m/>
    <n v="7802"/>
    <n v="5"/>
    <n v="1"/>
    <s v="78020511"/>
    <s v="01_SE"/>
    <x v="4"/>
    <m/>
    <m/>
    <m/>
    <m/>
    <x v="0"/>
    <s v="Project"/>
    <x v="586"/>
    <x v="0"/>
    <x v="18"/>
    <s v="Exclude in HGB Group allocation"/>
  </r>
  <r>
    <s v="99933111"/>
    <m/>
    <x v="0"/>
    <x v="0"/>
    <m/>
    <m/>
    <m/>
    <n v="7802"/>
    <n v="5"/>
    <n v="1"/>
    <s v="99933111"/>
    <s v="01_SE"/>
    <x v="4"/>
    <m/>
    <m/>
    <m/>
    <m/>
    <x v="0"/>
    <s v="Project"/>
    <x v="586"/>
    <x v="0"/>
    <x v="18"/>
    <s v="Exclude in HGB Group allocation"/>
  </r>
  <r>
    <s v="79040216"/>
    <m/>
    <x v="0"/>
    <x v="0"/>
    <m/>
    <m/>
    <m/>
    <n v="7904"/>
    <n v="2"/>
    <n v="1"/>
    <s v="79040216"/>
    <s v="07_Inc"/>
    <x v="4"/>
    <m/>
    <m/>
    <m/>
    <m/>
    <x v="0"/>
    <s v="Project"/>
    <x v="587"/>
    <x v="0"/>
    <x v="19"/>
    <s v="Exclude in HGB Group allocation"/>
  </r>
  <r>
    <s v="99866016"/>
    <m/>
    <x v="0"/>
    <x v="0"/>
    <m/>
    <m/>
    <m/>
    <n v="7904"/>
    <n v="2"/>
    <n v="1"/>
    <s v="99866016"/>
    <s v="07_Inc"/>
    <x v="4"/>
    <m/>
    <m/>
    <m/>
    <m/>
    <x v="0"/>
    <s v="Project"/>
    <x v="587"/>
    <x v="0"/>
    <x v="19"/>
    <s v="Exclude in HGB Group allocation"/>
  </r>
  <r>
    <s v="61010228"/>
    <m/>
    <x v="0"/>
    <x v="0"/>
    <m/>
    <m/>
    <m/>
    <n v="6101"/>
    <n v="2"/>
    <n v="2"/>
    <s v="61010228"/>
    <s v="07_Inc"/>
    <x v="0"/>
    <m/>
    <m/>
    <m/>
    <m/>
    <x v="0"/>
    <s v="Project"/>
    <x v="588"/>
    <x v="0"/>
    <x v="21"/>
    <s v="Exclude in HGB Group allocation"/>
  </r>
  <r>
    <s v="0"/>
    <m/>
    <x v="0"/>
    <x v="0"/>
    <m/>
    <m/>
    <m/>
    <n v="6304"/>
    <n v="2"/>
    <n v="2"/>
    <m/>
    <s v="01_SE"/>
    <x v="0"/>
    <m/>
    <m/>
    <m/>
    <m/>
    <x v="0"/>
    <s v="Project"/>
    <x v="589"/>
    <x v="0"/>
    <x v="0"/>
    <s v="Exclude in HGB Group allocation"/>
  </r>
  <r>
    <s v="0"/>
    <m/>
    <x v="0"/>
    <x v="0"/>
    <m/>
    <m/>
    <m/>
    <n v="7688"/>
    <n v="2"/>
    <n v="2"/>
    <m/>
    <s v="01_SE"/>
    <x v="0"/>
    <m/>
    <m/>
    <m/>
    <m/>
    <x v="0"/>
    <s v="Project"/>
    <x v="590"/>
    <x v="0"/>
    <x v="0"/>
    <s v="Exclude in HGB Group allocation"/>
  </r>
  <r>
    <s v="0"/>
    <m/>
    <x v="0"/>
    <x v="0"/>
    <m/>
    <m/>
    <m/>
    <n v="2110"/>
    <n v="2"/>
    <n v="2"/>
    <m/>
    <s v="01_SE"/>
    <x v="0"/>
    <m/>
    <m/>
    <m/>
    <m/>
    <x v="0"/>
    <s v="Project"/>
    <x v="591"/>
    <x v="0"/>
    <x v="0"/>
    <s v="Exclude in HGB Group allocation"/>
  </r>
  <r>
    <s v="0"/>
    <m/>
    <x v="0"/>
    <x v="0"/>
    <m/>
    <m/>
    <m/>
    <n v="3144"/>
    <n v="3"/>
    <n v="2"/>
    <m/>
    <s v="01_SE"/>
    <x v="0"/>
    <m/>
    <m/>
    <m/>
    <m/>
    <x v="0"/>
    <s v="Project"/>
    <x v="592"/>
    <x v="0"/>
    <x v="0"/>
    <s v="Exclude in HGB Group allocation"/>
  </r>
  <r>
    <s v="31440228"/>
    <m/>
    <x v="0"/>
    <x v="0"/>
    <m/>
    <m/>
    <m/>
    <n v="3144"/>
    <n v="2"/>
    <n v="2"/>
    <s v="31440228"/>
    <s v="01_SE"/>
    <x v="0"/>
    <m/>
    <m/>
    <m/>
    <m/>
    <x v="0"/>
    <s v="Project"/>
    <x v="593"/>
    <x v="0"/>
    <x v="0"/>
    <s v="Exclude in HGB Group allocation"/>
  </r>
  <r>
    <s v="0"/>
    <m/>
    <x v="0"/>
    <x v="0"/>
    <m/>
    <m/>
    <m/>
    <n v="3144"/>
    <n v="4"/>
    <n v="2"/>
    <m/>
    <s v="01_SE"/>
    <x v="0"/>
    <m/>
    <m/>
    <m/>
    <m/>
    <x v="0"/>
    <s v="Project"/>
    <x v="594"/>
    <x v="0"/>
    <x v="0"/>
    <s v="Exclude in HGB Group allocation"/>
  </r>
  <r>
    <s v="99961128"/>
    <m/>
    <x v="0"/>
    <x v="0"/>
    <m/>
    <m/>
    <m/>
    <n v="8045"/>
    <n v="5"/>
    <n v="2"/>
    <s v="99961128"/>
    <s v="01_SE"/>
    <x v="0"/>
    <m/>
    <m/>
    <m/>
    <m/>
    <x v="0"/>
    <s v="Project"/>
    <x v="595"/>
    <x v="0"/>
    <x v="0"/>
    <s v="Exclude in HGB Group allocation"/>
  </r>
  <r>
    <s v="0"/>
    <m/>
    <x v="0"/>
    <x v="0"/>
    <m/>
    <m/>
    <m/>
    <n v="8045"/>
    <n v="6"/>
    <n v="2"/>
    <m/>
    <s v="01_SE"/>
    <x v="0"/>
    <m/>
    <m/>
    <m/>
    <m/>
    <x v="0"/>
    <s v="Project"/>
    <x v="596"/>
    <x v="0"/>
    <x v="25"/>
    <s v="Exclude in HGB Group allocation"/>
  </r>
  <r>
    <s v="80450528"/>
    <m/>
    <x v="0"/>
    <x v="0"/>
    <m/>
    <m/>
    <m/>
    <n v="8045"/>
    <n v="5"/>
    <n v="2"/>
    <s v="80450528"/>
    <s v="01_SE"/>
    <x v="0"/>
    <m/>
    <m/>
    <m/>
    <m/>
    <x v="0"/>
    <s v="Project"/>
    <x v="595"/>
    <x v="0"/>
    <x v="0"/>
    <s v="Exclude in HGB Group allocation"/>
  </r>
  <r>
    <s v="0"/>
    <m/>
    <x v="0"/>
    <x v="0"/>
    <m/>
    <m/>
    <m/>
    <n v="8045"/>
    <n v="7"/>
    <n v="2"/>
    <m/>
    <s v="01_SE"/>
    <x v="0"/>
    <m/>
    <m/>
    <m/>
    <m/>
    <x v="0"/>
    <s v="Project"/>
    <x v="597"/>
    <x v="0"/>
    <x v="0"/>
    <s v="Exclude in HGB Group allocation"/>
  </r>
  <r>
    <s v="0"/>
    <m/>
    <x v="0"/>
    <x v="0"/>
    <m/>
    <m/>
    <m/>
    <n v="8045"/>
    <n v="8"/>
    <n v="2"/>
    <m/>
    <s v="01_SE"/>
    <x v="0"/>
    <m/>
    <m/>
    <m/>
    <m/>
    <x v="0"/>
    <s v="Project"/>
    <x v="598"/>
    <x v="0"/>
    <x v="0"/>
    <s v="Exclude in HGB Group allocation"/>
  </r>
  <r>
    <s v="78020911"/>
    <m/>
    <x v="0"/>
    <x v="0"/>
    <m/>
    <m/>
    <m/>
    <n v="7802"/>
    <n v="9"/>
    <n v="1"/>
    <s v="78020911"/>
    <s v="01_SE"/>
    <x v="4"/>
    <m/>
    <m/>
    <m/>
    <m/>
    <x v="0"/>
    <s v="Project"/>
    <x v="599"/>
    <x v="0"/>
    <x v="18"/>
    <s v="Exclude in HGB Group allocation"/>
  </r>
  <r>
    <s v="99940411"/>
    <m/>
    <x v="0"/>
    <x v="0"/>
    <m/>
    <m/>
    <m/>
    <n v="7802"/>
    <n v="9"/>
    <n v="1"/>
    <s v="99940411"/>
    <s v="01_SE"/>
    <x v="4"/>
    <m/>
    <m/>
    <m/>
    <m/>
    <x v="0"/>
    <s v="Project"/>
    <x v="599"/>
    <x v="0"/>
    <x v="18"/>
    <s v="Exclude in HGB Group allocation"/>
  </r>
  <r>
    <s v="0"/>
    <m/>
    <x v="0"/>
    <x v="0"/>
    <m/>
    <m/>
    <m/>
    <n v="8911"/>
    <n v="17"/>
    <n v="2"/>
    <m/>
    <s v="01_SE"/>
    <x v="0"/>
    <m/>
    <m/>
    <m/>
    <m/>
    <x v="0"/>
    <s v="Project"/>
    <x v="600"/>
    <x v="0"/>
    <x v="0"/>
    <s v="Exclude in HGB Group allocation"/>
  </r>
  <r>
    <s v="0"/>
    <m/>
    <x v="0"/>
    <x v="0"/>
    <m/>
    <m/>
    <m/>
    <n v="8911"/>
    <n v="20"/>
    <n v="2"/>
    <m/>
    <s v="01_SE"/>
    <x v="0"/>
    <m/>
    <m/>
    <m/>
    <m/>
    <x v="0"/>
    <s v="Project"/>
    <x v="601"/>
    <x v="0"/>
    <x v="0"/>
    <s v="Exclude in HGB Group allocation"/>
  </r>
  <r>
    <s v="0"/>
    <m/>
    <x v="0"/>
    <x v="0"/>
    <m/>
    <m/>
    <m/>
    <n v="8911"/>
    <n v="22"/>
    <n v="2"/>
    <m/>
    <s v="01_SE"/>
    <x v="0"/>
    <m/>
    <m/>
    <m/>
    <m/>
    <x v="0"/>
    <s v="Project"/>
    <x v="602"/>
    <x v="0"/>
    <x v="0"/>
    <s v="Exclude in HGB Group allocation"/>
  </r>
  <r>
    <s v="0"/>
    <m/>
    <x v="0"/>
    <x v="0"/>
    <m/>
    <m/>
    <m/>
    <n v="8911"/>
    <n v="23"/>
    <n v="2"/>
    <m/>
    <s v="09_Ltda"/>
    <x v="0"/>
    <m/>
    <m/>
    <m/>
    <m/>
    <x v="0"/>
    <s v="Project"/>
    <x v="603"/>
    <x v="0"/>
    <x v="0"/>
    <s v="Exclude in HGB Group allocation"/>
  </r>
  <r>
    <s v="89110628"/>
    <m/>
    <x v="0"/>
    <x v="0"/>
    <m/>
    <m/>
    <m/>
    <n v="8911"/>
    <n v="6"/>
    <n v="2"/>
    <s v="89110628"/>
    <s v="07_Inc"/>
    <x v="0"/>
    <m/>
    <m/>
    <m/>
    <m/>
    <x v="0"/>
    <s v="Project"/>
    <x v="604"/>
    <x v="0"/>
    <x v="0"/>
    <s v="Exclude in HGB Group allocation"/>
  </r>
  <r>
    <s v="89110711"/>
    <m/>
    <x v="0"/>
    <x v="0"/>
    <m/>
    <m/>
    <m/>
    <n v="8911"/>
    <n v="7"/>
    <n v="1"/>
    <s v="89110711"/>
    <s v="01_SE"/>
    <x v="4"/>
    <m/>
    <m/>
    <m/>
    <m/>
    <x v="0"/>
    <s v="Project"/>
    <x v="605"/>
    <x v="0"/>
    <x v="18"/>
    <s v="Exclude in HGB Group allocation"/>
  </r>
  <r>
    <s v="89110926"/>
    <m/>
    <x v="0"/>
    <x v="0"/>
    <m/>
    <m/>
    <m/>
    <n v="8911"/>
    <n v="9"/>
    <n v="2"/>
    <s v="89110926"/>
    <s v="01_SE"/>
    <x v="0"/>
    <m/>
    <m/>
    <m/>
    <m/>
    <x v="0"/>
    <s v="Project"/>
    <x v="606"/>
    <x v="0"/>
    <x v="0"/>
    <s v="Exclude in HGB Group allocation"/>
  </r>
  <r>
    <s v="89111026"/>
    <m/>
    <x v="0"/>
    <x v="0"/>
    <m/>
    <m/>
    <m/>
    <n v="8911"/>
    <n v="10"/>
    <n v="2"/>
    <s v="89111026"/>
    <s v="01_SE"/>
    <x v="0"/>
    <m/>
    <m/>
    <m/>
    <m/>
    <x v="0"/>
    <s v="Project"/>
    <x v="607"/>
    <x v="0"/>
    <x v="0"/>
    <s v="Exclude in HGB Group allocation"/>
  </r>
  <r>
    <s v="89111128"/>
    <m/>
    <x v="0"/>
    <x v="0"/>
    <m/>
    <m/>
    <m/>
    <n v="8911"/>
    <n v="11"/>
    <n v="2"/>
    <s v="89111128"/>
    <s v="07_Inc"/>
    <x v="0"/>
    <m/>
    <m/>
    <m/>
    <m/>
    <x v="0"/>
    <s v="Project"/>
    <x v="608"/>
    <x v="0"/>
    <x v="21"/>
    <s v="Exclude in HGB Group allocation"/>
  </r>
  <r>
    <s v="89111228"/>
    <m/>
    <x v="0"/>
    <x v="0"/>
    <m/>
    <m/>
    <m/>
    <n v="8911"/>
    <n v="12"/>
    <n v="2"/>
    <s v="89111228"/>
    <s v="01_SE"/>
    <x v="0"/>
    <m/>
    <m/>
    <m/>
    <m/>
    <x v="0"/>
    <s v="Project"/>
    <x v="609"/>
    <x v="0"/>
    <x v="0"/>
    <s v="Exclude in HGB Group allocation"/>
  </r>
  <r>
    <s v="89111328"/>
    <m/>
    <x v="0"/>
    <x v="0"/>
    <m/>
    <m/>
    <m/>
    <n v="8911"/>
    <n v="13"/>
    <n v="2"/>
    <s v="89111328"/>
    <s v="07_Inc"/>
    <x v="0"/>
    <m/>
    <m/>
    <m/>
    <m/>
    <x v="0"/>
    <s v="Project"/>
    <x v="610"/>
    <x v="0"/>
    <x v="21"/>
    <s v="Exclude in HGB Group allocation"/>
  </r>
  <r>
    <s v="89111411"/>
    <m/>
    <x v="0"/>
    <x v="0"/>
    <m/>
    <m/>
    <m/>
    <n v="8911"/>
    <n v="14"/>
    <n v="1"/>
    <s v="89111411"/>
    <s v="01_SE"/>
    <x v="4"/>
    <m/>
    <m/>
    <m/>
    <m/>
    <x v="0"/>
    <s v="Project"/>
    <x v="611"/>
    <x v="0"/>
    <x v="18"/>
    <s v="Exclude in HGB Group allocation"/>
  </r>
  <r>
    <s v="89111528"/>
    <m/>
    <x v="0"/>
    <x v="0"/>
    <m/>
    <m/>
    <m/>
    <n v="8911"/>
    <n v="15"/>
    <n v="2"/>
    <s v="89111528"/>
    <s v="01_SE"/>
    <x v="0"/>
    <m/>
    <m/>
    <m/>
    <m/>
    <x v="0"/>
    <s v="Project"/>
    <x v="612"/>
    <x v="0"/>
    <x v="0"/>
    <s v="Exclude in HGB Group allocation"/>
  </r>
  <r>
    <s v="0"/>
    <m/>
    <x v="0"/>
    <x v="0"/>
    <m/>
    <m/>
    <m/>
    <n v="8911"/>
    <n v="16"/>
    <n v="1"/>
    <m/>
    <s v="01_SE"/>
    <x v="4"/>
    <m/>
    <m/>
    <m/>
    <m/>
    <x v="0"/>
    <s v="Project"/>
    <x v="613"/>
    <x v="0"/>
    <x v="18"/>
    <s v="Exclude in HGB Group allocation"/>
  </r>
  <r>
    <s v="0"/>
    <m/>
    <x v="0"/>
    <x v="0"/>
    <m/>
    <m/>
    <m/>
    <n v="8911"/>
    <n v="16"/>
    <n v="1"/>
    <m/>
    <s v="01_SE"/>
    <x v="4"/>
    <m/>
    <m/>
    <m/>
    <m/>
    <x v="0"/>
    <s v="Project"/>
    <x v="613"/>
    <x v="0"/>
    <x v="19"/>
    <s v="Exclude in HGB Group allocation"/>
  </r>
  <r>
    <s v="0"/>
    <m/>
    <x v="0"/>
    <x v="0"/>
    <m/>
    <m/>
    <m/>
    <n v="8911"/>
    <n v="18"/>
    <n v="2"/>
    <m/>
    <s v="01_SE"/>
    <x v="0"/>
    <m/>
    <m/>
    <m/>
    <m/>
    <x v="0"/>
    <s v="Project"/>
    <x v="614"/>
    <x v="0"/>
    <x v="0"/>
    <s v="Exclude in HGB Group allocation"/>
  </r>
  <r>
    <s v="0"/>
    <m/>
    <x v="0"/>
    <x v="0"/>
    <m/>
    <m/>
    <m/>
    <n v="8911"/>
    <n v="19"/>
    <n v="2"/>
    <m/>
    <s v="01_SE"/>
    <x v="0"/>
    <m/>
    <m/>
    <m/>
    <m/>
    <x v="0"/>
    <s v="Project"/>
    <x v="615"/>
    <x v="0"/>
    <x v="0"/>
    <s v="Exclude in HGB Group allocation"/>
  </r>
  <r>
    <s v="0"/>
    <m/>
    <x v="0"/>
    <x v="0"/>
    <m/>
    <m/>
    <m/>
    <n v="8911"/>
    <n v="21"/>
    <n v="2"/>
    <m/>
    <s v="07_Inc"/>
    <x v="0"/>
    <m/>
    <m/>
    <m/>
    <m/>
    <x v="0"/>
    <s v="Project"/>
    <x v="616"/>
    <x v="0"/>
    <x v="0"/>
    <s v="Exclude in HGB Group allocation"/>
  </r>
  <r>
    <s v="0"/>
    <m/>
    <x v="0"/>
    <x v="0"/>
    <m/>
    <m/>
    <m/>
    <n v="8911"/>
    <n v="21"/>
    <n v="2"/>
    <m/>
    <s v="01_SE"/>
    <x v="0"/>
    <m/>
    <m/>
    <m/>
    <m/>
    <x v="0"/>
    <s v="Project"/>
    <x v="616"/>
    <x v="0"/>
    <x v="0"/>
    <s v="Exclude in HGB Group allocation"/>
  </r>
  <r>
    <s v="99865928"/>
    <m/>
    <x v="0"/>
    <x v="0"/>
    <m/>
    <m/>
    <m/>
    <n v="8911"/>
    <n v="6"/>
    <n v="2"/>
    <s v="99865928"/>
    <s v="07_Inc"/>
    <x v="0"/>
    <m/>
    <m/>
    <m/>
    <m/>
    <x v="0"/>
    <s v="Project"/>
    <x v="604"/>
    <x v="0"/>
    <x v="0"/>
    <s v="Exclude in HGB Group allocation"/>
  </r>
  <r>
    <s v="99965228"/>
    <m/>
    <x v="0"/>
    <x v="0"/>
    <m/>
    <m/>
    <m/>
    <n v="8911"/>
    <n v="10"/>
    <n v="2"/>
    <s v="99965228"/>
    <s v="01_SE"/>
    <x v="0"/>
    <m/>
    <m/>
    <m/>
    <m/>
    <x v="0"/>
    <s v="Project"/>
    <x v="607"/>
    <x v="0"/>
    <x v="21"/>
    <s v="Exclude in HGB Group allocation"/>
  </r>
  <r>
    <s v="89120228"/>
    <m/>
    <x v="0"/>
    <x v="0"/>
    <m/>
    <m/>
    <m/>
    <n v="8912"/>
    <n v="2"/>
    <n v="2"/>
    <s v="89120228"/>
    <s v="05_Shg"/>
    <x v="0"/>
    <m/>
    <m/>
    <m/>
    <m/>
    <x v="0"/>
    <s v="Project"/>
    <x v="617"/>
    <x v="0"/>
    <x v="0"/>
    <s v="Exclude in HGB Group allocation"/>
  </r>
  <r>
    <s v="99865816"/>
    <m/>
    <x v="0"/>
    <x v="0"/>
    <m/>
    <m/>
    <m/>
    <n v="9986"/>
    <n v="58"/>
    <n v="1"/>
    <s v="99865816"/>
    <s v="01_SE"/>
    <x v="4"/>
    <m/>
    <m/>
    <m/>
    <m/>
    <x v="0"/>
    <s v="Project"/>
    <x v="618"/>
    <x v="0"/>
    <x v="19"/>
    <s v="Exclude in HGB Group allocation"/>
  </r>
  <r>
    <s v="0"/>
    <m/>
    <x v="0"/>
    <x v="0"/>
    <m/>
    <m/>
    <m/>
    <n v="7802"/>
    <n v="53"/>
    <n v="2"/>
    <m/>
    <s v="01_SE"/>
    <x v="0"/>
    <m/>
    <m/>
    <m/>
    <m/>
    <x v="0"/>
    <s v="Project"/>
    <x v="619"/>
    <x v="0"/>
    <x v="25"/>
    <s v="Exclude in HGB Group allocation"/>
  </r>
  <r>
    <s v="78023128"/>
    <m/>
    <x v="0"/>
    <x v="0"/>
    <m/>
    <m/>
    <m/>
    <n v="7802"/>
    <n v="31"/>
    <n v="2"/>
    <s v="78023128"/>
    <s v="01_SE"/>
    <x v="0"/>
    <m/>
    <m/>
    <m/>
    <m/>
    <x v="0"/>
    <s v="Project"/>
    <x v="620"/>
    <x v="0"/>
    <x v="0"/>
    <s v="Exclude in HGB Group allocation"/>
  </r>
  <r>
    <s v="78023628"/>
    <m/>
    <x v="0"/>
    <x v="0"/>
    <m/>
    <m/>
    <m/>
    <n v="7802"/>
    <n v="36"/>
    <n v="2"/>
    <s v="78023628"/>
    <s v="01_SE"/>
    <x v="0"/>
    <m/>
    <m/>
    <m/>
    <m/>
    <x v="0"/>
    <s v="Project"/>
    <x v="621"/>
    <x v="0"/>
    <x v="0"/>
    <s v="Exclude in HGB Group allocation"/>
  </r>
  <r>
    <s v="0"/>
    <m/>
    <x v="0"/>
    <x v="0"/>
    <m/>
    <m/>
    <m/>
    <n v="7802"/>
    <n v="56"/>
    <n v="2"/>
    <m/>
    <s v="01_SE"/>
    <x v="0"/>
    <m/>
    <m/>
    <m/>
    <m/>
    <x v="0"/>
    <s v="Project"/>
    <x v="622"/>
    <x v="0"/>
    <x v="0"/>
    <s v="Exclude in HGB Group allocation"/>
  </r>
  <r>
    <s v="99960628"/>
    <m/>
    <x v="0"/>
    <x v="0"/>
    <m/>
    <m/>
    <m/>
    <n v="7802"/>
    <n v="31"/>
    <n v="2"/>
    <s v="99960628"/>
    <s v="01_SE"/>
    <x v="0"/>
    <m/>
    <m/>
    <m/>
    <m/>
    <x v="0"/>
    <s v="Project"/>
    <x v="620"/>
    <x v="0"/>
    <x v="0"/>
    <s v="Exclude in HGB Group allocation"/>
  </r>
  <r>
    <s v="0"/>
    <m/>
    <x v="0"/>
    <x v="0"/>
    <m/>
    <m/>
    <m/>
    <n v="1570"/>
    <n v="37"/>
    <n v="2"/>
    <m/>
    <s v="01_SE"/>
    <x v="0"/>
    <m/>
    <m/>
    <m/>
    <m/>
    <x v="0"/>
    <s v="Project"/>
    <x v="623"/>
    <x v="0"/>
    <x v="0"/>
    <s v="Exclude in HGB Group allocation"/>
  </r>
  <r>
    <s v="15700128"/>
    <m/>
    <x v="0"/>
    <x v="0"/>
    <m/>
    <m/>
    <m/>
    <n v="1570"/>
    <n v="1"/>
    <n v="2"/>
    <n v="15700128"/>
    <s v="01_SE"/>
    <x v="0"/>
    <m/>
    <m/>
    <m/>
    <m/>
    <x v="0"/>
    <s v="Project"/>
    <x v="624"/>
    <x v="0"/>
    <x v="0"/>
    <s v="Exclude in HGB Group allocation"/>
  </r>
  <r>
    <s v="15703228"/>
    <m/>
    <x v="0"/>
    <x v="0"/>
    <m/>
    <m/>
    <m/>
    <n v="1570"/>
    <n v="32"/>
    <n v="2"/>
    <s v="15703228"/>
    <s v="01_SE"/>
    <x v="0"/>
    <m/>
    <m/>
    <m/>
    <m/>
    <x v="0"/>
    <s v="Project"/>
    <x v="625"/>
    <x v="0"/>
    <x v="0"/>
    <s v="Exclude in HGB Group allocation"/>
  </r>
  <r>
    <s v="15703528"/>
    <m/>
    <x v="0"/>
    <x v="0"/>
    <m/>
    <m/>
    <m/>
    <n v="1570"/>
    <n v="35"/>
    <n v="2"/>
    <s v="15703528"/>
    <s v="01_SE"/>
    <x v="0"/>
    <m/>
    <m/>
    <m/>
    <m/>
    <x v="0"/>
    <s v="Project"/>
    <x v="626"/>
    <x v="0"/>
    <x v="0"/>
    <s v="Exclude in HGB Group allocation"/>
  </r>
  <r>
    <s v="15703628"/>
    <m/>
    <x v="0"/>
    <x v="0"/>
    <m/>
    <m/>
    <m/>
    <n v="1570"/>
    <n v="36"/>
    <n v="2"/>
    <s v="15703628"/>
    <s v="05_Shg"/>
    <x v="0"/>
    <m/>
    <m/>
    <m/>
    <m/>
    <x v="0"/>
    <s v="Project"/>
    <x v="627"/>
    <x v="0"/>
    <x v="21"/>
    <s v="Exclude in HGB Group allocation"/>
  </r>
  <r>
    <s v="0"/>
    <m/>
    <x v="0"/>
    <x v="0"/>
    <m/>
    <m/>
    <m/>
    <n v="1570"/>
    <n v="38"/>
    <n v="1"/>
    <m/>
    <s v="01_SE"/>
    <x v="4"/>
    <m/>
    <m/>
    <m/>
    <m/>
    <x v="0"/>
    <s v="Project"/>
    <x v="628"/>
    <x v="0"/>
    <x v="19"/>
    <s v="Exclude in HGB Group allocation"/>
  </r>
  <r>
    <s v="0"/>
    <m/>
    <x v="0"/>
    <x v="0"/>
    <m/>
    <m/>
    <m/>
    <n v="1574"/>
    <n v="2"/>
    <n v="2"/>
    <m/>
    <s v="05_Shg"/>
    <x v="0"/>
    <m/>
    <m/>
    <m/>
    <m/>
    <x v="0"/>
    <s v="Project"/>
    <x v="629"/>
    <x v="0"/>
    <x v="0"/>
    <s v="Exclude in HGB Group allocation"/>
  </r>
  <r>
    <s v="0"/>
    <m/>
    <x v="0"/>
    <x v="0"/>
    <m/>
    <m/>
    <m/>
    <n v="6123"/>
    <n v="2"/>
    <n v="2"/>
    <m/>
    <s v="07_Inc"/>
    <x v="0"/>
    <m/>
    <m/>
    <m/>
    <m/>
    <x v="0"/>
    <s v="Project"/>
    <x v="630"/>
    <x v="0"/>
    <x v="18"/>
    <s v="Exclude in HGB Group allocation"/>
  </r>
  <r>
    <s v="64050228"/>
    <m/>
    <x v="0"/>
    <x v="0"/>
    <m/>
    <m/>
    <m/>
    <n v="6405"/>
    <n v="2"/>
    <n v="2"/>
    <s v="64050228"/>
    <s v="09_Ltda"/>
    <x v="0"/>
    <m/>
    <m/>
    <m/>
    <m/>
    <x v="0"/>
    <s v="Project"/>
    <x v="631"/>
    <x v="0"/>
    <x v="21"/>
    <s v="Exclude in HGB Group allocation"/>
  </r>
  <r>
    <s v="60960243"/>
    <m/>
    <x v="0"/>
    <x v="0"/>
    <m/>
    <m/>
    <m/>
    <n v="6096"/>
    <n v="2"/>
    <n v="4"/>
    <s v="60960243"/>
    <s v="05_Shg"/>
    <x v="1"/>
    <m/>
    <m/>
    <m/>
    <m/>
    <x v="0"/>
    <s v="Project"/>
    <x v="632"/>
    <x v="0"/>
    <x v="1"/>
    <s v="Exclude in HGB Group allocation"/>
  </r>
  <r>
    <s v="99850711"/>
    <m/>
    <x v="0"/>
    <x v="0"/>
    <m/>
    <m/>
    <m/>
    <n v="9985"/>
    <n v="7"/>
    <n v="1"/>
    <s v="99850711"/>
    <s v="05_Shg"/>
    <x v="4"/>
    <m/>
    <m/>
    <m/>
    <m/>
    <x v="0"/>
    <s v="Project"/>
    <x v="633"/>
    <x v="0"/>
    <x v="18"/>
    <s v="Exclude in HGB Group allocation"/>
  </r>
  <r>
    <s v="99859311"/>
    <m/>
    <x v="0"/>
    <x v="0"/>
    <m/>
    <m/>
    <m/>
    <n v="9985"/>
    <n v="93"/>
    <n v="1"/>
    <s v="99859311"/>
    <s v="05_Shg"/>
    <x v="4"/>
    <m/>
    <m/>
    <m/>
    <m/>
    <x v="0"/>
    <s v="Project"/>
    <x v="634"/>
    <x v="0"/>
    <x v="18"/>
    <s v="Exclude in HGB Group allocation"/>
  </r>
  <r>
    <s v="0"/>
    <m/>
    <x v="0"/>
    <x v="0"/>
    <m/>
    <m/>
    <m/>
    <n v="6624"/>
    <n v="2"/>
    <n v="4"/>
    <m/>
    <s v="02_GmbH"/>
    <x v="1"/>
    <m/>
    <m/>
    <m/>
    <m/>
    <x v="0"/>
    <s v="Project"/>
    <x v="461"/>
    <x v="0"/>
    <x v="2"/>
    <s v="Exclude in HGB Group allocation"/>
  </r>
  <r>
    <s v="0"/>
    <m/>
    <x v="0"/>
    <x v="0"/>
    <m/>
    <m/>
    <m/>
    <n v="6121"/>
    <n v="2"/>
    <n v="2"/>
    <m/>
    <s v="09_Ltda"/>
    <x v="0"/>
    <m/>
    <m/>
    <m/>
    <m/>
    <x v="0"/>
    <s v="Project"/>
    <x v="635"/>
    <x v="0"/>
    <x v="0"/>
    <s v="Exclude in HGB Group allocation"/>
  </r>
  <r>
    <s v="0"/>
    <m/>
    <x v="0"/>
    <x v="0"/>
    <m/>
    <m/>
    <m/>
    <n v="7675"/>
    <n v="2"/>
    <n v="1"/>
    <m/>
    <s v="07_Inc"/>
    <x v="4"/>
    <m/>
    <m/>
    <m/>
    <m/>
    <x v="0"/>
    <s v="Project"/>
    <x v="636"/>
    <x v="0"/>
    <x v="18"/>
    <s v="Exclude in HGB Group allocation"/>
  </r>
  <r>
    <s v="0"/>
    <m/>
    <x v="0"/>
    <x v="0"/>
    <m/>
    <m/>
    <m/>
    <n v="6624"/>
    <n v="2"/>
    <n v="4"/>
    <m/>
    <s v="02_GmbH"/>
    <x v="1"/>
    <m/>
    <m/>
    <m/>
    <m/>
    <x v="0"/>
    <s v="Project"/>
    <x v="461"/>
    <x v="0"/>
    <x v="20"/>
    <s v="Exclude in HGB Group allocation"/>
  </r>
  <r>
    <s v="0"/>
    <m/>
    <x v="0"/>
    <x v="0"/>
    <m/>
    <m/>
    <m/>
    <n v="6627"/>
    <n v="2"/>
    <n v="2"/>
    <m/>
    <s v="07_Inc"/>
    <x v="0"/>
    <m/>
    <m/>
    <m/>
    <m/>
    <x v="0"/>
    <s v="Project"/>
    <x v="637"/>
    <x v="0"/>
    <x v="0"/>
    <s v="Exclude in HGB Group allocation"/>
  </r>
  <r>
    <s v="0"/>
    <m/>
    <x v="0"/>
    <x v="0"/>
    <m/>
    <m/>
    <m/>
    <n v="6630"/>
    <n v="4"/>
    <n v="2"/>
    <m/>
    <s v="01_SE"/>
    <x v="0"/>
    <m/>
    <m/>
    <m/>
    <m/>
    <x v="0"/>
    <s v="Project"/>
    <x v="638"/>
    <x v="0"/>
    <x v="0"/>
    <s v="Exclude in HGB Group allocation"/>
  </r>
  <r>
    <s v="0"/>
    <m/>
    <x v="0"/>
    <x v="0"/>
    <m/>
    <m/>
    <m/>
    <n v="6631"/>
    <n v="3"/>
    <n v="2"/>
    <m/>
    <s v="01_SE"/>
    <x v="0"/>
    <m/>
    <m/>
    <m/>
    <m/>
    <x v="0"/>
    <s v="Project"/>
    <x v="639"/>
    <x v="0"/>
    <x v="0"/>
    <s v="Exclude in HGB Group allocation"/>
  </r>
  <r>
    <s v="0"/>
    <m/>
    <x v="0"/>
    <x v="0"/>
    <m/>
    <m/>
    <m/>
    <n v="6646"/>
    <n v="19"/>
    <n v="2"/>
    <m/>
    <s v="05_Shg"/>
    <x v="0"/>
    <m/>
    <m/>
    <m/>
    <m/>
    <x v="0"/>
    <s v="Project"/>
    <x v="640"/>
    <x v="0"/>
    <x v="0"/>
    <s v="Exclude in HGB Group allocation"/>
  </r>
  <r>
    <s v="0"/>
    <m/>
    <x v="0"/>
    <x v="0"/>
    <m/>
    <m/>
    <m/>
    <n v="6646"/>
    <n v="20"/>
    <n v="2"/>
    <m/>
    <s v="05_Shg"/>
    <x v="0"/>
    <m/>
    <m/>
    <m/>
    <m/>
    <x v="0"/>
    <s v="Project"/>
    <x v="641"/>
    <x v="0"/>
    <x v="0"/>
    <s v="Exclude in HGB Group allocation"/>
  </r>
  <r>
    <s v="0"/>
    <m/>
    <x v="0"/>
    <x v="0"/>
    <m/>
    <m/>
    <m/>
    <n v="6646"/>
    <n v="21"/>
    <n v="2"/>
    <m/>
    <s v="07_Inc"/>
    <x v="0"/>
    <m/>
    <m/>
    <m/>
    <m/>
    <x v="0"/>
    <s v="Project"/>
    <x v="642"/>
    <x v="0"/>
    <x v="0"/>
    <s v="Exclude in HGB Group allocation"/>
  </r>
  <r>
    <s v="0"/>
    <m/>
    <x v="0"/>
    <x v="0"/>
    <m/>
    <m/>
    <m/>
    <n v="6646"/>
    <n v="22"/>
    <n v="2"/>
    <m/>
    <s v="05_Shg"/>
    <x v="0"/>
    <m/>
    <m/>
    <m/>
    <m/>
    <x v="0"/>
    <s v="Project"/>
    <x v="643"/>
    <x v="0"/>
    <x v="0"/>
    <s v="Exclude in HGB Group allocation"/>
  </r>
  <r>
    <s v="0"/>
    <m/>
    <x v="0"/>
    <x v="0"/>
    <m/>
    <m/>
    <m/>
    <n v="6646"/>
    <n v="24"/>
    <n v="2"/>
    <m/>
    <s v="05_Shg"/>
    <x v="0"/>
    <m/>
    <m/>
    <m/>
    <m/>
    <x v="0"/>
    <s v="Project"/>
    <x v="644"/>
    <x v="0"/>
    <x v="0"/>
    <s v="Exclude in HGB Group allocation"/>
  </r>
  <r>
    <s v="0"/>
    <m/>
    <x v="0"/>
    <x v="0"/>
    <m/>
    <m/>
    <m/>
    <n v="6646"/>
    <n v="25"/>
    <n v="2"/>
    <m/>
    <s v="05_Shg"/>
    <x v="0"/>
    <m/>
    <m/>
    <m/>
    <m/>
    <x v="0"/>
    <s v="Project"/>
    <x v="645"/>
    <x v="0"/>
    <x v="0"/>
    <s v="Exclude in HGB Group allocation"/>
  </r>
  <r>
    <s v="0"/>
    <m/>
    <x v="0"/>
    <x v="0"/>
    <m/>
    <m/>
    <m/>
    <n v="7674"/>
    <n v="2"/>
    <n v="1"/>
    <m/>
    <s v="01_SE"/>
    <x v="4"/>
    <m/>
    <m/>
    <m/>
    <m/>
    <x v="0"/>
    <s v="Project"/>
    <x v="646"/>
    <x v="0"/>
    <x v="21"/>
    <s v="Exclude in HGB Group allocation"/>
  </r>
  <r>
    <s v="0"/>
    <m/>
    <x v="0"/>
    <x v="0"/>
    <m/>
    <m/>
    <m/>
    <n v="2118"/>
    <n v="2"/>
    <n v="2"/>
    <m/>
    <s v="05_Shg"/>
    <x v="0"/>
    <m/>
    <m/>
    <m/>
    <m/>
    <x v="0"/>
    <s v="Project"/>
    <x v="647"/>
    <x v="0"/>
    <x v="0"/>
    <s v="Exclude in HGB Group allocation"/>
  </r>
  <r>
    <s v="0"/>
    <m/>
    <x v="0"/>
    <x v="0"/>
    <m/>
    <m/>
    <m/>
    <n v="2118"/>
    <n v="3"/>
    <n v="2"/>
    <m/>
    <s v="05_Shg"/>
    <x v="0"/>
    <m/>
    <m/>
    <m/>
    <m/>
    <x v="0"/>
    <s v="Project"/>
    <x v="648"/>
    <x v="0"/>
    <x v="0"/>
    <s v="Exclude in HGB Group allocation"/>
  </r>
  <r>
    <s v="0"/>
    <m/>
    <x v="0"/>
    <x v="0"/>
    <m/>
    <m/>
    <m/>
    <n v="2118"/>
    <n v="4"/>
    <n v="2"/>
    <m/>
    <s v="05_Shg"/>
    <x v="0"/>
    <m/>
    <m/>
    <m/>
    <m/>
    <x v="0"/>
    <s v="Project"/>
    <x v="649"/>
    <x v="0"/>
    <x v="0"/>
    <s v="Exclude in HGB Group allocation"/>
  </r>
  <r>
    <s v="79360228"/>
    <m/>
    <x v="0"/>
    <x v="0"/>
    <m/>
    <m/>
    <m/>
    <n v="7936"/>
    <n v="3"/>
    <n v="2"/>
    <s v="79360228"/>
    <s v="05_Shg"/>
    <x v="0"/>
    <m/>
    <m/>
    <m/>
    <m/>
    <x v="0"/>
    <s v="Project"/>
    <x v="650"/>
    <x v="0"/>
    <x v="0"/>
    <s v="Exclude in HGB Group allocation"/>
  </r>
  <r>
    <s v="0"/>
    <m/>
    <x v="0"/>
    <x v="0"/>
    <m/>
    <m/>
    <m/>
    <n v="7061"/>
    <n v="2"/>
    <n v="2"/>
    <m/>
    <s v="05_Shg"/>
    <x v="0"/>
    <m/>
    <m/>
    <m/>
    <m/>
    <x v="0"/>
    <s v="Project"/>
    <x v="651"/>
    <x v="0"/>
    <x v="0"/>
    <s v="Exclude in HGB Group allocation"/>
  </r>
  <r>
    <s v="0"/>
    <m/>
    <x v="0"/>
    <x v="0"/>
    <m/>
    <m/>
    <m/>
    <n v="6107"/>
    <n v="2"/>
    <n v="2"/>
    <m/>
    <s v="01_SE"/>
    <x v="0"/>
    <m/>
    <m/>
    <m/>
    <m/>
    <x v="0"/>
    <s v="Project"/>
    <x v="652"/>
    <x v="0"/>
    <x v="25"/>
    <s v="Exclude in HGB Group allocation"/>
  </r>
  <r>
    <s v="0"/>
    <m/>
    <x v="0"/>
    <x v="0"/>
    <m/>
    <m/>
    <m/>
    <n v="6107"/>
    <n v="3"/>
    <n v="2"/>
    <m/>
    <s v="01_SE"/>
    <x v="0"/>
    <m/>
    <m/>
    <m/>
    <m/>
    <x v="0"/>
    <s v="Project"/>
    <x v="653"/>
    <x v="0"/>
    <x v="0"/>
    <s v="Exclude in HGB Group allocation"/>
  </r>
  <r>
    <s v="0"/>
    <m/>
    <x v="0"/>
    <x v="0"/>
    <m/>
    <m/>
    <m/>
    <n v="6107"/>
    <n v="4"/>
    <n v="2"/>
    <m/>
    <s v="01_SE"/>
    <x v="0"/>
    <m/>
    <m/>
    <m/>
    <m/>
    <x v="0"/>
    <s v="Project"/>
    <x v="654"/>
    <x v="0"/>
    <x v="0"/>
    <s v="Exclude in HGB Group allocation"/>
  </r>
  <r>
    <s v="76580528"/>
    <m/>
    <x v="0"/>
    <x v="0"/>
    <m/>
    <m/>
    <m/>
    <n v="7658"/>
    <n v="5"/>
    <n v="2"/>
    <s v="76580528"/>
    <s v="05_Shg"/>
    <x v="0"/>
    <m/>
    <m/>
    <m/>
    <m/>
    <x v="0"/>
    <s v="Project"/>
    <x v="655"/>
    <x v="0"/>
    <x v="0"/>
    <s v="Exclude in HGB Group allocation"/>
  </r>
  <r>
    <s v="76580628"/>
    <m/>
    <x v="0"/>
    <x v="0"/>
    <m/>
    <m/>
    <m/>
    <n v="7658"/>
    <n v="6"/>
    <n v="2"/>
    <s v="76580628"/>
    <s v="05_Shg"/>
    <x v="0"/>
    <m/>
    <m/>
    <m/>
    <m/>
    <x v="0"/>
    <s v="Project"/>
    <x v="656"/>
    <x v="0"/>
    <x v="21"/>
    <s v="Exclude in HGB Group allocation"/>
  </r>
  <r>
    <s v="76590328"/>
    <m/>
    <x v="0"/>
    <x v="0"/>
    <m/>
    <m/>
    <m/>
    <n v="7659"/>
    <n v="3"/>
    <n v="2"/>
    <s v="76590328"/>
    <s v="05_Shg"/>
    <x v="0"/>
    <m/>
    <m/>
    <m/>
    <m/>
    <x v="0"/>
    <s v="Project"/>
    <x v="657"/>
    <x v="0"/>
    <x v="0"/>
    <s v="Exclude in HGB Group allocation"/>
  </r>
  <r>
    <s v="76590428"/>
    <m/>
    <x v="0"/>
    <x v="0"/>
    <m/>
    <m/>
    <m/>
    <n v="7659"/>
    <n v="4"/>
    <n v="2"/>
    <s v="76590428"/>
    <s v="05_Shg"/>
    <x v="0"/>
    <m/>
    <m/>
    <m/>
    <m/>
    <x v="0"/>
    <s v="Project"/>
    <x v="658"/>
    <x v="0"/>
    <x v="0"/>
    <s v="Exclude in HGB Group allocation"/>
  </r>
  <r>
    <s v="70580211"/>
    <m/>
    <x v="0"/>
    <x v="0"/>
    <m/>
    <m/>
    <m/>
    <n v="7058"/>
    <n v="2"/>
    <n v="1"/>
    <s v="70580211"/>
    <s v="05_Shg"/>
    <x v="4"/>
    <m/>
    <m/>
    <m/>
    <m/>
    <x v="0"/>
    <s v="Project"/>
    <x v="659"/>
    <x v="0"/>
    <x v="18"/>
    <s v="Exclude in HGB Group allocation"/>
  </r>
  <r>
    <s v="70590211"/>
    <m/>
    <x v="0"/>
    <x v="0"/>
    <m/>
    <m/>
    <m/>
    <n v="7059"/>
    <n v="2"/>
    <n v="1"/>
    <s v="70590211"/>
    <s v="05_Shg"/>
    <x v="4"/>
    <m/>
    <m/>
    <m/>
    <m/>
    <x v="0"/>
    <s v="Project"/>
    <x v="660"/>
    <x v="0"/>
    <x v="18"/>
    <s v="Exclude in HGB Group allocation"/>
  </r>
  <r>
    <s v="70590217"/>
    <m/>
    <x v="0"/>
    <x v="0"/>
    <m/>
    <m/>
    <m/>
    <n v="7059"/>
    <n v="2"/>
    <n v="1"/>
    <s v="70590217"/>
    <s v="05_Shg"/>
    <x v="4"/>
    <m/>
    <m/>
    <m/>
    <m/>
    <x v="0"/>
    <s v="Project"/>
    <x v="660"/>
    <x v="0"/>
    <x v="19"/>
    <s v="Exclude in HGB Group allocation"/>
  </r>
  <r>
    <s v="0"/>
    <m/>
    <x v="0"/>
    <x v="0"/>
    <m/>
    <m/>
    <m/>
    <n v="6647"/>
    <n v="2"/>
    <n v="4"/>
    <m/>
    <s v="07_Inc"/>
    <x v="1"/>
    <m/>
    <m/>
    <m/>
    <m/>
    <x v="0"/>
    <s v="Project"/>
    <x v="661"/>
    <x v="0"/>
    <x v="2"/>
    <s v="Exclude in HGB Group allocation"/>
  </r>
  <r>
    <s v="0"/>
    <m/>
    <x v="0"/>
    <x v="0"/>
    <m/>
    <m/>
    <m/>
    <n v="6649"/>
    <n v="7"/>
    <n v="2"/>
    <m/>
    <s v="01_SE"/>
    <x v="0"/>
    <m/>
    <m/>
    <m/>
    <m/>
    <x v="0"/>
    <s v="Project"/>
    <x v="662"/>
    <x v="0"/>
    <x v="0"/>
    <s v="Exclude in HGB Group allocation"/>
  </r>
  <r>
    <s v="0"/>
    <m/>
    <x v="0"/>
    <x v="0"/>
    <m/>
    <m/>
    <m/>
    <n v="7052"/>
    <n v="2"/>
    <n v="2"/>
    <m/>
    <s v="05_Shg"/>
    <x v="0"/>
    <m/>
    <m/>
    <m/>
    <m/>
    <x v="0"/>
    <s v="Project"/>
    <x v="663"/>
    <x v="0"/>
    <x v="0"/>
    <s v="Exclude in HGB Group allocation"/>
  </r>
  <r>
    <s v="76140228"/>
    <m/>
    <x v="0"/>
    <x v="0"/>
    <m/>
    <m/>
    <m/>
    <n v="7614"/>
    <n v="2"/>
    <n v="2"/>
    <s v="76140228"/>
    <s v="01_SE"/>
    <x v="0"/>
    <m/>
    <m/>
    <m/>
    <m/>
    <x v="0"/>
    <s v="Project"/>
    <x v="664"/>
    <x v="0"/>
    <x v="0"/>
    <s v="Exclude in HGB Group allocation"/>
  </r>
  <r>
    <s v="60180244"/>
    <m/>
    <x v="0"/>
    <x v="0"/>
    <m/>
    <m/>
    <m/>
    <n v="6018"/>
    <n v="2"/>
    <n v="4"/>
    <s v="60180244"/>
    <s v="02_GmbH"/>
    <x v="1"/>
    <m/>
    <m/>
    <m/>
    <m/>
    <x v="0"/>
    <s v="Project"/>
    <x v="665"/>
    <x v="0"/>
    <x v="2"/>
    <s v="Exclude in HGB Group allocation"/>
  </r>
  <r>
    <s v="0"/>
    <m/>
    <x v="0"/>
    <x v="0"/>
    <m/>
    <m/>
    <m/>
    <n v="2054"/>
    <n v="4"/>
    <n v="2"/>
    <m/>
    <s v="01_SE"/>
    <x v="0"/>
    <m/>
    <m/>
    <m/>
    <m/>
    <x v="0"/>
    <s v="Project"/>
    <x v="666"/>
    <x v="0"/>
    <x v="0"/>
    <s v="Exclude in HGB Group allocation"/>
  </r>
  <r>
    <s v="0"/>
    <m/>
    <x v="0"/>
    <x v="0"/>
    <m/>
    <m/>
    <m/>
    <n v="6649"/>
    <n v="8"/>
    <n v="2"/>
    <m/>
    <s v="16_digital"/>
    <x v="0"/>
    <m/>
    <m/>
    <m/>
    <m/>
    <x v="0"/>
    <s v="Project"/>
    <x v="667"/>
    <x v="0"/>
    <x v="25"/>
    <s v="Exclude in HGB Group allocation"/>
  </r>
  <r>
    <s v="0"/>
    <m/>
    <x v="0"/>
    <x v="0"/>
    <m/>
    <m/>
    <m/>
    <n v="6649"/>
    <n v="9"/>
    <n v="2"/>
    <m/>
    <s v="16_digital"/>
    <x v="0"/>
    <m/>
    <m/>
    <m/>
    <m/>
    <x v="0"/>
    <s v="Project"/>
    <x v="668"/>
    <x v="0"/>
    <x v="25"/>
    <s v="Exclude in HGB Group allocation"/>
  </r>
  <r>
    <s v="60370316"/>
    <m/>
    <x v="0"/>
    <x v="0"/>
    <m/>
    <m/>
    <m/>
    <n v="6037"/>
    <n v="3"/>
    <n v="1"/>
    <s v="60370316"/>
    <s v="07_Inc"/>
    <x v="4"/>
    <m/>
    <m/>
    <m/>
    <m/>
    <x v="0"/>
    <s v="Project"/>
    <x v="669"/>
    <x v="0"/>
    <x v="19"/>
    <s v="Exclude in HGB Group allocation"/>
  </r>
  <r>
    <s v="99869016"/>
    <m/>
    <x v="0"/>
    <x v="0"/>
    <m/>
    <m/>
    <m/>
    <n v="6037"/>
    <n v="3"/>
    <n v="1"/>
    <s v="99869016"/>
    <s v="07_Inc"/>
    <x v="4"/>
    <m/>
    <m/>
    <m/>
    <m/>
    <x v="0"/>
    <s v="Project"/>
    <x v="669"/>
    <x v="0"/>
    <x v="19"/>
    <s v="Exclude in HGB Group allocation"/>
  </r>
  <r>
    <s v="0"/>
    <m/>
    <x v="0"/>
    <x v="0"/>
    <m/>
    <m/>
    <m/>
    <n v="6040"/>
    <n v="7"/>
    <n v="1"/>
    <m/>
    <s v="07_Inc"/>
    <x v="4"/>
    <m/>
    <m/>
    <m/>
    <m/>
    <x v="0"/>
    <s v="Project"/>
    <x v="670"/>
    <x v="0"/>
    <x v="17"/>
    <s v="Exclude in HGB Group allocation"/>
  </r>
  <r>
    <s v="60400216"/>
    <m/>
    <x v="0"/>
    <x v="0"/>
    <m/>
    <m/>
    <m/>
    <n v="6040"/>
    <n v="2"/>
    <n v="1"/>
    <s v="60400216"/>
    <s v="07_Inc"/>
    <x v="4"/>
    <m/>
    <m/>
    <m/>
    <m/>
    <x v="0"/>
    <s v="Project"/>
    <x v="671"/>
    <x v="0"/>
    <x v="19"/>
    <s v="Exclude in HGB Group allocation"/>
  </r>
  <r>
    <s v="0"/>
    <m/>
    <x v="0"/>
    <x v="0"/>
    <m/>
    <m/>
    <m/>
    <n v="6040"/>
    <n v="4"/>
    <n v="1"/>
    <m/>
    <s v="07_Inc"/>
    <x v="4"/>
    <m/>
    <m/>
    <m/>
    <m/>
    <x v="0"/>
    <s v="Project"/>
    <x v="672"/>
    <x v="0"/>
    <x v="18"/>
    <s v="Exclude in HGB Group allocation"/>
  </r>
  <r>
    <s v="0"/>
    <m/>
    <x v="0"/>
    <x v="0"/>
    <m/>
    <m/>
    <m/>
    <n v="6040"/>
    <n v="5"/>
    <n v="1"/>
    <m/>
    <s v="07_Inc"/>
    <x v="4"/>
    <m/>
    <m/>
    <m/>
    <m/>
    <x v="0"/>
    <s v="Project"/>
    <x v="673"/>
    <x v="0"/>
    <x v="19"/>
    <s v="Exclude in HGB Group allocation"/>
  </r>
  <r>
    <s v="99868916"/>
    <m/>
    <x v="0"/>
    <x v="0"/>
    <m/>
    <m/>
    <m/>
    <n v="6040"/>
    <n v="2"/>
    <n v="1"/>
    <s v="99868916"/>
    <s v="07_Inc"/>
    <x v="4"/>
    <m/>
    <m/>
    <m/>
    <m/>
    <x v="0"/>
    <s v="Project"/>
    <x v="671"/>
    <x v="0"/>
    <x v="19"/>
    <s v="Exclude in HGB Group allocation"/>
  </r>
  <r>
    <s v="78022111"/>
    <m/>
    <x v="0"/>
    <x v="0"/>
    <m/>
    <m/>
    <m/>
    <n v="7802"/>
    <n v="21"/>
    <n v="1"/>
    <s v="78022111"/>
    <s v="01_SE"/>
    <x v="4"/>
    <m/>
    <m/>
    <m/>
    <m/>
    <x v="0"/>
    <s v="Project"/>
    <x v="674"/>
    <x v="0"/>
    <x v="18"/>
    <s v="Exclude in HGB Group allocation"/>
  </r>
  <r>
    <s v="99940511"/>
    <m/>
    <x v="0"/>
    <x v="0"/>
    <m/>
    <m/>
    <m/>
    <n v="7802"/>
    <n v="21"/>
    <n v="1"/>
    <s v="99940511"/>
    <s v="01_SE"/>
    <x v="4"/>
    <m/>
    <m/>
    <m/>
    <m/>
    <x v="0"/>
    <s v="Project"/>
    <x v="674"/>
    <x v="0"/>
    <x v="18"/>
    <s v="Exclude in HGB Group allocation"/>
  </r>
  <r>
    <s v="99620628"/>
    <m/>
    <x v="0"/>
    <x v="0"/>
    <m/>
    <m/>
    <m/>
    <n v="9962"/>
    <n v="6"/>
    <n v="2"/>
    <s v="99620628"/>
    <s v="07_Inc"/>
    <x v="0"/>
    <m/>
    <m/>
    <m/>
    <m/>
    <x v="0"/>
    <s v="Project"/>
    <x v="675"/>
    <x v="0"/>
    <x v="21"/>
    <s v="Exclude in HGB Group allocation"/>
  </r>
  <r>
    <s v="99869028"/>
    <m/>
    <x v="0"/>
    <x v="0"/>
    <m/>
    <m/>
    <m/>
    <n v="9986"/>
    <n v="90"/>
    <n v="2"/>
    <s v="99869028"/>
    <s v="07_Inc"/>
    <x v="0"/>
    <m/>
    <m/>
    <m/>
    <m/>
    <x v="0"/>
    <s v="Project"/>
    <x v="676"/>
    <x v="0"/>
    <x v="21"/>
    <s v="Exclude in HGB Group allocation"/>
  </r>
  <r>
    <s v="20960228"/>
    <m/>
    <x v="0"/>
    <x v="0"/>
    <m/>
    <m/>
    <m/>
    <n v="2096"/>
    <n v="2"/>
    <n v="2"/>
    <s v="20960228"/>
    <s v="16_digital"/>
    <x v="0"/>
    <m/>
    <m/>
    <m/>
    <m/>
    <x v="0"/>
    <s v="Project"/>
    <x v="677"/>
    <x v="0"/>
    <x v="0"/>
    <s v="Exclude in HGB Group allocation"/>
  </r>
  <r>
    <s v="20960428"/>
    <m/>
    <x v="0"/>
    <x v="0"/>
    <m/>
    <m/>
    <m/>
    <n v="2096"/>
    <n v="4"/>
    <n v="2"/>
    <s v="20960428"/>
    <s v="16_digital"/>
    <x v="0"/>
    <m/>
    <m/>
    <m/>
    <m/>
    <x v="0"/>
    <s v="Project"/>
    <x v="678"/>
    <x v="0"/>
    <x v="21"/>
    <s v="Exclude in HGB Group allocation"/>
  </r>
  <r>
    <s v="20970843"/>
    <m/>
    <x v="0"/>
    <x v="0"/>
    <m/>
    <m/>
    <m/>
    <n v="2097"/>
    <n v="8"/>
    <n v="4"/>
    <s v="20970843"/>
    <s v="05_Shg"/>
    <x v="1"/>
    <m/>
    <m/>
    <m/>
    <m/>
    <x v="0"/>
    <s v="Project"/>
    <x v="679"/>
    <x v="0"/>
    <x v="1"/>
    <s v="Exclude in HGB Group allocation"/>
  </r>
  <r>
    <s v="20970844"/>
    <m/>
    <x v="0"/>
    <x v="0"/>
    <m/>
    <m/>
    <m/>
    <n v="2097"/>
    <n v="8"/>
    <n v="4"/>
    <s v="20970844"/>
    <s v="05_Shg"/>
    <x v="1"/>
    <m/>
    <m/>
    <m/>
    <m/>
    <x v="0"/>
    <s v="Project"/>
    <x v="679"/>
    <x v="0"/>
    <x v="2"/>
    <s v="Exclude in HGB Group allocation"/>
  </r>
  <r>
    <s v="20970847"/>
    <m/>
    <x v="0"/>
    <x v="0"/>
    <m/>
    <m/>
    <m/>
    <n v="2097"/>
    <n v="8"/>
    <n v="4"/>
    <s v="20970847"/>
    <s v="05_Shg"/>
    <x v="1"/>
    <m/>
    <m/>
    <m/>
    <m/>
    <x v="0"/>
    <s v="Project"/>
    <x v="679"/>
    <x v="0"/>
    <x v="20"/>
    <s v="Exclude in HGB Group allocation"/>
  </r>
  <r>
    <s v="20970849"/>
    <m/>
    <x v="0"/>
    <x v="0"/>
    <m/>
    <m/>
    <m/>
    <n v="2097"/>
    <n v="8"/>
    <n v="4"/>
    <s v="20970849"/>
    <s v="05_Shg"/>
    <x v="1"/>
    <m/>
    <m/>
    <m/>
    <m/>
    <x v="0"/>
    <s v="Project"/>
    <x v="679"/>
    <x v="0"/>
    <x v="24"/>
    <s v="Exclude in HGB Group allocation"/>
  </r>
  <r>
    <s v="20981712"/>
    <m/>
    <x v="0"/>
    <x v="0"/>
    <m/>
    <m/>
    <m/>
    <n v="2098"/>
    <n v="17"/>
    <n v="1"/>
    <s v="20981712"/>
    <s v="01_SE"/>
    <x v="4"/>
    <m/>
    <m/>
    <m/>
    <m/>
    <x v="0"/>
    <s v="Project"/>
    <x v="680"/>
    <x v="0"/>
    <x v="18"/>
    <s v="Exclude in HGB Group allocation"/>
  </r>
  <r>
    <s v="0"/>
    <m/>
    <x v="0"/>
    <x v="0"/>
    <m/>
    <m/>
    <m/>
    <n v="2099"/>
    <n v="8"/>
    <n v="2"/>
    <m/>
    <s v="07_Inc"/>
    <x v="0"/>
    <m/>
    <m/>
    <m/>
    <m/>
    <x v="0"/>
    <s v="Project"/>
    <x v="681"/>
    <x v="0"/>
    <x v="0"/>
    <s v="Exclude in HGB Group allocation"/>
  </r>
  <r>
    <s v="20990428"/>
    <m/>
    <x v="0"/>
    <x v="0"/>
    <m/>
    <m/>
    <m/>
    <n v="2099"/>
    <n v="4"/>
    <n v="2"/>
    <s v="20990428"/>
    <s v="16_digital"/>
    <x v="0"/>
    <m/>
    <m/>
    <m/>
    <m/>
    <x v="0"/>
    <s v="Project"/>
    <x v="682"/>
    <x v="0"/>
    <x v="0"/>
    <s v="Exclude in HGB Group allocation"/>
  </r>
  <r>
    <s v="20990628"/>
    <m/>
    <x v="0"/>
    <x v="0"/>
    <m/>
    <m/>
    <m/>
    <n v="2099"/>
    <n v="6"/>
    <n v="2"/>
    <s v="20990628"/>
    <s v="16_digital"/>
    <x v="0"/>
    <m/>
    <m/>
    <m/>
    <m/>
    <x v="0"/>
    <s v="Project"/>
    <x v="683"/>
    <x v="0"/>
    <x v="0"/>
    <s v="Exclude in HGB Group allocation"/>
  </r>
  <r>
    <s v="20990728"/>
    <m/>
    <x v="0"/>
    <x v="0"/>
    <m/>
    <m/>
    <m/>
    <n v="2099"/>
    <n v="7"/>
    <n v="2"/>
    <s v="20990728"/>
    <s v="07_Inc"/>
    <x v="0"/>
    <m/>
    <m/>
    <m/>
    <m/>
    <x v="0"/>
    <s v="Project"/>
    <x v="684"/>
    <x v="0"/>
    <x v="21"/>
    <s v="Exclude in HGB Group allocation"/>
  </r>
  <r>
    <s v="99846713"/>
    <m/>
    <x v="0"/>
    <x v="0"/>
    <m/>
    <m/>
    <m/>
    <n v="9984"/>
    <n v="67"/>
    <n v="1"/>
    <s v="99846713"/>
    <s v="01_SE"/>
    <x v="4"/>
    <m/>
    <m/>
    <m/>
    <m/>
    <x v="0"/>
    <s v="Project"/>
    <x v="685"/>
    <x v="0"/>
    <x v="17"/>
    <s v="Exclude in HGB Group allocation"/>
  </r>
  <r>
    <s v="99843711"/>
    <m/>
    <x v="0"/>
    <x v="0"/>
    <m/>
    <m/>
    <m/>
    <n v="9985"/>
    <n v="75"/>
    <n v="1"/>
    <s v="99843711"/>
    <s v="05_Shg"/>
    <x v="4"/>
    <m/>
    <m/>
    <m/>
    <m/>
    <x v="0"/>
    <s v="Project"/>
    <x v="686"/>
    <x v="0"/>
    <x v="18"/>
    <s v="Exclude in HGB Group allocation"/>
  </r>
  <r>
    <s v="99857511"/>
    <m/>
    <x v="0"/>
    <x v="0"/>
    <m/>
    <m/>
    <m/>
    <n v="9985"/>
    <n v="75"/>
    <n v="1"/>
    <s v="99857511"/>
    <s v="05_Shg"/>
    <x v="4"/>
    <m/>
    <m/>
    <m/>
    <m/>
    <x v="0"/>
    <s v="Project"/>
    <x v="686"/>
    <x v="0"/>
    <x v="18"/>
    <s v="Exclude in HGB Group allocation"/>
  </r>
  <r>
    <s v="99857611"/>
    <m/>
    <x v="0"/>
    <x v="0"/>
    <m/>
    <m/>
    <m/>
    <n v="9985"/>
    <n v="76"/>
    <n v="1"/>
    <s v="99857611"/>
    <s v="05_Shg"/>
    <x v="4"/>
    <m/>
    <m/>
    <m/>
    <m/>
    <x v="0"/>
    <s v="Project"/>
    <x v="687"/>
    <x v="0"/>
    <x v="18"/>
    <s v="Exclude in HGB Group allocation"/>
  </r>
  <r>
    <s v="0"/>
    <m/>
    <x v="0"/>
    <x v="0"/>
    <m/>
    <m/>
    <m/>
    <n v="2031"/>
    <n v="6"/>
    <n v="2"/>
    <m/>
    <s v="01_SE"/>
    <x v="0"/>
    <m/>
    <m/>
    <m/>
    <m/>
    <x v="0"/>
    <s v="Project"/>
    <x v="688"/>
    <x v="0"/>
    <x v="0"/>
    <s v="Exclude in HGB Group allocation"/>
  </r>
  <r>
    <s v="0"/>
    <m/>
    <x v="0"/>
    <x v="0"/>
    <m/>
    <m/>
    <m/>
    <n v="2031"/>
    <n v="7"/>
    <n v="2"/>
    <m/>
    <s v="01_SE"/>
    <x v="0"/>
    <m/>
    <m/>
    <m/>
    <m/>
    <x v="0"/>
    <s v="Project"/>
    <x v="689"/>
    <x v="0"/>
    <x v="0"/>
    <s v="Exclude in HGB Group allocation"/>
  </r>
  <r>
    <s v="0"/>
    <m/>
    <x v="0"/>
    <x v="0"/>
    <m/>
    <m/>
    <m/>
    <n v="2031"/>
    <n v="8"/>
    <n v="2"/>
    <m/>
    <s v="01_SE"/>
    <x v="0"/>
    <m/>
    <m/>
    <m/>
    <m/>
    <x v="0"/>
    <s v="Project"/>
    <x v="690"/>
    <x v="0"/>
    <x v="0"/>
    <s v="Exclude in HGB Group allocation"/>
  </r>
  <r>
    <s v="0"/>
    <m/>
    <x v="0"/>
    <x v="0"/>
    <m/>
    <m/>
    <m/>
    <n v="2031"/>
    <n v="9"/>
    <n v="2"/>
    <m/>
    <s v="01_SE"/>
    <x v="0"/>
    <m/>
    <m/>
    <m/>
    <m/>
    <x v="0"/>
    <s v="Project"/>
    <x v="691"/>
    <x v="0"/>
    <x v="25"/>
    <s v="Exclude in HGB Group allocation"/>
  </r>
  <r>
    <s v="20310328"/>
    <m/>
    <x v="0"/>
    <x v="0"/>
    <m/>
    <m/>
    <m/>
    <n v="2031"/>
    <n v="3"/>
    <n v="2"/>
    <s v="20310328"/>
    <s v="16_digital"/>
    <x v="0"/>
    <m/>
    <m/>
    <m/>
    <m/>
    <x v="0"/>
    <s v="Project"/>
    <x v="692"/>
    <x v="0"/>
    <x v="21"/>
    <s v="Exclude in HGB Group allocation"/>
  </r>
  <r>
    <s v="20310428"/>
    <m/>
    <x v="0"/>
    <x v="0"/>
    <m/>
    <m/>
    <m/>
    <n v="2031"/>
    <n v="4"/>
    <n v="2"/>
    <s v="20310428"/>
    <s v="01_SE"/>
    <x v="0"/>
    <m/>
    <m/>
    <m/>
    <m/>
    <x v="0"/>
    <s v="Project"/>
    <x v="693"/>
    <x v="0"/>
    <x v="0"/>
    <s v="Exclude in HGB Group allocation"/>
  </r>
  <r>
    <s v="20310528"/>
    <m/>
    <x v="0"/>
    <x v="0"/>
    <m/>
    <m/>
    <m/>
    <n v="2031"/>
    <n v="5"/>
    <n v="2"/>
    <s v="20310528"/>
    <s v="01_SE"/>
    <x v="0"/>
    <m/>
    <m/>
    <m/>
    <m/>
    <x v="0"/>
    <s v="Project"/>
    <x v="694"/>
    <x v="0"/>
    <x v="0"/>
    <s v="Exclude in HGB Group allocation"/>
  </r>
  <r>
    <s v="31220243"/>
    <m/>
    <x v="0"/>
    <x v="0"/>
    <m/>
    <m/>
    <m/>
    <n v="3122"/>
    <n v="2"/>
    <n v="4"/>
    <s v="31220243"/>
    <s v="05_Shg"/>
    <x v="1"/>
    <m/>
    <m/>
    <m/>
    <m/>
    <x v="0"/>
    <s v="Project"/>
    <x v="695"/>
    <x v="0"/>
    <x v="1"/>
    <s v="Exclude in HGB Group allocation"/>
  </r>
  <r>
    <s v="99845911"/>
    <m/>
    <x v="0"/>
    <x v="0"/>
    <m/>
    <m/>
    <m/>
    <n v="9985"/>
    <n v="88"/>
    <n v="1"/>
    <s v="99845911"/>
    <s v="05_Shg"/>
    <x v="4"/>
    <m/>
    <m/>
    <m/>
    <m/>
    <x v="0"/>
    <s v="Project"/>
    <x v="696"/>
    <x v="0"/>
    <x v="18"/>
    <s v="Exclude in HGB Group allocation"/>
  </r>
  <r>
    <s v="99858811"/>
    <m/>
    <x v="0"/>
    <x v="0"/>
    <m/>
    <m/>
    <m/>
    <n v="9985"/>
    <n v="88"/>
    <n v="1"/>
    <s v="99858811"/>
    <s v="05_Shg"/>
    <x v="4"/>
    <m/>
    <m/>
    <m/>
    <m/>
    <x v="0"/>
    <s v="Project"/>
    <x v="696"/>
    <x v="0"/>
    <x v="18"/>
    <s v="Exclude in HGB Group allocation"/>
  </r>
  <r>
    <s v="0"/>
    <m/>
    <x v="0"/>
    <x v="0"/>
    <m/>
    <m/>
    <m/>
    <n v="2023"/>
    <n v="3"/>
    <n v="2"/>
    <m/>
    <s v="07_Inc"/>
    <x v="0"/>
    <m/>
    <m/>
    <m/>
    <m/>
    <x v="0"/>
    <s v="Project"/>
    <x v="697"/>
    <x v="0"/>
    <x v="0"/>
    <s v="Exclude in HGB Group allocation"/>
  </r>
  <r>
    <s v="0"/>
    <m/>
    <x v="0"/>
    <x v="0"/>
    <m/>
    <m/>
    <m/>
    <n v="6113"/>
    <n v="2"/>
    <n v="2"/>
    <m/>
    <s v="09_Ltda"/>
    <x v="0"/>
    <m/>
    <m/>
    <m/>
    <m/>
    <x v="0"/>
    <s v="Project"/>
    <x v="698"/>
    <x v="0"/>
    <x v="0"/>
    <s v="Exclude in HGB Group allocation"/>
  </r>
  <r>
    <s v="70260528"/>
    <m/>
    <x v="0"/>
    <x v="0"/>
    <m/>
    <m/>
    <m/>
    <n v="7026"/>
    <n v="5"/>
    <n v="2"/>
    <s v="70260528"/>
    <s v="01_SE"/>
    <x v="0"/>
    <m/>
    <m/>
    <m/>
    <m/>
    <x v="0"/>
    <s v="Project"/>
    <x v="699"/>
    <x v="0"/>
    <x v="0"/>
    <s v="Exclude in HGB Group allocation"/>
  </r>
  <r>
    <s v="70260628"/>
    <m/>
    <x v="0"/>
    <x v="0"/>
    <m/>
    <m/>
    <m/>
    <n v="7026"/>
    <n v="6"/>
    <n v="2"/>
    <s v="70260628"/>
    <s v="01_SE"/>
    <x v="0"/>
    <m/>
    <m/>
    <m/>
    <m/>
    <x v="0"/>
    <s v="Project"/>
    <x v="700"/>
    <x v="0"/>
    <x v="0"/>
    <s v="Exclude in HGB Group allocation"/>
  </r>
  <r>
    <s v="75340228"/>
    <m/>
    <x v="0"/>
    <x v="0"/>
    <m/>
    <m/>
    <m/>
    <n v="7534"/>
    <n v="2"/>
    <n v="2"/>
    <s v="75340228"/>
    <s v="01_SE"/>
    <x v="0"/>
    <m/>
    <m/>
    <m/>
    <m/>
    <x v="0"/>
    <s v="Project"/>
    <x v="701"/>
    <x v="0"/>
    <x v="0"/>
    <s v="Exclude in HGB Group allocation"/>
  </r>
  <r>
    <s v="99963428"/>
    <m/>
    <x v="0"/>
    <x v="0"/>
    <m/>
    <m/>
    <m/>
    <n v="7534"/>
    <n v="2"/>
    <n v="2"/>
    <s v="99963428"/>
    <s v="01_SE"/>
    <x v="0"/>
    <m/>
    <m/>
    <m/>
    <m/>
    <x v="0"/>
    <s v="Project"/>
    <x v="701"/>
    <x v="0"/>
    <x v="21"/>
    <s v="Exclude in HGB Group allocation"/>
  </r>
  <r>
    <s v="0"/>
    <m/>
    <x v="0"/>
    <x v="0"/>
    <m/>
    <m/>
    <m/>
    <n v="8807"/>
    <n v="2"/>
    <n v="4"/>
    <m/>
    <s v="02_GmbH"/>
    <x v="1"/>
    <m/>
    <m/>
    <m/>
    <m/>
    <x v="0"/>
    <s v="Project"/>
    <x v="702"/>
    <x v="0"/>
    <x v="23"/>
    <s v="Exclude in HGB Group allocation"/>
  </r>
  <r>
    <s v="0"/>
    <m/>
    <x v="0"/>
    <x v="0"/>
    <m/>
    <m/>
    <m/>
    <n v="8807"/>
    <n v="3"/>
    <n v="4"/>
    <m/>
    <s v="02_GmbH"/>
    <x v="1"/>
    <m/>
    <m/>
    <m/>
    <m/>
    <x v="0"/>
    <s v="Project"/>
    <x v="703"/>
    <x v="0"/>
    <x v="23"/>
    <s v="Exclude in HGB Group allocation"/>
  </r>
  <r>
    <s v="0"/>
    <m/>
    <x v="0"/>
    <x v="0"/>
    <m/>
    <m/>
    <m/>
    <n v="8807"/>
    <n v="3"/>
    <n v="4"/>
    <m/>
    <s v="02_GmbH"/>
    <x v="1"/>
    <m/>
    <m/>
    <m/>
    <m/>
    <x v="0"/>
    <s v="Project"/>
    <x v="703"/>
    <x v="0"/>
    <x v="1"/>
    <s v="Exclude in HGB Group allocation"/>
  </r>
  <r>
    <s v="0"/>
    <m/>
    <x v="0"/>
    <x v="0"/>
    <m/>
    <m/>
    <m/>
    <n v="8807"/>
    <n v="3"/>
    <n v="4"/>
    <m/>
    <s v="02_GmbH"/>
    <x v="1"/>
    <m/>
    <m/>
    <m/>
    <m/>
    <x v="0"/>
    <s v="Project"/>
    <x v="703"/>
    <x v="0"/>
    <x v="2"/>
    <s v="Exclude in HGB Group allocation"/>
  </r>
  <r>
    <s v="0"/>
    <m/>
    <x v="0"/>
    <x v="0"/>
    <m/>
    <m/>
    <m/>
    <n v="8807"/>
    <n v="3"/>
    <n v="4"/>
    <m/>
    <s v="02_GmbH"/>
    <x v="1"/>
    <m/>
    <m/>
    <m/>
    <m/>
    <x v="0"/>
    <s v="Project"/>
    <x v="703"/>
    <x v="0"/>
    <x v="20"/>
    <s v="Exclude in HGB Group allocation"/>
  </r>
  <r>
    <s v="99633111"/>
    <m/>
    <x v="0"/>
    <x v="0"/>
    <m/>
    <m/>
    <m/>
    <n v="9963"/>
    <n v="31"/>
    <n v="1"/>
    <s v="99633111"/>
    <s v="01_SE"/>
    <x v="4"/>
    <m/>
    <m/>
    <m/>
    <m/>
    <x v="0"/>
    <s v="Project"/>
    <x v="704"/>
    <x v="0"/>
    <x v="18"/>
    <s v="Exclude in HGB Group allocation"/>
  </r>
  <r>
    <s v="99633213"/>
    <m/>
    <x v="0"/>
    <x v="0"/>
    <m/>
    <m/>
    <m/>
    <n v="9963"/>
    <n v="32"/>
    <n v="1"/>
    <s v="99633213"/>
    <s v="01_SE"/>
    <x v="4"/>
    <m/>
    <m/>
    <m/>
    <m/>
    <x v="0"/>
    <s v="Project"/>
    <x v="705"/>
    <x v="0"/>
    <x v="17"/>
    <s v="Exclude in HGB Group allocation"/>
  </r>
  <r>
    <s v="99633313"/>
    <m/>
    <x v="0"/>
    <x v="0"/>
    <m/>
    <m/>
    <m/>
    <n v="9963"/>
    <n v="33"/>
    <n v="1"/>
    <s v="99633313"/>
    <s v="01_SE"/>
    <x v="4"/>
    <m/>
    <m/>
    <m/>
    <m/>
    <x v="0"/>
    <s v="Project"/>
    <x v="706"/>
    <x v="0"/>
    <x v="17"/>
    <s v="Exclude in HGB Group allocation"/>
  </r>
  <r>
    <s v="99633411"/>
    <m/>
    <x v="0"/>
    <x v="0"/>
    <m/>
    <m/>
    <m/>
    <n v="9963"/>
    <n v="34"/>
    <n v="1"/>
    <s v="99633411"/>
    <s v="01_SE"/>
    <x v="4"/>
    <m/>
    <m/>
    <m/>
    <m/>
    <x v="0"/>
    <s v="Project"/>
    <x v="707"/>
    <x v="0"/>
    <x v="18"/>
    <s v="Exclude in HGB Group allocation"/>
  </r>
  <r>
    <s v="99633513"/>
    <m/>
    <x v="0"/>
    <x v="0"/>
    <m/>
    <m/>
    <m/>
    <n v="9963"/>
    <n v="35"/>
    <n v="1"/>
    <s v="99633513"/>
    <s v="01_SE"/>
    <x v="4"/>
    <m/>
    <m/>
    <m/>
    <m/>
    <x v="0"/>
    <s v="Project"/>
    <x v="708"/>
    <x v="0"/>
    <x v="17"/>
    <s v="Exclude in HGB Group allocation"/>
  </r>
  <r>
    <s v="99633611"/>
    <m/>
    <x v="0"/>
    <x v="0"/>
    <m/>
    <m/>
    <m/>
    <n v="9963"/>
    <n v="36"/>
    <n v="1"/>
    <s v="99633611"/>
    <s v="01_SE"/>
    <x v="4"/>
    <m/>
    <m/>
    <m/>
    <m/>
    <x v="0"/>
    <s v="Project"/>
    <x v="709"/>
    <x v="0"/>
    <x v="18"/>
    <s v="Exclude in HGB Group allocation"/>
  </r>
  <r>
    <s v="99633711"/>
    <m/>
    <x v="0"/>
    <x v="0"/>
    <m/>
    <m/>
    <m/>
    <n v="9963"/>
    <n v="37"/>
    <n v="1"/>
    <s v="99633711"/>
    <s v="01_SE"/>
    <x v="4"/>
    <m/>
    <m/>
    <m/>
    <m/>
    <x v="0"/>
    <s v="Project"/>
    <x v="710"/>
    <x v="0"/>
    <x v="18"/>
    <s v="Exclude in HGB Group allocation"/>
  </r>
  <r>
    <s v="99633716"/>
    <m/>
    <x v="0"/>
    <x v="0"/>
    <m/>
    <m/>
    <m/>
    <n v="9963"/>
    <n v="37"/>
    <n v="1"/>
    <s v="99633716"/>
    <s v="01_SE"/>
    <x v="4"/>
    <m/>
    <m/>
    <m/>
    <m/>
    <x v="0"/>
    <s v="Project"/>
    <x v="710"/>
    <x v="0"/>
    <x v="19"/>
    <s v="Exclude in HGB Group allocation"/>
  </r>
  <r>
    <s v="99634013"/>
    <m/>
    <x v="0"/>
    <x v="0"/>
    <m/>
    <m/>
    <m/>
    <n v="9963"/>
    <n v="40"/>
    <n v="1"/>
    <s v="99634013"/>
    <s v="01_SE"/>
    <x v="4"/>
    <m/>
    <m/>
    <m/>
    <m/>
    <x v="0"/>
    <s v="Project"/>
    <x v="711"/>
    <x v="0"/>
    <x v="17"/>
    <s v="Exclude in HGB Group allocation"/>
  </r>
  <r>
    <s v="99634111"/>
    <m/>
    <x v="0"/>
    <x v="0"/>
    <m/>
    <m/>
    <m/>
    <n v="9963"/>
    <n v="41"/>
    <n v="1"/>
    <s v="99634111"/>
    <s v="01_SE"/>
    <x v="4"/>
    <m/>
    <m/>
    <m/>
    <m/>
    <x v="0"/>
    <s v="Project"/>
    <x v="712"/>
    <x v="0"/>
    <x v="18"/>
    <s v="Exclude in HGB Group allocation"/>
  </r>
  <r>
    <s v="60600128"/>
    <m/>
    <x v="0"/>
    <x v="0"/>
    <m/>
    <m/>
    <m/>
    <n v="6060"/>
    <n v="1"/>
    <n v="2"/>
    <s v="60600128"/>
    <s v="01_SE"/>
    <x v="0"/>
    <m/>
    <m/>
    <m/>
    <m/>
    <x v="0"/>
    <s v="Project"/>
    <x v="713"/>
    <x v="0"/>
    <x v="0"/>
    <s v="Exclude in HGB Group allocation"/>
  </r>
  <r>
    <s v="60600228"/>
    <m/>
    <x v="0"/>
    <x v="0"/>
    <m/>
    <m/>
    <m/>
    <n v="6060"/>
    <n v="2"/>
    <n v="2"/>
    <s v="60600228"/>
    <s v="01_SE"/>
    <x v="0"/>
    <m/>
    <m/>
    <m/>
    <m/>
    <x v="0"/>
    <s v="Project"/>
    <x v="714"/>
    <x v="0"/>
    <x v="0"/>
    <s v="Exclude in HGB Group allocation"/>
  </r>
  <r>
    <s v="60600328"/>
    <m/>
    <x v="0"/>
    <x v="0"/>
    <m/>
    <m/>
    <m/>
    <n v="6060"/>
    <n v="3"/>
    <n v="2"/>
    <s v="60600328"/>
    <s v="01_SE"/>
    <x v="0"/>
    <m/>
    <m/>
    <m/>
    <m/>
    <x v="0"/>
    <s v="Project"/>
    <x v="715"/>
    <x v="0"/>
    <x v="0"/>
    <s v="Exclude in HGB Group allocation"/>
  </r>
  <r>
    <s v="0"/>
    <m/>
    <x v="0"/>
    <x v="0"/>
    <m/>
    <m/>
    <m/>
    <n v="6649"/>
    <n v="10"/>
    <n v="2"/>
    <m/>
    <s v="01_SE"/>
    <x v="0"/>
    <m/>
    <m/>
    <m/>
    <m/>
    <x v="0"/>
    <s v="Project"/>
    <x v="716"/>
    <x v="0"/>
    <x v="0"/>
    <s v="Exclude in HGB Group allocation"/>
  </r>
  <r>
    <s v="0"/>
    <m/>
    <x v="0"/>
    <x v="0"/>
    <m/>
    <m/>
    <m/>
    <n v="6649"/>
    <n v="11"/>
    <n v="2"/>
    <m/>
    <s v="01_SE"/>
    <x v="0"/>
    <m/>
    <m/>
    <m/>
    <m/>
    <x v="0"/>
    <s v="Project"/>
    <x v="717"/>
    <x v="0"/>
    <x v="25"/>
    <s v="Exclude in HGB Group allocation"/>
  </r>
  <r>
    <s v="99847011"/>
    <m/>
    <x v="0"/>
    <x v="0"/>
    <m/>
    <m/>
    <m/>
    <n v="9985"/>
    <n v="16"/>
    <n v="1"/>
    <s v="99847011"/>
    <s v="05_Shg"/>
    <x v="4"/>
    <m/>
    <m/>
    <m/>
    <m/>
    <x v="0"/>
    <s v="Project"/>
    <x v="718"/>
    <x v="0"/>
    <x v="18"/>
    <s v="Exclude in HGB Group allocation"/>
  </r>
  <r>
    <s v="99847111"/>
    <m/>
    <x v="0"/>
    <x v="0"/>
    <m/>
    <m/>
    <m/>
    <n v="9985"/>
    <n v="17"/>
    <n v="1"/>
    <s v="99847111"/>
    <s v="05_Shg"/>
    <x v="4"/>
    <m/>
    <m/>
    <m/>
    <m/>
    <x v="0"/>
    <s v="Project"/>
    <x v="719"/>
    <x v="0"/>
    <x v="18"/>
    <s v="Exclude in HGB Group allocation"/>
  </r>
  <r>
    <s v="99851611"/>
    <m/>
    <x v="0"/>
    <x v="0"/>
    <m/>
    <m/>
    <m/>
    <n v="9985"/>
    <n v="16"/>
    <n v="1"/>
    <s v="99851611"/>
    <s v="05_Shg"/>
    <x v="4"/>
    <m/>
    <m/>
    <m/>
    <m/>
    <x v="0"/>
    <s v="Project"/>
    <x v="718"/>
    <x v="0"/>
    <x v="18"/>
    <s v="Exclude in HGB Group allocation"/>
  </r>
  <r>
    <s v="99851711"/>
    <m/>
    <x v="0"/>
    <x v="0"/>
    <m/>
    <m/>
    <m/>
    <n v="9985"/>
    <n v="17"/>
    <n v="1"/>
    <s v="99851711"/>
    <s v="05_Shg"/>
    <x v="4"/>
    <m/>
    <m/>
    <m/>
    <m/>
    <x v="0"/>
    <s v="Project"/>
    <x v="719"/>
    <x v="0"/>
    <x v="18"/>
    <s v="Exclude in HGB Group allocation"/>
  </r>
  <r>
    <s v="0"/>
    <m/>
    <x v="0"/>
    <x v="0"/>
    <m/>
    <m/>
    <m/>
    <n v="6415"/>
    <n v="3"/>
    <n v="2"/>
    <m/>
    <s v="11_FR"/>
    <x v="0"/>
    <m/>
    <m/>
    <m/>
    <m/>
    <x v="0"/>
    <s v="Project"/>
    <x v="720"/>
    <x v="0"/>
    <x v="0"/>
    <s v="Exclude in HGB Group allocation"/>
  </r>
  <r>
    <s v="0"/>
    <m/>
    <x v="0"/>
    <x v="0"/>
    <m/>
    <m/>
    <m/>
    <n v="6415"/>
    <n v="2"/>
    <n v="2"/>
    <m/>
    <s v="11_FR"/>
    <x v="0"/>
    <m/>
    <m/>
    <m/>
    <m/>
    <x v="0"/>
    <s v="Project"/>
    <x v="721"/>
    <x v="0"/>
    <x v="0"/>
    <s v="Exclude in HGB Group allocation"/>
  </r>
  <r>
    <s v="12010128"/>
    <m/>
    <x v="0"/>
    <x v="0"/>
    <m/>
    <m/>
    <m/>
    <n v="1201"/>
    <n v="1"/>
    <n v="2"/>
    <s v="12010128"/>
    <s v="01_SE"/>
    <x v="0"/>
    <m/>
    <m/>
    <m/>
    <m/>
    <x v="0"/>
    <s v="Project"/>
    <x v="722"/>
    <x v="0"/>
    <x v="0"/>
    <s v="Exclude in HGB Group allocation"/>
  </r>
  <r>
    <s v="12019928"/>
    <m/>
    <x v="0"/>
    <x v="0"/>
    <m/>
    <m/>
    <m/>
    <n v="1201"/>
    <n v="99"/>
    <n v="2"/>
    <n v="12019928"/>
    <s v="01_SE"/>
    <x v="0"/>
    <m/>
    <m/>
    <m/>
    <m/>
    <x v="0"/>
    <s v="Project"/>
    <x v="723"/>
    <x v="0"/>
    <x v="0"/>
    <m/>
  </r>
  <r>
    <s v="0"/>
    <m/>
    <x v="0"/>
    <x v="0"/>
    <m/>
    <m/>
    <m/>
    <n v="1203"/>
    <n v="1"/>
    <n v="2"/>
    <m/>
    <s v="01_SE"/>
    <x v="0"/>
    <m/>
    <m/>
    <m/>
    <m/>
    <x v="0"/>
    <s v="Project"/>
    <x v="724"/>
    <x v="0"/>
    <x v="0"/>
    <s v="Exclude in HGB Group allocation"/>
  </r>
  <r>
    <s v="13328628"/>
    <m/>
    <x v="0"/>
    <x v="0"/>
    <m/>
    <m/>
    <m/>
    <n v="1332"/>
    <n v="86"/>
    <n v="2"/>
    <s v="13328628"/>
    <s v="01_SE"/>
    <x v="0"/>
    <m/>
    <m/>
    <m/>
    <m/>
    <x v="0"/>
    <s v="Project"/>
    <x v="725"/>
    <x v="0"/>
    <x v="0"/>
    <s v="Exclude in HGB Group allocation"/>
  </r>
  <r>
    <s v="13329528"/>
    <m/>
    <x v="0"/>
    <x v="0"/>
    <m/>
    <m/>
    <m/>
    <n v="1332"/>
    <n v="95"/>
    <n v="2"/>
    <s v="13329528"/>
    <s v="01_SE"/>
    <x v="0"/>
    <m/>
    <m/>
    <m/>
    <m/>
    <x v="0"/>
    <s v="Project"/>
    <x v="726"/>
    <x v="0"/>
    <x v="0"/>
    <s v="Exclude in HGB Group allocation"/>
  </r>
  <r>
    <s v="0"/>
    <m/>
    <x v="0"/>
    <x v="0"/>
    <m/>
    <m/>
    <m/>
    <n v="1336"/>
    <n v="28"/>
    <n v="2"/>
    <m/>
    <s v="01_SE"/>
    <x v="0"/>
    <m/>
    <m/>
    <m/>
    <m/>
    <x v="0"/>
    <s v="Project"/>
    <x v="727"/>
    <x v="0"/>
    <x v="0"/>
    <s v="Exclude in HGB Group allocation"/>
  </r>
  <r>
    <s v="0"/>
    <m/>
    <x v="0"/>
    <x v="0"/>
    <m/>
    <m/>
    <m/>
    <n v="1336"/>
    <n v="29"/>
    <n v="2"/>
    <m/>
    <s v="01_SE"/>
    <x v="0"/>
    <m/>
    <m/>
    <m/>
    <m/>
    <x v="0"/>
    <s v="Project"/>
    <x v="728"/>
    <x v="0"/>
    <x v="0"/>
    <s v="Exclude in HGB Group allocation"/>
  </r>
  <r>
    <s v="0"/>
    <m/>
    <x v="0"/>
    <x v="0"/>
    <m/>
    <m/>
    <m/>
    <n v="1336"/>
    <n v="31"/>
    <n v="2"/>
    <m/>
    <s v="01_SE"/>
    <x v="0"/>
    <m/>
    <m/>
    <m/>
    <m/>
    <x v="0"/>
    <s v="Project"/>
    <x v="729"/>
    <x v="0"/>
    <x v="0"/>
    <s v="Exclude in HGB Group allocation"/>
  </r>
  <r>
    <s v="0"/>
    <m/>
    <x v="0"/>
    <x v="0"/>
    <m/>
    <m/>
    <m/>
    <n v="1336"/>
    <n v="33"/>
    <n v="2"/>
    <m/>
    <s v="01_SE"/>
    <x v="0"/>
    <m/>
    <m/>
    <m/>
    <m/>
    <x v="0"/>
    <s v="Project"/>
    <x v="730"/>
    <x v="0"/>
    <x v="0"/>
    <s v="Exclude in HGB Group allocation"/>
  </r>
  <r>
    <s v="0"/>
    <m/>
    <x v="0"/>
    <x v="0"/>
    <m/>
    <m/>
    <m/>
    <n v="1336"/>
    <n v="34"/>
    <n v="2"/>
    <m/>
    <s v="01_SE"/>
    <x v="0"/>
    <m/>
    <m/>
    <m/>
    <m/>
    <x v="0"/>
    <s v="Project"/>
    <x v="731"/>
    <x v="0"/>
    <x v="0"/>
    <s v="Exclude in HGB Group allocation"/>
  </r>
  <r>
    <s v="0"/>
    <m/>
    <x v="0"/>
    <x v="0"/>
    <m/>
    <m/>
    <m/>
    <n v="1336"/>
    <n v="38"/>
    <n v="2"/>
    <m/>
    <s v="01_SE"/>
    <x v="0"/>
    <m/>
    <m/>
    <m/>
    <m/>
    <x v="0"/>
    <s v="Project"/>
    <x v="732"/>
    <x v="0"/>
    <x v="0"/>
    <s v="Exclude in HGB Group allocation"/>
  </r>
  <r>
    <s v="0"/>
    <m/>
    <x v="0"/>
    <x v="0"/>
    <m/>
    <m/>
    <m/>
    <n v="1336"/>
    <n v="39"/>
    <n v="2"/>
    <m/>
    <s v="01_SE"/>
    <x v="0"/>
    <m/>
    <m/>
    <m/>
    <m/>
    <x v="0"/>
    <s v="Project"/>
    <x v="733"/>
    <x v="0"/>
    <x v="0"/>
    <s v="Exclude in HGB Group allocation"/>
  </r>
  <r>
    <s v="0"/>
    <m/>
    <x v="0"/>
    <x v="0"/>
    <m/>
    <m/>
    <m/>
    <n v="1336"/>
    <n v="40"/>
    <n v="2"/>
    <m/>
    <s v="01_SE"/>
    <x v="0"/>
    <m/>
    <m/>
    <m/>
    <m/>
    <x v="0"/>
    <s v="Project"/>
    <x v="734"/>
    <x v="0"/>
    <x v="0"/>
    <s v="Exclude in HGB Group allocation"/>
  </r>
  <r>
    <s v="0"/>
    <m/>
    <x v="0"/>
    <x v="0"/>
    <m/>
    <m/>
    <m/>
    <n v="1336"/>
    <n v="41"/>
    <n v="2"/>
    <m/>
    <s v="01_SE"/>
    <x v="0"/>
    <m/>
    <m/>
    <m/>
    <m/>
    <x v="0"/>
    <s v="Project"/>
    <x v="735"/>
    <x v="0"/>
    <x v="0"/>
    <s v="Exclude in HGB Group allocation"/>
  </r>
  <r>
    <s v="0"/>
    <m/>
    <x v="0"/>
    <x v="0"/>
    <m/>
    <m/>
    <m/>
    <n v="1336"/>
    <n v="42"/>
    <n v="2"/>
    <m/>
    <s v="01_SE"/>
    <x v="0"/>
    <m/>
    <m/>
    <m/>
    <m/>
    <x v="0"/>
    <s v="Project"/>
    <x v="736"/>
    <x v="0"/>
    <x v="0"/>
    <s v="Exclude in HGB Group allocation"/>
  </r>
  <r>
    <s v="0"/>
    <m/>
    <x v="0"/>
    <x v="0"/>
    <m/>
    <m/>
    <m/>
    <n v="1336"/>
    <n v="43"/>
    <n v="2"/>
    <m/>
    <s v="01_SE"/>
    <x v="0"/>
    <m/>
    <m/>
    <m/>
    <m/>
    <x v="0"/>
    <s v="Project"/>
    <x v="737"/>
    <x v="0"/>
    <x v="0"/>
    <s v="Exclude in HGB Group allocation"/>
  </r>
  <r>
    <s v="13360128"/>
    <m/>
    <x v="0"/>
    <x v="0"/>
    <m/>
    <m/>
    <m/>
    <n v="1336"/>
    <n v="1"/>
    <n v="2"/>
    <s v="13360128"/>
    <s v="01_SE"/>
    <x v="0"/>
    <m/>
    <m/>
    <m/>
    <m/>
    <x v="0"/>
    <s v="Project"/>
    <x v="738"/>
    <x v="0"/>
    <x v="0"/>
    <s v="Exclude in HGB Group allocation"/>
  </r>
  <r>
    <s v="13360428"/>
    <m/>
    <x v="0"/>
    <x v="0"/>
    <m/>
    <m/>
    <m/>
    <n v="1336"/>
    <n v="4"/>
    <n v="2"/>
    <s v="13360428"/>
    <s v="01_SE"/>
    <x v="0"/>
    <m/>
    <m/>
    <m/>
    <m/>
    <x v="0"/>
    <s v="Project"/>
    <x v="739"/>
    <x v="0"/>
    <x v="0"/>
    <s v="Exclude in HGB Group allocation"/>
  </r>
  <r>
    <s v="13360928"/>
    <m/>
    <x v="0"/>
    <x v="0"/>
    <m/>
    <m/>
    <m/>
    <n v="1336"/>
    <n v="9"/>
    <n v="2"/>
    <s v="13360928"/>
    <s v="01_SE"/>
    <x v="0"/>
    <m/>
    <m/>
    <m/>
    <m/>
    <x v="0"/>
    <s v="Project"/>
    <x v="740"/>
    <x v="0"/>
    <x v="0"/>
    <s v="Exclude in HGB Group allocation"/>
  </r>
  <r>
    <s v="13361028"/>
    <m/>
    <x v="0"/>
    <x v="0"/>
    <m/>
    <m/>
    <m/>
    <n v="1336"/>
    <n v="10"/>
    <n v="2"/>
    <s v="13361028"/>
    <s v="01_SE"/>
    <x v="0"/>
    <m/>
    <m/>
    <m/>
    <m/>
    <x v="0"/>
    <s v="Project"/>
    <x v="741"/>
    <x v="0"/>
    <x v="0"/>
    <s v="Exclude in HGB Group allocation"/>
  </r>
  <r>
    <s v="13361128"/>
    <m/>
    <x v="0"/>
    <x v="0"/>
    <m/>
    <m/>
    <m/>
    <n v="1336"/>
    <n v="11"/>
    <n v="2"/>
    <s v="13361128"/>
    <s v="01_SE"/>
    <x v="0"/>
    <m/>
    <m/>
    <m/>
    <m/>
    <x v="0"/>
    <s v="Project"/>
    <x v="742"/>
    <x v="0"/>
    <x v="0"/>
    <s v="Exclude in HGB Group allocation"/>
  </r>
  <r>
    <s v="13361228"/>
    <m/>
    <x v="0"/>
    <x v="0"/>
    <m/>
    <m/>
    <m/>
    <n v="1336"/>
    <n v="12"/>
    <n v="2"/>
    <s v="13361228"/>
    <s v="01_SE"/>
    <x v="0"/>
    <m/>
    <m/>
    <m/>
    <m/>
    <x v="0"/>
    <s v="Project"/>
    <x v="743"/>
    <x v="0"/>
    <x v="0"/>
    <s v="Exclude in HGB Group allocation"/>
  </r>
  <r>
    <s v="13361328"/>
    <m/>
    <x v="0"/>
    <x v="0"/>
    <m/>
    <m/>
    <m/>
    <n v="1336"/>
    <n v="13"/>
    <n v="2"/>
    <s v="13361328"/>
    <s v="01_SE"/>
    <x v="0"/>
    <m/>
    <m/>
    <m/>
    <m/>
    <x v="0"/>
    <s v="Project"/>
    <x v="744"/>
    <x v="0"/>
    <x v="0"/>
    <s v="Exclude in HGB Group allocation"/>
  </r>
  <r>
    <s v="13361428"/>
    <m/>
    <x v="0"/>
    <x v="0"/>
    <m/>
    <m/>
    <m/>
    <n v="1336"/>
    <n v="14"/>
    <n v="2"/>
    <s v="13361428"/>
    <s v="01_SE"/>
    <x v="0"/>
    <m/>
    <m/>
    <m/>
    <m/>
    <x v="0"/>
    <s v="Project"/>
    <x v="745"/>
    <x v="0"/>
    <x v="0"/>
    <s v="Exclude in HGB Group allocation"/>
  </r>
  <r>
    <s v="13361528"/>
    <m/>
    <x v="0"/>
    <x v="0"/>
    <m/>
    <m/>
    <m/>
    <n v="1336"/>
    <n v="15"/>
    <n v="2"/>
    <s v="13361528"/>
    <s v="01_SE"/>
    <x v="0"/>
    <m/>
    <m/>
    <m/>
    <m/>
    <x v="0"/>
    <s v="Project"/>
    <x v="746"/>
    <x v="0"/>
    <x v="0"/>
    <s v="Exclude in HGB Group allocation"/>
  </r>
  <r>
    <s v="13361628"/>
    <m/>
    <x v="0"/>
    <x v="0"/>
    <m/>
    <m/>
    <m/>
    <n v="1336"/>
    <n v="16"/>
    <n v="2"/>
    <s v="13361628"/>
    <s v="01_SE"/>
    <x v="0"/>
    <m/>
    <m/>
    <m/>
    <m/>
    <x v="0"/>
    <s v="Project"/>
    <x v="747"/>
    <x v="0"/>
    <x v="0"/>
    <s v="Exclude in HGB Group allocation"/>
  </r>
  <r>
    <s v="13361728"/>
    <m/>
    <x v="0"/>
    <x v="0"/>
    <m/>
    <m/>
    <m/>
    <n v="1336"/>
    <n v="17"/>
    <n v="2"/>
    <s v="13361728"/>
    <s v="01_SE"/>
    <x v="0"/>
    <m/>
    <m/>
    <m/>
    <m/>
    <x v="0"/>
    <s v="Project"/>
    <x v="748"/>
    <x v="0"/>
    <x v="0"/>
    <s v="Exclude in HGB Group allocation"/>
  </r>
  <r>
    <s v="13361828"/>
    <m/>
    <x v="0"/>
    <x v="0"/>
    <m/>
    <m/>
    <m/>
    <n v="1336"/>
    <n v="18"/>
    <n v="2"/>
    <s v="13361828"/>
    <s v="01_SE"/>
    <x v="0"/>
    <m/>
    <m/>
    <m/>
    <m/>
    <x v="0"/>
    <s v="Project"/>
    <x v="749"/>
    <x v="0"/>
    <x v="0"/>
    <s v="Exclude in HGB Group allocation"/>
  </r>
  <r>
    <s v="13361928"/>
    <m/>
    <x v="0"/>
    <x v="0"/>
    <m/>
    <m/>
    <m/>
    <n v="1336"/>
    <n v="19"/>
    <n v="2"/>
    <s v="13361928"/>
    <s v="01_SE"/>
    <x v="0"/>
    <m/>
    <m/>
    <m/>
    <m/>
    <x v="0"/>
    <s v="Project"/>
    <x v="750"/>
    <x v="0"/>
    <x v="0"/>
    <s v="Exclude in HGB Group allocation"/>
  </r>
  <r>
    <s v="13362028"/>
    <m/>
    <x v="0"/>
    <x v="0"/>
    <m/>
    <m/>
    <m/>
    <n v="1336"/>
    <n v="20"/>
    <n v="2"/>
    <s v="13362028"/>
    <s v="01_SE"/>
    <x v="0"/>
    <m/>
    <m/>
    <m/>
    <m/>
    <x v="0"/>
    <s v="Project"/>
    <x v="751"/>
    <x v="0"/>
    <x v="0"/>
    <s v="Exclude in HGB Group allocation"/>
  </r>
  <r>
    <s v="13362128"/>
    <m/>
    <x v="0"/>
    <x v="0"/>
    <m/>
    <m/>
    <m/>
    <n v="1336"/>
    <n v="21"/>
    <n v="2"/>
    <s v="13362128"/>
    <s v="01_SE"/>
    <x v="0"/>
    <m/>
    <m/>
    <m/>
    <m/>
    <x v="0"/>
    <s v="Project"/>
    <x v="752"/>
    <x v="0"/>
    <x v="0"/>
    <s v="Exclude in HGB Group allocation"/>
  </r>
  <r>
    <s v="13362228"/>
    <m/>
    <x v="0"/>
    <x v="0"/>
    <m/>
    <m/>
    <m/>
    <n v="1336"/>
    <n v="22"/>
    <n v="2"/>
    <s v="13362228"/>
    <s v="01_SE"/>
    <x v="0"/>
    <m/>
    <m/>
    <m/>
    <m/>
    <x v="0"/>
    <s v="Project"/>
    <x v="753"/>
    <x v="0"/>
    <x v="0"/>
    <s v="Exclude in HGB Group allocation"/>
  </r>
  <r>
    <s v="13362328"/>
    <m/>
    <x v="0"/>
    <x v="0"/>
    <m/>
    <m/>
    <m/>
    <n v="1336"/>
    <n v="23"/>
    <n v="2"/>
    <s v="13362328"/>
    <s v="01_SE"/>
    <x v="0"/>
    <m/>
    <m/>
    <m/>
    <m/>
    <x v="0"/>
    <s v="Project"/>
    <x v="754"/>
    <x v="0"/>
    <x v="0"/>
    <s v="Exclude in HGB Group allocation"/>
  </r>
  <r>
    <s v="13362428"/>
    <m/>
    <x v="0"/>
    <x v="0"/>
    <m/>
    <m/>
    <m/>
    <n v="1336"/>
    <n v="24"/>
    <n v="2"/>
    <s v="13362428"/>
    <s v="01_SE"/>
    <x v="0"/>
    <m/>
    <m/>
    <m/>
    <m/>
    <x v="0"/>
    <s v="Project"/>
    <x v="755"/>
    <x v="0"/>
    <x v="0"/>
    <s v="Exclude in HGB Group allocation"/>
  </r>
  <r>
    <s v="13362528"/>
    <m/>
    <x v="0"/>
    <x v="0"/>
    <m/>
    <m/>
    <m/>
    <n v="1336"/>
    <n v="25"/>
    <n v="2"/>
    <s v="13362528"/>
    <s v="01_SE"/>
    <x v="0"/>
    <m/>
    <m/>
    <m/>
    <m/>
    <x v="0"/>
    <s v="Project"/>
    <x v="756"/>
    <x v="0"/>
    <x v="0"/>
    <s v="Exclude in HGB Group allocation"/>
  </r>
  <r>
    <s v="13362628"/>
    <m/>
    <x v="0"/>
    <x v="0"/>
    <m/>
    <m/>
    <m/>
    <n v="1336"/>
    <n v="26"/>
    <n v="2"/>
    <s v="13362628"/>
    <s v="01_SE"/>
    <x v="0"/>
    <m/>
    <m/>
    <m/>
    <m/>
    <x v="0"/>
    <s v="Project"/>
    <x v="757"/>
    <x v="0"/>
    <x v="0"/>
    <s v="Exclude in HGB Group allocation"/>
  </r>
  <r>
    <s v="0"/>
    <m/>
    <x v="0"/>
    <x v="0"/>
    <m/>
    <m/>
    <m/>
    <n v="1336"/>
    <n v="27"/>
    <n v="2"/>
    <m/>
    <s v="01_SE"/>
    <x v="0"/>
    <m/>
    <m/>
    <m/>
    <m/>
    <x v="0"/>
    <s v="Project"/>
    <x v="758"/>
    <x v="0"/>
    <x v="0"/>
    <m/>
  </r>
  <r>
    <s v="0"/>
    <m/>
    <x v="0"/>
    <x v="0"/>
    <m/>
    <m/>
    <m/>
    <n v="1336"/>
    <n v="30"/>
    <n v="2"/>
    <m/>
    <s v="01_SE"/>
    <x v="0"/>
    <m/>
    <m/>
    <m/>
    <m/>
    <x v="0"/>
    <s v="Project"/>
    <x v="759"/>
    <x v="0"/>
    <x v="0"/>
    <s v="Exclude in HGB Group allocation"/>
  </r>
  <r>
    <s v="0"/>
    <m/>
    <x v="0"/>
    <x v="0"/>
    <m/>
    <m/>
    <m/>
    <n v="1336"/>
    <n v="32"/>
    <n v="2"/>
    <m/>
    <s v="01_SE"/>
    <x v="0"/>
    <m/>
    <m/>
    <m/>
    <m/>
    <x v="0"/>
    <s v="Project"/>
    <x v="760"/>
    <x v="0"/>
    <x v="0"/>
    <s v="Exclude in HGB Group allocation"/>
  </r>
  <r>
    <s v="0"/>
    <m/>
    <x v="0"/>
    <x v="0"/>
    <m/>
    <m/>
    <m/>
    <n v="1336"/>
    <n v="35"/>
    <n v="2"/>
    <m/>
    <s v="01_SE"/>
    <x v="0"/>
    <m/>
    <m/>
    <m/>
    <m/>
    <x v="0"/>
    <s v="Project"/>
    <x v="761"/>
    <x v="0"/>
    <x v="0"/>
    <s v="Exclude in HGB Group allocation"/>
  </r>
  <r>
    <s v="0"/>
    <m/>
    <x v="0"/>
    <x v="0"/>
    <m/>
    <m/>
    <m/>
    <n v="1336"/>
    <n v="36"/>
    <n v="2"/>
    <m/>
    <s v="01_SE"/>
    <x v="0"/>
    <m/>
    <m/>
    <m/>
    <m/>
    <x v="0"/>
    <s v="Project"/>
    <x v="762"/>
    <x v="0"/>
    <x v="0"/>
    <s v="Exclude in HGB Group allocation"/>
  </r>
  <r>
    <s v="0"/>
    <m/>
    <x v="0"/>
    <x v="0"/>
    <m/>
    <m/>
    <m/>
    <n v="1336"/>
    <n v="37"/>
    <n v="2"/>
    <m/>
    <s v="01_SE"/>
    <x v="0"/>
    <m/>
    <m/>
    <m/>
    <m/>
    <x v="0"/>
    <s v="Project"/>
    <x v="763"/>
    <x v="0"/>
    <x v="0"/>
    <s v="Exclude in HGB Group allocation"/>
  </r>
  <r>
    <s v="0"/>
    <m/>
    <x v="0"/>
    <x v="0"/>
    <m/>
    <m/>
    <m/>
    <n v="6664"/>
    <n v="3"/>
    <n v="2"/>
    <m/>
    <s v="01_SE"/>
    <x v="0"/>
    <m/>
    <m/>
    <m/>
    <m/>
    <x v="0"/>
    <s v="Project"/>
    <x v="764"/>
    <x v="0"/>
    <x v="0"/>
    <s v="Exclude in HGB Group allocation"/>
  </r>
  <r>
    <s v="0"/>
    <m/>
    <x v="0"/>
    <x v="0"/>
    <m/>
    <m/>
    <m/>
    <n v="6664"/>
    <n v="4"/>
    <n v="2"/>
    <m/>
    <s v="01_SE"/>
    <x v="0"/>
    <m/>
    <m/>
    <m/>
    <m/>
    <x v="0"/>
    <s v="Project"/>
    <x v="765"/>
    <x v="0"/>
    <x v="0"/>
    <s v="Exclude in HGB Group allocation"/>
  </r>
  <r>
    <s v="0"/>
    <m/>
    <x v="0"/>
    <x v="0"/>
    <m/>
    <m/>
    <m/>
    <n v="6665"/>
    <n v="1"/>
    <n v="2"/>
    <m/>
    <s v="01_SE"/>
    <x v="0"/>
    <m/>
    <m/>
    <m/>
    <m/>
    <x v="0"/>
    <s v="Project"/>
    <x v="766"/>
    <x v="0"/>
    <x v="0"/>
    <s v="Exclude in HGB Group allocation"/>
  </r>
  <r>
    <s v="0"/>
    <m/>
    <x v="0"/>
    <x v="0"/>
    <m/>
    <m/>
    <m/>
    <n v="6665"/>
    <n v="2"/>
    <n v="2"/>
    <m/>
    <s v="01_SE"/>
    <x v="0"/>
    <m/>
    <m/>
    <m/>
    <m/>
    <x v="0"/>
    <s v="Project"/>
    <x v="767"/>
    <x v="0"/>
    <x v="0"/>
    <s v="Exclude in HGB Group allocation"/>
  </r>
  <r>
    <s v="0"/>
    <m/>
    <x v="0"/>
    <x v="0"/>
    <m/>
    <m/>
    <m/>
    <n v="6670"/>
    <n v="2"/>
    <n v="2"/>
    <m/>
    <s v="01_SE"/>
    <x v="0"/>
    <m/>
    <m/>
    <m/>
    <m/>
    <x v="0"/>
    <s v="Project"/>
    <x v="768"/>
    <x v="0"/>
    <x v="0"/>
    <s v="Exclude in HGB Group allocation"/>
  </r>
  <r>
    <s v="0"/>
    <m/>
    <x v="0"/>
    <x v="0"/>
    <m/>
    <m/>
    <m/>
    <n v="6672"/>
    <n v="2"/>
    <n v="2"/>
    <m/>
    <s v="09_Ltda"/>
    <x v="0"/>
    <m/>
    <m/>
    <m/>
    <m/>
    <x v="0"/>
    <s v="Project"/>
    <x v="769"/>
    <x v="0"/>
    <x v="0"/>
    <s v="Exclude in HGB Group allocation"/>
  </r>
  <r>
    <s v="0"/>
    <m/>
    <x v="0"/>
    <x v="0"/>
    <m/>
    <m/>
    <m/>
    <n v="6673"/>
    <n v="2"/>
    <n v="2"/>
    <m/>
    <s v="01_SE"/>
    <x v="0"/>
    <m/>
    <m/>
    <m/>
    <m/>
    <x v="0"/>
    <s v="Project"/>
    <x v="770"/>
    <x v="0"/>
    <x v="0"/>
    <s v="Exclude in HGB Group allocation"/>
  </r>
  <r>
    <s v="0"/>
    <m/>
    <x v="0"/>
    <x v="0"/>
    <m/>
    <m/>
    <m/>
    <n v="6674"/>
    <n v="2"/>
    <n v="2"/>
    <m/>
    <s v="01_SE"/>
    <x v="0"/>
    <m/>
    <m/>
    <m/>
    <m/>
    <x v="0"/>
    <s v="Project"/>
    <x v="771"/>
    <x v="0"/>
    <x v="0"/>
    <s v="Exclude in HGB Group allocation"/>
  </r>
  <r>
    <s v="0"/>
    <m/>
    <x v="0"/>
    <x v="0"/>
    <m/>
    <m/>
    <m/>
    <n v="6106"/>
    <n v="2"/>
    <n v="2"/>
    <m/>
    <s v="01_SE"/>
    <x v="0"/>
    <m/>
    <m/>
    <m/>
    <m/>
    <x v="0"/>
    <s v="Project"/>
    <x v="772"/>
    <x v="0"/>
    <x v="0"/>
    <s v="Exclude in HGB Group allocation"/>
  </r>
  <r>
    <s v="0"/>
    <m/>
    <x v="0"/>
    <x v="0"/>
    <m/>
    <m/>
    <m/>
    <n v="6106"/>
    <n v="3"/>
    <n v="2"/>
    <m/>
    <s v="01_SE"/>
    <x v="0"/>
    <m/>
    <m/>
    <m/>
    <m/>
    <x v="0"/>
    <s v="Project"/>
    <x v="773"/>
    <x v="0"/>
    <x v="0"/>
    <s v="Exclude in HGB Group allocation"/>
  </r>
  <r>
    <s v="0"/>
    <m/>
    <x v="0"/>
    <x v="0"/>
    <m/>
    <m/>
    <m/>
    <n v="6106"/>
    <n v="4"/>
    <n v="2"/>
    <m/>
    <s v="01_SE"/>
    <x v="0"/>
    <m/>
    <m/>
    <m/>
    <m/>
    <x v="0"/>
    <s v="Project"/>
    <x v="774"/>
    <x v="0"/>
    <x v="0"/>
    <s v="Exclude in HGB Group allocation"/>
  </r>
  <r>
    <s v="0"/>
    <m/>
    <x v="0"/>
    <x v="0"/>
    <m/>
    <m/>
    <m/>
    <n v="6106"/>
    <n v="5"/>
    <n v="2"/>
    <m/>
    <s v="01_SE"/>
    <x v="0"/>
    <m/>
    <m/>
    <m/>
    <m/>
    <x v="0"/>
    <s v="Project"/>
    <x v="775"/>
    <x v="0"/>
    <x v="0"/>
    <s v="Exclude in HGB Group allocation"/>
  </r>
  <r>
    <s v="0"/>
    <m/>
    <x v="0"/>
    <x v="0"/>
    <m/>
    <m/>
    <m/>
    <n v="6106"/>
    <n v="6"/>
    <n v="2"/>
    <m/>
    <s v="07_Inc"/>
    <x v="0"/>
    <m/>
    <m/>
    <m/>
    <m/>
    <x v="0"/>
    <s v="Project"/>
    <x v="776"/>
    <x v="0"/>
    <x v="0"/>
    <s v="Exclude in HGB Group allocation"/>
  </r>
  <r>
    <s v="0"/>
    <m/>
    <x v="0"/>
    <x v="0"/>
    <m/>
    <m/>
    <m/>
    <n v="6106"/>
    <n v="7"/>
    <n v="2"/>
    <m/>
    <s v="07_Inc"/>
    <x v="0"/>
    <m/>
    <m/>
    <m/>
    <m/>
    <x v="0"/>
    <s v="Project"/>
    <x v="777"/>
    <x v="0"/>
    <x v="0"/>
    <s v="Exclude in HGB Group allocation"/>
  </r>
  <r>
    <s v="0"/>
    <m/>
    <x v="0"/>
    <x v="0"/>
    <m/>
    <m/>
    <m/>
    <n v="6106"/>
    <n v="8"/>
    <n v="2"/>
    <m/>
    <s v="01_SE"/>
    <x v="0"/>
    <m/>
    <m/>
    <m/>
    <m/>
    <x v="0"/>
    <s v="Project"/>
    <x v="778"/>
    <x v="0"/>
    <x v="0"/>
    <s v="Exclude in HGB Group allocation"/>
  </r>
  <r>
    <s v="0"/>
    <m/>
    <x v="0"/>
    <x v="0"/>
    <m/>
    <m/>
    <m/>
    <n v="6106"/>
    <n v="9"/>
    <n v="2"/>
    <m/>
    <s v="01_SE"/>
    <x v="0"/>
    <m/>
    <m/>
    <m/>
    <m/>
    <x v="0"/>
    <s v="Project"/>
    <x v="779"/>
    <x v="0"/>
    <x v="0"/>
    <s v="Exclude in HGB Group allocation"/>
  </r>
  <r>
    <s v="0"/>
    <m/>
    <x v="0"/>
    <x v="0"/>
    <m/>
    <m/>
    <m/>
    <n v="6106"/>
    <n v="10"/>
    <n v="2"/>
    <m/>
    <s v="01_SE"/>
    <x v="0"/>
    <m/>
    <m/>
    <m/>
    <m/>
    <x v="0"/>
    <s v="Project"/>
    <x v="780"/>
    <x v="0"/>
    <x v="0"/>
    <s v="Exclude in HGB Group allocation"/>
  </r>
  <r>
    <s v="0"/>
    <m/>
    <x v="0"/>
    <x v="0"/>
    <m/>
    <m/>
    <m/>
    <n v="6106"/>
    <n v="11"/>
    <n v="2"/>
    <m/>
    <s v="07_Inc"/>
    <x v="0"/>
    <m/>
    <m/>
    <m/>
    <m/>
    <x v="0"/>
    <s v="Project"/>
    <x v="781"/>
    <x v="0"/>
    <x v="0"/>
    <s v="Exclude in HGB Group allocation"/>
  </r>
  <r>
    <s v="0"/>
    <m/>
    <x v="0"/>
    <x v="0"/>
    <m/>
    <m/>
    <m/>
    <n v="6106"/>
    <n v="12"/>
    <n v="2"/>
    <m/>
    <s v="01_SE"/>
    <x v="0"/>
    <m/>
    <m/>
    <m/>
    <m/>
    <x v="0"/>
    <s v="Project"/>
    <x v="782"/>
    <x v="0"/>
    <x v="0"/>
    <s v="Exclude in HGB Group allocation"/>
  </r>
  <r>
    <s v="0"/>
    <m/>
    <x v="0"/>
    <x v="0"/>
    <m/>
    <m/>
    <m/>
    <n v="6106"/>
    <n v="13"/>
    <n v="2"/>
    <m/>
    <s v="01_SE"/>
    <x v="0"/>
    <m/>
    <m/>
    <m/>
    <m/>
    <x v="0"/>
    <s v="Project"/>
    <x v="783"/>
    <x v="0"/>
    <x v="0"/>
    <s v="Exclude in HGB Group allocation"/>
  </r>
  <r>
    <s v="0"/>
    <m/>
    <x v="0"/>
    <x v="0"/>
    <m/>
    <m/>
    <m/>
    <n v="6106"/>
    <n v="14"/>
    <n v="2"/>
    <m/>
    <s v="01_SE"/>
    <x v="0"/>
    <m/>
    <m/>
    <m/>
    <m/>
    <x v="0"/>
    <s v="Project"/>
    <x v="784"/>
    <x v="0"/>
    <x v="0"/>
    <s v="Exclude in HGB Group allocation"/>
  </r>
  <r>
    <s v="0"/>
    <m/>
    <x v="0"/>
    <x v="0"/>
    <m/>
    <m/>
    <m/>
    <n v="6106"/>
    <n v="15"/>
    <n v="2"/>
    <m/>
    <s v="01_SE"/>
    <x v="0"/>
    <m/>
    <m/>
    <m/>
    <m/>
    <x v="0"/>
    <s v="Project"/>
    <x v="785"/>
    <x v="0"/>
    <x v="0"/>
    <s v="Exclude in HGB Group allocation"/>
  </r>
  <r>
    <s v="31480228"/>
    <m/>
    <x v="0"/>
    <x v="0"/>
    <m/>
    <m/>
    <m/>
    <n v="3148"/>
    <n v="2"/>
    <n v="2"/>
    <s v="31480228"/>
    <s v="01_SE"/>
    <x v="0"/>
    <m/>
    <m/>
    <m/>
    <m/>
    <x v="0"/>
    <s v="Project"/>
    <x v="786"/>
    <x v="0"/>
    <x v="0"/>
    <s v="Exclude in HGB Group allocation"/>
  </r>
  <r>
    <s v="0"/>
    <m/>
    <x v="0"/>
    <x v="0"/>
    <m/>
    <m/>
    <m/>
    <n v="2120"/>
    <n v="2"/>
    <n v="2"/>
    <m/>
    <s v="01_SE"/>
    <x v="0"/>
    <m/>
    <m/>
    <m/>
    <m/>
    <x v="0"/>
    <s v="Project"/>
    <x v="787"/>
    <x v="0"/>
    <x v="0"/>
    <s v="Exclude in HGB Group allocation"/>
  </r>
  <r>
    <s v="75620211"/>
    <m/>
    <x v="0"/>
    <x v="0"/>
    <m/>
    <m/>
    <m/>
    <n v="7562"/>
    <n v="2"/>
    <n v="1"/>
    <s v="75620211"/>
    <s v="01_SE"/>
    <x v="4"/>
    <m/>
    <m/>
    <m/>
    <m/>
    <x v="0"/>
    <s v="Project"/>
    <x v="788"/>
    <x v="0"/>
    <x v="18"/>
    <s v="Exclude in HGB Group allocation"/>
  </r>
  <r>
    <s v="75620216"/>
    <m/>
    <x v="0"/>
    <x v="0"/>
    <m/>
    <m/>
    <m/>
    <n v="7562"/>
    <n v="2"/>
    <n v="1"/>
    <s v="75620216"/>
    <s v="01_SE"/>
    <x v="4"/>
    <m/>
    <m/>
    <m/>
    <m/>
    <x v="0"/>
    <s v="Project"/>
    <x v="788"/>
    <x v="0"/>
    <x v="19"/>
    <s v="Exclude in HGB Group allocation"/>
  </r>
  <r>
    <s v="75620217"/>
    <m/>
    <x v="0"/>
    <x v="0"/>
    <m/>
    <m/>
    <m/>
    <n v="7562"/>
    <n v="2"/>
    <n v="1"/>
    <s v="75620217"/>
    <s v="01_SE"/>
    <x v="4"/>
    <m/>
    <m/>
    <m/>
    <m/>
    <x v="0"/>
    <s v="Project"/>
    <x v="788"/>
    <x v="0"/>
    <x v="19"/>
    <s v="Exclude in HGB Group allocation"/>
  </r>
  <r>
    <s v="0"/>
    <m/>
    <x v="0"/>
    <x v="0"/>
    <m/>
    <m/>
    <m/>
    <n v="7562"/>
    <n v="3"/>
    <n v="1"/>
    <m/>
    <s v="01_SE"/>
    <x v="4"/>
    <m/>
    <m/>
    <m/>
    <m/>
    <x v="0"/>
    <s v="Project"/>
    <x v="789"/>
    <x v="0"/>
    <x v="19"/>
    <s v="Exclude in HGB Group allocation"/>
  </r>
  <r>
    <s v="0"/>
    <m/>
    <x v="0"/>
    <x v="0"/>
    <m/>
    <m/>
    <m/>
    <n v="7624"/>
    <n v="3"/>
    <n v="2"/>
    <m/>
    <s v="01_SE"/>
    <x v="0"/>
    <m/>
    <m/>
    <m/>
    <m/>
    <x v="0"/>
    <s v="Project"/>
    <x v="790"/>
    <x v="0"/>
    <x v="0"/>
    <s v="Exclude in HGB Group allocation"/>
  </r>
  <r>
    <s v="0"/>
    <m/>
    <x v="0"/>
    <x v="0"/>
    <m/>
    <m/>
    <m/>
    <n v="7624"/>
    <n v="5"/>
    <n v="2"/>
    <m/>
    <s v="01_SE"/>
    <x v="0"/>
    <m/>
    <m/>
    <m/>
    <m/>
    <x v="0"/>
    <s v="Project"/>
    <x v="791"/>
    <x v="0"/>
    <x v="0"/>
    <s v="Exclude in HGB Group allocation"/>
  </r>
  <r>
    <s v="0"/>
    <m/>
    <x v="0"/>
    <x v="0"/>
    <m/>
    <m/>
    <m/>
    <n v="7624"/>
    <n v="2"/>
    <n v="2"/>
    <m/>
    <s v="01_SE"/>
    <x v="0"/>
    <m/>
    <m/>
    <m/>
    <m/>
    <x v="0"/>
    <s v="Project"/>
    <x v="792"/>
    <x v="0"/>
    <x v="0"/>
    <s v="Exclude in HGB Group allocation"/>
  </r>
  <r>
    <s v="0"/>
    <m/>
    <x v="0"/>
    <x v="0"/>
    <m/>
    <m/>
    <m/>
    <n v="7624"/>
    <n v="4"/>
    <n v="2"/>
    <m/>
    <s v="01_SE"/>
    <x v="0"/>
    <m/>
    <m/>
    <m/>
    <m/>
    <x v="0"/>
    <s v="Project"/>
    <x v="793"/>
    <x v="0"/>
    <x v="0"/>
    <s v="Exclude in HGB Group allocation"/>
  </r>
  <r>
    <s v="0"/>
    <m/>
    <x v="0"/>
    <x v="0"/>
    <m/>
    <m/>
    <m/>
    <n v="4119"/>
    <n v="2"/>
    <n v="2"/>
    <m/>
    <s v="01_SE"/>
    <x v="0"/>
    <m/>
    <m/>
    <m/>
    <m/>
    <x v="0"/>
    <s v="Project"/>
    <x v="794"/>
    <x v="0"/>
    <x v="0"/>
    <s v="Exclude in HGB Group allocation"/>
  </r>
  <r>
    <s v="32280243"/>
    <m/>
    <x v="0"/>
    <x v="0"/>
    <m/>
    <m/>
    <m/>
    <n v="3228"/>
    <n v="2"/>
    <n v="4"/>
    <s v="32280243"/>
    <s v="02_GmbH"/>
    <x v="1"/>
    <m/>
    <m/>
    <m/>
    <m/>
    <x v="0"/>
    <s v="Project"/>
    <x v="795"/>
    <x v="0"/>
    <x v="1"/>
    <s v="Exclude in HGB Group allocation"/>
  </r>
  <r>
    <s v="32280244"/>
    <m/>
    <x v="0"/>
    <x v="0"/>
    <m/>
    <m/>
    <m/>
    <n v="3228"/>
    <n v="2"/>
    <n v="4"/>
    <s v="32280244"/>
    <s v="02_GmbH"/>
    <x v="1"/>
    <m/>
    <m/>
    <m/>
    <m/>
    <x v="0"/>
    <s v="Project"/>
    <x v="795"/>
    <x v="0"/>
    <x v="2"/>
    <s v="Exclude in HGB Group allocation"/>
  </r>
  <r>
    <s v="32280247"/>
    <m/>
    <x v="0"/>
    <x v="0"/>
    <m/>
    <m/>
    <m/>
    <n v="3228"/>
    <n v="2"/>
    <n v="4"/>
    <s v="32280247"/>
    <s v="02_GmbH"/>
    <x v="1"/>
    <m/>
    <m/>
    <m/>
    <m/>
    <x v="0"/>
    <s v="Project"/>
    <x v="795"/>
    <x v="0"/>
    <x v="20"/>
    <s v="Exclude in HGB Group allocation"/>
  </r>
  <r>
    <s v="32280342"/>
    <m/>
    <x v="0"/>
    <x v="0"/>
    <m/>
    <m/>
    <m/>
    <n v="3228"/>
    <n v="3"/>
    <n v="4"/>
    <s v="32280342"/>
    <s v="02_GmbH"/>
    <x v="1"/>
    <m/>
    <m/>
    <m/>
    <m/>
    <x v="0"/>
    <s v="Project"/>
    <x v="796"/>
    <x v="0"/>
    <x v="21"/>
    <s v="Exclude in HGB Group allocation"/>
  </r>
  <r>
    <s v="32280444"/>
    <m/>
    <x v="0"/>
    <x v="0"/>
    <m/>
    <m/>
    <m/>
    <n v="3228"/>
    <n v="4"/>
    <n v="4"/>
    <s v="32280444"/>
    <s v="02_GmbH"/>
    <x v="1"/>
    <m/>
    <m/>
    <m/>
    <m/>
    <x v="0"/>
    <s v="Project"/>
    <x v="797"/>
    <x v="0"/>
    <x v="21"/>
    <s v="Exclude in HGB Group allocation"/>
  </r>
  <r>
    <s v="32280543"/>
    <m/>
    <x v="0"/>
    <x v="0"/>
    <m/>
    <m/>
    <m/>
    <n v="3228"/>
    <n v="5"/>
    <n v="4"/>
    <s v="32280543"/>
    <s v="02_GmbH"/>
    <x v="1"/>
    <m/>
    <m/>
    <m/>
    <m/>
    <x v="0"/>
    <s v="Project"/>
    <x v="798"/>
    <x v="0"/>
    <x v="21"/>
    <s v="Exclude in HGB Group allocation"/>
  </r>
  <r>
    <s v="99954844"/>
    <m/>
    <x v="0"/>
    <x v="0"/>
    <m/>
    <m/>
    <m/>
    <n v="3228"/>
    <n v="2"/>
    <n v="4"/>
    <s v="99954844"/>
    <s v="02_GmbH"/>
    <x v="1"/>
    <m/>
    <m/>
    <m/>
    <m/>
    <x v="0"/>
    <s v="Project"/>
    <x v="795"/>
    <x v="0"/>
    <x v="2"/>
    <s v="Exclude in HGB Group allocation"/>
  </r>
  <r>
    <s v="0"/>
    <m/>
    <x v="0"/>
    <x v="0"/>
    <m/>
    <m/>
    <m/>
    <n v="7802"/>
    <n v="60"/>
    <n v="2"/>
    <m/>
    <s v="07_Inc"/>
    <x v="0"/>
    <m/>
    <m/>
    <m/>
    <m/>
    <x v="0"/>
    <s v="Project"/>
    <x v="799"/>
    <x v="0"/>
    <x v="25"/>
    <s v="Exclude in HGB Group allocation"/>
  </r>
  <r>
    <s v="70370528"/>
    <m/>
    <x v="0"/>
    <x v="0"/>
    <m/>
    <m/>
    <m/>
    <n v="7037"/>
    <n v="5"/>
    <n v="2"/>
    <s v="70370528"/>
    <s v="01_SE"/>
    <x v="0"/>
    <m/>
    <m/>
    <m/>
    <m/>
    <x v="0"/>
    <s v="Project"/>
    <x v="800"/>
    <x v="0"/>
    <x v="0"/>
    <s v="Exclude in HGB Group allocation"/>
  </r>
  <r>
    <s v="0"/>
    <m/>
    <x v="0"/>
    <x v="0"/>
    <m/>
    <m/>
    <m/>
    <n v="7627"/>
    <n v="2"/>
    <n v="2"/>
    <m/>
    <s v="01_SE"/>
    <x v="0"/>
    <m/>
    <m/>
    <m/>
    <m/>
    <x v="0"/>
    <s v="Project"/>
    <x v="801"/>
    <x v="0"/>
    <x v="0"/>
    <s v="Exclude in HGB Group allocation"/>
  </r>
  <r>
    <s v="99610256"/>
    <m/>
    <x v="0"/>
    <x v="0"/>
    <m/>
    <m/>
    <m/>
    <n v="9961"/>
    <n v="2"/>
    <n v="5"/>
    <s v="99610256"/>
    <s v="01_SE"/>
    <x v="3"/>
    <m/>
    <m/>
    <m/>
    <m/>
    <x v="0"/>
    <s v="Project"/>
    <x v="802"/>
    <x v="0"/>
    <x v="26"/>
    <s v="Exclude in HGB Group allocation"/>
  </r>
  <r>
    <s v="64070228"/>
    <m/>
    <x v="0"/>
    <x v="0"/>
    <m/>
    <m/>
    <m/>
    <n v="6407"/>
    <n v="2"/>
    <n v="2"/>
    <s v="64070228"/>
    <s v="01_SE"/>
    <x v="0"/>
    <m/>
    <m/>
    <m/>
    <m/>
    <x v="0"/>
    <s v="Project"/>
    <x v="803"/>
    <x v="0"/>
    <x v="0"/>
    <s v="Exclude in HGB Group allocation"/>
  </r>
  <r>
    <s v="99962128"/>
    <m/>
    <x v="0"/>
    <x v="0"/>
    <m/>
    <m/>
    <m/>
    <n v="6407"/>
    <n v="2"/>
    <n v="2"/>
    <s v="99962128"/>
    <s v="01_SE"/>
    <x v="0"/>
    <m/>
    <m/>
    <m/>
    <m/>
    <x v="0"/>
    <s v="Project"/>
    <x v="803"/>
    <x v="0"/>
    <x v="21"/>
    <s v="Exclude in HGB Group allocation"/>
  </r>
  <r>
    <s v="0"/>
    <m/>
    <x v="0"/>
    <x v="0"/>
    <m/>
    <m/>
    <m/>
    <n v="6676"/>
    <n v="2"/>
    <n v="1"/>
    <m/>
    <s v="05_Shg"/>
    <x v="4"/>
    <m/>
    <m/>
    <m/>
    <m/>
    <x v="0"/>
    <s v="Project"/>
    <x v="804"/>
    <x v="0"/>
    <x v="18"/>
    <s v="Exclude in HGB Group allocation"/>
  </r>
  <r>
    <s v="64030228"/>
    <m/>
    <x v="0"/>
    <x v="0"/>
    <m/>
    <m/>
    <m/>
    <n v="6403"/>
    <n v="2"/>
    <n v="2"/>
    <s v="64030228"/>
    <s v="01_SE"/>
    <x v="0"/>
    <m/>
    <m/>
    <m/>
    <m/>
    <x v="0"/>
    <s v="Project"/>
    <x v="805"/>
    <x v="0"/>
    <x v="0"/>
    <s v="Exclude in HGB Group allocation"/>
  </r>
  <r>
    <s v="0"/>
    <m/>
    <x v="0"/>
    <x v="0"/>
    <m/>
    <m/>
    <m/>
    <n v="7045"/>
    <n v="8"/>
    <n v="1"/>
    <m/>
    <s v="01_SE"/>
    <x v="4"/>
    <m/>
    <m/>
    <m/>
    <m/>
    <x v="0"/>
    <s v="Project"/>
    <x v="806"/>
    <x v="0"/>
    <x v="18"/>
    <s v="Exclude in HGB Group allocation"/>
  </r>
  <r>
    <s v="0"/>
    <m/>
    <x v="0"/>
    <x v="0"/>
    <m/>
    <m/>
    <m/>
    <n v="7045"/>
    <n v="8"/>
    <n v="1"/>
    <m/>
    <s v="01_SE"/>
    <x v="4"/>
    <m/>
    <m/>
    <m/>
    <m/>
    <x v="0"/>
    <s v="Project"/>
    <x v="806"/>
    <x v="0"/>
    <x v="19"/>
    <s v="Exclude in HGB Group allocation"/>
  </r>
  <r>
    <s v="20170128"/>
    <m/>
    <x v="0"/>
    <x v="0"/>
    <m/>
    <m/>
    <m/>
    <n v="2017"/>
    <n v="1"/>
    <n v="2"/>
    <s v="20170128"/>
    <s v="01_SE"/>
    <x v="0"/>
    <m/>
    <m/>
    <m/>
    <m/>
    <x v="0"/>
    <s v="Project"/>
    <x v="807"/>
    <x v="0"/>
    <x v="0"/>
    <s v="Exclude in HGB Group allocation"/>
  </r>
  <r>
    <s v="64080228"/>
    <m/>
    <x v="0"/>
    <x v="0"/>
    <m/>
    <m/>
    <m/>
    <n v="6408"/>
    <n v="2"/>
    <n v="2"/>
    <s v="64080228"/>
    <s v="01_SE"/>
    <x v="0"/>
    <m/>
    <m/>
    <m/>
    <m/>
    <x v="0"/>
    <s v="Project"/>
    <x v="808"/>
    <x v="0"/>
    <x v="0"/>
    <s v="Exclude in HGB Group allocation"/>
  </r>
  <r>
    <s v="64080328"/>
    <m/>
    <x v="0"/>
    <x v="0"/>
    <m/>
    <m/>
    <m/>
    <n v="6408"/>
    <n v="3"/>
    <n v="2"/>
    <s v="64080328"/>
    <s v="01_SE"/>
    <x v="0"/>
    <m/>
    <m/>
    <m/>
    <m/>
    <x v="0"/>
    <s v="Project"/>
    <x v="809"/>
    <x v="0"/>
    <x v="0"/>
    <s v="Exclude in HGB Group allocation"/>
  </r>
  <r>
    <s v="75300128"/>
    <m/>
    <x v="0"/>
    <x v="0"/>
    <m/>
    <m/>
    <m/>
    <n v="7530"/>
    <n v="1"/>
    <n v="2"/>
    <s v="75300128"/>
    <s v="01_SE"/>
    <x v="0"/>
    <m/>
    <m/>
    <m/>
    <m/>
    <x v="0"/>
    <s v="Project"/>
    <x v="810"/>
    <x v="0"/>
    <x v="0"/>
    <s v="Exclude in HGB Group allocation"/>
  </r>
  <r>
    <s v="75300228"/>
    <m/>
    <x v="0"/>
    <x v="0"/>
    <m/>
    <m/>
    <m/>
    <n v="7530"/>
    <n v="2"/>
    <n v="2"/>
    <s v="75300228"/>
    <s v="01_SE"/>
    <x v="0"/>
    <m/>
    <m/>
    <m/>
    <m/>
    <x v="0"/>
    <s v="Project"/>
    <x v="811"/>
    <x v="0"/>
    <x v="0"/>
    <s v="Exclude in HGB Group allocation"/>
  </r>
  <r>
    <s v="0"/>
    <m/>
    <x v="0"/>
    <x v="0"/>
    <m/>
    <m/>
    <m/>
    <n v="6316"/>
    <n v="2"/>
    <n v="1"/>
    <m/>
    <s v="05_Shg"/>
    <x v="4"/>
    <m/>
    <m/>
    <m/>
    <m/>
    <x v="0"/>
    <s v="Project"/>
    <x v="812"/>
    <x v="0"/>
    <x v="18"/>
    <s v="Exclude in HGB Group allocation"/>
  </r>
  <r>
    <s v="30691028"/>
    <m/>
    <x v="0"/>
    <x v="0"/>
    <m/>
    <m/>
    <m/>
    <n v="3069"/>
    <n v="10"/>
    <n v="2"/>
    <s v="30691028"/>
    <s v="01_SE"/>
    <x v="0"/>
    <m/>
    <m/>
    <m/>
    <m/>
    <x v="0"/>
    <s v="Project"/>
    <x v="813"/>
    <x v="0"/>
    <x v="0"/>
    <s v="Exclude in HGB Group allocation"/>
  </r>
  <r>
    <s v="30700328"/>
    <m/>
    <x v="0"/>
    <x v="0"/>
    <m/>
    <m/>
    <m/>
    <n v="3070"/>
    <n v="3"/>
    <n v="2"/>
    <s v="30700328"/>
    <s v="01_SE"/>
    <x v="0"/>
    <m/>
    <m/>
    <m/>
    <m/>
    <x v="0"/>
    <s v="Project"/>
    <x v="814"/>
    <x v="0"/>
    <x v="0"/>
    <s v="Exclude in HGB Group allocation"/>
  </r>
  <r>
    <s v="30700528"/>
    <m/>
    <x v="0"/>
    <x v="0"/>
    <m/>
    <m/>
    <m/>
    <n v="3070"/>
    <n v="5"/>
    <n v="2"/>
    <s v="30700528"/>
    <s v="01_SE"/>
    <x v="0"/>
    <m/>
    <m/>
    <m/>
    <m/>
    <x v="0"/>
    <s v="Project"/>
    <x v="815"/>
    <x v="0"/>
    <x v="0"/>
    <s v="Exclude in HGB Group allocation"/>
  </r>
  <r>
    <s v="99961028"/>
    <m/>
    <x v="0"/>
    <x v="0"/>
    <m/>
    <m/>
    <m/>
    <n v="3070"/>
    <n v="3"/>
    <n v="2"/>
    <s v="99961028"/>
    <s v="01_SE"/>
    <x v="0"/>
    <m/>
    <m/>
    <m/>
    <m/>
    <x v="0"/>
    <s v="Project"/>
    <x v="814"/>
    <x v="0"/>
    <x v="21"/>
    <s v="Exclude in HGB Group allocation"/>
  </r>
  <r>
    <s v="10770211"/>
    <m/>
    <x v="0"/>
    <x v="0"/>
    <m/>
    <m/>
    <m/>
    <n v="1077"/>
    <n v="2"/>
    <n v="1"/>
    <s v="10770211"/>
    <s v="07_Inc"/>
    <x v="4"/>
    <m/>
    <m/>
    <m/>
    <m/>
    <x v="0"/>
    <s v="Project"/>
    <x v="816"/>
    <x v="0"/>
    <x v="18"/>
    <s v="Exclude in HGB Group allocation"/>
  </r>
  <r>
    <s v="10770216"/>
    <m/>
    <x v="0"/>
    <x v="0"/>
    <m/>
    <m/>
    <m/>
    <n v="1077"/>
    <n v="2"/>
    <n v="1"/>
    <s v="10770216"/>
    <s v="07_Inc"/>
    <x v="4"/>
    <m/>
    <m/>
    <m/>
    <m/>
    <x v="0"/>
    <s v="Project"/>
    <x v="816"/>
    <x v="0"/>
    <x v="19"/>
    <s v="Exclude in HGB Group allocation"/>
  </r>
  <r>
    <s v="10770326"/>
    <m/>
    <x v="0"/>
    <x v="0"/>
    <m/>
    <m/>
    <m/>
    <n v="1077"/>
    <n v="3"/>
    <n v="2"/>
    <s v="10770326"/>
    <s v="07_Inc"/>
    <x v="0"/>
    <m/>
    <m/>
    <m/>
    <m/>
    <x v="0"/>
    <s v="Project"/>
    <x v="817"/>
    <x v="0"/>
    <x v="0"/>
    <s v="Exclude in HGB Group allocation"/>
  </r>
  <r>
    <s v="10770428"/>
    <m/>
    <x v="0"/>
    <x v="0"/>
    <m/>
    <m/>
    <m/>
    <n v="1077"/>
    <n v="4"/>
    <n v="2"/>
    <s v="10770428"/>
    <s v="01_SE"/>
    <x v="0"/>
    <m/>
    <m/>
    <m/>
    <m/>
    <x v="0"/>
    <s v="Project"/>
    <x v="818"/>
    <x v="0"/>
    <x v="0"/>
    <s v="Exclude in HGB Group allocation"/>
  </r>
  <r>
    <s v="10770528"/>
    <m/>
    <x v="0"/>
    <x v="0"/>
    <m/>
    <m/>
    <m/>
    <n v="1077"/>
    <n v="5"/>
    <n v="2"/>
    <s v="10770528"/>
    <s v="07_Inc"/>
    <x v="0"/>
    <m/>
    <m/>
    <m/>
    <m/>
    <x v="0"/>
    <s v="Project"/>
    <x v="819"/>
    <x v="0"/>
    <x v="27"/>
    <s v="Exclude in HGB Group allocation"/>
  </r>
  <r>
    <s v="99867211"/>
    <m/>
    <x v="0"/>
    <x v="0"/>
    <m/>
    <m/>
    <m/>
    <n v="1077"/>
    <n v="2"/>
    <n v="1"/>
    <s v="99867211"/>
    <s v="07_Inc"/>
    <x v="4"/>
    <m/>
    <m/>
    <m/>
    <m/>
    <x v="0"/>
    <s v="Project"/>
    <x v="816"/>
    <x v="0"/>
    <x v="18"/>
    <s v="Exclude in HGB Group allocation"/>
  </r>
  <r>
    <s v="99868611"/>
    <m/>
    <x v="0"/>
    <x v="0"/>
    <m/>
    <m/>
    <m/>
    <n v="1077"/>
    <n v="2"/>
    <n v="1"/>
    <s v="99868611"/>
    <s v="07_Inc"/>
    <x v="4"/>
    <m/>
    <m/>
    <m/>
    <m/>
    <x v="0"/>
    <s v="Project"/>
    <x v="816"/>
    <x v="0"/>
    <x v="18"/>
    <s v="Exclude in HGB Group allocation"/>
  </r>
  <r>
    <s v="99967028"/>
    <m/>
    <x v="0"/>
    <x v="0"/>
    <m/>
    <m/>
    <m/>
    <n v="1077"/>
    <n v="4"/>
    <n v="2"/>
    <s v="99967028"/>
    <s v="01_SE"/>
    <x v="0"/>
    <m/>
    <m/>
    <m/>
    <m/>
    <x v="0"/>
    <s v="Project"/>
    <x v="818"/>
    <x v="0"/>
    <x v="21"/>
    <s v="Exclude in HGB Group allocation"/>
  </r>
  <r>
    <s v="0"/>
    <m/>
    <x v="0"/>
    <x v="0"/>
    <m/>
    <m/>
    <m/>
    <n v="6124"/>
    <n v="2"/>
    <n v="2"/>
    <m/>
    <s v="01_SE"/>
    <x v="0"/>
    <m/>
    <m/>
    <m/>
    <m/>
    <x v="0"/>
    <s v="Project"/>
    <x v="820"/>
    <x v="0"/>
    <x v="0"/>
    <s v="Exclude in HGB Group allocation"/>
  </r>
  <r>
    <s v="75810249"/>
    <m/>
    <x v="0"/>
    <x v="0"/>
    <m/>
    <m/>
    <m/>
    <n v="7581"/>
    <n v="2"/>
    <n v="4"/>
    <s v="75810249"/>
    <s v="02_GmbH"/>
    <x v="1"/>
    <m/>
    <m/>
    <m/>
    <m/>
    <x v="0"/>
    <s v="Project"/>
    <x v="821"/>
    <x v="0"/>
    <x v="21"/>
    <s v="Exclude in HGB Group allocation"/>
  </r>
  <r>
    <s v="0"/>
    <m/>
    <x v="0"/>
    <x v="0"/>
    <m/>
    <m/>
    <m/>
    <n v="6130"/>
    <n v="2"/>
    <n v="4"/>
    <m/>
    <s v="02_GmbH"/>
    <x v="1"/>
    <m/>
    <m/>
    <m/>
    <m/>
    <x v="0"/>
    <s v="Project"/>
    <x v="822"/>
    <x v="0"/>
    <x v="23"/>
    <s v="Exclude in HGB Group allocation"/>
  </r>
  <r>
    <s v="70130228"/>
    <m/>
    <x v="0"/>
    <x v="0"/>
    <m/>
    <m/>
    <m/>
    <n v="7013"/>
    <n v="2"/>
    <n v="2"/>
    <s v="70130228"/>
    <s v="01_SE"/>
    <x v="0"/>
    <m/>
    <m/>
    <m/>
    <m/>
    <x v="0"/>
    <s v="Project"/>
    <x v="823"/>
    <x v="0"/>
    <x v="0"/>
    <s v="Exclude in HGB Group allocation"/>
  </r>
  <r>
    <s v="0"/>
    <m/>
    <x v="0"/>
    <x v="0"/>
    <m/>
    <m/>
    <m/>
    <n v="6070"/>
    <n v="3"/>
    <n v="2"/>
    <m/>
    <s v="01_SE"/>
    <x v="0"/>
    <m/>
    <m/>
    <m/>
    <m/>
    <x v="0"/>
    <s v="Project"/>
    <x v="824"/>
    <x v="0"/>
    <x v="0"/>
    <s v="Exclude in HGB Group allocation"/>
  </r>
  <r>
    <s v="60700228"/>
    <m/>
    <x v="0"/>
    <x v="0"/>
    <m/>
    <m/>
    <m/>
    <n v="6070"/>
    <n v="2"/>
    <n v="2"/>
    <s v="60700228"/>
    <s v="01_SE"/>
    <x v="0"/>
    <m/>
    <m/>
    <m/>
    <m/>
    <x v="0"/>
    <s v="Project"/>
    <x v="825"/>
    <x v="0"/>
    <x v="0"/>
    <s v="Exclude in HGB Group allocation"/>
  </r>
  <r>
    <s v="28982211"/>
    <m/>
    <x v="0"/>
    <x v="0"/>
    <m/>
    <m/>
    <m/>
    <n v="2898"/>
    <n v="22"/>
    <n v="1"/>
    <s v="28982211"/>
    <s v="01_SE"/>
    <x v="4"/>
    <m/>
    <m/>
    <m/>
    <m/>
    <x v="0"/>
    <s v="Project"/>
    <x v="826"/>
    <x v="0"/>
    <x v="18"/>
    <s v="Exclude in HGB Group allocation"/>
  </r>
  <r>
    <s v="28982311"/>
    <m/>
    <x v="0"/>
    <x v="0"/>
    <m/>
    <m/>
    <m/>
    <n v="2898"/>
    <n v="23"/>
    <n v="1"/>
    <s v="28982311"/>
    <s v="01_SE"/>
    <x v="4"/>
    <m/>
    <m/>
    <m/>
    <m/>
    <x v="0"/>
    <s v="Project"/>
    <x v="827"/>
    <x v="0"/>
    <x v="18"/>
    <s v="Exclude in HGB Group allocation"/>
  </r>
  <r>
    <s v="28982411"/>
    <m/>
    <x v="0"/>
    <x v="0"/>
    <m/>
    <m/>
    <m/>
    <n v="2898"/>
    <n v="24"/>
    <n v="1"/>
    <s v="28982411"/>
    <s v="01_SE"/>
    <x v="4"/>
    <m/>
    <m/>
    <m/>
    <m/>
    <x v="0"/>
    <s v="Project"/>
    <x v="828"/>
    <x v="0"/>
    <x v="18"/>
    <s v="Exclude in HGB Group allocation"/>
  </r>
  <r>
    <s v="99634116"/>
    <m/>
    <x v="0"/>
    <x v="0"/>
    <m/>
    <m/>
    <m/>
    <n v="9963"/>
    <n v="41"/>
    <n v="1"/>
    <s v="99634116"/>
    <s v="01_SE"/>
    <x v="4"/>
    <m/>
    <m/>
    <m/>
    <m/>
    <x v="0"/>
    <s v="Project"/>
    <x v="712"/>
    <x v="0"/>
    <x v="19"/>
    <s v="Exclude in HGB Group allocation"/>
  </r>
  <r>
    <s v="0"/>
    <m/>
    <x v="0"/>
    <x v="0"/>
    <m/>
    <m/>
    <m/>
    <n v="7617"/>
    <n v="3"/>
    <n v="2"/>
    <m/>
    <s v="09_Ltda"/>
    <x v="0"/>
    <m/>
    <m/>
    <m/>
    <m/>
    <x v="0"/>
    <s v="Project"/>
    <x v="829"/>
    <x v="0"/>
    <x v="0"/>
    <s v="Exclude in HGB Group allocation"/>
  </r>
  <r>
    <s v="76170242"/>
    <m/>
    <x v="0"/>
    <x v="0"/>
    <m/>
    <m/>
    <m/>
    <n v="7617"/>
    <n v="2"/>
    <n v="4"/>
    <n v="76170242"/>
    <s v="02_GmbH"/>
    <x v="1"/>
    <m/>
    <m/>
    <m/>
    <m/>
    <x v="0"/>
    <s v="Project"/>
    <x v="830"/>
    <x v="0"/>
    <x v="24"/>
    <s v="Exclude in HGB Group allocation"/>
  </r>
  <r>
    <s v="76170242"/>
    <m/>
    <x v="0"/>
    <x v="0"/>
    <m/>
    <m/>
    <m/>
    <n v="7617"/>
    <n v="2"/>
    <n v="4"/>
    <n v="76170242"/>
    <s v="02_GmbH"/>
    <x v="1"/>
    <m/>
    <m/>
    <m/>
    <m/>
    <x v="0"/>
    <s v="Project"/>
    <x v="830"/>
    <x v="0"/>
    <x v="1"/>
    <s v="Exclude in HGB Group allocation"/>
  </r>
  <r>
    <s v="76170242"/>
    <m/>
    <x v="0"/>
    <x v="0"/>
    <m/>
    <m/>
    <m/>
    <n v="7617"/>
    <n v="2"/>
    <n v="4"/>
    <n v="76170242"/>
    <s v="02_GmbH"/>
    <x v="1"/>
    <m/>
    <m/>
    <m/>
    <m/>
    <x v="0"/>
    <s v="Project"/>
    <x v="830"/>
    <x v="0"/>
    <x v="2"/>
    <s v="Exclude in HGB Group allocation"/>
  </r>
  <r>
    <s v="76170242"/>
    <m/>
    <x v="0"/>
    <x v="0"/>
    <m/>
    <m/>
    <m/>
    <n v="7617"/>
    <n v="2"/>
    <n v="4"/>
    <n v="76170242"/>
    <s v="02_GmbH"/>
    <x v="1"/>
    <m/>
    <m/>
    <m/>
    <m/>
    <x v="0"/>
    <s v="Project"/>
    <x v="830"/>
    <x v="0"/>
    <x v="20"/>
    <s v="Exclude in HGB Group allocation"/>
  </r>
  <r>
    <s v="99634213"/>
    <m/>
    <x v="0"/>
    <x v="0"/>
    <m/>
    <m/>
    <m/>
    <n v="9963"/>
    <n v="42"/>
    <n v="1"/>
    <s v="99634213"/>
    <s v="01_SE"/>
    <x v="4"/>
    <m/>
    <m/>
    <m/>
    <m/>
    <x v="0"/>
    <s v="Project"/>
    <x v="831"/>
    <x v="0"/>
    <x v="17"/>
    <s v="Exclude in HGB Group allocation"/>
  </r>
  <r>
    <s v="99634311"/>
    <m/>
    <x v="0"/>
    <x v="0"/>
    <m/>
    <m/>
    <m/>
    <n v="9963"/>
    <n v="43"/>
    <n v="1"/>
    <s v="99634311"/>
    <s v="01_SE"/>
    <x v="4"/>
    <m/>
    <m/>
    <m/>
    <m/>
    <x v="0"/>
    <s v="Project"/>
    <x v="832"/>
    <x v="0"/>
    <x v="18"/>
    <s v="Exclude in HGB Group allocation"/>
  </r>
  <r>
    <s v="99634416"/>
    <m/>
    <x v="0"/>
    <x v="0"/>
    <m/>
    <m/>
    <m/>
    <n v="9963"/>
    <n v="44"/>
    <n v="1"/>
    <s v="99634416"/>
    <s v="01_SE"/>
    <x v="4"/>
    <m/>
    <m/>
    <m/>
    <m/>
    <x v="0"/>
    <s v="Project"/>
    <x v="833"/>
    <x v="0"/>
    <x v="19"/>
    <s v="Exclude in HGB Group allocation"/>
  </r>
  <r>
    <s v="0"/>
    <m/>
    <x v="0"/>
    <x v="0"/>
    <m/>
    <m/>
    <m/>
    <n v="3028"/>
    <n v="17"/>
    <n v="4"/>
    <m/>
    <s v="02_GmbH"/>
    <x v="1"/>
    <m/>
    <m/>
    <m/>
    <m/>
    <x v="0"/>
    <s v="Project"/>
    <x v="834"/>
    <x v="0"/>
    <x v="21"/>
    <s v="Exclude in HGB Group allocation"/>
  </r>
  <r>
    <s v="30280242"/>
    <m/>
    <x v="0"/>
    <x v="0"/>
    <m/>
    <m/>
    <m/>
    <n v="3028"/>
    <n v="2"/>
    <n v="4"/>
    <s v="30280242"/>
    <s v="02_GmbH"/>
    <x v="1"/>
    <m/>
    <m/>
    <m/>
    <m/>
    <x v="0"/>
    <s v="Project"/>
    <x v="835"/>
    <x v="0"/>
    <x v="23"/>
    <s v="Exclude in HGB Group allocation"/>
  </r>
  <r>
    <s v="30280243"/>
    <m/>
    <x v="0"/>
    <x v="0"/>
    <m/>
    <m/>
    <m/>
    <n v="3028"/>
    <n v="2"/>
    <n v="4"/>
    <s v="30280243"/>
    <s v="02_GmbH"/>
    <x v="1"/>
    <m/>
    <m/>
    <m/>
    <m/>
    <x v="0"/>
    <s v="Project"/>
    <x v="835"/>
    <x v="0"/>
    <x v="1"/>
    <s v="Exclude in HGB Group allocation"/>
  </r>
  <r>
    <s v="30280244"/>
    <m/>
    <x v="0"/>
    <x v="0"/>
    <m/>
    <m/>
    <m/>
    <n v="3028"/>
    <n v="2"/>
    <n v="4"/>
    <s v="30280244"/>
    <s v="02_GmbH"/>
    <x v="1"/>
    <m/>
    <m/>
    <m/>
    <m/>
    <x v="0"/>
    <s v="Project"/>
    <x v="835"/>
    <x v="0"/>
    <x v="2"/>
    <s v="Exclude in HGB Group allocation"/>
  </r>
  <r>
    <s v="30280247"/>
    <m/>
    <x v="0"/>
    <x v="0"/>
    <m/>
    <m/>
    <m/>
    <n v="3028"/>
    <n v="2"/>
    <n v="4"/>
    <s v="30280247"/>
    <s v="02_GmbH"/>
    <x v="1"/>
    <m/>
    <m/>
    <m/>
    <m/>
    <x v="0"/>
    <s v="Project"/>
    <x v="835"/>
    <x v="0"/>
    <x v="20"/>
    <s v="Exclude in HGB Group allocation"/>
  </r>
  <r>
    <s v="30280942"/>
    <m/>
    <x v="0"/>
    <x v="0"/>
    <m/>
    <m/>
    <m/>
    <n v="3028"/>
    <n v="9"/>
    <n v="4"/>
    <s v="30280942"/>
    <s v="02_GmbH"/>
    <x v="1"/>
    <m/>
    <m/>
    <m/>
    <m/>
    <x v="0"/>
    <s v="Project"/>
    <x v="836"/>
    <x v="0"/>
    <x v="23"/>
    <s v="Exclude in HGB Group allocation"/>
  </r>
  <r>
    <s v="30280944"/>
    <m/>
    <x v="0"/>
    <x v="0"/>
    <m/>
    <m/>
    <m/>
    <n v="3028"/>
    <n v="9"/>
    <n v="4"/>
    <s v="30280944"/>
    <s v="02_GmbH"/>
    <x v="1"/>
    <m/>
    <m/>
    <m/>
    <m/>
    <x v="0"/>
    <s v="Project"/>
    <x v="836"/>
    <x v="0"/>
    <x v="2"/>
    <s v="Exclude in HGB Group allocation"/>
  </r>
  <r>
    <s v="30281242"/>
    <m/>
    <x v="0"/>
    <x v="0"/>
    <m/>
    <m/>
    <m/>
    <n v="3028"/>
    <n v="12"/>
    <n v="4"/>
    <s v="30281242"/>
    <s v="02_GmbH"/>
    <x v="1"/>
    <m/>
    <m/>
    <m/>
    <m/>
    <x v="0"/>
    <s v="Project"/>
    <x v="837"/>
    <x v="0"/>
    <x v="23"/>
    <s v="Exclude in HGB Group allocation"/>
  </r>
  <r>
    <s v="30281344"/>
    <m/>
    <x v="0"/>
    <x v="0"/>
    <m/>
    <m/>
    <m/>
    <n v="3028"/>
    <n v="13"/>
    <n v="4"/>
    <s v="30281344"/>
    <s v="02_GmbH"/>
    <x v="1"/>
    <m/>
    <m/>
    <m/>
    <m/>
    <x v="0"/>
    <s v="Project"/>
    <x v="838"/>
    <x v="0"/>
    <x v="21"/>
    <s v="Exclude in HGB Group allocation"/>
  </r>
  <r>
    <s v="30281444"/>
    <m/>
    <x v="0"/>
    <x v="0"/>
    <m/>
    <m/>
    <m/>
    <n v="3028"/>
    <n v="14"/>
    <n v="4"/>
    <s v="30281444"/>
    <s v="02_GmbH"/>
    <x v="1"/>
    <m/>
    <m/>
    <m/>
    <m/>
    <x v="0"/>
    <s v="Project"/>
    <x v="839"/>
    <x v="0"/>
    <x v="21"/>
    <s v="Exclude in HGB Group allocation"/>
  </r>
  <r>
    <s v="30281549"/>
    <m/>
    <x v="0"/>
    <x v="0"/>
    <m/>
    <m/>
    <m/>
    <n v="3028"/>
    <n v="15"/>
    <n v="4"/>
    <s v="30281549"/>
    <s v="02_GmbH"/>
    <x v="1"/>
    <m/>
    <m/>
    <m/>
    <m/>
    <x v="0"/>
    <s v="Project"/>
    <x v="840"/>
    <x v="0"/>
    <x v="21"/>
    <s v="Exclude in HGB Group allocation"/>
  </r>
  <r>
    <s v="30281649"/>
    <m/>
    <x v="0"/>
    <x v="0"/>
    <m/>
    <m/>
    <m/>
    <n v="3028"/>
    <n v="16"/>
    <n v="4"/>
    <s v="30281649"/>
    <s v="02_GmbH"/>
    <x v="1"/>
    <m/>
    <m/>
    <m/>
    <m/>
    <x v="0"/>
    <s v="Project"/>
    <x v="841"/>
    <x v="0"/>
    <x v="21"/>
    <s v="Exclude in HGB Group allocation"/>
  </r>
  <r>
    <s v="99897044"/>
    <m/>
    <x v="0"/>
    <x v="0"/>
    <m/>
    <m/>
    <m/>
    <n v="3028"/>
    <n v="2"/>
    <n v="4"/>
    <s v="99897044"/>
    <s v="02_GmbH"/>
    <x v="1"/>
    <m/>
    <m/>
    <m/>
    <m/>
    <x v="0"/>
    <s v="Project"/>
    <x v="835"/>
    <x v="0"/>
    <x v="2"/>
    <s v="Exclude in HGB Group allocation"/>
  </r>
  <r>
    <s v="99952442"/>
    <m/>
    <x v="0"/>
    <x v="0"/>
    <m/>
    <m/>
    <m/>
    <n v="3028"/>
    <n v="9"/>
    <n v="4"/>
    <s v="99952442"/>
    <s v="02_GmbH"/>
    <x v="1"/>
    <m/>
    <m/>
    <m/>
    <m/>
    <x v="0"/>
    <s v="Project"/>
    <x v="836"/>
    <x v="0"/>
    <x v="23"/>
    <s v="Exclude in HGB Group allocation"/>
  </r>
  <r>
    <s v="0"/>
    <m/>
    <x v="0"/>
    <x v="0"/>
    <m/>
    <m/>
    <m/>
    <n v="9963"/>
    <n v="45"/>
    <n v="1"/>
    <m/>
    <s v="01_SE"/>
    <x v="4"/>
    <m/>
    <m/>
    <m/>
    <m/>
    <x v="0"/>
    <s v="Project"/>
    <x v="842"/>
    <x v="0"/>
    <x v="17"/>
    <s v="Exclude in HGB Group allocation"/>
  </r>
  <r>
    <s v="0"/>
    <m/>
    <x v="0"/>
    <x v="0"/>
    <m/>
    <m/>
    <m/>
    <n v="9963"/>
    <n v="46"/>
    <n v="1"/>
    <m/>
    <s v="01_SE"/>
    <x v="4"/>
    <m/>
    <m/>
    <m/>
    <m/>
    <x v="0"/>
    <s v="Project"/>
    <x v="843"/>
    <x v="0"/>
    <x v="18"/>
    <s v="Exclude in HGB Group allocation"/>
  </r>
  <r>
    <s v="0"/>
    <m/>
    <x v="0"/>
    <x v="0"/>
    <m/>
    <m/>
    <m/>
    <n v="9963"/>
    <n v="47"/>
    <n v="1"/>
    <m/>
    <s v="01_SE"/>
    <x v="4"/>
    <m/>
    <m/>
    <m/>
    <m/>
    <x v="0"/>
    <s v="Project"/>
    <x v="844"/>
    <x v="0"/>
    <x v="21"/>
    <s v="Exclude in HGB Group allocation"/>
  </r>
  <r>
    <s v="0"/>
    <m/>
    <x v="0"/>
    <x v="0"/>
    <m/>
    <m/>
    <m/>
    <n v="9963"/>
    <n v="48"/>
    <n v="1"/>
    <m/>
    <s v="01_SE"/>
    <x v="4"/>
    <m/>
    <m/>
    <m/>
    <m/>
    <x v="0"/>
    <s v="Project"/>
    <x v="845"/>
    <x v="0"/>
    <x v="21"/>
    <s v="Exclude in HGB Group allocation"/>
  </r>
  <r>
    <s v="99897011"/>
    <m/>
    <x v="0"/>
    <x v="0"/>
    <m/>
    <m/>
    <m/>
    <n v="9989"/>
    <n v="70"/>
    <n v="1"/>
    <s v="99897011"/>
    <s v="01_SE"/>
    <x v="4"/>
    <m/>
    <m/>
    <m/>
    <m/>
    <x v="0"/>
    <s v="Project"/>
    <x v="846"/>
    <x v="0"/>
    <x v="18"/>
    <s v="Exclude in HGB Group allocation"/>
  </r>
  <r>
    <s v="99897019"/>
    <m/>
    <x v="0"/>
    <x v="0"/>
    <m/>
    <m/>
    <m/>
    <n v="9989"/>
    <n v="70"/>
    <n v="1"/>
    <s v="99897019"/>
    <s v="01_SE"/>
    <x v="4"/>
    <m/>
    <m/>
    <m/>
    <m/>
    <x v="0"/>
    <s v="Project"/>
    <x v="846"/>
    <x v="0"/>
    <x v="19"/>
    <s v="Exclude in HGB Group allocation"/>
  </r>
  <r>
    <s v="99917811"/>
    <m/>
    <x v="0"/>
    <x v="0"/>
    <m/>
    <m/>
    <m/>
    <n v="9991"/>
    <n v="78"/>
    <n v="1"/>
    <s v="99917811"/>
    <s v="01_SE"/>
    <x v="4"/>
    <m/>
    <m/>
    <m/>
    <m/>
    <x v="0"/>
    <s v="Project"/>
    <x v="847"/>
    <x v="0"/>
    <x v="18"/>
    <s v="Exclude in HGB Group allocation"/>
  </r>
  <r>
    <s v="99951711"/>
    <m/>
    <x v="0"/>
    <x v="0"/>
    <m/>
    <m/>
    <m/>
    <n v="9995"/>
    <n v="17"/>
    <n v="1"/>
    <s v="99951711"/>
    <s v="01_SE"/>
    <x v="4"/>
    <m/>
    <m/>
    <m/>
    <m/>
    <x v="0"/>
    <s v="Project"/>
    <x v="848"/>
    <x v="0"/>
    <x v="18"/>
    <s v="Exclude in HGB Group allocation"/>
  </r>
  <r>
    <s v="99951713"/>
    <m/>
    <x v="0"/>
    <x v="0"/>
    <m/>
    <m/>
    <m/>
    <n v="9995"/>
    <n v="17"/>
    <n v="1"/>
    <s v="99951713"/>
    <s v="01_SE"/>
    <x v="4"/>
    <m/>
    <m/>
    <m/>
    <m/>
    <x v="0"/>
    <s v="Project"/>
    <x v="848"/>
    <x v="0"/>
    <x v="17"/>
    <s v="Exclude in HGB Group allocation"/>
  </r>
  <r>
    <s v="99952913"/>
    <m/>
    <x v="0"/>
    <x v="0"/>
    <m/>
    <m/>
    <m/>
    <n v="9995"/>
    <n v="29"/>
    <n v="1"/>
    <s v="99952913"/>
    <s v="01_SE"/>
    <x v="4"/>
    <m/>
    <m/>
    <m/>
    <m/>
    <x v="0"/>
    <s v="Project"/>
    <x v="849"/>
    <x v="0"/>
    <x v="17"/>
    <s v="Exclude in HGB Group allocation"/>
  </r>
  <r>
    <s v="99953611"/>
    <m/>
    <x v="0"/>
    <x v="0"/>
    <m/>
    <m/>
    <m/>
    <n v="9995"/>
    <n v="36"/>
    <n v="1"/>
    <s v="99953611"/>
    <s v="01_SE"/>
    <x v="4"/>
    <m/>
    <m/>
    <m/>
    <m/>
    <x v="0"/>
    <s v="Project"/>
    <x v="850"/>
    <x v="0"/>
    <x v="18"/>
    <s v="Exclude in HGB Group allocation"/>
  </r>
  <r>
    <s v="99953613"/>
    <m/>
    <x v="0"/>
    <x v="0"/>
    <m/>
    <m/>
    <m/>
    <n v="9995"/>
    <n v="36"/>
    <n v="1"/>
    <s v="99953613"/>
    <s v="01_SE"/>
    <x v="4"/>
    <m/>
    <m/>
    <m/>
    <m/>
    <x v="0"/>
    <s v="Project"/>
    <x v="850"/>
    <x v="0"/>
    <x v="17"/>
    <s v="Exclude in HGB Group allocation"/>
  </r>
  <r>
    <s v="99953711"/>
    <m/>
    <x v="0"/>
    <x v="0"/>
    <m/>
    <m/>
    <m/>
    <n v="9995"/>
    <n v="37"/>
    <n v="1"/>
    <s v="99953711"/>
    <s v="01_SE"/>
    <x v="4"/>
    <m/>
    <m/>
    <m/>
    <m/>
    <x v="0"/>
    <s v="Project"/>
    <x v="851"/>
    <x v="0"/>
    <x v="18"/>
    <s v="Exclude in HGB Group allocation"/>
  </r>
  <r>
    <s v="99953716"/>
    <m/>
    <x v="0"/>
    <x v="0"/>
    <m/>
    <m/>
    <m/>
    <n v="9995"/>
    <n v="37"/>
    <n v="1"/>
    <s v="99953716"/>
    <s v="01_SE"/>
    <x v="4"/>
    <m/>
    <m/>
    <m/>
    <m/>
    <x v="0"/>
    <s v="Project"/>
    <x v="851"/>
    <x v="0"/>
    <x v="19"/>
    <s v="Exclude in HGB Group allocation"/>
  </r>
  <r>
    <s v="99957413"/>
    <m/>
    <x v="0"/>
    <x v="0"/>
    <m/>
    <m/>
    <m/>
    <n v="9995"/>
    <n v="74"/>
    <n v="1"/>
    <s v="99957413"/>
    <s v="01_SE"/>
    <x v="4"/>
    <m/>
    <m/>
    <m/>
    <m/>
    <x v="0"/>
    <s v="Project"/>
    <x v="852"/>
    <x v="0"/>
    <x v="17"/>
    <s v="Exclude in HGB Group allocation"/>
  </r>
  <r>
    <s v="99959413"/>
    <m/>
    <x v="0"/>
    <x v="0"/>
    <m/>
    <m/>
    <m/>
    <n v="9995"/>
    <n v="94"/>
    <n v="1"/>
    <s v="99959413"/>
    <s v="01_SE"/>
    <x v="4"/>
    <m/>
    <m/>
    <m/>
    <m/>
    <x v="0"/>
    <s v="Project"/>
    <x v="853"/>
    <x v="0"/>
    <x v="17"/>
    <s v="Exclude in HGB Group allocation"/>
  </r>
  <r>
    <s v="0"/>
    <m/>
    <x v="0"/>
    <x v="0"/>
    <m/>
    <m/>
    <m/>
    <n v="3018"/>
    <n v="6"/>
    <n v="2"/>
    <m/>
    <s v="01_SE"/>
    <x v="0"/>
    <m/>
    <m/>
    <m/>
    <m/>
    <x v="0"/>
    <s v="Project"/>
    <x v="854"/>
    <x v="0"/>
    <x v="0"/>
    <s v="Exclude in HGB Group allocation"/>
  </r>
  <r>
    <s v="0"/>
    <m/>
    <x v="0"/>
    <x v="0"/>
    <m/>
    <m/>
    <m/>
    <n v="4113"/>
    <n v="1"/>
    <n v="2"/>
    <m/>
    <s v="01_SE"/>
    <x v="0"/>
    <m/>
    <m/>
    <m/>
    <m/>
    <x v="0"/>
    <s v="Project"/>
    <x v="855"/>
    <x v="0"/>
    <x v="0"/>
    <s v="Exclude in HGB Group allocation"/>
  </r>
  <r>
    <s v="41130228"/>
    <m/>
    <x v="0"/>
    <x v="0"/>
    <m/>
    <m/>
    <m/>
    <n v="4113"/>
    <n v="2"/>
    <n v="2"/>
    <s v="41130228"/>
    <s v="01_SE"/>
    <x v="0"/>
    <m/>
    <m/>
    <m/>
    <m/>
    <x v="0"/>
    <s v="Project"/>
    <x v="856"/>
    <x v="0"/>
    <x v="0"/>
    <s v="Exclude in HGB Group allocation"/>
  </r>
  <r>
    <s v="0"/>
    <m/>
    <x v="0"/>
    <x v="0"/>
    <m/>
    <m/>
    <m/>
    <n v="4113"/>
    <n v="3"/>
    <n v="2"/>
    <m/>
    <s v="01_SE"/>
    <x v="0"/>
    <m/>
    <m/>
    <m/>
    <m/>
    <x v="0"/>
    <s v="Project"/>
    <x v="857"/>
    <x v="0"/>
    <x v="0"/>
    <s v="Exclude in HGB Group allocation"/>
  </r>
  <r>
    <s v="0"/>
    <m/>
    <x v="0"/>
    <x v="0"/>
    <m/>
    <m/>
    <m/>
    <n v="4110"/>
    <n v="3"/>
    <n v="2"/>
    <m/>
    <s v="01_SE"/>
    <x v="0"/>
    <m/>
    <m/>
    <m/>
    <m/>
    <x v="0"/>
    <s v="Project"/>
    <x v="858"/>
    <x v="0"/>
    <x v="0"/>
    <s v="Exclude in HGB Group allocation"/>
  </r>
  <r>
    <s v="0"/>
    <m/>
    <x v="0"/>
    <x v="0"/>
    <m/>
    <m/>
    <m/>
    <n v="4102"/>
    <n v="3"/>
    <n v="2"/>
    <m/>
    <s v="01_SE"/>
    <x v="0"/>
    <m/>
    <m/>
    <m/>
    <m/>
    <x v="0"/>
    <s v="Project"/>
    <x v="859"/>
    <x v="0"/>
    <x v="0"/>
    <s v="Exclude in HGB Group allocation"/>
  </r>
  <r>
    <s v="41020228"/>
    <m/>
    <x v="0"/>
    <x v="0"/>
    <m/>
    <m/>
    <m/>
    <n v="4102"/>
    <n v="2"/>
    <n v="2"/>
    <s v="41020228"/>
    <s v="01_SE"/>
    <x v="0"/>
    <m/>
    <m/>
    <m/>
    <m/>
    <x v="0"/>
    <s v="Project"/>
    <x v="860"/>
    <x v="0"/>
    <x v="0"/>
    <s v="Exclude in HGB Group allocation"/>
  </r>
  <r>
    <s v="40050228"/>
    <m/>
    <x v="0"/>
    <x v="0"/>
    <m/>
    <m/>
    <m/>
    <n v="4005"/>
    <n v="2"/>
    <n v="2"/>
    <s v="40050228"/>
    <s v="01_SE"/>
    <x v="0"/>
    <m/>
    <m/>
    <m/>
    <m/>
    <x v="0"/>
    <s v="Project"/>
    <x v="861"/>
    <x v="0"/>
    <x v="0"/>
    <s v="Exclude in HGB Group allocation"/>
  </r>
  <r>
    <s v="0"/>
    <m/>
    <x v="0"/>
    <x v="0"/>
    <m/>
    <m/>
    <m/>
    <n v="6310"/>
    <n v="2"/>
    <n v="1"/>
    <m/>
    <s v="05_Shg"/>
    <x v="4"/>
    <m/>
    <m/>
    <m/>
    <m/>
    <x v="0"/>
    <s v="Project"/>
    <x v="862"/>
    <x v="0"/>
    <x v="18"/>
    <s v="Exclude in HGB Group allocation"/>
  </r>
  <r>
    <s v="88690328"/>
    <m/>
    <x v="0"/>
    <x v="0"/>
    <m/>
    <m/>
    <m/>
    <n v="8869"/>
    <n v="3"/>
    <n v="2"/>
    <s v="88690328"/>
    <s v="01_SE"/>
    <x v="0"/>
    <m/>
    <m/>
    <m/>
    <m/>
    <x v="0"/>
    <s v="Project"/>
    <x v="863"/>
    <x v="0"/>
    <x v="0"/>
    <s v="Exclude in HGB Group allocation"/>
  </r>
  <r>
    <s v="88690428"/>
    <m/>
    <x v="0"/>
    <x v="0"/>
    <m/>
    <m/>
    <m/>
    <n v="8869"/>
    <n v="4"/>
    <n v="2"/>
    <s v="88690428"/>
    <s v="01_SE"/>
    <x v="0"/>
    <m/>
    <m/>
    <m/>
    <m/>
    <x v="0"/>
    <s v="Project"/>
    <x v="864"/>
    <x v="0"/>
    <x v="0"/>
    <s v="Exclude in HGB Group allocation"/>
  </r>
  <r>
    <s v="88690528"/>
    <m/>
    <x v="0"/>
    <x v="0"/>
    <m/>
    <m/>
    <m/>
    <n v="8869"/>
    <n v="5"/>
    <n v="2"/>
    <s v="88690528"/>
    <s v="01_SE"/>
    <x v="0"/>
    <m/>
    <m/>
    <m/>
    <m/>
    <x v="0"/>
    <s v="Project"/>
    <x v="865"/>
    <x v="0"/>
    <x v="0"/>
    <s v="Exclude in HGB Group allocation"/>
  </r>
  <r>
    <s v="0"/>
    <m/>
    <x v="0"/>
    <x v="0"/>
    <m/>
    <m/>
    <m/>
    <n v="3149"/>
    <n v="2"/>
    <n v="2"/>
    <m/>
    <s v="01_SE"/>
    <x v="0"/>
    <m/>
    <m/>
    <m/>
    <m/>
    <x v="0"/>
    <s v="Project"/>
    <x v="866"/>
    <x v="0"/>
    <x v="0"/>
    <s v="Exclude in HGB Group allocation"/>
  </r>
  <r>
    <s v="0"/>
    <m/>
    <x v="0"/>
    <x v="0"/>
    <m/>
    <m/>
    <m/>
    <n v="8013"/>
    <n v="2"/>
    <n v="2"/>
    <m/>
    <s v="01_SE"/>
    <x v="0"/>
    <m/>
    <m/>
    <m/>
    <m/>
    <x v="0"/>
    <s v="Project"/>
    <x v="867"/>
    <x v="0"/>
    <x v="0"/>
    <s v="Exclude in HGB Group allocation"/>
  </r>
  <r>
    <s v="31470228"/>
    <m/>
    <x v="0"/>
    <x v="0"/>
    <m/>
    <m/>
    <m/>
    <n v="3147"/>
    <n v="2"/>
    <n v="2"/>
    <s v="31470228"/>
    <s v="01_SE"/>
    <x v="0"/>
    <m/>
    <m/>
    <m/>
    <m/>
    <x v="0"/>
    <s v="Project"/>
    <x v="868"/>
    <x v="0"/>
    <x v="0"/>
    <s v="Exclude in HGB Group allocation"/>
  </r>
  <r>
    <s v="0"/>
    <m/>
    <x v="0"/>
    <x v="0"/>
    <m/>
    <m/>
    <m/>
    <n v="3173"/>
    <n v="2"/>
    <n v="4"/>
    <m/>
    <s v="02_GmbH"/>
    <x v="1"/>
    <m/>
    <m/>
    <m/>
    <m/>
    <x v="0"/>
    <s v="Project"/>
    <x v="869"/>
    <x v="0"/>
    <x v="24"/>
    <s v="Exclude in HGB Group allocation"/>
  </r>
  <r>
    <s v="10760228"/>
    <m/>
    <x v="0"/>
    <x v="0"/>
    <m/>
    <m/>
    <m/>
    <n v="1076"/>
    <n v="2"/>
    <n v="2"/>
    <s v="10760228"/>
    <s v="01_SE"/>
    <x v="0"/>
    <m/>
    <m/>
    <m/>
    <m/>
    <x v="0"/>
    <s v="Project"/>
    <x v="870"/>
    <x v="0"/>
    <x v="0"/>
    <s v="Exclude in HGB Group allocation"/>
  </r>
  <r>
    <s v="99948928"/>
    <m/>
    <x v="0"/>
    <x v="0"/>
    <m/>
    <m/>
    <m/>
    <n v="9994"/>
    <n v="89"/>
    <n v="2"/>
    <s v="99948928"/>
    <s v="16_digital"/>
    <x v="0"/>
    <m/>
    <m/>
    <m/>
    <m/>
    <x v="0"/>
    <s v="Project"/>
    <x v="871"/>
    <x v="0"/>
    <x v="0"/>
    <s v="Exclude in HGB Group allocation"/>
  </r>
  <r>
    <s v="30450228"/>
    <m/>
    <x v="0"/>
    <x v="0"/>
    <m/>
    <m/>
    <m/>
    <n v="3045"/>
    <n v="2"/>
    <n v="2"/>
    <s v="30450228"/>
    <s v="01_SE"/>
    <x v="0"/>
    <m/>
    <m/>
    <m/>
    <m/>
    <x v="0"/>
    <s v="Project"/>
    <x v="872"/>
    <x v="0"/>
    <x v="0"/>
    <s v="Exclude in HGB Group allocation"/>
  </r>
  <r>
    <s v="0"/>
    <m/>
    <x v="0"/>
    <x v="0"/>
    <m/>
    <m/>
    <m/>
    <n v="4002"/>
    <n v="8"/>
    <n v="2"/>
    <m/>
    <s v="01_SE"/>
    <x v="0"/>
    <m/>
    <m/>
    <m/>
    <m/>
    <x v="0"/>
    <s v="Project"/>
    <x v="873"/>
    <x v="0"/>
    <x v="0"/>
    <s v="Exclude in HGB Group allocation"/>
  </r>
  <r>
    <s v="0"/>
    <m/>
    <x v="0"/>
    <x v="0"/>
    <m/>
    <m/>
    <m/>
    <n v="4002"/>
    <n v="9"/>
    <n v="2"/>
    <m/>
    <s v="01_SE"/>
    <x v="0"/>
    <m/>
    <m/>
    <m/>
    <m/>
    <x v="0"/>
    <s v="Project"/>
    <x v="874"/>
    <x v="0"/>
    <x v="25"/>
    <s v="Exclude in HGB Group allocation"/>
  </r>
  <r>
    <s v="0"/>
    <m/>
    <x v="0"/>
    <x v="0"/>
    <m/>
    <m/>
    <m/>
    <n v="4002"/>
    <n v="10"/>
    <n v="2"/>
    <m/>
    <s v="01_SE"/>
    <x v="0"/>
    <m/>
    <m/>
    <m/>
    <m/>
    <x v="0"/>
    <s v="Project"/>
    <x v="875"/>
    <x v="0"/>
    <x v="25"/>
    <s v="Exclude in HGB Group allocation"/>
  </r>
  <r>
    <s v="0"/>
    <m/>
    <x v="0"/>
    <x v="0"/>
    <m/>
    <m/>
    <m/>
    <n v="4002"/>
    <n v="11"/>
    <n v="2"/>
    <m/>
    <s v="01_SE"/>
    <x v="0"/>
    <m/>
    <m/>
    <m/>
    <m/>
    <x v="0"/>
    <s v="Project"/>
    <x v="876"/>
    <x v="0"/>
    <x v="0"/>
    <s v="Exclude in HGB Group allocation"/>
  </r>
  <r>
    <s v="40020628"/>
    <m/>
    <x v="0"/>
    <x v="0"/>
    <m/>
    <m/>
    <m/>
    <n v="4002"/>
    <n v="6"/>
    <n v="2"/>
    <s v="40020628"/>
    <s v="01_SE"/>
    <x v="0"/>
    <m/>
    <m/>
    <m/>
    <m/>
    <x v="0"/>
    <s v="Project"/>
    <x v="877"/>
    <x v="0"/>
    <x v="0"/>
    <s v="Exclude in HGB Group allocation"/>
  </r>
  <r>
    <s v="40020728"/>
    <m/>
    <x v="0"/>
    <x v="0"/>
    <m/>
    <m/>
    <m/>
    <n v="4002"/>
    <n v="7"/>
    <n v="2"/>
    <s v="40020728"/>
    <s v="01_SE"/>
    <x v="0"/>
    <m/>
    <m/>
    <m/>
    <m/>
    <x v="0"/>
    <s v="Project"/>
    <x v="878"/>
    <x v="0"/>
    <x v="0"/>
    <s v="Exclude in HGB Group allocation"/>
  </r>
  <r>
    <s v="0"/>
    <m/>
    <x v="0"/>
    <x v="0"/>
    <m/>
    <m/>
    <m/>
    <n v="4002"/>
    <n v="12"/>
    <n v="2"/>
    <m/>
    <s v="01_SE"/>
    <x v="0"/>
    <m/>
    <m/>
    <m/>
    <m/>
    <x v="0"/>
    <s v="Project"/>
    <x v="879"/>
    <x v="0"/>
    <x v="25"/>
    <s v="Exclude in HGB Group allocation"/>
  </r>
  <r>
    <s v="0"/>
    <m/>
    <x v="0"/>
    <x v="0"/>
    <m/>
    <m/>
    <m/>
    <n v="4002"/>
    <n v="13"/>
    <n v="2"/>
    <m/>
    <s v="01_SE"/>
    <x v="0"/>
    <m/>
    <m/>
    <m/>
    <m/>
    <x v="0"/>
    <s v="Project"/>
    <x v="880"/>
    <x v="0"/>
    <x v="25"/>
    <s v="Exclude in HGB Group allocation"/>
  </r>
  <r>
    <s v="20890728"/>
    <m/>
    <x v="0"/>
    <x v="0"/>
    <m/>
    <m/>
    <m/>
    <n v="2089"/>
    <n v="7"/>
    <n v="2"/>
    <s v="20890728"/>
    <s v="01_SE"/>
    <x v="0"/>
    <m/>
    <m/>
    <m/>
    <m/>
    <x v="0"/>
    <s v="Project"/>
    <x v="881"/>
    <x v="0"/>
    <x v="0"/>
    <s v="Exclude in HGB Group allocation"/>
  </r>
  <r>
    <s v="20010228"/>
    <m/>
    <x v="0"/>
    <x v="0"/>
    <m/>
    <m/>
    <m/>
    <n v="2001"/>
    <n v="2"/>
    <n v="2"/>
    <s v="20010228"/>
    <s v="01_SE"/>
    <x v="0"/>
    <m/>
    <m/>
    <m/>
    <m/>
    <x v="0"/>
    <s v="Project"/>
    <x v="882"/>
    <x v="0"/>
    <x v="0"/>
    <s v="Exclude in HGB Group allocation"/>
  </r>
  <r>
    <s v="20010328"/>
    <m/>
    <x v="0"/>
    <x v="0"/>
    <m/>
    <m/>
    <m/>
    <n v="2001"/>
    <n v="3"/>
    <n v="2"/>
    <s v="20010328"/>
    <s v="01_SE"/>
    <x v="0"/>
    <m/>
    <m/>
    <m/>
    <m/>
    <x v="0"/>
    <s v="Project"/>
    <x v="883"/>
    <x v="0"/>
    <x v="0"/>
    <s v="Exclude in HGB Group allocation"/>
  </r>
  <r>
    <s v="20010428"/>
    <m/>
    <x v="0"/>
    <x v="0"/>
    <m/>
    <m/>
    <m/>
    <n v="2001"/>
    <n v="4"/>
    <n v="2"/>
    <s v="20010428"/>
    <s v="01_SE"/>
    <x v="0"/>
    <m/>
    <m/>
    <m/>
    <m/>
    <x v="0"/>
    <s v="Project"/>
    <x v="884"/>
    <x v="0"/>
    <x v="0"/>
    <s v="Exclude in HGB Group allocation"/>
  </r>
  <r>
    <s v="79020228"/>
    <m/>
    <x v="0"/>
    <x v="0"/>
    <m/>
    <m/>
    <m/>
    <n v="7902"/>
    <n v="2"/>
    <n v="2"/>
    <s v="79020228"/>
    <s v="01_SE"/>
    <x v="0"/>
    <m/>
    <m/>
    <m/>
    <m/>
    <x v="0"/>
    <s v="Project"/>
    <x v="885"/>
    <x v="0"/>
    <x v="0"/>
    <s v="Exclude in HGB Group allocation"/>
  </r>
  <r>
    <s v="99962228"/>
    <m/>
    <x v="0"/>
    <x v="0"/>
    <m/>
    <m/>
    <m/>
    <n v="7902"/>
    <n v="2"/>
    <n v="2"/>
    <s v="99962228"/>
    <s v="01_SE"/>
    <x v="0"/>
    <m/>
    <m/>
    <m/>
    <m/>
    <x v="0"/>
    <s v="Project"/>
    <x v="885"/>
    <x v="0"/>
    <x v="0"/>
    <s v="Exclude in HGB Group allocation"/>
  </r>
  <r>
    <s v="0"/>
    <m/>
    <x v="0"/>
    <x v="0"/>
    <m/>
    <m/>
    <m/>
    <n v="6676"/>
    <n v="3"/>
    <n v="1"/>
    <m/>
    <s v="05_Shg"/>
    <x v="4"/>
    <m/>
    <m/>
    <m/>
    <m/>
    <x v="0"/>
    <s v="Project"/>
    <x v="886"/>
    <x v="0"/>
    <x v="18"/>
    <s v="Exclude in HGB Group allocation"/>
  </r>
  <r>
    <s v="81020828"/>
    <m/>
    <x v="0"/>
    <x v="0"/>
    <m/>
    <m/>
    <m/>
    <n v="8102"/>
    <n v="8"/>
    <n v="2"/>
    <s v="81020828"/>
    <s v="01_SE"/>
    <x v="0"/>
    <m/>
    <m/>
    <m/>
    <m/>
    <x v="0"/>
    <s v="Project"/>
    <x v="887"/>
    <x v="0"/>
    <x v="0"/>
    <s v="Exclude in HGB Group allocation"/>
  </r>
  <r>
    <s v="0"/>
    <m/>
    <x v="0"/>
    <x v="0"/>
    <m/>
    <m/>
    <m/>
    <n v="4118"/>
    <n v="2"/>
    <n v="2"/>
    <m/>
    <s v="01_SE"/>
    <x v="0"/>
    <m/>
    <m/>
    <m/>
    <m/>
    <x v="0"/>
    <s v="Project"/>
    <x v="888"/>
    <x v="0"/>
    <x v="0"/>
    <s v="Exclude in HGB Group allocation"/>
  </r>
  <r>
    <s v="0"/>
    <m/>
    <x v="0"/>
    <x v="0"/>
    <m/>
    <m/>
    <m/>
    <n v="4118"/>
    <n v="3"/>
    <n v="2"/>
    <m/>
    <s v="01_SE"/>
    <x v="0"/>
    <m/>
    <m/>
    <m/>
    <m/>
    <x v="0"/>
    <s v="Project"/>
    <x v="889"/>
    <x v="0"/>
    <x v="0"/>
    <s v="Exclude in HGB Group allocation"/>
  </r>
  <r>
    <s v="0"/>
    <m/>
    <x v="0"/>
    <x v="0"/>
    <m/>
    <m/>
    <m/>
    <n v="3055"/>
    <n v="22"/>
    <n v="2"/>
    <m/>
    <s v="01_SE"/>
    <x v="0"/>
    <m/>
    <m/>
    <m/>
    <m/>
    <x v="0"/>
    <s v="Project"/>
    <x v="890"/>
    <x v="0"/>
    <x v="0"/>
    <s v="Exclude in HGB Group allocation"/>
  </r>
  <r>
    <s v="30552128"/>
    <m/>
    <x v="0"/>
    <x v="0"/>
    <m/>
    <m/>
    <m/>
    <n v="3055"/>
    <n v="21"/>
    <n v="2"/>
    <s v="30552128"/>
    <s v="01_SE"/>
    <x v="0"/>
    <m/>
    <m/>
    <m/>
    <m/>
    <x v="0"/>
    <s v="Project"/>
    <x v="891"/>
    <x v="0"/>
    <x v="0"/>
    <s v="Exclude in HGB Group allocation"/>
  </r>
  <r>
    <s v="0"/>
    <m/>
    <x v="0"/>
    <x v="0"/>
    <m/>
    <m/>
    <m/>
    <n v="7069"/>
    <n v="2"/>
    <n v="2"/>
    <m/>
    <s v="05_Shg"/>
    <x v="0"/>
    <m/>
    <m/>
    <m/>
    <m/>
    <x v="0"/>
    <s v="Project"/>
    <x v="892"/>
    <x v="0"/>
    <x v="0"/>
    <s v="Exclude in HGB Group allocation"/>
  </r>
  <r>
    <s v="20140228"/>
    <m/>
    <x v="0"/>
    <x v="0"/>
    <m/>
    <m/>
    <m/>
    <n v="2014"/>
    <n v="2"/>
    <n v="2"/>
    <s v="20140228"/>
    <s v="01_SE"/>
    <x v="0"/>
    <m/>
    <m/>
    <m/>
    <m/>
    <x v="0"/>
    <s v="Project"/>
    <x v="893"/>
    <x v="0"/>
    <x v="0"/>
    <s v="Exclude in HGB Group allocation"/>
  </r>
  <r>
    <s v="0"/>
    <m/>
    <x v="0"/>
    <x v="0"/>
    <m/>
    <m/>
    <m/>
    <n v="7705"/>
    <n v="2"/>
    <n v="2"/>
    <m/>
    <s v="01_SE"/>
    <x v="0"/>
    <m/>
    <m/>
    <m/>
    <m/>
    <x v="0"/>
    <s v="Project"/>
    <x v="894"/>
    <x v="0"/>
    <x v="0"/>
    <s v="Exclude in HGB Group allocation"/>
  </r>
  <r>
    <s v="0"/>
    <m/>
    <x v="0"/>
    <x v="0"/>
    <m/>
    <m/>
    <m/>
    <n v="8803"/>
    <n v="6"/>
    <n v="1"/>
    <m/>
    <s v="01_SE"/>
    <x v="4"/>
    <m/>
    <m/>
    <m/>
    <m/>
    <x v="0"/>
    <s v="Project"/>
    <x v="895"/>
    <x v="0"/>
    <x v="19"/>
    <s v="Exclude in HGB Group allocation"/>
  </r>
  <r>
    <s v="0"/>
    <m/>
    <x v="0"/>
    <x v="0"/>
    <m/>
    <m/>
    <m/>
    <n v="8803"/>
    <n v="6"/>
    <n v="2"/>
    <m/>
    <s v="01_SE"/>
    <x v="0"/>
    <m/>
    <m/>
    <m/>
    <m/>
    <x v="0"/>
    <s v="Project"/>
    <x v="896"/>
    <x v="0"/>
    <x v="0"/>
    <s v="Exclude in HGB Group allocation"/>
  </r>
  <r>
    <s v="88030226"/>
    <m/>
    <x v="0"/>
    <x v="0"/>
    <m/>
    <m/>
    <m/>
    <n v="8803"/>
    <n v="2"/>
    <n v="2"/>
    <s v="88030226"/>
    <s v="07_Inc"/>
    <x v="0"/>
    <m/>
    <m/>
    <m/>
    <m/>
    <x v="0"/>
    <s v="Project"/>
    <x v="897"/>
    <x v="0"/>
    <x v="0"/>
    <s v="Exclude in HGB Group allocation"/>
  </r>
  <r>
    <s v="88030411"/>
    <m/>
    <x v="0"/>
    <x v="0"/>
    <m/>
    <m/>
    <m/>
    <n v="8803"/>
    <n v="4"/>
    <n v="1"/>
    <s v="88030411"/>
    <s v="07_Inc"/>
    <x v="4"/>
    <m/>
    <m/>
    <m/>
    <m/>
    <x v="0"/>
    <s v="Project"/>
    <x v="898"/>
    <x v="0"/>
    <x v="18"/>
    <s v="Exclude in HGB Group allocation"/>
  </r>
  <r>
    <s v="88030416"/>
    <m/>
    <x v="0"/>
    <x v="0"/>
    <m/>
    <m/>
    <m/>
    <n v="8803"/>
    <n v="4"/>
    <n v="1"/>
    <s v="88030416"/>
    <s v="07_Inc"/>
    <x v="4"/>
    <m/>
    <m/>
    <m/>
    <m/>
    <x v="0"/>
    <s v="Project"/>
    <x v="898"/>
    <x v="0"/>
    <x v="19"/>
    <s v="Exclude in HGB Group allocation"/>
  </r>
  <r>
    <s v="88030516"/>
    <m/>
    <x v="0"/>
    <x v="0"/>
    <m/>
    <m/>
    <m/>
    <n v="8803"/>
    <n v="5"/>
    <n v="1"/>
    <s v="88030516"/>
    <s v="07_Inc"/>
    <x v="4"/>
    <m/>
    <m/>
    <m/>
    <m/>
    <x v="0"/>
    <s v="Project"/>
    <x v="899"/>
    <x v="0"/>
    <x v="19"/>
    <s v="Exclude in HGB Group allocation"/>
  </r>
  <r>
    <s v="99868328"/>
    <m/>
    <x v="0"/>
    <x v="0"/>
    <m/>
    <m/>
    <m/>
    <n v="8803"/>
    <n v="2"/>
    <n v="2"/>
    <s v="99868328"/>
    <s v="07_Inc"/>
    <x v="0"/>
    <m/>
    <m/>
    <m/>
    <m/>
    <x v="0"/>
    <s v="Project"/>
    <x v="897"/>
    <x v="0"/>
    <x v="0"/>
    <s v="Exclude in HGB Group allocation"/>
  </r>
  <r>
    <s v="99868411"/>
    <m/>
    <x v="0"/>
    <x v="0"/>
    <m/>
    <m/>
    <m/>
    <n v="8803"/>
    <n v="4"/>
    <n v="1"/>
    <s v="99868411"/>
    <s v="07_Inc"/>
    <x v="4"/>
    <m/>
    <m/>
    <m/>
    <m/>
    <x v="0"/>
    <s v="Project"/>
    <x v="898"/>
    <x v="0"/>
    <x v="18"/>
    <s v="Exclude in HGB Group allocation"/>
  </r>
  <r>
    <s v="99868416"/>
    <m/>
    <x v="0"/>
    <x v="0"/>
    <m/>
    <m/>
    <m/>
    <n v="8803"/>
    <n v="4"/>
    <n v="1"/>
    <s v="99868416"/>
    <s v="07_Inc"/>
    <x v="4"/>
    <m/>
    <m/>
    <m/>
    <m/>
    <x v="0"/>
    <s v="Project"/>
    <x v="898"/>
    <x v="0"/>
    <x v="19"/>
    <s v="Exclude in HGB Group allocation"/>
  </r>
  <r>
    <s v="99868516"/>
    <m/>
    <x v="0"/>
    <x v="0"/>
    <m/>
    <m/>
    <m/>
    <n v="8803"/>
    <n v="5"/>
    <n v="1"/>
    <s v="99868516"/>
    <s v="07_Inc"/>
    <x v="4"/>
    <m/>
    <m/>
    <m/>
    <m/>
    <x v="0"/>
    <s v="Project"/>
    <x v="899"/>
    <x v="0"/>
    <x v="19"/>
    <s v="Exclude in HGB Group allocation"/>
  </r>
  <r>
    <s v="30950244"/>
    <m/>
    <x v="0"/>
    <x v="0"/>
    <m/>
    <m/>
    <m/>
    <n v="3095"/>
    <n v="2"/>
    <n v="4"/>
    <s v="30950244"/>
    <s v="02_GmbH"/>
    <x v="1"/>
    <m/>
    <m/>
    <m/>
    <m/>
    <x v="0"/>
    <s v="Project"/>
    <x v="900"/>
    <x v="0"/>
    <x v="21"/>
    <s v="Exclude in HGB Group allocation"/>
  </r>
  <r>
    <s v="0"/>
    <m/>
    <x v="0"/>
    <x v="0"/>
    <m/>
    <m/>
    <m/>
    <n v="9953"/>
    <n v="2"/>
    <n v="2"/>
    <m/>
    <s v="01_SE"/>
    <x v="0"/>
    <m/>
    <m/>
    <m/>
    <m/>
    <x v="0"/>
    <s v="Project"/>
    <x v="901"/>
    <x v="0"/>
    <x v="0"/>
    <s v="Exclude in HGB Group allocation"/>
  </r>
  <r>
    <s v="0"/>
    <m/>
    <x v="0"/>
    <x v="0"/>
    <m/>
    <m/>
    <m/>
    <n v="3016"/>
    <n v="15"/>
    <n v="2"/>
    <m/>
    <s v="01_SE"/>
    <x v="0"/>
    <m/>
    <m/>
    <m/>
    <m/>
    <x v="0"/>
    <s v="Project"/>
    <x v="902"/>
    <x v="0"/>
    <x v="0"/>
    <s v="Exclude in HGB Group allocation"/>
  </r>
  <r>
    <s v="0"/>
    <m/>
    <x v="0"/>
    <x v="0"/>
    <m/>
    <m/>
    <m/>
    <n v="3016"/>
    <n v="16"/>
    <n v="2"/>
    <m/>
    <s v="01_SE"/>
    <x v="0"/>
    <m/>
    <m/>
    <m/>
    <m/>
    <x v="0"/>
    <s v="Project"/>
    <x v="903"/>
    <x v="0"/>
    <x v="0"/>
    <s v="Exclude in HGB Group allocation"/>
  </r>
  <r>
    <s v="0"/>
    <m/>
    <x v="0"/>
    <x v="0"/>
    <m/>
    <m/>
    <m/>
    <n v="3016"/>
    <n v="17"/>
    <n v="2"/>
    <m/>
    <s v="01_SE"/>
    <x v="0"/>
    <m/>
    <m/>
    <m/>
    <m/>
    <x v="0"/>
    <s v="Project"/>
    <x v="904"/>
    <x v="0"/>
    <x v="14"/>
    <s v="Exclude in HGB Group allocation"/>
  </r>
  <r>
    <s v="0"/>
    <m/>
    <x v="0"/>
    <x v="0"/>
    <m/>
    <m/>
    <m/>
    <n v="4121"/>
    <n v="2"/>
    <n v="2"/>
    <m/>
    <s v="01_SE"/>
    <x v="0"/>
    <m/>
    <m/>
    <m/>
    <m/>
    <x v="0"/>
    <s v="Project"/>
    <x v="905"/>
    <x v="0"/>
    <x v="0"/>
    <s v="Exclude in HGB Group allocation"/>
  </r>
  <r>
    <s v="60920228"/>
    <m/>
    <x v="0"/>
    <x v="0"/>
    <m/>
    <m/>
    <m/>
    <n v="6092"/>
    <n v="2"/>
    <n v="2"/>
    <s v="60920228"/>
    <s v="01_SE"/>
    <x v="0"/>
    <m/>
    <m/>
    <m/>
    <m/>
    <x v="0"/>
    <s v="Project"/>
    <x v="906"/>
    <x v="0"/>
    <x v="0"/>
    <s v="Exclude in HGB Group allocation"/>
  </r>
  <r>
    <s v="0"/>
    <m/>
    <x v="0"/>
    <x v="0"/>
    <m/>
    <m/>
    <m/>
    <n v="6050"/>
    <n v="8"/>
    <n v="2"/>
    <m/>
    <s v="01_SE"/>
    <x v="0"/>
    <m/>
    <m/>
    <m/>
    <m/>
    <x v="0"/>
    <s v="Project"/>
    <x v="907"/>
    <x v="0"/>
    <x v="0"/>
    <s v="Exclude in HGB Group allocation"/>
  </r>
  <r>
    <s v="79720211"/>
    <m/>
    <x v="0"/>
    <x v="0"/>
    <m/>
    <m/>
    <m/>
    <n v="7972"/>
    <n v="2"/>
    <n v="1"/>
    <s v="79720211"/>
    <s v="01_SE"/>
    <x v="4"/>
    <m/>
    <m/>
    <m/>
    <m/>
    <x v="0"/>
    <s v="Project"/>
    <x v="908"/>
    <x v="0"/>
    <x v="18"/>
    <s v="Exclude in HGB Group allocation"/>
  </r>
  <r>
    <s v="79720311"/>
    <m/>
    <x v="0"/>
    <x v="0"/>
    <m/>
    <m/>
    <m/>
    <n v="7972"/>
    <n v="3"/>
    <n v="1"/>
    <n v="79720311"/>
    <s v="01_SE"/>
    <x v="4"/>
    <m/>
    <m/>
    <m/>
    <m/>
    <x v="0"/>
    <s v="Project"/>
    <x v="909"/>
    <x v="0"/>
    <x v="18"/>
    <s v="Exclude in HGB Group allocation"/>
  </r>
  <r>
    <s v="79720316"/>
    <m/>
    <x v="0"/>
    <x v="0"/>
    <m/>
    <m/>
    <m/>
    <n v="7972"/>
    <n v="3"/>
    <n v="1"/>
    <n v="79720316"/>
    <s v="01_SE"/>
    <x v="4"/>
    <m/>
    <m/>
    <m/>
    <m/>
    <x v="0"/>
    <s v="Project"/>
    <x v="909"/>
    <x v="0"/>
    <x v="19"/>
    <s v="Exclude in HGB Group allocation"/>
  </r>
  <r>
    <s v="31420243"/>
    <m/>
    <x v="0"/>
    <x v="0"/>
    <m/>
    <m/>
    <m/>
    <n v="3142"/>
    <n v="2"/>
    <n v="4"/>
    <s v="31420243"/>
    <s v="05_Shg"/>
    <x v="1"/>
    <m/>
    <m/>
    <m/>
    <m/>
    <x v="0"/>
    <s v="Project"/>
    <x v="910"/>
    <x v="0"/>
    <x v="1"/>
    <s v="Exclude in HGB Group allocation"/>
  </r>
  <r>
    <s v="0"/>
    <m/>
    <x v="0"/>
    <x v="0"/>
    <m/>
    <m/>
    <m/>
    <n v="6678"/>
    <n v="2"/>
    <n v="2"/>
    <m/>
    <s v="05_Shg"/>
    <x v="0"/>
    <m/>
    <m/>
    <m/>
    <m/>
    <x v="0"/>
    <s v="Project"/>
    <x v="911"/>
    <x v="0"/>
    <x v="0"/>
    <s v="Exclude in HGB Group allocation"/>
  </r>
  <r>
    <s v="0"/>
    <m/>
    <x v="0"/>
    <x v="0"/>
    <m/>
    <m/>
    <m/>
    <n v="6680"/>
    <n v="2"/>
    <n v="2"/>
    <m/>
    <s v="05_Shg"/>
    <x v="0"/>
    <m/>
    <m/>
    <m/>
    <m/>
    <x v="0"/>
    <s v="Project"/>
    <x v="912"/>
    <x v="0"/>
    <x v="0"/>
    <s v="Exclude in HGB Group allocation"/>
  </r>
  <r>
    <s v="80210244"/>
    <m/>
    <x v="0"/>
    <x v="0"/>
    <m/>
    <m/>
    <m/>
    <n v="8021"/>
    <n v="2"/>
    <n v="4"/>
    <s v="80210244"/>
    <s v="02_GmbH"/>
    <x v="1"/>
    <m/>
    <m/>
    <m/>
    <m/>
    <x v="0"/>
    <s v="Project"/>
    <x v="913"/>
    <x v="0"/>
    <x v="21"/>
    <s v="Exclude in HGB Group allocation"/>
  </r>
  <r>
    <s v="80210342"/>
    <m/>
    <x v="0"/>
    <x v="0"/>
    <m/>
    <m/>
    <m/>
    <n v="8021"/>
    <n v="3"/>
    <n v="4"/>
    <s v="80210342"/>
    <s v="02_GmbH"/>
    <x v="1"/>
    <m/>
    <m/>
    <m/>
    <m/>
    <x v="0"/>
    <s v="Project"/>
    <x v="914"/>
    <x v="0"/>
    <x v="23"/>
    <s v="Exclude in HGB Group allocation"/>
  </r>
  <r>
    <s v="80210343"/>
    <m/>
    <x v="0"/>
    <x v="0"/>
    <m/>
    <m/>
    <m/>
    <n v="8021"/>
    <n v="3"/>
    <n v="4"/>
    <s v="80210343"/>
    <s v="02_GmbH"/>
    <x v="1"/>
    <m/>
    <m/>
    <m/>
    <m/>
    <x v="0"/>
    <s v="Project"/>
    <x v="914"/>
    <x v="0"/>
    <x v="1"/>
    <s v="Exclude in HGB Group allocation"/>
  </r>
  <r>
    <s v="80210344"/>
    <m/>
    <x v="0"/>
    <x v="0"/>
    <m/>
    <m/>
    <m/>
    <n v="8021"/>
    <n v="3"/>
    <n v="4"/>
    <s v="80210344"/>
    <s v="02_GmbH"/>
    <x v="1"/>
    <m/>
    <m/>
    <m/>
    <m/>
    <x v="0"/>
    <s v="Project"/>
    <x v="914"/>
    <x v="0"/>
    <x v="2"/>
    <s v="Exclude in HGB Group allocation"/>
  </r>
  <r>
    <s v="80210347"/>
    <m/>
    <x v="0"/>
    <x v="0"/>
    <m/>
    <m/>
    <m/>
    <n v="8021"/>
    <n v="3"/>
    <n v="4"/>
    <s v="80210347"/>
    <s v="02_GmbH"/>
    <x v="1"/>
    <m/>
    <m/>
    <m/>
    <m/>
    <x v="0"/>
    <s v="Project"/>
    <x v="914"/>
    <x v="0"/>
    <x v="20"/>
    <s v="Exclude in HGB Group allocation"/>
  </r>
  <r>
    <s v="99632442"/>
    <m/>
    <x v="0"/>
    <x v="0"/>
    <m/>
    <m/>
    <m/>
    <n v="8021"/>
    <n v="3"/>
    <n v="4"/>
    <s v="99632442"/>
    <s v="02_GmbH"/>
    <x v="1"/>
    <m/>
    <m/>
    <m/>
    <m/>
    <x v="0"/>
    <s v="Project"/>
    <x v="914"/>
    <x v="0"/>
    <x v="23"/>
    <s v="Exclude in HGB Group allocation"/>
  </r>
  <r>
    <s v="99912044"/>
    <m/>
    <x v="0"/>
    <x v="0"/>
    <m/>
    <m/>
    <m/>
    <n v="8021"/>
    <n v="3"/>
    <n v="4"/>
    <s v="99912044"/>
    <s v="02_GmbH"/>
    <x v="1"/>
    <m/>
    <m/>
    <m/>
    <m/>
    <x v="0"/>
    <s v="Project"/>
    <x v="914"/>
    <x v="0"/>
    <x v="2"/>
    <s v="Exclude in HGB Group allocation"/>
  </r>
  <r>
    <s v="80210428"/>
    <m/>
    <x v="0"/>
    <x v="0"/>
    <m/>
    <m/>
    <m/>
    <n v="8021"/>
    <n v="4"/>
    <n v="2"/>
    <s v="80210428"/>
    <s v="01_SE"/>
    <x v="0"/>
    <m/>
    <m/>
    <m/>
    <m/>
    <x v="0"/>
    <s v="Project"/>
    <x v="915"/>
    <x v="0"/>
    <x v="0"/>
    <s v="Exclude in HGB Group allocation"/>
  </r>
  <r>
    <s v="80210547"/>
    <m/>
    <x v="0"/>
    <x v="0"/>
    <m/>
    <m/>
    <m/>
    <n v="8021"/>
    <n v="5"/>
    <n v="4"/>
    <s v="80210547"/>
    <s v="02_GmbH"/>
    <x v="1"/>
    <m/>
    <m/>
    <m/>
    <m/>
    <x v="0"/>
    <s v="Project"/>
    <x v="916"/>
    <x v="0"/>
    <x v="20"/>
    <s v="Exclude in HGB Group allocation"/>
  </r>
  <r>
    <s v="80220228"/>
    <m/>
    <x v="0"/>
    <x v="0"/>
    <m/>
    <m/>
    <m/>
    <n v="8022"/>
    <n v="2"/>
    <n v="2"/>
    <s v="80220228"/>
    <s v="09_Ltda"/>
    <x v="0"/>
    <m/>
    <m/>
    <m/>
    <m/>
    <x v="0"/>
    <s v="Project"/>
    <x v="917"/>
    <x v="0"/>
    <x v="0"/>
    <s v="Exclude in HGB Group allocation"/>
  </r>
  <r>
    <s v="88670328"/>
    <m/>
    <x v="0"/>
    <x v="0"/>
    <m/>
    <m/>
    <m/>
    <n v="8867"/>
    <n v="3"/>
    <n v="2"/>
    <s v="88670328"/>
    <s v="07_Inc"/>
    <x v="0"/>
    <m/>
    <m/>
    <m/>
    <m/>
    <x v="0"/>
    <s v="Project"/>
    <x v="918"/>
    <x v="0"/>
    <x v="21"/>
    <s v="Exclude in HGB Group allocation"/>
  </r>
  <r>
    <s v="0"/>
    <m/>
    <x v="0"/>
    <x v="0"/>
    <m/>
    <m/>
    <m/>
    <n v="9963"/>
    <n v="49"/>
    <n v="1"/>
    <m/>
    <s v="01_SE"/>
    <x v="4"/>
    <m/>
    <m/>
    <m/>
    <m/>
    <x v="0"/>
    <s v="Project"/>
    <x v="919"/>
    <x v="0"/>
    <x v="21"/>
    <s v="Exclude in HGB Group allocation"/>
  </r>
  <r>
    <s v="0"/>
    <m/>
    <x v="0"/>
    <x v="0"/>
    <m/>
    <m/>
    <m/>
    <n v="9963"/>
    <n v="50"/>
    <n v="1"/>
    <m/>
    <s v="01_SE"/>
    <x v="4"/>
    <m/>
    <m/>
    <m/>
    <m/>
    <x v="0"/>
    <s v="Project"/>
    <x v="920"/>
    <x v="0"/>
    <x v="17"/>
    <s v="Exclude in HGB Group allocation"/>
  </r>
  <r>
    <s v="0"/>
    <m/>
    <x v="0"/>
    <x v="0"/>
    <m/>
    <m/>
    <m/>
    <n v="9963"/>
    <n v="51"/>
    <n v="4"/>
    <m/>
    <s v="09_Ltda"/>
    <x v="1"/>
    <m/>
    <m/>
    <m/>
    <m/>
    <x v="0"/>
    <s v="Project"/>
    <x v="921"/>
    <x v="0"/>
    <x v="1"/>
    <s v="Exclude in HGB Group allocation"/>
  </r>
  <r>
    <s v="99955111"/>
    <m/>
    <x v="0"/>
    <x v="0"/>
    <m/>
    <m/>
    <m/>
    <n v="9995"/>
    <n v="51"/>
    <n v="1"/>
    <s v="99955111"/>
    <s v="01_SE"/>
    <x v="4"/>
    <m/>
    <m/>
    <m/>
    <m/>
    <x v="0"/>
    <s v="Project"/>
    <x v="922"/>
    <x v="0"/>
    <x v="18"/>
    <s v="Exclude in HGB Group allocation"/>
  </r>
  <r>
    <s v="99955116"/>
    <m/>
    <x v="0"/>
    <x v="0"/>
    <m/>
    <m/>
    <m/>
    <n v="9995"/>
    <n v="51"/>
    <n v="1"/>
    <s v="99955116"/>
    <s v="01_SE"/>
    <x v="4"/>
    <m/>
    <m/>
    <m/>
    <m/>
    <x v="0"/>
    <s v="Project"/>
    <x v="922"/>
    <x v="0"/>
    <x v="19"/>
    <s v="Exclude in HGB Group allocation"/>
  </r>
  <r>
    <s v="70460228"/>
    <m/>
    <x v="0"/>
    <x v="0"/>
    <m/>
    <m/>
    <m/>
    <n v="7046"/>
    <n v="2"/>
    <n v="2"/>
    <s v="70460228"/>
    <s v="05_Shg"/>
    <x v="0"/>
    <m/>
    <m/>
    <m/>
    <m/>
    <x v="0"/>
    <s v="Project"/>
    <x v="923"/>
    <x v="0"/>
    <x v="21"/>
    <s v="Exclude in HGB Group allocation"/>
  </r>
  <r>
    <s v="0"/>
    <m/>
    <x v="0"/>
    <x v="0"/>
    <m/>
    <m/>
    <m/>
    <n v="6680"/>
    <n v="3"/>
    <n v="1"/>
    <m/>
    <s v="05_Shg"/>
    <x v="4"/>
    <m/>
    <m/>
    <m/>
    <m/>
    <x v="0"/>
    <s v="Project"/>
    <x v="924"/>
    <x v="0"/>
    <x v="18"/>
    <s v="Exclude in HGB Group allocation"/>
  </r>
  <r>
    <s v="0"/>
    <m/>
    <x v="0"/>
    <x v="0"/>
    <m/>
    <m/>
    <m/>
    <n v="6682"/>
    <n v="2"/>
    <n v="2"/>
    <m/>
    <s v="05_Shg"/>
    <x v="0"/>
    <m/>
    <m/>
    <m/>
    <m/>
    <x v="0"/>
    <s v="Project"/>
    <x v="925"/>
    <x v="0"/>
    <x v="0"/>
    <s v="Exclude in HGB Group allocation"/>
  </r>
  <r>
    <s v="0"/>
    <m/>
    <x v="0"/>
    <x v="0"/>
    <m/>
    <m/>
    <m/>
    <n v="6686"/>
    <n v="2"/>
    <n v="2"/>
    <m/>
    <s v="05_Shg"/>
    <x v="0"/>
    <m/>
    <m/>
    <m/>
    <m/>
    <x v="0"/>
    <s v="Project"/>
    <x v="926"/>
    <x v="0"/>
    <x v="0"/>
    <s v="Exclude in HGB Group allocation"/>
  </r>
  <r>
    <s v="0"/>
    <m/>
    <x v="0"/>
    <x v="0"/>
    <m/>
    <m/>
    <m/>
    <n v="6686"/>
    <n v="3"/>
    <n v="2"/>
    <m/>
    <s v="05_Shg"/>
    <x v="0"/>
    <m/>
    <m/>
    <m/>
    <m/>
    <x v="0"/>
    <s v="Project"/>
    <x v="927"/>
    <x v="0"/>
    <x v="0"/>
    <s v="Exclude in HGB Group allocation"/>
  </r>
  <r>
    <s v="0"/>
    <m/>
    <x v="0"/>
    <x v="0"/>
    <m/>
    <m/>
    <m/>
    <n v="6781"/>
    <n v="2"/>
    <n v="2"/>
    <m/>
    <s v="01_SE"/>
    <x v="0"/>
    <m/>
    <m/>
    <m/>
    <m/>
    <x v="0"/>
    <s v="Project"/>
    <x v="928"/>
    <x v="0"/>
    <x v="0"/>
    <s v="Exclude in HGB Group allocation"/>
  </r>
  <r>
    <s v="30471526"/>
    <m/>
    <x v="0"/>
    <x v="0"/>
    <m/>
    <m/>
    <m/>
    <n v="3047"/>
    <n v="15"/>
    <n v="2"/>
    <s v="30471526"/>
    <s v="01_SE"/>
    <x v="0"/>
    <m/>
    <m/>
    <m/>
    <m/>
    <x v="0"/>
    <s v="Project"/>
    <x v="929"/>
    <x v="0"/>
    <x v="0"/>
    <s v="Exclude in HGB Group allocation"/>
  </r>
  <r>
    <s v="30471628"/>
    <m/>
    <x v="0"/>
    <x v="0"/>
    <m/>
    <m/>
    <m/>
    <n v="3047"/>
    <n v="16"/>
    <n v="2"/>
    <s v="30471628"/>
    <s v="01_SE"/>
    <x v="0"/>
    <m/>
    <m/>
    <m/>
    <m/>
    <x v="0"/>
    <s v="Project"/>
    <x v="930"/>
    <x v="0"/>
    <x v="0"/>
    <s v="Exclude in HGB Group allocation"/>
  </r>
  <r>
    <s v="0"/>
    <m/>
    <x v="0"/>
    <x v="0"/>
    <m/>
    <m/>
    <m/>
    <n v="3186"/>
    <n v="2"/>
    <n v="2"/>
    <m/>
    <s v="05_Shg"/>
    <x v="0"/>
    <m/>
    <m/>
    <m/>
    <m/>
    <x v="0"/>
    <s v="Project"/>
    <x v="931"/>
    <x v="0"/>
    <x v="0"/>
    <s v="Exclude in HGB Group allocation"/>
  </r>
  <r>
    <s v="0"/>
    <m/>
    <x v="0"/>
    <x v="0"/>
    <m/>
    <m/>
    <m/>
    <n v="3186"/>
    <n v="3"/>
    <n v="2"/>
    <m/>
    <s v="05_Shg"/>
    <x v="0"/>
    <m/>
    <m/>
    <m/>
    <m/>
    <x v="0"/>
    <s v="Project"/>
    <x v="932"/>
    <x v="0"/>
    <x v="0"/>
    <s v="Exclude in HGB Group allocation"/>
  </r>
  <r>
    <s v="0"/>
    <m/>
    <x v="0"/>
    <x v="0"/>
    <m/>
    <m/>
    <m/>
    <n v="6600"/>
    <n v="3"/>
    <n v="1"/>
    <m/>
    <s v="01_SE"/>
    <x v="4"/>
    <m/>
    <m/>
    <m/>
    <m/>
    <x v="0"/>
    <s v="Project"/>
    <x v="933"/>
    <x v="0"/>
    <x v="19"/>
    <s v="Exclude in HGB Group allocation"/>
  </r>
  <r>
    <s v="79580812"/>
    <m/>
    <x v="0"/>
    <x v="0"/>
    <m/>
    <m/>
    <m/>
    <n v="7958"/>
    <n v="8"/>
    <n v="1"/>
    <s v="79580812"/>
    <s v="01_SE"/>
    <x v="4"/>
    <m/>
    <m/>
    <m/>
    <m/>
    <x v="0"/>
    <s v="Project"/>
    <x v="934"/>
    <x v="0"/>
    <x v="18"/>
    <s v="Exclude in HGB Group allocation"/>
  </r>
  <r>
    <s v="80030228"/>
    <m/>
    <x v="0"/>
    <x v="0"/>
    <m/>
    <m/>
    <m/>
    <n v="8003"/>
    <n v="2"/>
    <n v="2"/>
    <s v="80030228"/>
    <s v="01_SE"/>
    <x v="0"/>
    <m/>
    <m/>
    <m/>
    <m/>
    <x v="0"/>
    <s v="Project"/>
    <x v="935"/>
    <x v="0"/>
    <x v="0"/>
    <s v="Exclude in HGB Group allocation"/>
  </r>
  <r>
    <s v="74040226"/>
    <m/>
    <x v="0"/>
    <x v="0"/>
    <m/>
    <m/>
    <m/>
    <n v="7404"/>
    <n v="2"/>
    <n v="2"/>
    <s v="74040226"/>
    <s v="01_SE"/>
    <x v="0"/>
    <m/>
    <m/>
    <m/>
    <m/>
    <x v="0"/>
    <s v="Project"/>
    <x v="936"/>
    <x v="0"/>
    <x v="0"/>
    <s v="Exclude in HGB Group allocation"/>
  </r>
  <r>
    <s v="0"/>
    <m/>
    <x v="0"/>
    <x v="0"/>
    <m/>
    <m/>
    <m/>
    <n v="8015"/>
    <n v="2"/>
    <n v="2"/>
    <m/>
    <s v="01_SE"/>
    <x v="0"/>
    <m/>
    <m/>
    <m/>
    <m/>
    <x v="0"/>
    <s v="Project"/>
    <x v="937"/>
    <x v="0"/>
    <x v="0"/>
    <s v="Exclude in HGB Group allocation"/>
  </r>
  <r>
    <s v="0"/>
    <m/>
    <x v="0"/>
    <x v="0"/>
    <m/>
    <m/>
    <m/>
    <n v="2030"/>
    <n v="7"/>
    <n v="2"/>
    <m/>
    <s v="01_SE"/>
    <x v="0"/>
    <m/>
    <m/>
    <m/>
    <m/>
    <x v="0"/>
    <s v="Project"/>
    <x v="938"/>
    <x v="0"/>
    <x v="0"/>
    <s v="Exclude in HGB Group allocation"/>
  </r>
  <r>
    <s v="20300228"/>
    <m/>
    <x v="0"/>
    <x v="0"/>
    <m/>
    <m/>
    <m/>
    <n v="2030"/>
    <n v="2"/>
    <n v="2"/>
    <s v="20300228"/>
    <s v="01_SE"/>
    <x v="0"/>
    <m/>
    <m/>
    <m/>
    <m/>
    <x v="0"/>
    <s v="Project"/>
    <x v="939"/>
    <x v="0"/>
    <x v="0"/>
    <s v="Exclude in HGB Group allocation"/>
  </r>
  <r>
    <s v="20300328"/>
    <m/>
    <x v="0"/>
    <x v="0"/>
    <m/>
    <m/>
    <m/>
    <n v="2030"/>
    <n v="3"/>
    <n v="2"/>
    <s v="20300328"/>
    <s v="01_SE"/>
    <x v="0"/>
    <m/>
    <m/>
    <m/>
    <m/>
    <x v="0"/>
    <s v="Project"/>
    <x v="940"/>
    <x v="0"/>
    <x v="0"/>
    <s v="Exclude in HGB Group allocation"/>
  </r>
  <r>
    <s v="20300428"/>
    <m/>
    <x v="0"/>
    <x v="0"/>
    <m/>
    <m/>
    <m/>
    <n v="2030"/>
    <n v="4"/>
    <n v="2"/>
    <s v="20300428"/>
    <s v="01_SE"/>
    <x v="0"/>
    <m/>
    <m/>
    <m/>
    <m/>
    <x v="0"/>
    <s v="Project"/>
    <x v="941"/>
    <x v="0"/>
    <x v="0"/>
    <s v="Exclude in HGB Group allocation"/>
  </r>
  <r>
    <s v="20300528"/>
    <m/>
    <x v="0"/>
    <x v="0"/>
    <m/>
    <m/>
    <m/>
    <n v="2030"/>
    <n v="5"/>
    <n v="2"/>
    <s v="20300528"/>
    <s v="01_SE"/>
    <x v="0"/>
    <m/>
    <m/>
    <m/>
    <m/>
    <x v="0"/>
    <s v="Project"/>
    <x v="942"/>
    <x v="0"/>
    <x v="0"/>
    <s v="Exclude in HGB Group allocation"/>
  </r>
  <r>
    <s v="20300628"/>
    <m/>
    <x v="0"/>
    <x v="0"/>
    <m/>
    <m/>
    <m/>
    <n v="2030"/>
    <n v="6"/>
    <n v="2"/>
    <s v="20300628"/>
    <s v="01_SE"/>
    <x v="0"/>
    <m/>
    <m/>
    <m/>
    <m/>
    <x v="0"/>
    <s v="Project"/>
    <x v="943"/>
    <x v="0"/>
    <x v="0"/>
    <s v="Exclude in HGB Group allocation"/>
  </r>
  <r>
    <s v="99965428"/>
    <m/>
    <x v="0"/>
    <x v="0"/>
    <m/>
    <m/>
    <m/>
    <n v="2030"/>
    <n v="2"/>
    <n v="2"/>
    <s v="99965428"/>
    <s v="01_SE"/>
    <x v="0"/>
    <m/>
    <m/>
    <m/>
    <m/>
    <x v="0"/>
    <s v="Project"/>
    <x v="939"/>
    <x v="0"/>
    <x v="0"/>
    <s v="Exclude in HGB Group allocation"/>
  </r>
  <r>
    <s v="99965828"/>
    <m/>
    <x v="0"/>
    <x v="0"/>
    <m/>
    <m/>
    <m/>
    <n v="2030"/>
    <n v="2"/>
    <n v="2"/>
    <s v="99965828"/>
    <s v="01_SE"/>
    <x v="0"/>
    <m/>
    <m/>
    <m/>
    <m/>
    <x v="0"/>
    <s v="Project"/>
    <x v="939"/>
    <x v="0"/>
    <x v="0"/>
    <s v="Exclude in HGB Group allocation"/>
  </r>
  <r>
    <s v="0"/>
    <m/>
    <x v="0"/>
    <x v="0"/>
    <m/>
    <m/>
    <m/>
    <n v="2092"/>
    <n v="2"/>
    <n v="2"/>
    <m/>
    <s v="01_SE"/>
    <x v="0"/>
    <m/>
    <m/>
    <m/>
    <m/>
    <x v="0"/>
    <s v="Project"/>
    <x v="944"/>
    <x v="0"/>
    <x v="0"/>
    <s v="Exclude in HGB Group allocation"/>
  </r>
  <r>
    <s v="0"/>
    <m/>
    <x v="0"/>
    <x v="0"/>
    <m/>
    <m/>
    <m/>
    <n v="2092"/>
    <n v="3"/>
    <n v="2"/>
    <m/>
    <s v="01_SE"/>
    <x v="0"/>
    <m/>
    <m/>
    <m/>
    <m/>
    <x v="0"/>
    <s v="Project"/>
    <x v="945"/>
    <x v="0"/>
    <x v="0"/>
    <s v="Exclude in HGB Group allocation"/>
  </r>
  <r>
    <s v="76110228"/>
    <m/>
    <x v="0"/>
    <x v="0"/>
    <m/>
    <m/>
    <m/>
    <n v="7611"/>
    <n v="2"/>
    <n v="2"/>
    <s v="76110228"/>
    <s v="05_Shg"/>
    <x v="0"/>
    <m/>
    <m/>
    <m/>
    <m/>
    <x v="0"/>
    <s v="Project"/>
    <x v="946"/>
    <x v="0"/>
    <x v="21"/>
    <s v="Exclude in HGB Group allocation"/>
  </r>
  <r>
    <s v="31430228"/>
    <m/>
    <x v="0"/>
    <x v="0"/>
    <m/>
    <m/>
    <m/>
    <n v="3143"/>
    <n v="2"/>
    <n v="2"/>
    <s v="31430228"/>
    <s v="01_SE"/>
    <x v="0"/>
    <m/>
    <m/>
    <m/>
    <m/>
    <x v="0"/>
    <s v="Project"/>
    <x v="947"/>
    <x v="0"/>
    <x v="0"/>
    <s v="Exclude in HGB Group allocation"/>
  </r>
  <r>
    <s v="19940228"/>
    <m/>
    <x v="0"/>
    <x v="0"/>
    <m/>
    <m/>
    <m/>
    <n v="1994"/>
    <n v="2"/>
    <n v="2"/>
    <s v="19940228"/>
    <s v="07_Inc"/>
    <x v="0"/>
    <m/>
    <m/>
    <m/>
    <m/>
    <x v="0"/>
    <s v="Project"/>
    <x v="948"/>
    <x v="0"/>
    <x v="21"/>
    <s v="Exclude in HGB Group allocation"/>
  </r>
  <r>
    <s v="78024228"/>
    <m/>
    <x v="0"/>
    <x v="0"/>
    <m/>
    <m/>
    <m/>
    <n v="7802"/>
    <n v="42"/>
    <n v="2"/>
    <s v="78024228"/>
    <s v="01_SE"/>
    <x v="0"/>
    <m/>
    <m/>
    <m/>
    <m/>
    <x v="0"/>
    <s v="Project"/>
    <x v="949"/>
    <x v="0"/>
    <x v="25"/>
    <s v="Exclude in HGB Group allocation"/>
  </r>
  <r>
    <s v="99968028"/>
    <m/>
    <x v="0"/>
    <x v="0"/>
    <m/>
    <m/>
    <m/>
    <n v="7802"/>
    <n v="42"/>
    <n v="2"/>
    <s v="99968028"/>
    <s v="01_SE"/>
    <x v="0"/>
    <m/>
    <m/>
    <m/>
    <m/>
    <x v="0"/>
    <s v="Project"/>
    <x v="949"/>
    <x v="0"/>
    <x v="25"/>
    <s v="Exclude in HGB Group allocation"/>
  </r>
  <r>
    <s v="30680228"/>
    <m/>
    <x v="0"/>
    <x v="0"/>
    <m/>
    <m/>
    <m/>
    <n v="3068"/>
    <n v="2"/>
    <n v="2"/>
    <s v="30680228"/>
    <s v="07_Inc"/>
    <x v="0"/>
    <m/>
    <m/>
    <m/>
    <m/>
    <x v="0"/>
    <s v="Project"/>
    <x v="950"/>
    <x v="0"/>
    <x v="21"/>
    <s v="Exclude in HGB Group allocation"/>
  </r>
  <r>
    <s v="66030226"/>
    <m/>
    <x v="0"/>
    <x v="0"/>
    <m/>
    <m/>
    <m/>
    <n v="6603"/>
    <n v="2"/>
    <n v="2"/>
    <s v="66030226"/>
    <s v="01_SE"/>
    <x v="0"/>
    <m/>
    <m/>
    <m/>
    <m/>
    <x v="0"/>
    <s v="Project"/>
    <x v="951"/>
    <x v="0"/>
    <x v="0"/>
    <s v="Exclude in HGB Group allocation"/>
  </r>
  <r>
    <s v="66050228"/>
    <m/>
    <x v="0"/>
    <x v="0"/>
    <m/>
    <m/>
    <m/>
    <n v="6605"/>
    <n v="2"/>
    <n v="2"/>
    <s v="66050228"/>
    <s v="01_SE"/>
    <x v="0"/>
    <m/>
    <m/>
    <m/>
    <m/>
    <x v="0"/>
    <s v="Project"/>
    <x v="952"/>
    <x v="0"/>
    <x v="0"/>
    <s v="Exclude in HGB Group allocation"/>
  </r>
  <r>
    <s v="0"/>
    <m/>
    <x v="0"/>
    <x v="0"/>
    <m/>
    <m/>
    <m/>
    <n v="9963"/>
    <n v="52"/>
    <n v="1"/>
    <m/>
    <s v="01_SE"/>
    <x v="4"/>
    <m/>
    <m/>
    <m/>
    <m/>
    <x v="0"/>
    <s v="Project"/>
    <x v="953"/>
    <x v="0"/>
    <x v="21"/>
    <s v="Exclude in HGB Group allocation"/>
  </r>
  <r>
    <s v="0"/>
    <m/>
    <x v="0"/>
    <x v="0"/>
    <m/>
    <m/>
    <m/>
    <n v="9963"/>
    <n v="53"/>
    <n v="1"/>
    <m/>
    <s v="01_SE"/>
    <x v="4"/>
    <m/>
    <m/>
    <m/>
    <m/>
    <x v="0"/>
    <s v="Project"/>
    <x v="954"/>
    <x v="0"/>
    <x v="21"/>
    <s v="Exclude in HGB Group allocation"/>
  </r>
  <r>
    <s v="0"/>
    <m/>
    <x v="0"/>
    <x v="0"/>
    <m/>
    <m/>
    <m/>
    <n v="9963"/>
    <n v="54"/>
    <n v="1"/>
    <m/>
    <s v="01_SE"/>
    <x v="4"/>
    <m/>
    <m/>
    <m/>
    <m/>
    <x v="0"/>
    <s v="Project"/>
    <x v="955"/>
    <x v="0"/>
    <x v="21"/>
    <s v="Exclude in HGB Group allocation"/>
  </r>
  <r>
    <s v="0"/>
    <m/>
    <x v="0"/>
    <x v="0"/>
    <m/>
    <m/>
    <m/>
    <n v="9963"/>
    <n v="55"/>
    <n v="1"/>
    <m/>
    <s v="01_SE"/>
    <x v="4"/>
    <m/>
    <m/>
    <m/>
    <m/>
    <x v="0"/>
    <s v="Project"/>
    <x v="956"/>
    <x v="0"/>
    <x v="19"/>
    <s v="Exclude in HGB Group allocation"/>
  </r>
  <r>
    <s v="0"/>
    <m/>
    <x v="0"/>
    <x v="0"/>
    <m/>
    <m/>
    <m/>
    <n v="9963"/>
    <n v="56"/>
    <n v="1"/>
    <m/>
    <s v="01_SE"/>
    <x v="4"/>
    <m/>
    <m/>
    <m/>
    <m/>
    <x v="0"/>
    <s v="Project"/>
    <x v="957"/>
    <x v="0"/>
    <x v="17"/>
    <s v="Exclude in HGB Group allocation"/>
  </r>
  <r>
    <s v="0"/>
    <m/>
    <x v="0"/>
    <x v="0"/>
    <m/>
    <m/>
    <m/>
    <n v="2040"/>
    <n v="4"/>
    <n v="2"/>
    <m/>
    <s v="01_SE"/>
    <x v="0"/>
    <m/>
    <m/>
    <m/>
    <m/>
    <x v="0"/>
    <s v="Project"/>
    <x v="958"/>
    <x v="0"/>
    <x v="0"/>
    <s v="Exclude in HGB Group allocation"/>
  </r>
  <r>
    <s v="0"/>
    <m/>
    <x v="0"/>
    <x v="0"/>
    <m/>
    <m/>
    <m/>
    <n v="7055"/>
    <n v="1"/>
    <n v="2"/>
    <m/>
    <s v="01_SE"/>
    <x v="0"/>
    <m/>
    <m/>
    <m/>
    <m/>
    <x v="0"/>
    <s v="Project"/>
    <x v="959"/>
    <x v="0"/>
    <x v="0"/>
    <s v="Exclude in HGB Group allocation"/>
  </r>
  <r>
    <s v="0"/>
    <m/>
    <x v="0"/>
    <x v="0"/>
    <m/>
    <m/>
    <m/>
    <n v="7055"/>
    <n v="3"/>
    <n v="2"/>
    <m/>
    <s v="01_SE"/>
    <x v="0"/>
    <m/>
    <m/>
    <m/>
    <m/>
    <x v="0"/>
    <s v="Project"/>
    <x v="960"/>
    <x v="0"/>
    <x v="0"/>
    <s v="Exclude in HGB Group allocation"/>
  </r>
  <r>
    <s v="0"/>
    <m/>
    <x v="0"/>
    <x v="0"/>
    <m/>
    <m/>
    <m/>
    <n v="7055"/>
    <n v="2"/>
    <n v="2"/>
    <m/>
    <s v="01_SE"/>
    <x v="0"/>
    <m/>
    <m/>
    <m/>
    <m/>
    <x v="0"/>
    <s v="Project"/>
    <x v="961"/>
    <x v="0"/>
    <x v="0"/>
    <s v="Exclude in HGB Group allocation"/>
  </r>
  <r>
    <s v="60420228"/>
    <m/>
    <x v="0"/>
    <x v="0"/>
    <m/>
    <m/>
    <m/>
    <n v="6042"/>
    <n v="2"/>
    <n v="2"/>
    <s v="60420228"/>
    <s v="01_SE"/>
    <x v="0"/>
    <m/>
    <m/>
    <m/>
    <m/>
    <x v="0"/>
    <s v="Project"/>
    <x v="962"/>
    <x v="0"/>
    <x v="0"/>
    <s v="Exclude in HGB Group allocation"/>
  </r>
  <r>
    <s v="0"/>
    <m/>
    <x v="0"/>
    <x v="0"/>
    <m/>
    <m/>
    <m/>
    <n v="6110"/>
    <n v="2"/>
    <n v="2"/>
    <m/>
    <s v="09_Ltda"/>
    <x v="0"/>
    <m/>
    <m/>
    <m/>
    <m/>
    <x v="0"/>
    <s v="Project"/>
    <x v="963"/>
    <x v="0"/>
    <x v="0"/>
    <m/>
  </r>
  <r>
    <s v="0"/>
    <m/>
    <x v="0"/>
    <x v="0"/>
    <m/>
    <m/>
    <m/>
    <n v="6413"/>
    <n v="2"/>
    <n v="2"/>
    <m/>
    <s v="01_SE"/>
    <x v="0"/>
    <m/>
    <m/>
    <m/>
    <m/>
    <x v="0"/>
    <s v="Project"/>
    <x v="964"/>
    <x v="0"/>
    <x v="0"/>
    <s v="Exclude in HGB Group allocation"/>
  </r>
  <r>
    <s v="30600728"/>
    <m/>
    <x v="0"/>
    <x v="0"/>
    <m/>
    <m/>
    <m/>
    <n v="3060"/>
    <n v="7"/>
    <n v="2"/>
    <s v="30600728"/>
    <s v="01_SE"/>
    <x v="0"/>
    <m/>
    <m/>
    <m/>
    <m/>
    <x v="0"/>
    <s v="Project"/>
    <x v="965"/>
    <x v="0"/>
    <x v="0"/>
    <s v="Exclude in HGB Group allocation"/>
  </r>
  <r>
    <s v="30600828"/>
    <m/>
    <x v="0"/>
    <x v="0"/>
    <m/>
    <m/>
    <m/>
    <n v="3060"/>
    <n v="8"/>
    <n v="2"/>
    <s v="30600828"/>
    <s v="01_SE"/>
    <x v="0"/>
    <m/>
    <m/>
    <m/>
    <m/>
    <x v="0"/>
    <s v="Project"/>
    <x v="966"/>
    <x v="0"/>
    <x v="0"/>
    <s v="Exclude in HGB Group allocation"/>
  </r>
  <r>
    <s v="0"/>
    <m/>
    <x v="0"/>
    <x v="0"/>
    <m/>
    <m/>
    <m/>
    <n v="3162"/>
    <n v="2"/>
    <n v="2"/>
    <m/>
    <s v="01_SE"/>
    <x v="0"/>
    <m/>
    <m/>
    <m/>
    <m/>
    <x v="0"/>
    <s v="Project"/>
    <x v="967"/>
    <x v="0"/>
    <x v="0"/>
    <s v="Exclude in HGB Group allocation"/>
  </r>
  <r>
    <s v="0"/>
    <m/>
    <x v="0"/>
    <x v="0"/>
    <m/>
    <m/>
    <m/>
    <n v="2038"/>
    <n v="3"/>
    <n v="2"/>
    <m/>
    <s v="01_SE"/>
    <x v="0"/>
    <m/>
    <m/>
    <m/>
    <m/>
    <x v="0"/>
    <s v="Project"/>
    <x v="968"/>
    <x v="0"/>
    <x v="0"/>
    <s v="Exclude in HGB Group allocation"/>
  </r>
  <r>
    <s v="0"/>
    <m/>
    <x v="0"/>
    <x v="0"/>
    <m/>
    <m/>
    <m/>
    <n v="2038"/>
    <n v="6"/>
    <n v="2"/>
    <m/>
    <s v="01_SE"/>
    <x v="0"/>
    <m/>
    <m/>
    <m/>
    <m/>
    <x v="0"/>
    <s v="Project"/>
    <x v="969"/>
    <x v="0"/>
    <x v="0"/>
    <s v="Exclude in HGB Group allocation"/>
  </r>
  <r>
    <s v="0"/>
    <m/>
    <x v="0"/>
    <x v="0"/>
    <m/>
    <m/>
    <m/>
    <n v="2038"/>
    <n v="7"/>
    <n v="2"/>
    <m/>
    <s v="01_SE"/>
    <x v="0"/>
    <m/>
    <m/>
    <m/>
    <m/>
    <x v="0"/>
    <s v="Project"/>
    <x v="970"/>
    <x v="0"/>
    <x v="0"/>
    <s v="Exclude in HGB Group allocation"/>
  </r>
  <r>
    <s v="20380228"/>
    <m/>
    <x v="0"/>
    <x v="0"/>
    <m/>
    <m/>
    <m/>
    <n v="2038"/>
    <n v="2"/>
    <n v="2"/>
    <s v="20380228"/>
    <s v="01_SE"/>
    <x v="0"/>
    <m/>
    <m/>
    <m/>
    <m/>
    <x v="0"/>
    <s v="Project"/>
    <x v="971"/>
    <x v="0"/>
    <x v="0"/>
    <s v="Exclude in HGB Group allocation"/>
  </r>
  <r>
    <s v="0"/>
    <m/>
    <x v="0"/>
    <x v="0"/>
    <m/>
    <m/>
    <m/>
    <n v="2038"/>
    <n v="4"/>
    <n v="2"/>
    <m/>
    <s v="01_SE"/>
    <x v="0"/>
    <m/>
    <m/>
    <m/>
    <m/>
    <x v="0"/>
    <s v="Project"/>
    <x v="972"/>
    <x v="0"/>
    <x v="0"/>
    <s v="Exclude in HGB Group allocation"/>
  </r>
  <r>
    <s v="0"/>
    <m/>
    <x v="0"/>
    <x v="0"/>
    <m/>
    <m/>
    <m/>
    <n v="2038"/>
    <n v="5"/>
    <n v="2"/>
    <m/>
    <s v="01_SE"/>
    <x v="0"/>
    <m/>
    <m/>
    <m/>
    <m/>
    <x v="0"/>
    <s v="Project"/>
    <x v="973"/>
    <x v="0"/>
    <x v="0"/>
    <s v="Exclude in HGB Group allocation"/>
  </r>
  <r>
    <s v="88590128"/>
    <m/>
    <x v="0"/>
    <x v="0"/>
    <m/>
    <m/>
    <m/>
    <n v="8859"/>
    <n v="1"/>
    <n v="2"/>
    <s v="88590128"/>
    <s v="01_SE"/>
    <x v="0"/>
    <m/>
    <m/>
    <m/>
    <m/>
    <x v="0"/>
    <s v="Project"/>
    <x v="974"/>
    <x v="0"/>
    <x v="0"/>
    <s v="Exclude in HGB Group allocation"/>
  </r>
  <r>
    <s v="88590528"/>
    <m/>
    <x v="0"/>
    <x v="0"/>
    <m/>
    <m/>
    <m/>
    <n v="8859"/>
    <n v="5"/>
    <n v="2"/>
    <s v="88590528"/>
    <s v="01_SE"/>
    <x v="0"/>
    <m/>
    <m/>
    <m/>
    <m/>
    <x v="0"/>
    <s v="Project"/>
    <x v="975"/>
    <x v="0"/>
    <x v="0"/>
    <s v="Exclude in HGB Group allocation"/>
  </r>
  <r>
    <s v="0"/>
    <m/>
    <x v="0"/>
    <x v="0"/>
    <m/>
    <m/>
    <m/>
    <n v="7535"/>
    <n v="5"/>
    <n v="2"/>
    <m/>
    <s v="01_SE"/>
    <x v="0"/>
    <m/>
    <m/>
    <m/>
    <m/>
    <x v="0"/>
    <s v="Project"/>
    <x v="976"/>
    <x v="0"/>
    <x v="0"/>
    <s v="Exclude in HGB Group allocation"/>
  </r>
  <r>
    <s v="0"/>
    <m/>
    <x v="0"/>
    <x v="0"/>
    <m/>
    <m/>
    <m/>
    <n v="7535"/>
    <n v="6"/>
    <n v="2"/>
    <m/>
    <s v="01_SE"/>
    <x v="0"/>
    <m/>
    <m/>
    <m/>
    <m/>
    <x v="0"/>
    <s v="Project"/>
    <x v="977"/>
    <x v="0"/>
    <x v="0"/>
    <s v="Exclude in HGB Group allocation"/>
  </r>
  <r>
    <s v="0"/>
    <m/>
    <x v="0"/>
    <x v="0"/>
    <m/>
    <m/>
    <m/>
    <n v="6125"/>
    <n v="4"/>
    <n v="2"/>
    <m/>
    <s v="01_SE"/>
    <x v="0"/>
    <m/>
    <m/>
    <m/>
    <m/>
    <x v="0"/>
    <s v="Project"/>
    <x v="978"/>
    <x v="0"/>
    <x v="25"/>
    <s v="Exclude in HGB Group allocation"/>
  </r>
  <r>
    <s v="0"/>
    <m/>
    <x v="0"/>
    <x v="0"/>
    <m/>
    <m/>
    <m/>
    <n v="6125"/>
    <n v="2"/>
    <n v="2"/>
    <m/>
    <s v="01_SE"/>
    <x v="0"/>
    <m/>
    <m/>
    <m/>
    <m/>
    <x v="0"/>
    <s v="Project"/>
    <x v="979"/>
    <x v="0"/>
    <x v="25"/>
    <s v="Exclude in HGB Group allocation"/>
  </r>
  <r>
    <s v="0"/>
    <m/>
    <x v="0"/>
    <x v="0"/>
    <m/>
    <m/>
    <m/>
    <n v="6125"/>
    <n v="3"/>
    <n v="2"/>
    <m/>
    <s v="01_SE"/>
    <x v="0"/>
    <m/>
    <m/>
    <m/>
    <m/>
    <x v="0"/>
    <s v="Project"/>
    <x v="980"/>
    <x v="0"/>
    <x v="25"/>
    <s v="Exclude in HGB Group allocation"/>
  </r>
  <r>
    <s v="30490228"/>
    <m/>
    <x v="0"/>
    <x v="0"/>
    <m/>
    <m/>
    <m/>
    <n v="3049"/>
    <n v="2"/>
    <n v="2"/>
    <s v="30490228"/>
    <s v="07_Inc"/>
    <x v="0"/>
    <m/>
    <m/>
    <m/>
    <m/>
    <x v="0"/>
    <s v="Project"/>
    <x v="981"/>
    <x v="0"/>
    <x v="21"/>
    <s v="Exclude in HGB Group allocation"/>
  </r>
  <r>
    <s v="30490328"/>
    <m/>
    <x v="0"/>
    <x v="0"/>
    <m/>
    <m/>
    <m/>
    <n v="3049"/>
    <n v="3"/>
    <n v="2"/>
    <s v="30490328"/>
    <s v="07_Inc"/>
    <x v="0"/>
    <m/>
    <m/>
    <m/>
    <m/>
    <x v="0"/>
    <s v="Project"/>
    <x v="982"/>
    <x v="0"/>
    <x v="21"/>
    <s v="Exclude in HGB Group allocation"/>
  </r>
  <r>
    <s v="99868728"/>
    <m/>
    <x v="0"/>
    <x v="0"/>
    <m/>
    <m/>
    <m/>
    <n v="3049"/>
    <n v="2"/>
    <n v="2"/>
    <s v="99868728"/>
    <s v="07_Inc"/>
    <x v="0"/>
    <m/>
    <m/>
    <m/>
    <m/>
    <x v="0"/>
    <s v="Project"/>
    <x v="981"/>
    <x v="0"/>
    <x v="0"/>
    <s v="Exclude in HGB Group allocation"/>
  </r>
  <r>
    <s v="0"/>
    <m/>
    <x v="0"/>
    <x v="0"/>
    <m/>
    <m/>
    <m/>
    <n v="2132"/>
    <n v="2"/>
    <n v="1"/>
    <m/>
    <s v="07_Inc"/>
    <x v="4"/>
    <m/>
    <m/>
    <m/>
    <m/>
    <x v="0"/>
    <s v="Project"/>
    <x v="983"/>
    <x v="0"/>
    <x v="19"/>
    <s v="Exclude in HGB Group allocation"/>
  </r>
  <r>
    <s v="79030316"/>
    <m/>
    <x v="0"/>
    <x v="0"/>
    <m/>
    <m/>
    <m/>
    <n v="7903"/>
    <n v="3"/>
    <n v="1"/>
    <s v="79030316"/>
    <s v="07_Inc"/>
    <x v="4"/>
    <m/>
    <m/>
    <m/>
    <m/>
    <x v="0"/>
    <s v="Project"/>
    <x v="984"/>
    <x v="0"/>
    <x v="19"/>
    <s v="Exclude in HGB Group allocation"/>
  </r>
  <r>
    <s v="99867616"/>
    <m/>
    <x v="0"/>
    <x v="0"/>
    <m/>
    <m/>
    <m/>
    <n v="7903"/>
    <n v="3"/>
    <n v="1"/>
    <s v="99867616"/>
    <s v="07_Inc"/>
    <x v="4"/>
    <m/>
    <m/>
    <m/>
    <m/>
    <x v="0"/>
    <s v="Project"/>
    <x v="984"/>
    <x v="0"/>
    <x v="19"/>
    <s v="Exclude in HGB Group allocation"/>
  </r>
  <r>
    <s v="66060528"/>
    <m/>
    <x v="0"/>
    <x v="0"/>
    <m/>
    <m/>
    <m/>
    <n v="6606"/>
    <n v="5"/>
    <n v="2"/>
    <s v="66060528"/>
    <s v="05_Shg"/>
    <x v="0"/>
    <m/>
    <m/>
    <m/>
    <m/>
    <x v="0"/>
    <s v="Project"/>
    <x v="985"/>
    <x v="0"/>
    <x v="21"/>
    <s v="Exclude in HGB Group allocation"/>
  </r>
  <r>
    <s v="66060628"/>
    <m/>
    <x v="0"/>
    <x v="0"/>
    <m/>
    <m/>
    <m/>
    <n v="6606"/>
    <n v="6"/>
    <n v="2"/>
    <s v="66060628"/>
    <s v="05_Shg"/>
    <x v="0"/>
    <m/>
    <m/>
    <m/>
    <m/>
    <x v="0"/>
    <s v="Project"/>
    <x v="986"/>
    <x v="0"/>
    <x v="0"/>
    <s v="Exclude in HGB Group allocation"/>
  </r>
  <r>
    <s v="66060728"/>
    <m/>
    <x v="0"/>
    <x v="0"/>
    <m/>
    <m/>
    <m/>
    <n v="6606"/>
    <n v="7"/>
    <n v="2"/>
    <s v="66060728"/>
    <s v="05_Shg"/>
    <x v="0"/>
    <m/>
    <m/>
    <m/>
    <m/>
    <x v="0"/>
    <s v="Project"/>
    <x v="987"/>
    <x v="0"/>
    <x v="0"/>
    <s v="Exclude in HGB Group allocation"/>
  </r>
  <r>
    <s v="0"/>
    <m/>
    <x v="0"/>
    <x v="0"/>
    <m/>
    <m/>
    <m/>
    <n v="9996"/>
    <n v="87"/>
    <n v="1"/>
    <m/>
    <s v="07_Inc"/>
    <x v="4"/>
    <m/>
    <m/>
    <m/>
    <m/>
    <x v="0"/>
    <s v="Project"/>
    <x v="988"/>
    <x v="0"/>
    <x v="19"/>
    <s v="Exclude in HGB Group allocation"/>
  </r>
  <r>
    <s v="60520426"/>
    <m/>
    <x v="0"/>
    <x v="0"/>
    <m/>
    <m/>
    <m/>
    <n v="6052"/>
    <n v="4"/>
    <n v="2"/>
    <s v="60520426"/>
    <s v="01_SE"/>
    <x v="0"/>
    <m/>
    <m/>
    <m/>
    <m/>
    <x v="0"/>
    <s v="Project"/>
    <x v="989"/>
    <x v="0"/>
    <x v="0"/>
    <s v="Exclude in HGB Group allocation"/>
  </r>
  <r>
    <s v="41030228"/>
    <m/>
    <x v="0"/>
    <x v="0"/>
    <m/>
    <m/>
    <m/>
    <n v="4103"/>
    <n v="2"/>
    <n v="2"/>
    <s v="41030228"/>
    <s v="09_Ltda"/>
    <x v="0"/>
    <m/>
    <m/>
    <m/>
    <m/>
    <x v="0"/>
    <s v="Project"/>
    <x v="990"/>
    <x v="0"/>
    <x v="21"/>
    <s v="Exclude in HGB Group allocation"/>
  </r>
  <r>
    <s v="0"/>
    <m/>
    <x v="0"/>
    <x v="0"/>
    <m/>
    <m/>
    <m/>
    <n v="2082"/>
    <n v="3"/>
    <n v="2"/>
    <m/>
    <s v="05_Shg"/>
    <x v="0"/>
    <m/>
    <m/>
    <m/>
    <m/>
    <x v="0"/>
    <s v="Project"/>
    <x v="991"/>
    <x v="0"/>
    <x v="21"/>
    <s v="Exclude in HGB Group allocation"/>
  </r>
  <r>
    <s v="20820226"/>
    <m/>
    <x v="0"/>
    <x v="0"/>
    <m/>
    <m/>
    <m/>
    <n v="2082"/>
    <n v="2"/>
    <n v="2"/>
    <s v="20820226"/>
    <s v="05_Shg"/>
    <x v="0"/>
    <m/>
    <m/>
    <m/>
    <m/>
    <x v="0"/>
    <s v="Project"/>
    <x v="992"/>
    <x v="0"/>
    <x v="21"/>
    <s v="Exclude in HGB Group allocation"/>
  </r>
  <r>
    <s v="31370244"/>
    <m/>
    <x v="0"/>
    <x v="0"/>
    <m/>
    <m/>
    <m/>
    <n v="3137"/>
    <n v="2"/>
    <n v="4"/>
    <s v="31370244"/>
    <s v="02_GmbH"/>
    <x v="1"/>
    <m/>
    <m/>
    <m/>
    <m/>
    <x v="0"/>
    <s v="Project"/>
    <x v="993"/>
    <x v="0"/>
    <x v="21"/>
    <s v="Exclude in HGB Group allocation"/>
  </r>
  <r>
    <s v="30500342"/>
    <m/>
    <x v="0"/>
    <x v="0"/>
    <m/>
    <m/>
    <m/>
    <n v="3050"/>
    <n v="3"/>
    <n v="4"/>
    <n v="30500342"/>
    <s v="02_GmbH"/>
    <x v="1"/>
    <m/>
    <m/>
    <m/>
    <m/>
    <x v="0"/>
    <s v="Project"/>
    <x v="994"/>
    <x v="0"/>
    <x v="23"/>
    <s v="Exclude in HGB Group allocation"/>
  </r>
  <r>
    <s v="0"/>
    <m/>
    <x v="0"/>
    <x v="0"/>
    <m/>
    <m/>
    <m/>
    <n v="6134"/>
    <n v="2"/>
    <n v="2"/>
    <m/>
    <s v="01_SE"/>
    <x v="0"/>
    <m/>
    <m/>
    <m/>
    <m/>
    <x v="0"/>
    <s v="Project"/>
    <x v="995"/>
    <x v="0"/>
    <x v="0"/>
    <s v="Exclude in HGB Group allocation"/>
  </r>
  <r>
    <s v="0"/>
    <m/>
    <x v="0"/>
    <x v="0"/>
    <m/>
    <m/>
    <m/>
    <n v="6134"/>
    <n v="4"/>
    <n v="2"/>
    <m/>
    <s v="01_SE"/>
    <x v="0"/>
    <m/>
    <m/>
    <m/>
    <m/>
    <x v="0"/>
    <s v="Project"/>
    <x v="996"/>
    <x v="0"/>
    <x v="25"/>
    <s v="Exclude in HGB Group allocation"/>
  </r>
  <r>
    <s v="0"/>
    <m/>
    <x v="0"/>
    <x v="0"/>
    <m/>
    <m/>
    <m/>
    <n v="6134"/>
    <n v="3"/>
    <n v="4"/>
    <m/>
    <s v="02_GmbH"/>
    <x v="1"/>
    <m/>
    <m/>
    <m/>
    <m/>
    <x v="0"/>
    <s v="Project"/>
    <x v="997"/>
    <x v="0"/>
    <x v="23"/>
    <s v="Exclude in HGB Group allocation"/>
  </r>
  <r>
    <s v="0"/>
    <m/>
    <x v="0"/>
    <x v="0"/>
    <m/>
    <m/>
    <m/>
    <n v="6134"/>
    <n v="3"/>
    <n v="4"/>
    <m/>
    <s v="02_GmbH"/>
    <x v="1"/>
    <m/>
    <m/>
    <m/>
    <m/>
    <x v="0"/>
    <s v="Project"/>
    <x v="997"/>
    <x v="0"/>
    <x v="1"/>
    <s v="Exclude in HGB Group allocation"/>
  </r>
  <r>
    <s v="0"/>
    <m/>
    <x v="0"/>
    <x v="0"/>
    <m/>
    <m/>
    <m/>
    <n v="6134"/>
    <n v="3"/>
    <n v="4"/>
    <m/>
    <s v="02_GmbH"/>
    <x v="1"/>
    <m/>
    <m/>
    <m/>
    <m/>
    <x v="0"/>
    <s v="Project"/>
    <x v="997"/>
    <x v="0"/>
    <x v="20"/>
    <s v="Exclude in HGB Group allocation"/>
  </r>
  <r>
    <s v="0"/>
    <m/>
    <x v="0"/>
    <x v="0"/>
    <m/>
    <m/>
    <m/>
    <n v="6134"/>
    <n v="5"/>
    <n v="2"/>
    <m/>
    <s v="01_SE"/>
    <x v="0"/>
    <m/>
    <m/>
    <m/>
    <m/>
    <x v="0"/>
    <s v="Project"/>
    <x v="998"/>
    <x v="0"/>
    <x v="0"/>
    <s v="Exclude in HGB Group allocation"/>
  </r>
  <r>
    <s v="0"/>
    <m/>
    <x v="0"/>
    <x v="0"/>
    <m/>
    <m/>
    <m/>
    <n v="3160"/>
    <n v="2"/>
    <n v="1"/>
    <m/>
    <s v="01_SE"/>
    <x v="4"/>
    <m/>
    <m/>
    <m/>
    <m/>
    <x v="0"/>
    <s v="Project"/>
    <x v="999"/>
    <x v="0"/>
    <x v="18"/>
    <s v="Exclude in HGB Group allocation"/>
  </r>
  <r>
    <s v="0"/>
    <m/>
    <x v="0"/>
    <x v="0"/>
    <m/>
    <m/>
    <m/>
    <n v="3160"/>
    <n v="2"/>
    <n v="1"/>
    <m/>
    <s v="01_SE"/>
    <x v="4"/>
    <m/>
    <m/>
    <m/>
    <m/>
    <x v="0"/>
    <s v="Project"/>
    <x v="999"/>
    <x v="0"/>
    <x v="19"/>
    <s v="Exclude in HGB Group allocation"/>
  </r>
  <r>
    <s v="41140228"/>
    <m/>
    <x v="0"/>
    <x v="0"/>
    <m/>
    <m/>
    <m/>
    <n v="4114"/>
    <n v="2"/>
    <n v="2"/>
    <s v="41140228"/>
    <s v="01_SE"/>
    <x v="0"/>
    <m/>
    <m/>
    <m/>
    <m/>
    <x v="0"/>
    <s v="Project"/>
    <x v="1000"/>
    <x v="0"/>
    <x v="0"/>
    <s v="Exclude in HGB Group allocation"/>
  </r>
  <r>
    <s v="0"/>
    <m/>
    <x v="0"/>
    <x v="0"/>
    <m/>
    <m/>
    <m/>
    <n v="7667"/>
    <n v="2"/>
    <n v="2"/>
    <m/>
    <s v="09_Ltda"/>
    <x v="0"/>
    <m/>
    <m/>
    <m/>
    <m/>
    <x v="0"/>
    <s v="Project"/>
    <x v="1001"/>
    <x v="0"/>
    <x v="0"/>
    <s v="Exclude in HGB Group allocation"/>
  </r>
  <r>
    <s v="0"/>
    <m/>
    <x v="0"/>
    <x v="0"/>
    <m/>
    <m/>
    <m/>
    <n v="6606"/>
    <n v="9"/>
    <n v="2"/>
    <m/>
    <s v="05_Shg"/>
    <x v="0"/>
    <m/>
    <m/>
    <m/>
    <m/>
    <x v="0"/>
    <s v="Project"/>
    <x v="1002"/>
    <x v="0"/>
    <x v="0"/>
    <s v="Exclude in HGB Group allocation"/>
  </r>
  <r>
    <s v="79520228"/>
    <m/>
    <x v="0"/>
    <x v="0"/>
    <m/>
    <m/>
    <m/>
    <n v="7952"/>
    <n v="2"/>
    <n v="2"/>
    <s v="79520228"/>
    <s v="01_SE"/>
    <x v="0"/>
    <m/>
    <m/>
    <m/>
    <m/>
    <x v="0"/>
    <s v="Project"/>
    <x v="1003"/>
    <x v="0"/>
    <x v="0"/>
    <s v="Exclude in HGB Group allocation"/>
  </r>
  <r>
    <s v="80100226"/>
    <m/>
    <x v="0"/>
    <x v="0"/>
    <m/>
    <m/>
    <m/>
    <n v="8010"/>
    <n v="2"/>
    <n v="2"/>
    <s v="80100226"/>
    <s v="01_SE"/>
    <x v="0"/>
    <m/>
    <m/>
    <m/>
    <m/>
    <x v="0"/>
    <s v="Project"/>
    <x v="1004"/>
    <x v="0"/>
    <x v="0"/>
    <s v="Exclude in HGB Group allocation"/>
  </r>
  <r>
    <s v="80110228"/>
    <m/>
    <x v="0"/>
    <x v="0"/>
    <m/>
    <m/>
    <m/>
    <n v="8011"/>
    <n v="2"/>
    <n v="2"/>
    <s v="80110228"/>
    <s v="09_Ltda"/>
    <x v="0"/>
    <m/>
    <m/>
    <m/>
    <m/>
    <x v="0"/>
    <s v="Project"/>
    <x v="1005"/>
    <x v="0"/>
    <x v="21"/>
    <s v="Exclude in HGB Group allocation"/>
  </r>
  <r>
    <s v="61030228"/>
    <m/>
    <x v="0"/>
    <x v="0"/>
    <m/>
    <m/>
    <m/>
    <n v="6103"/>
    <n v="2"/>
    <n v="2"/>
    <s v="61030228"/>
    <s v="01_SE"/>
    <x v="0"/>
    <m/>
    <m/>
    <m/>
    <m/>
    <x v="0"/>
    <s v="Project"/>
    <x v="1006"/>
    <x v="0"/>
    <x v="0"/>
    <s v="Exclude in HGB Group allocation"/>
  </r>
  <r>
    <s v="0"/>
    <m/>
    <x v="0"/>
    <x v="0"/>
    <m/>
    <m/>
    <m/>
    <n v="7693"/>
    <n v="2"/>
    <n v="2"/>
    <m/>
    <s v="01_SE"/>
    <x v="0"/>
    <m/>
    <m/>
    <m/>
    <m/>
    <x v="0"/>
    <s v="Project"/>
    <x v="1007"/>
    <x v="0"/>
    <x v="0"/>
    <s v="Exclude in HGB Group allocation"/>
  </r>
  <r>
    <s v="0"/>
    <m/>
    <x v="0"/>
    <x v="0"/>
    <m/>
    <m/>
    <m/>
    <n v="7697"/>
    <n v="2"/>
    <n v="2"/>
    <m/>
    <s v="01_SE"/>
    <x v="0"/>
    <m/>
    <m/>
    <m/>
    <m/>
    <x v="0"/>
    <s v="Project"/>
    <x v="1008"/>
    <x v="0"/>
    <x v="25"/>
    <s v="Exclude in HGB Group allocation"/>
  </r>
  <r>
    <s v="0"/>
    <m/>
    <x v="0"/>
    <x v="0"/>
    <m/>
    <m/>
    <m/>
    <n v="3131"/>
    <n v="3"/>
    <n v="2"/>
    <m/>
    <s v="01_SE"/>
    <x v="0"/>
    <m/>
    <m/>
    <m/>
    <m/>
    <x v="0"/>
    <s v="Project"/>
    <x v="1009"/>
    <x v="0"/>
    <x v="0"/>
    <s v="Exclude in HGB Group allocation"/>
  </r>
  <r>
    <s v="0"/>
    <m/>
    <x v="0"/>
    <x v="0"/>
    <m/>
    <m/>
    <m/>
    <n v="3131"/>
    <n v="4"/>
    <n v="2"/>
    <m/>
    <s v="01_SE"/>
    <x v="0"/>
    <m/>
    <m/>
    <m/>
    <m/>
    <x v="0"/>
    <s v="Project"/>
    <x v="1010"/>
    <x v="0"/>
    <x v="0"/>
    <s v="Exclude in HGB Group allocation"/>
  </r>
  <r>
    <s v="0"/>
    <m/>
    <x v="0"/>
    <x v="0"/>
    <m/>
    <m/>
    <m/>
    <n v="3131"/>
    <n v="5"/>
    <n v="1"/>
    <m/>
    <s v="01_SE"/>
    <x v="4"/>
    <m/>
    <m/>
    <m/>
    <m/>
    <x v="0"/>
    <s v="Project"/>
    <x v="1011"/>
    <x v="0"/>
    <x v="18"/>
    <s v="Exclude in HGB Group allocation"/>
  </r>
  <r>
    <s v="0"/>
    <m/>
    <x v="0"/>
    <x v="0"/>
    <m/>
    <m/>
    <m/>
    <n v="3131"/>
    <n v="5"/>
    <n v="1"/>
    <m/>
    <s v="01_SE"/>
    <x v="4"/>
    <m/>
    <m/>
    <m/>
    <m/>
    <x v="0"/>
    <s v="Project"/>
    <x v="1011"/>
    <x v="0"/>
    <x v="19"/>
    <s v="Exclude in HGB Group allocation"/>
  </r>
  <r>
    <s v="99851211"/>
    <m/>
    <x v="0"/>
    <x v="0"/>
    <m/>
    <m/>
    <m/>
    <n v="9985"/>
    <n v="12"/>
    <n v="1"/>
    <s v="99851211"/>
    <s v="05_Shg"/>
    <x v="4"/>
    <m/>
    <m/>
    <m/>
    <m/>
    <x v="0"/>
    <s v="Project"/>
    <x v="1012"/>
    <x v="0"/>
    <x v="18"/>
    <s v="Exclude in HGB Group allocation"/>
  </r>
  <r>
    <s v="99851311"/>
    <m/>
    <x v="0"/>
    <x v="0"/>
    <m/>
    <m/>
    <m/>
    <n v="9985"/>
    <n v="13"/>
    <n v="1"/>
    <s v="99851311"/>
    <s v="05_Shg"/>
    <x v="4"/>
    <m/>
    <m/>
    <m/>
    <m/>
    <x v="0"/>
    <s v="Project"/>
    <x v="1013"/>
    <x v="0"/>
    <x v="18"/>
    <s v="Exclude in HGB Group allocation"/>
  </r>
  <r>
    <s v="0"/>
    <m/>
    <x v="0"/>
    <x v="0"/>
    <m/>
    <m/>
    <m/>
    <n v="6129"/>
    <n v="2"/>
    <n v="2"/>
    <m/>
    <s v="01_SE"/>
    <x v="0"/>
    <m/>
    <m/>
    <m/>
    <m/>
    <x v="0"/>
    <s v="Project"/>
    <x v="1014"/>
    <x v="0"/>
    <x v="0"/>
    <s v="Exclude in HGB Group allocation"/>
  </r>
  <r>
    <s v="0"/>
    <m/>
    <x v="0"/>
    <x v="0"/>
    <m/>
    <m/>
    <m/>
    <n v="6648"/>
    <n v="4"/>
    <n v="2"/>
    <m/>
    <s v="09_Ltda"/>
    <x v="0"/>
    <m/>
    <m/>
    <m/>
    <m/>
    <x v="0"/>
    <s v="Project"/>
    <x v="1015"/>
    <x v="0"/>
    <x v="0"/>
    <s v="Exclude in HGB Group allocation"/>
  </r>
  <r>
    <s v="66070343"/>
    <m/>
    <x v="0"/>
    <x v="0"/>
    <m/>
    <m/>
    <m/>
    <n v="6607"/>
    <n v="3"/>
    <n v="4"/>
    <s v="66070343"/>
    <s v="02_GmbH"/>
    <x v="1"/>
    <m/>
    <m/>
    <m/>
    <m/>
    <x v="0"/>
    <s v="Project"/>
    <x v="1016"/>
    <x v="0"/>
    <x v="1"/>
    <s v="Exclude in HGB Group allocation"/>
  </r>
  <r>
    <s v="66070344"/>
    <m/>
    <x v="0"/>
    <x v="0"/>
    <m/>
    <m/>
    <m/>
    <n v="6607"/>
    <n v="3"/>
    <n v="4"/>
    <s v="66070344"/>
    <s v="02_GmbH"/>
    <x v="1"/>
    <m/>
    <m/>
    <m/>
    <m/>
    <x v="0"/>
    <s v="Project"/>
    <x v="1016"/>
    <x v="0"/>
    <x v="2"/>
    <s v="Exclude in HGB Group allocation"/>
  </r>
  <r>
    <s v="66070347"/>
    <m/>
    <x v="0"/>
    <x v="0"/>
    <m/>
    <m/>
    <m/>
    <n v="6607"/>
    <n v="3"/>
    <n v="4"/>
    <s v="66070347"/>
    <s v="02_GmbH"/>
    <x v="1"/>
    <m/>
    <m/>
    <m/>
    <m/>
    <x v="0"/>
    <s v="Project"/>
    <x v="1016"/>
    <x v="0"/>
    <x v="20"/>
    <s v="Exclude in HGB Group allocation"/>
  </r>
  <r>
    <s v="70660216"/>
    <m/>
    <x v="0"/>
    <x v="0"/>
    <m/>
    <m/>
    <m/>
    <n v="7066"/>
    <n v="2"/>
    <n v="1"/>
    <s v="70660216"/>
    <s v="05_Shg"/>
    <x v="4"/>
    <m/>
    <m/>
    <m/>
    <m/>
    <x v="0"/>
    <s v="Project"/>
    <x v="1017"/>
    <x v="0"/>
    <x v="19"/>
    <s v="Exclude in HGB Group allocation"/>
  </r>
  <r>
    <s v="70660311"/>
    <m/>
    <x v="0"/>
    <x v="0"/>
    <m/>
    <m/>
    <m/>
    <n v="7066"/>
    <n v="3"/>
    <n v="1"/>
    <s v="70660311"/>
    <s v="05_Shg"/>
    <x v="4"/>
    <m/>
    <m/>
    <m/>
    <m/>
    <x v="0"/>
    <s v="Project"/>
    <x v="1018"/>
    <x v="0"/>
    <x v="18"/>
    <s v="Exclude in HGB Group allocation"/>
  </r>
  <r>
    <s v="70660316"/>
    <m/>
    <x v="0"/>
    <x v="0"/>
    <m/>
    <m/>
    <m/>
    <n v="7066"/>
    <n v="3"/>
    <n v="1"/>
    <s v="70660316"/>
    <s v="05_Shg"/>
    <x v="4"/>
    <m/>
    <m/>
    <m/>
    <m/>
    <x v="0"/>
    <s v="Project"/>
    <x v="1018"/>
    <x v="0"/>
    <x v="19"/>
    <s v="Exclude in HGB Group allocation"/>
  </r>
  <r>
    <s v="76120211"/>
    <m/>
    <x v="0"/>
    <x v="0"/>
    <m/>
    <m/>
    <m/>
    <n v="7612"/>
    <n v="2"/>
    <n v="1"/>
    <s v="76120211"/>
    <s v="01_SE"/>
    <x v="4"/>
    <m/>
    <m/>
    <m/>
    <m/>
    <x v="0"/>
    <s v="Project"/>
    <x v="1019"/>
    <x v="0"/>
    <x v="18"/>
    <s v="Exclude in HGB Group allocation"/>
  </r>
  <r>
    <s v="76120216"/>
    <m/>
    <x v="0"/>
    <x v="0"/>
    <m/>
    <m/>
    <m/>
    <n v="7612"/>
    <n v="2"/>
    <n v="1"/>
    <s v="76120216"/>
    <s v="01_SE"/>
    <x v="4"/>
    <m/>
    <m/>
    <m/>
    <m/>
    <x v="0"/>
    <s v="Project"/>
    <x v="1019"/>
    <x v="0"/>
    <x v="19"/>
    <s v="Exclude in HGB Group allocation"/>
  </r>
  <r>
    <s v="0"/>
    <m/>
    <x v="0"/>
    <x v="0"/>
    <m/>
    <m/>
    <m/>
    <n v="3159"/>
    <n v="2"/>
    <n v="2"/>
    <m/>
    <s v="01_SE"/>
    <x v="0"/>
    <m/>
    <m/>
    <m/>
    <m/>
    <x v="0"/>
    <s v="Project"/>
    <x v="1020"/>
    <x v="0"/>
    <x v="0"/>
    <s v="Exclude in HGB Group allocation"/>
  </r>
  <r>
    <s v="75270128"/>
    <m/>
    <x v="0"/>
    <x v="0"/>
    <m/>
    <m/>
    <m/>
    <n v="7527"/>
    <n v="1"/>
    <n v="2"/>
    <s v="75270128"/>
    <s v="01_SE"/>
    <x v="0"/>
    <m/>
    <m/>
    <m/>
    <m/>
    <x v="0"/>
    <s v="Project"/>
    <x v="1021"/>
    <x v="0"/>
    <x v="0"/>
    <s v="Exclude in HGB Group allocation"/>
  </r>
  <r>
    <s v="75270228"/>
    <m/>
    <x v="0"/>
    <x v="0"/>
    <m/>
    <m/>
    <m/>
    <n v="7527"/>
    <n v="2"/>
    <n v="2"/>
    <s v="75270228"/>
    <s v="01_SE"/>
    <x v="0"/>
    <m/>
    <m/>
    <m/>
    <m/>
    <x v="0"/>
    <s v="Project"/>
    <x v="1022"/>
    <x v="0"/>
    <x v="0"/>
    <s v="Exclude in HGB Group allocation"/>
  </r>
  <r>
    <s v="0"/>
    <m/>
    <x v="0"/>
    <x v="0"/>
    <m/>
    <m/>
    <m/>
    <n v="6111"/>
    <n v="2"/>
    <n v="2"/>
    <m/>
    <s v="01_SE"/>
    <x v="0"/>
    <m/>
    <m/>
    <m/>
    <m/>
    <x v="0"/>
    <s v="Project"/>
    <x v="1023"/>
    <x v="0"/>
    <x v="0"/>
    <m/>
  </r>
  <r>
    <s v="74100426"/>
    <m/>
    <x v="0"/>
    <x v="0"/>
    <m/>
    <m/>
    <m/>
    <n v="7410"/>
    <n v="4"/>
    <n v="2"/>
    <s v="74100426"/>
    <s v="01_SE"/>
    <x v="0"/>
    <m/>
    <m/>
    <m/>
    <m/>
    <x v="0"/>
    <s v="Project"/>
    <x v="1024"/>
    <x v="0"/>
    <x v="0"/>
    <s v="Exclude in HGB Group allocation"/>
  </r>
  <r>
    <s v="61080228"/>
    <m/>
    <x v="0"/>
    <x v="0"/>
    <m/>
    <m/>
    <m/>
    <n v="6108"/>
    <n v="2"/>
    <n v="2"/>
    <s v="61080228"/>
    <s v="05_Shg"/>
    <x v="0"/>
    <m/>
    <m/>
    <m/>
    <m/>
    <x v="0"/>
    <s v="Project"/>
    <x v="1025"/>
    <x v="0"/>
    <x v="21"/>
    <s v="Exclude in HGB Group allocation"/>
  </r>
  <r>
    <s v="0"/>
    <m/>
    <x v="0"/>
    <x v="0"/>
    <m/>
    <m/>
    <m/>
    <n v="6006"/>
    <n v="1"/>
    <n v="2"/>
    <m/>
    <s v="01_SE"/>
    <x v="0"/>
    <m/>
    <m/>
    <m/>
    <m/>
    <x v="0"/>
    <s v="Project"/>
    <x v="1026"/>
    <x v="0"/>
    <x v="0"/>
    <s v="Exclude in HGB Group allocation"/>
  </r>
  <r>
    <s v="0"/>
    <m/>
    <x v="0"/>
    <x v="0"/>
    <m/>
    <m/>
    <m/>
    <n v="6006"/>
    <n v="6"/>
    <n v="2"/>
    <m/>
    <m/>
    <x v="0"/>
    <m/>
    <m/>
    <m/>
    <m/>
    <x v="0"/>
    <s v="Project"/>
    <x v="1027"/>
    <x v="0"/>
    <x v="0"/>
    <s v="Exclude in HGB Group allocation"/>
  </r>
  <r>
    <s v="0"/>
    <m/>
    <x v="0"/>
    <x v="0"/>
    <m/>
    <m/>
    <m/>
    <n v="6314"/>
    <n v="2"/>
    <n v="2"/>
    <m/>
    <s v="01_SE"/>
    <x v="0"/>
    <m/>
    <m/>
    <m/>
    <m/>
    <x v="0"/>
    <s v="Project"/>
    <x v="1028"/>
    <x v="0"/>
    <x v="0"/>
    <s v="Exclude in HGB Group allocation"/>
  </r>
  <r>
    <s v="0"/>
    <m/>
    <x v="0"/>
    <x v="0"/>
    <m/>
    <m/>
    <m/>
    <n v="6314"/>
    <n v="3"/>
    <n v="2"/>
    <m/>
    <s v="01_SE"/>
    <x v="0"/>
    <m/>
    <m/>
    <m/>
    <m/>
    <x v="0"/>
    <s v="Project"/>
    <x v="1029"/>
    <x v="0"/>
    <x v="0"/>
    <s v="Exclude in HGB Group allocation"/>
  </r>
  <r>
    <s v="66071644"/>
    <m/>
    <x v="0"/>
    <x v="0"/>
    <m/>
    <m/>
    <m/>
    <n v="6607"/>
    <n v="16"/>
    <n v="4"/>
    <s v="66071644"/>
    <s v="02_GmbH"/>
    <x v="1"/>
    <m/>
    <m/>
    <m/>
    <m/>
    <x v="0"/>
    <s v="Project"/>
    <x v="1030"/>
    <x v="0"/>
    <x v="2"/>
    <s v="Exclude in HGB Group allocation"/>
  </r>
  <r>
    <s v="66071828"/>
    <m/>
    <x v="0"/>
    <x v="0"/>
    <m/>
    <m/>
    <m/>
    <n v="6607"/>
    <n v="18"/>
    <n v="2"/>
    <s v="66071828"/>
    <s v="01_SE"/>
    <x v="0"/>
    <m/>
    <m/>
    <m/>
    <m/>
    <x v="0"/>
    <s v="Project"/>
    <x v="1031"/>
    <x v="0"/>
    <x v="0"/>
    <s v="Exclude in HGB Group allocation"/>
  </r>
  <r>
    <s v="66071943"/>
    <m/>
    <x v="0"/>
    <x v="0"/>
    <m/>
    <m/>
    <m/>
    <n v="6607"/>
    <n v="19"/>
    <n v="4"/>
    <s v="66071943"/>
    <s v="02_GmbH"/>
    <x v="1"/>
    <m/>
    <m/>
    <m/>
    <m/>
    <x v="0"/>
    <s v="Project"/>
    <x v="1032"/>
    <x v="0"/>
    <x v="21"/>
    <s v="Exclude in HGB Group allocation"/>
  </r>
  <r>
    <s v="66072043"/>
    <m/>
    <x v="0"/>
    <x v="0"/>
    <m/>
    <m/>
    <m/>
    <n v="6607"/>
    <n v="20"/>
    <n v="4"/>
    <s v="66072043"/>
    <s v="02_GmbH"/>
    <x v="1"/>
    <m/>
    <m/>
    <m/>
    <m/>
    <x v="0"/>
    <s v="Project"/>
    <x v="1033"/>
    <x v="0"/>
    <x v="21"/>
    <s v="Exclude in HGB Group allocation"/>
  </r>
  <r>
    <s v="0"/>
    <m/>
    <x v="0"/>
    <x v="0"/>
    <m/>
    <m/>
    <m/>
    <n v="9963"/>
    <n v="57"/>
    <n v="1"/>
    <m/>
    <s v="01_SE"/>
    <x v="4"/>
    <m/>
    <m/>
    <m/>
    <m/>
    <x v="0"/>
    <s v="Project"/>
    <x v="1034"/>
    <x v="0"/>
    <x v="18"/>
    <s v="Exclude in HGB Group allocation"/>
  </r>
  <r>
    <s v="0"/>
    <m/>
    <x v="0"/>
    <x v="0"/>
    <m/>
    <m/>
    <m/>
    <n v="9963"/>
    <n v="57"/>
    <n v="1"/>
    <m/>
    <s v="01_SE"/>
    <x v="4"/>
    <m/>
    <m/>
    <m/>
    <m/>
    <x v="0"/>
    <s v="Project"/>
    <x v="1034"/>
    <x v="0"/>
    <x v="17"/>
    <s v="Exclude in HGB Group allocation"/>
  </r>
  <r>
    <s v="78022711"/>
    <m/>
    <x v="0"/>
    <x v="0"/>
    <m/>
    <m/>
    <m/>
    <n v="7802"/>
    <n v="27"/>
    <n v="1"/>
    <s v="78022711"/>
    <s v="01_SE"/>
    <x v="4"/>
    <m/>
    <m/>
    <m/>
    <m/>
    <x v="0"/>
    <s v="Project"/>
    <x v="1035"/>
    <x v="0"/>
    <x v="18"/>
    <s v="Exclude in HGB Group allocation"/>
  </r>
  <r>
    <s v="99944911"/>
    <m/>
    <x v="0"/>
    <x v="0"/>
    <m/>
    <m/>
    <m/>
    <n v="7802"/>
    <n v="27"/>
    <n v="1"/>
    <s v="99944911"/>
    <s v="01_SE"/>
    <x v="4"/>
    <m/>
    <m/>
    <m/>
    <m/>
    <x v="0"/>
    <s v="Project"/>
    <x v="1035"/>
    <x v="0"/>
    <x v="18"/>
    <s v="Exclude in HGB Group allocation"/>
  </r>
  <r>
    <s v="31000211"/>
    <m/>
    <x v="0"/>
    <x v="0"/>
    <m/>
    <m/>
    <m/>
    <n v="3100"/>
    <n v="2"/>
    <n v="1"/>
    <s v="31000211"/>
    <s v="01_SE"/>
    <x v="4"/>
    <m/>
    <m/>
    <m/>
    <m/>
    <x v="0"/>
    <s v="Project"/>
    <x v="1036"/>
    <x v="0"/>
    <x v="18"/>
    <s v="Exclude in HGB Group allocation"/>
  </r>
  <r>
    <s v="31000216"/>
    <m/>
    <x v="0"/>
    <x v="0"/>
    <m/>
    <m/>
    <m/>
    <n v="3100"/>
    <n v="2"/>
    <n v="1"/>
    <s v="31000216"/>
    <s v="01_SE"/>
    <x v="4"/>
    <m/>
    <m/>
    <m/>
    <m/>
    <x v="0"/>
    <s v="Project"/>
    <x v="1036"/>
    <x v="0"/>
    <x v="19"/>
    <s v="Exclude in HGB Group allocation"/>
  </r>
  <r>
    <s v="31000328"/>
    <m/>
    <x v="0"/>
    <x v="0"/>
    <m/>
    <m/>
    <m/>
    <n v="3100"/>
    <n v="3"/>
    <n v="2"/>
    <s v="31000328"/>
    <s v="01_SE"/>
    <x v="0"/>
    <m/>
    <m/>
    <m/>
    <m/>
    <x v="0"/>
    <s v="Project"/>
    <x v="1037"/>
    <x v="0"/>
    <x v="0"/>
    <s v="Exclude in HGB Group allocation"/>
  </r>
  <r>
    <s v="31000428"/>
    <m/>
    <x v="0"/>
    <x v="0"/>
    <m/>
    <m/>
    <m/>
    <n v="3100"/>
    <n v="4"/>
    <n v="2"/>
    <s v="31000428"/>
    <s v="01_SE"/>
    <x v="0"/>
    <m/>
    <m/>
    <m/>
    <m/>
    <x v="0"/>
    <s v="Project"/>
    <x v="1038"/>
    <x v="0"/>
    <x v="0"/>
    <s v="Exclude in HGB Group allocation"/>
  </r>
  <r>
    <s v="0"/>
    <m/>
    <x v="0"/>
    <x v="0"/>
    <m/>
    <m/>
    <m/>
    <n v="3100"/>
    <n v="5"/>
    <n v="2"/>
    <m/>
    <s v="01_SE"/>
    <x v="0"/>
    <m/>
    <m/>
    <m/>
    <m/>
    <x v="0"/>
    <s v="Project"/>
    <x v="1039"/>
    <x v="0"/>
    <x v="0"/>
    <s v="Exclude in HGB Group allocation"/>
  </r>
  <r>
    <s v="60220228"/>
    <m/>
    <x v="0"/>
    <x v="0"/>
    <m/>
    <m/>
    <m/>
    <n v="6022"/>
    <n v="2"/>
    <n v="2"/>
    <s v="60220228"/>
    <s v="01_SE"/>
    <x v="0"/>
    <m/>
    <m/>
    <m/>
    <m/>
    <x v="0"/>
    <s v="Project"/>
    <x v="1040"/>
    <x v="0"/>
    <x v="0"/>
    <s v="Exclude in HGB Group allocation"/>
  </r>
  <r>
    <s v="0"/>
    <m/>
    <x v="0"/>
    <x v="0"/>
    <m/>
    <m/>
    <m/>
    <n v="6022"/>
    <n v="5"/>
    <n v="2"/>
    <m/>
    <s v="01_SE"/>
    <x v="0"/>
    <m/>
    <m/>
    <m/>
    <m/>
    <x v="0"/>
    <s v="Project"/>
    <x v="1041"/>
    <x v="0"/>
    <x v="0"/>
    <s v="Exclude in HGB Group allocation"/>
  </r>
  <r>
    <s v="60220328"/>
    <m/>
    <x v="0"/>
    <x v="0"/>
    <m/>
    <m/>
    <m/>
    <n v="6022"/>
    <n v="3"/>
    <n v="2"/>
    <s v="60220328"/>
    <s v="01_SE"/>
    <x v="0"/>
    <m/>
    <m/>
    <m/>
    <m/>
    <x v="0"/>
    <s v="Project"/>
    <x v="1042"/>
    <x v="0"/>
    <x v="0"/>
    <s v="Exclude in HGB Group allocation"/>
  </r>
  <r>
    <s v="60220428"/>
    <m/>
    <x v="0"/>
    <x v="0"/>
    <m/>
    <m/>
    <m/>
    <n v="6022"/>
    <n v="4"/>
    <n v="2"/>
    <s v="60220428"/>
    <s v="01_SE"/>
    <x v="0"/>
    <m/>
    <m/>
    <m/>
    <m/>
    <x v="0"/>
    <s v="Project"/>
    <x v="1043"/>
    <x v="0"/>
    <x v="0"/>
    <s v="Exclude in HGB Group allocation"/>
  </r>
  <r>
    <s v="99963128"/>
    <m/>
    <x v="0"/>
    <x v="0"/>
    <m/>
    <m/>
    <m/>
    <n v="6022"/>
    <n v="3"/>
    <n v="2"/>
    <s v="99963128"/>
    <s v="01_SE"/>
    <x v="0"/>
    <m/>
    <m/>
    <m/>
    <m/>
    <x v="0"/>
    <s v="Project"/>
    <x v="1042"/>
    <x v="0"/>
    <x v="21"/>
    <s v="Exclude in HGB Group allocation"/>
  </r>
  <r>
    <s v="30580211"/>
    <m/>
    <x v="0"/>
    <x v="0"/>
    <m/>
    <m/>
    <m/>
    <n v="3058"/>
    <n v="2"/>
    <n v="1"/>
    <s v="30580211"/>
    <s v="07_Inc"/>
    <x v="4"/>
    <m/>
    <m/>
    <m/>
    <m/>
    <x v="0"/>
    <s v="Project"/>
    <x v="1044"/>
    <x v="0"/>
    <x v="18"/>
    <s v="Exclude in HGB Group allocation"/>
  </r>
  <r>
    <s v="30580216"/>
    <m/>
    <x v="0"/>
    <x v="0"/>
    <m/>
    <m/>
    <m/>
    <n v="3058"/>
    <n v="2"/>
    <n v="1"/>
    <s v="30580216"/>
    <s v="07_Inc"/>
    <x v="4"/>
    <m/>
    <m/>
    <m/>
    <m/>
    <x v="0"/>
    <s v="Project"/>
    <x v="1044"/>
    <x v="0"/>
    <x v="19"/>
    <s v="Exclude in HGB Group allocation"/>
  </r>
  <r>
    <s v="80301028"/>
    <m/>
    <x v="0"/>
    <x v="0"/>
    <m/>
    <m/>
    <m/>
    <n v="8030"/>
    <n v="10"/>
    <n v="2"/>
    <s v="80301028"/>
    <s v="01_SE"/>
    <x v="0"/>
    <m/>
    <m/>
    <m/>
    <m/>
    <x v="0"/>
    <s v="Project"/>
    <x v="1045"/>
    <x v="0"/>
    <x v="0"/>
    <s v="Exclude in HGB Group allocation"/>
  </r>
  <r>
    <s v="66072143"/>
    <m/>
    <x v="0"/>
    <x v="0"/>
    <m/>
    <m/>
    <m/>
    <n v="6607"/>
    <n v="21"/>
    <n v="4"/>
    <s v="66072143"/>
    <s v="02_GmbH"/>
    <x v="1"/>
    <m/>
    <m/>
    <m/>
    <m/>
    <x v="0"/>
    <s v="Project"/>
    <x v="1046"/>
    <x v="0"/>
    <x v="21"/>
    <s v="Exclude in HGB Group allocation"/>
  </r>
  <r>
    <s v="20110228"/>
    <m/>
    <x v="0"/>
    <x v="0"/>
    <m/>
    <m/>
    <m/>
    <n v="2011"/>
    <n v="2"/>
    <n v="2"/>
    <s v="20110228"/>
    <s v="01_SE"/>
    <x v="0"/>
    <m/>
    <m/>
    <m/>
    <m/>
    <x v="0"/>
    <s v="Project"/>
    <x v="1047"/>
    <x v="0"/>
    <x v="0"/>
    <s v="Exclude in HGB Group allocation"/>
  </r>
  <r>
    <s v="79500256"/>
    <m/>
    <x v="0"/>
    <x v="0"/>
    <m/>
    <m/>
    <m/>
    <n v="7950"/>
    <n v="2"/>
    <n v="5"/>
    <s v="79500256"/>
    <s v="01_SE"/>
    <x v="3"/>
    <m/>
    <m/>
    <m/>
    <m/>
    <x v="0"/>
    <s v="Project"/>
    <x v="1048"/>
    <x v="0"/>
    <x v="26"/>
    <s v="Exclude in HGB Group allocation"/>
  </r>
  <r>
    <s v="10130328"/>
    <m/>
    <x v="0"/>
    <x v="0"/>
    <m/>
    <m/>
    <m/>
    <n v="1013"/>
    <n v="3"/>
    <n v="2"/>
    <s v="10130328"/>
    <s v="09_Ltda"/>
    <x v="0"/>
    <m/>
    <m/>
    <m/>
    <m/>
    <x v="0"/>
    <s v="Project"/>
    <x v="1049"/>
    <x v="0"/>
    <x v="21"/>
    <s v="Exclude in HGB Group allocation"/>
  </r>
  <r>
    <s v="88680343"/>
    <m/>
    <x v="0"/>
    <x v="0"/>
    <m/>
    <m/>
    <m/>
    <n v="8868"/>
    <n v="3"/>
    <n v="4"/>
    <s v="88680343"/>
    <s v="05_Shg"/>
    <x v="1"/>
    <m/>
    <m/>
    <m/>
    <m/>
    <x v="0"/>
    <s v="Project"/>
    <x v="1050"/>
    <x v="0"/>
    <x v="21"/>
    <s v="Exclude in HGB Group allocation"/>
  </r>
  <r>
    <s v="0"/>
    <m/>
    <x v="0"/>
    <x v="0"/>
    <m/>
    <m/>
    <m/>
    <n v="2066"/>
    <n v="2"/>
    <n v="2"/>
    <m/>
    <s v="05_Shg"/>
    <x v="0"/>
    <m/>
    <m/>
    <m/>
    <m/>
    <x v="0"/>
    <s v="Project"/>
    <x v="1051"/>
    <x v="0"/>
    <x v="0"/>
    <s v="Exclude in HGB Group allocation"/>
  </r>
  <r>
    <s v="0"/>
    <m/>
    <x v="0"/>
    <x v="0"/>
    <m/>
    <m/>
    <m/>
    <n v="2066"/>
    <n v="3"/>
    <n v="2"/>
    <m/>
    <s v="05_Shg"/>
    <x v="0"/>
    <m/>
    <m/>
    <m/>
    <m/>
    <x v="0"/>
    <s v="Project"/>
    <x v="1052"/>
    <x v="0"/>
    <x v="0"/>
    <s v="Exclude in HGB Group allocation"/>
  </r>
  <r>
    <s v="75250228"/>
    <m/>
    <x v="0"/>
    <x v="0"/>
    <m/>
    <m/>
    <m/>
    <n v="7525"/>
    <n v="2"/>
    <n v="2"/>
    <s v="75250228"/>
    <s v="01_SE"/>
    <x v="0"/>
    <m/>
    <m/>
    <m/>
    <m/>
    <x v="0"/>
    <s v="Project"/>
    <x v="1053"/>
    <x v="0"/>
    <x v="0"/>
    <s v="Exclude in HGB Group allocation"/>
  </r>
  <r>
    <s v="0"/>
    <m/>
    <x v="0"/>
    <x v="0"/>
    <m/>
    <m/>
    <m/>
    <n v="7689"/>
    <n v="2"/>
    <n v="1"/>
    <m/>
    <s v="05_Shg"/>
    <x v="4"/>
    <m/>
    <m/>
    <m/>
    <m/>
    <x v="0"/>
    <s v="Project"/>
    <x v="1054"/>
    <x v="0"/>
    <x v="18"/>
    <s v="Exclude in HGB Group allocation"/>
  </r>
  <r>
    <s v="0"/>
    <m/>
    <x v="0"/>
    <x v="0"/>
    <m/>
    <m/>
    <m/>
    <n v="3175"/>
    <n v="2"/>
    <n v="2"/>
    <m/>
    <s v="05_Shg"/>
    <x v="0"/>
    <m/>
    <m/>
    <m/>
    <m/>
    <x v="0"/>
    <s v="Project"/>
    <x v="1055"/>
    <x v="0"/>
    <x v="0"/>
    <s v="Exclude in HGB Group allocation"/>
  </r>
  <r>
    <s v="0"/>
    <m/>
    <x v="0"/>
    <x v="0"/>
    <m/>
    <m/>
    <m/>
    <n v="3175"/>
    <n v="3"/>
    <n v="2"/>
    <m/>
    <s v="05_Shg"/>
    <x v="0"/>
    <m/>
    <m/>
    <m/>
    <m/>
    <x v="0"/>
    <s v="Project"/>
    <x v="1056"/>
    <x v="0"/>
    <x v="0"/>
    <s v="Exclude in HGB Group allocation"/>
  </r>
  <r>
    <s v="63150511"/>
    <m/>
    <x v="0"/>
    <x v="0"/>
    <m/>
    <m/>
    <m/>
    <n v="6315"/>
    <n v="5"/>
    <n v="1"/>
    <s v="63150511"/>
    <s v="05_Shg"/>
    <x v="4"/>
    <m/>
    <m/>
    <m/>
    <m/>
    <x v="0"/>
    <s v="Project"/>
    <x v="1057"/>
    <x v="0"/>
    <x v="18"/>
    <s v="Exclude in HGB Group allocation"/>
  </r>
  <r>
    <s v="63150517"/>
    <m/>
    <x v="0"/>
    <x v="0"/>
    <m/>
    <m/>
    <m/>
    <n v="6315"/>
    <n v="5"/>
    <n v="1"/>
    <s v="63150517"/>
    <s v="05_Shg"/>
    <x v="4"/>
    <m/>
    <m/>
    <m/>
    <m/>
    <x v="0"/>
    <s v="Project"/>
    <x v="1057"/>
    <x v="0"/>
    <x v="19"/>
    <s v="Exclude in HGB Group allocation"/>
  </r>
  <r>
    <s v="63150626"/>
    <m/>
    <x v="0"/>
    <x v="0"/>
    <m/>
    <m/>
    <m/>
    <n v="6315"/>
    <n v="6"/>
    <n v="2"/>
    <s v="63150626"/>
    <s v="05_Shg"/>
    <x v="0"/>
    <m/>
    <m/>
    <m/>
    <m/>
    <x v="0"/>
    <s v="Project"/>
    <x v="1058"/>
    <x v="0"/>
    <x v="21"/>
    <s v="Exclude in HGB Group allocation"/>
  </r>
  <r>
    <s v="0"/>
    <m/>
    <x v="0"/>
    <x v="0"/>
    <m/>
    <m/>
    <m/>
    <n v="7068"/>
    <n v="2"/>
    <n v="1"/>
    <m/>
    <s v="05_Shg"/>
    <x v="4"/>
    <m/>
    <m/>
    <m/>
    <m/>
    <x v="0"/>
    <s v="Project"/>
    <x v="1059"/>
    <x v="0"/>
    <x v="18"/>
    <s v="Exclude in HGB Group allocation"/>
  </r>
  <r>
    <s v="0"/>
    <m/>
    <x v="0"/>
    <x v="0"/>
    <m/>
    <m/>
    <m/>
    <n v="7053"/>
    <n v="2"/>
    <n v="2"/>
    <m/>
    <s v="01_SE"/>
    <x v="0"/>
    <m/>
    <m/>
    <m/>
    <m/>
    <x v="0"/>
    <s v="Project"/>
    <x v="1060"/>
    <x v="0"/>
    <x v="0"/>
    <s v="Exclude in HGB Group allocation"/>
  </r>
  <r>
    <s v="88060242"/>
    <m/>
    <x v="0"/>
    <x v="0"/>
    <m/>
    <m/>
    <m/>
    <n v="8806"/>
    <n v="2"/>
    <n v="4"/>
    <s v="88060242"/>
    <s v="02_GmbH"/>
    <x v="1"/>
    <m/>
    <m/>
    <m/>
    <m/>
    <x v="0"/>
    <s v="Project"/>
    <x v="1061"/>
    <x v="0"/>
    <x v="21"/>
    <s v="Exclude in HGB Group allocation"/>
  </r>
  <r>
    <s v="80311628"/>
    <m/>
    <x v="0"/>
    <x v="0"/>
    <m/>
    <m/>
    <m/>
    <n v="8031"/>
    <n v="16"/>
    <n v="2"/>
    <s v="80311628"/>
    <s v="01_SE"/>
    <x v="0"/>
    <m/>
    <m/>
    <m/>
    <m/>
    <x v="0"/>
    <s v="Project"/>
    <x v="1062"/>
    <x v="0"/>
    <x v="0"/>
    <s v="Exclude in HGB Group allocation"/>
  </r>
  <r>
    <s v="99961628"/>
    <m/>
    <x v="0"/>
    <x v="0"/>
    <m/>
    <m/>
    <m/>
    <n v="8031"/>
    <n v="16"/>
    <n v="2"/>
    <s v="99961628"/>
    <s v="01_SE"/>
    <x v="0"/>
    <m/>
    <m/>
    <m/>
    <m/>
    <x v="0"/>
    <s v="Project"/>
    <x v="1062"/>
    <x v="0"/>
    <x v="0"/>
    <s v="Exclude in HGB Group allocation"/>
  </r>
  <r>
    <s v="80311728"/>
    <m/>
    <x v="0"/>
    <x v="0"/>
    <m/>
    <m/>
    <m/>
    <n v="8031"/>
    <n v="17"/>
    <n v="2"/>
    <s v="80311728"/>
    <s v="01_SE"/>
    <x v="0"/>
    <m/>
    <m/>
    <m/>
    <m/>
    <x v="0"/>
    <s v="Project"/>
    <x v="1063"/>
    <x v="0"/>
    <x v="0"/>
    <s v="Exclude in HGB Group allocation"/>
  </r>
  <r>
    <s v="80311828"/>
    <m/>
    <x v="0"/>
    <x v="0"/>
    <m/>
    <m/>
    <m/>
    <n v="8031"/>
    <n v="18"/>
    <n v="2"/>
    <s v="80311828"/>
    <s v="01_SE"/>
    <x v="0"/>
    <m/>
    <m/>
    <m/>
    <m/>
    <x v="0"/>
    <s v="Project"/>
    <x v="1064"/>
    <x v="0"/>
    <x v="0"/>
    <s v="Exclude in HGB Group allocation"/>
  </r>
  <r>
    <s v="0"/>
    <m/>
    <x v="0"/>
    <x v="0"/>
    <m/>
    <m/>
    <m/>
    <n v="8031"/>
    <n v="19"/>
    <n v="2"/>
    <m/>
    <s v="01_SE"/>
    <x v="0"/>
    <m/>
    <m/>
    <m/>
    <m/>
    <x v="0"/>
    <s v="Project"/>
    <x v="1065"/>
    <x v="0"/>
    <x v="0"/>
    <s v="Exclude in HGB Group allocation"/>
  </r>
  <r>
    <s v="0"/>
    <m/>
    <x v="0"/>
    <x v="0"/>
    <m/>
    <m/>
    <m/>
    <n v="8031"/>
    <n v="20"/>
    <n v="2"/>
    <m/>
    <s v="01_SE"/>
    <x v="0"/>
    <m/>
    <m/>
    <m/>
    <m/>
    <x v="0"/>
    <s v="Project"/>
    <x v="1066"/>
    <x v="0"/>
    <x v="0"/>
    <s v="Exclude in HGB Group allocation"/>
  </r>
  <r>
    <s v="0"/>
    <m/>
    <x v="0"/>
    <x v="0"/>
    <m/>
    <m/>
    <m/>
    <n v="8031"/>
    <n v="21"/>
    <n v="2"/>
    <m/>
    <s v="01_SE"/>
    <x v="0"/>
    <m/>
    <m/>
    <m/>
    <m/>
    <x v="0"/>
    <s v="Project"/>
    <x v="1067"/>
    <x v="0"/>
    <x v="0"/>
    <s v="Exclude in HGB Group allocation"/>
  </r>
  <r>
    <s v="0"/>
    <m/>
    <x v="0"/>
    <x v="0"/>
    <m/>
    <m/>
    <m/>
    <n v="8031"/>
    <n v="22"/>
    <n v="2"/>
    <m/>
    <s v="01_SE"/>
    <x v="0"/>
    <m/>
    <m/>
    <m/>
    <m/>
    <x v="0"/>
    <s v="Project"/>
    <x v="1068"/>
    <x v="0"/>
    <x v="0"/>
    <s v="Exclude in HGB Group allocation"/>
  </r>
  <r>
    <s v="0"/>
    <m/>
    <x v="0"/>
    <x v="0"/>
    <m/>
    <m/>
    <m/>
    <n v="8031"/>
    <n v="24"/>
    <n v="2"/>
    <m/>
    <s v="01_SE"/>
    <x v="0"/>
    <m/>
    <m/>
    <m/>
    <m/>
    <x v="0"/>
    <s v="Project"/>
    <x v="1069"/>
    <x v="0"/>
    <x v="0"/>
    <s v="Exclude in HGB Group allocation"/>
  </r>
  <r>
    <s v="0"/>
    <m/>
    <x v="0"/>
    <x v="0"/>
    <m/>
    <m/>
    <m/>
    <n v="8031"/>
    <n v="23"/>
    <n v="2"/>
    <m/>
    <s v="01_SE"/>
    <x v="0"/>
    <m/>
    <m/>
    <m/>
    <m/>
    <x v="0"/>
    <s v="Project"/>
    <x v="1070"/>
    <x v="0"/>
    <x v="0"/>
    <s v="Exclude in HGB Group allocation"/>
  </r>
  <r>
    <s v="22000149"/>
    <m/>
    <x v="0"/>
    <x v="0"/>
    <m/>
    <m/>
    <m/>
    <n v="2200"/>
    <n v="1"/>
    <n v="4"/>
    <s v="22000149"/>
    <s v="02_GmbH"/>
    <x v="1"/>
    <m/>
    <m/>
    <m/>
    <m/>
    <x v="0"/>
    <s v="Project"/>
    <x v="1071"/>
    <x v="0"/>
    <x v="24"/>
    <s v="Exclude in HGB Group allocation"/>
  </r>
  <r>
    <s v="22000341"/>
    <m/>
    <x v="0"/>
    <x v="0"/>
    <m/>
    <m/>
    <m/>
    <n v="2200"/>
    <n v="3"/>
    <n v="4"/>
    <s v="22000341"/>
    <s v="02_GmbH"/>
    <x v="1"/>
    <m/>
    <m/>
    <m/>
    <m/>
    <x v="0"/>
    <s v="Project"/>
    <x v="1072"/>
    <x v="0"/>
    <x v="22"/>
    <s v="Exclude in HGB Group allocation"/>
  </r>
  <r>
    <s v="22000343"/>
    <m/>
    <x v="0"/>
    <x v="0"/>
    <m/>
    <m/>
    <m/>
    <n v="2200"/>
    <n v="3"/>
    <n v="4"/>
    <s v="22000343"/>
    <s v="02_GmbH"/>
    <x v="1"/>
    <m/>
    <m/>
    <m/>
    <m/>
    <x v="0"/>
    <s v="Project"/>
    <x v="1072"/>
    <x v="0"/>
    <x v="1"/>
    <s v="Exclude in HGB Group allocation"/>
  </r>
  <r>
    <s v="22000344"/>
    <m/>
    <x v="0"/>
    <x v="0"/>
    <m/>
    <m/>
    <m/>
    <n v="2200"/>
    <n v="3"/>
    <n v="4"/>
    <s v="22000344"/>
    <s v="02_GmbH"/>
    <x v="1"/>
    <m/>
    <m/>
    <m/>
    <m/>
    <x v="0"/>
    <s v="Project"/>
    <x v="1072"/>
    <x v="0"/>
    <x v="2"/>
    <s v="Exclude in HGB Group allocation"/>
  </r>
  <r>
    <s v="22000347"/>
    <m/>
    <x v="0"/>
    <x v="0"/>
    <m/>
    <m/>
    <m/>
    <n v="2200"/>
    <n v="3"/>
    <n v="4"/>
    <s v="22000347"/>
    <s v="02_GmbH"/>
    <x v="1"/>
    <m/>
    <m/>
    <m/>
    <m/>
    <x v="0"/>
    <s v="Project"/>
    <x v="1072"/>
    <x v="0"/>
    <x v="20"/>
    <s v="Exclude in HGB Group allocation"/>
  </r>
  <r>
    <s v="99886943"/>
    <m/>
    <x v="0"/>
    <x v="0"/>
    <m/>
    <m/>
    <m/>
    <n v="2200"/>
    <n v="3"/>
    <n v="4"/>
    <s v="99886943"/>
    <s v="02_GmbH"/>
    <x v="1"/>
    <m/>
    <m/>
    <m/>
    <m/>
    <x v="0"/>
    <s v="Project"/>
    <x v="1072"/>
    <x v="0"/>
    <x v="1"/>
    <s v="Exclude in HGB Group allocation"/>
  </r>
  <r>
    <s v="99896243"/>
    <m/>
    <x v="0"/>
    <x v="0"/>
    <m/>
    <m/>
    <m/>
    <n v="2200"/>
    <n v="3"/>
    <n v="4"/>
    <s v="99896243"/>
    <s v="02_GmbH"/>
    <x v="1"/>
    <m/>
    <m/>
    <m/>
    <m/>
    <x v="0"/>
    <s v="Project"/>
    <x v="1072"/>
    <x v="0"/>
    <x v="1"/>
    <s v="Exclude in HGB Group allocation"/>
  </r>
  <r>
    <s v="99896244"/>
    <m/>
    <x v="0"/>
    <x v="0"/>
    <m/>
    <m/>
    <m/>
    <n v="2200"/>
    <n v="3"/>
    <n v="4"/>
    <s v="99896244"/>
    <s v="02_GmbH"/>
    <x v="1"/>
    <m/>
    <m/>
    <m/>
    <m/>
    <x v="0"/>
    <s v="Project"/>
    <x v="1072"/>
    <x v="0"/>
    <x v="2"/>
    <s v="Exclude in HGB Group allocation"/>
  </r>
  <r>
    <s v="0"/>
    <m/>
    <x v="0"/>
    <x v="0"/>
    <m/>
    <m/>
    <m/>
    <n v="9963"/>
    <n v="57"/>
    <n v="1"/>
    <m/>
    <s v="01_SE"/>
    <x v="4"/>
    <m/>
    <m/>
    <m/>
    <m/>
    <x v="0"/>
    <s v="Project"/>
    <x v="1034"/>
    <x v="0"/>
    <x v="19"/>
    <s v="Exclude in HGB Group allocation"/>
  </r>
  <r>
    <s v="99886911"/>
    <m/>
    <x v="0"/>
    <x v="0"/>
    <m/>
    <m/>
    <m/>
    <n v="9988"/>
    <n v="69"/>
    <n v="1"/>
    <s v="99886911"/>
    <s v="01_SE"/>
    <x v="4"/>
    <m/>
    <m/>
    <m/>
    <m/>
    <x v="0"/>
    <s v="Project"/>
    <x v="1073"/>
    <x v="0"/>
    <x v="18"/>
    <s v="Exclude in HGB Group allocation"/>
  </r>
  <r>
    <s v="99934311"/>
    <m/>
    <x v="0"/>
    <x v="0"/>
    <m/>
    <m/>
    <m/>
    <n v="9988"/>
    <n v="69"/>
    <n v="1"/>
    <s v="99934311"/>
    <s v="01_SE"/>
    <x v="4"/>
    <m/>
    <m/>
    <m/>
    <m/>
    <x v="0"/>
    <s v="Project"/>
    <x v="1073"/>
    <x v="0"/>
    <x v="18"/>
    <s v="Exclude in HGB Group allocation"/>
  </r>
  <r>
    <s v="99893811"/>
    <m/>
    <x v="0"/>
    <x v="0"/>
    <m/>
    <m/>
    <m/>
    <n v="9989"/>
    <n v="38"/>
    <n v="1"/>
    <s v="99893811"/>
    <s v="01_SE"/>
    <x v="4"/>
    <m/>
    <m/>
    <m/>
    <m/>
    <x v="0"/>
    <s v="Project"/>
    <x v="1074"/>
    <x v="0"/>
    <x v="18"/>
    <s v="Exclude in HGB Group allocation"/>
  </r>
  <r>
    <s v="99952611"/>
    <m/>
    <x v="0"/>
    <x v="0"/>
    <m/>
    <m/>
    <m/>
    <n v="9995"/>
    <n v="26"/>
    <n v="1"/>
    <s v="99952611"/>
    <s v="01_SE"/>
    <x v="4"/>
    <m/>
    <m/>
    <m/>
    <m/>
    <x v="0"/>
    <s v="Project"/>
    <x v="1075"/>
    <x v="0"/>
    <x v="18"/>
    <s v="Exclude in HGB Group allocation"/>
  </r>
  <r>
    <s v="99953316"/>
    <m/>
    <x v="0"/>
    <x v="0"/>
    <m/>
    <m/>
    <m/>
    <n v="9995"/>
    <n v="33"/>
    <n v="1"/>
    <s v="99953316"/>
    <s v="01_SE"/>
    <x v="4"/>
    <m/>
    <m/>
    <m/>
    <m/>
    <x v="0"/>
    <s v="Project"/>
    <x v="1076"/>
    <x v="0"/>
    <x v="19"/>
    <s v="Exclude in HGB Group allocation"/>
  </r>
  <r>
    <s v="99953516"/>
    <m/>
    <x v="0"/>
    <x v="0"/>
    <m/>
    <m/>
    <m/>
    <n v="9995"/>
    <n v="35"/>
    <n v="1"/>
    <s v="99953516"/>
    <s v="01_SE"/>
    <x v="4"/>
    <m/>
    <m/>
    <m/>
    <m/>
    <x v="0"/>
    <s v="Project"/>
    <x v="1077"/>
    <x v="0"/>
    <x v="19"/>
    <s v="Exclude in HGB Group allocation"/>
  </r>
  <r>
    <s v="99954413"/>
    <m/>
    <x v="0"/>
    <x v="0"/>
    <m/>
    <m/>
    <m/>
    <n v="9995"/>
    <n v="44"/>
    <n v="1"/>
    <s v="99954413"/>
    <s v="01_SE"/>
    <x v="4"/>
    <m/>
    <m/>
    <m/>
    <m/>
    <x v="0"/>
    <s v="Project"/>
    <x v="1078"/>
    <x v="0"/>
    <x v="17"/>
    <s v="Exclude in HGB Group allocation"/>
  </r>
  <r>
    <s v="99956513"/>
    <m/>
    <x v="0"/>
    <x v="0"/>
    <m/>
    <m/>
    <m/>
    <n v="9995"/>
    <n v="65"/>
    <n v="1"/>
    <s v="99956513"/>
    <s v="01_SE"/>
    <x v="4"/>
    <m/>
    <m/>
    <m/>
    <m/>
    <x v="0"/>
    <s v="Project"/>
    <x v="1079"/>
    <x v="0"/>
    <x v="17"/>
    <s v="Exclude in HGB Group allocation"/>
  </r>
  <r>
    <s v="99958411"/>
    <m/>
    <x v="0"/>
    <x v="0"/>
    <m/>
    <m/>
    <m/>
    <n v="9995"/>
    <n v="84"/>
    <n v="1"/>
    <s v="99958411"/>
    <s v="01_SE"/>
    <x v="4"/>
    <m/>
    <m/>
    <m/>
    <m/>
    <x v="0"/>
    <s v="Project"/>
    <x v="1080"/>
    <x v="0"/>
    <x v="18"/>
    <s v="Exclude in HGB Group allocation"/>
  </r>
  <r>
    <s v="41010226"/>
    <m/>
    <x v="0"/>
    <x v="0"/>
    <m/>
    <m/>
    <m/>
    <n v="4101"/>
    <n v="2"/>
    <n v="2"/>
    <s v="41010226"/>
    <s v="01_SE"/>
    <x v="0"/>
    <m/>
    <m/>
    <m/>
    <m/>
    <x v="0"/>
    <s v="Project"/>
    <x v="1081"/>
    <x v="0"/>
    <x v="0"/>
    <s v="Exclude in HGB Group allocation"/>
  </r>
  <r>
    <s v="0"/>
    <m/>
    <x v="0"/>
    <x v="0"/>
    <m/>
    <m/>
    <m/>
    <n v="7556"/>
    <n v="4"/>
    <n v="2"/>
    <m/>
    <s v="01_SE"/>
    <x v="0"/>
    <m/>
    <m/>
    <m/>
    <m/>
    <x v="0"/>
    <s v="Project"/>
    <x v="1082"/>
    <x v="0"/>
    <x v="0"/>
    <s v="Exclude in HGB Group allocation"/>
  </r>
  <r>
    <s v="0"/>
    <m/>
    <x v="0"/>
    <x v="0"/>
    <m/>
    <m/>
    <m/>
    <n v="7556"/>
    <n v="5"/>
    <n v="2"/>
    <m/>
    <s v="01_SE"/>
    <x v="0"/>
    <m/>
    <m/>
    <m/>
    <m/>
    <x v="0"/>
    <s v="Project"/>
    <x v="1083"/>
    <x v="0"/>
    <x v="0"/>
    <s v="Exclude in HGB Group allocation"/>
  </r>
  <r>
    <s v="80630743"/>
    <m/>
    <x v="0"/>
    <x v="0"/>
    <m/>
    <m/>
    <m/>
    <n v="8063"/>
    <n v="7"/>
    <n v="4"/>
    <s v="80630743"/>
    <s v="02_GmbH"/>
    <x v="1"/>
    <m/>
    <m/>
    <m/>
    <m/>
    <x v="0"/>
    <s v="Project"/>
    <x v="1084"/>
    <x v="0"/>
    <x v="1"/>
    <s v="Exclude in HGB Group allocation"/>
  </r>
  <r>
    <s v="80630744"/>
    <m/>
    <x v="0"/>
    <x v="0"/>
    <m/>
    <m/>
    <m/>
    <n v="8063"/>
    <n v="7"/>
    <n v="4"/>
    <s v="80630744"/>
    <s v="02_GmbH"/>
    <x v="1"/>
    <m/>
    <m/>
    <m/>
    <m/>
    <x v="0"/>
    <s v="Project"/>
    <x v="1084"/>
    <x v="0"/>
    <x v="2"/>
    <s v="Exclude in HGB Group allocation"/>
  </r>
  <r>
    <s v="80630747"/>
    <m/>
    <x v="0"/>
    <x v="0"/>
    <m/>
    <m/>
    <m/>
    <n v="8063"/>
    <n v="7"/>
    <n v="4"/>
    <s v="80630747"/>
    <s v="02_GmbH"/>
    <x v="1"/>
    <m/>
    <m/>
    <m/>
    <m/>
    <x v="0"/>
    <s v="Project"/>
    <x v="1084"/>
    <x v="0"/>
    <x v="20"/>
    <s v="Exclude in HGB Group allocation"/>
  </r>
  <r>
    <s v="80630843"/>
    <m/>
    <x v="0"/>
    <x v="0"/>
    <m/>
    <m/>
    <m/>
    <n v="8063"/>
    <n v="8"/>
    <n v="4"/>
    <s v="80630843"/>
    <s v="02_GmbH"/>
    <x v="1"/>
    <m/>
    <m/>
    <m/>
    <m/>
    <x v="0"/>
    <s v="Project"/>
    <x v="1085"/>
    <x v="0"/>
    <x v="1"/>
    <s v="Exclude in HGB Group allocation"/>
  </r>
  <r>
    <s v="80630844"/>
    <m/>
    <x v="0"/>
    <x v="0"/>
    <m/>
    <m/>
    <m/>
    <n v="8063"/>
    <n v="8"/>
    <n v="4"/>
    <s v="80630844"/>
    <s v="02_GmbH"/>
    <x v="1"/>
    <m/>
    <m/>
    <m/>
    <m/>
    <x v="0"/>
    <s v="Project"/>
    <x v="1085"/>
    <x v="0"/>
    <x v="2"/>
    <s v="Exclude in HGB Group allocation"/>
  </r>
  <r>
    <s v="80631244"/>
    <m/>
    <x v="0"/>
    <x v="0"/>
    <m/>
    <m/>
    <m/>
    <n v="8063"/>
    <n v="12"/>
    <n v="4"/>
    <s v="80631244"/>
    <s v="02_GmbH"/>
    <x v="1"/>
    <m/>
    <m/>
    <m/>
    <m/>
    <x v="0"/>
    <s v="Project"/>
    <x v="1086"/>
    <x v="0"/>
    <x v="21"/>
    <s v="Exclude in HGB Group allocation"/>
  </r>
  <r>
    <s v="80631343"/>
    <m/>
    <x v="0"/>
    <x v="0"/>
    <m/>
    <m/>
    <m/>
    <n v="8063"/>
    <n v="13"/>
    <n v="4"/>
    <s v="80631343"/>
    <s v="02_GmbH"/>
    <x v="1"/>
    <m/>
    <m/>
    <m/>
    <m/>
    <x v="0"/>
    <s v="Project"/>
    <x v="1087"/>
    <x v="0"/>
    <x v="21"/>
    <s v="Exclude in HGB Group allocation"/>
  </r>
  <r>
    <s v="80631443"/>
    <m/>
    <x v="0"/>
    <x v="0"/>
    <m/>
    <m/>
    <m/>
    <n v="8063"/>
    <n v="14"/>
    <n v="4"/>
    <s v="80631443"/>
    <s v="02_GmbH"/>
    <x v="1"/>
    <m/>
    <m/>
    <m/>
    <m/>
    <x v="0"/>
    <s v="Project"/>
    <x v="1088"/>
    <x v="0"/>
    <x v="1"/>
    <s v="Exclude in HGB Group allocation"/>
  </r>
  <r>
    <s v="80631544"/>
    <m/>
    <x v="0"/>
    <x v="0"/>
    <m/>
    <m/>
    <m/>
    <n v="8063"/>
    <n v="15"/>
    <n v="4"/>
    <s v="80631544"/>
    <s v="02_GmbH"/>
    <x v="1"/>
    <m/>
    <m/>
    <m/>
    <m/>
    <x v="0"/>
    <s v="Project"/>
    <x v="1089"/>
    <x v="0"/>
    <x v="21"/>
    <s v="Exclude in HGB Group allocation"/>
  </r>
  <r>
    <s v="99914243"/>
    <m/>
    <x v="0"/>
    <x v="0"/>
    <m/>
    <m/>
    <m/>
    <n v="8063"/>
    <n v="8"/>
    <n v="4"/>
    <s v="99914243"/>
    <s v="02_GmbH"/>
    <x v="1"/>
    <m/>
    <m/>
    <m/>
    <m/>
    <x v="0"/>
    <s v="Project"/>
    <x v="1085"/>
    <x v="0"/>
    <x v="1"/>
    <s v="Exclude in HGB Group allocation"/>
  </r>
  <r>
    <s v="99914244"/>
    <m/>
    <x v="0"/>
    <x v="0"/>
    <m/>
    <m/>
    <m/>
    <n v="8063"/>
    <n v="8"/>
    <n v="4"/>
    <s v="99914244"/>
    <s v="02_GmbH"/>
    <x v="1"/>
    <m/>
    <m/>
    <m/>
    <m/>
    <x v="0"/>
    <s v="Project"/>
    <x v="1085"/>
    <x v="0"/>
    <x v="2"/>
    <s v="Exclude in HGB Group allocation"/>
  </r>
  <r>
    <s v="99916144"/>
    <m/>
    <x v="0"/>
    <x v="0"/>
    <m/>
    <m/>
    <m/>
    <n v="8063"/>
    <n v="7"/>
    <n v="4"/>
    <s v="99916144"/>
    <s v="02_GmbH"/>
    <x v="1"/>
    <m/>
    <m/>
    <m/>
    <m/>
    <x v="0"/>
    <s v="Project"/>
    <x v="1084"/>
    <x v="0"/>
    <x v="2"/>
    <s v="Exclude in HGB Group allocation"/>
  </r>
  <r>
    <s v="99858111"/>
    <m/>
    <x v="0"/>
    <x v="0"/>
    <m/>
    <m/>
    <m/>
    <n v="9985"/>
    <n v="81"/>
    <n v="1"/>
    <s v="99858111"/>
    <s v="07_Inc"/>
    <x v="4"/>
    <m/>
    <m/>
    <m/>
    <m/>
    <x v="0"/>
    <s v="Project"/>
    <x v="1090"/>
    <x v="0"/>
    <x v="18"/>
    <s v="Exclude in HGB Group allocation"/>
  </r>
  <r>
    <s v="99864711"/>
    <m/>
    <x v="0"/>
    <x v="0"/>
    <m/>
    <m/>
    <m/>
    <n v="9985"/>
    <n v="81"/>
    <n v="1"/>
    <s v="99864711"/>
    <s v="07_Inc"/>
    <x v="4"/>
    <m/>
    <m/>
    <m/>
    <m/>
    <x v="0"/>
    <s v="Project"/>
    <x v="1090"/>
    <x v="0"/>
    <x v="18"/>
    <s v="Exclude in HGB Group allocation"/>
  </r>
  <r>
    <s v="99865011"/>
    <m/>
    <x v="0"/>
    <x v="0"/>
    <m/>
    <m/>
    <m/>
    <n v="9986"/>
    <n v="50"/>
    <n v="1"/>
    <s v="99865011"/>
    <s v="01_SE"/>
    <x v="4"/>
    <m/>
    <m/>
    <m/>
    <m/>
    <x v="0"/>
    <s v="Project"/>
    <x v="1091"/>
    <x v="0"/>
    <x v="18"/>
    <s v="Exclude in HGB Group allocation"/>
  </r>
  <r>
    <s v="99866613"/>
    <m/>
    <x v="0"/>
    <x v="0"/>
    <m/>
    <m/>
    <m/>
    <n v="9986"/>
    <n v="66"/>
    <n v="1"/>
    <s v="99866613"/>
    <s v="01_SE"/>
    <x v="4"/>
    <m/>
    <m/>
    <m/>
    <m/>
    <x v="0"/>
    <s v="Project"/>
    <x v="1092"/>
    <x v="0"/>
    <x v="17"/>
    <s v="Exclude in HGB Group allocation"/>
  </r>
  <r>
    <s v="99938611"/>
    <m/>
    <x v="0"/>
    <x v="0"/>
    <m/>
    <m/>
    <m/>
    <n v="9986"/>
    <n v="47"/>
    <n v="1"/>
    <s v="99938611"/>
    <s v="01_SE"/>
    <x v="4"/>
    <m/>
    <m/>
    <m/>
    <m/>
    <x v="0"/>
    <s v="Project"/>
    <x v="1093"/>
    <x v="0"/>
    <x v="18"/>
    <s v="Exclude in HGB Group allocation"/>
  </r>
  <r>
    <s v="99864544"/>
    <m/>
    <x v="0"/>
    <x v="0"/>
    <m/>
    <m/>
    <m/>
    <n v="9991"/>
    <n v="42"/>
    <n v="4"/>
    <s v="99864544"/>
    <s v="07_Inc"/>
    <x v="1"/>
    <m/>
    <m/>
    <m/>
    <m/>
    <x v="0"/>
    <s v="Project"/>
    <x v="1094"/>
    <x v="0"/>
    <x v="2"/>
    <s v="Exclude in HGB Group allocation"/>
  </r>
  <r>
    <s v="99869244"/>
    <m/>
    <x v="0"/>
    <x v="0"/>
    <m/>
    <m/>
    <m/>
    <n v="9991"/>
    <n v="42"/>
    <n v="4"/>
    <s v="99869244"/>
    <s v="07_Inc"/>
    <x v="1"/>
    <m/>
    <m/>
    <m/>
    <m/>
    <x v="0"/>
    <s v="Project"/>
    <x v="1094"/>
    <x v="0"/>
    <x v="2"/>
    <s v="Exclude in HGB Group allocation"/>
  </r>
  <r>
    <s v="99914111"/>
    <m/>
    <x v="0"/>
    <x v="0"/>
    <m/>
    <m/>
    <m/>
    <n v="9991"/>
    <n v="41"/>
    <n v="1"/>
    <s v="99914111"/>
    <s v="01_SE"/>
    <x v="4"/>
    <m/>
    <m/>
    <m/>
    <m/>
    <x v="0"/>
    <s v="Project"/>
    <x v="1095"/>
    <x v="0"/>
    <x v="18"/>
    <s v="Exclude in HGB Group allocation"/>
  </r>
  <r>
    <s v="99915211"/>
    <m/>
    <x v="0"/>
    <x v="0"/>
    <m/>
    <m/>
    <m/>
    <n v="9991"/>
    <n v="52"/>
    <n v="1"/>
    <s v="99915211"/>
    <s v="01_SE"/>
    <x v="4"/>
    <m/>
    <m/>
    <m/>
    <m/>
    <x v="0"/>
    <s v="Project"/>
    <x v="1096"/>
    <x v="0"/>
    <x v="18"/>
    <s v="Exclude in HGB Group allocation"/>
  </r>
  <r>
    <s v="99938511"/>
    <m/>
    <x v="0"/>
    <x v="0"/>
    <m/>
    <m/>
    <m/>
    <n v="9991"/>
    <n v="41"/>
    <n v="1"/>
    <s v="99938511"/>
    <s v="01_SE"/>
    <x v="4"/>
    <m/>
    <m/>
    <m/>
    <m/>
    <x v="0"/>
    <s v="Project"/>
    <x v="1095"/>
    <x v="0"/>
    <x v="18"/>
    <s v="Exclude in HGB Group allocation"/>
  </r>
  <r>
    <s v="99956813"/>
    <m/>
    <x v="0"/>
    <x v="0"/>
    <m/>
    <m/>
    <m/>
    <n v="9995"/>
    <n v="68"/>
    <n v="1"/>
    <s v="99956813"/>
    <s v="01_SE"/>
    <x v="4"/>
    <m/>
    <m/>
    <m/>
    <m/>
    <x v="0"/>
    <s v="Project"/>
    <x v="1097"/>
    <x v="0"/>
    <x v="17"/>
    <s v="Exclude in HGB Group allocation"/>
  </r>
  <r>
    <s v="99956913"/>
    <m/>
    <x v="0"/>
    <x v="0"/>
    <m/>
    <m/>
    <m/>
    <n v="9995"/>
    <n v="69"/>
    <n v="1"/>
    <s v="99956913"/>
    <s v="01_SE"/>
    <x v="4"/>
    <m/>
    <m/>
    <m/>
    <m/>
    <x v="0"/>
    <s v="Project"/>
    <x v="1098"/>
    <x v="0"/>
    <x v="17"/>
    <s v="Exclude in HGB Group allocation"/>
  </r>
  <r>
    <s v="78023411"/>
    <m/>
    <x v="0"/>
    <x v="0"/>
    <m/>
    <m/>
    <m/>
    <n v="7802"/>
    <n v="34"/>
    <n v="1"/>
    <s v="78023411"/>
    <s v="01_SE"/>
    <x v="4"/>
    <m/>
    <m/>
    <m/>
    <m/>
    <x v="0"/>
    <s v="Project"/>
    <x v="1099"/>
    <x v="0"/>
    <x v="18"/>
    <s v="Exclude in HGB Group allocation"/>
  </r>
  <r>
    <s v="99964111"/>
    <m/>
    <x v="0"/>
    <x v="0"/>
    <m/>
    <m/>
    <m/>
    <n v="7802"/>
    <n v="34"/>
    <n v="1"/>
    <s v="99964111"/>
    <s v="01_SE"/>
    <x v="4"/>
    <m/>
    <m/>
    <m/>
    <m/>
    <x v="0"/>
    <s v="Project"/>
    <x v="1099"/>
    <x v="0"/>
    <x v="18"/>
    <s v="Exclude in HGB Group allocation"/>
  </r>
  <r>
    <s v="0"/>
    <m/>
    <x v="0"/>
    <x v="0"/>
    <m/>
    <m/>
    <m/>
    <n v="7911"/>
    <n v="2"/>
    <n v="1"/>
    <m/>
    <s v="01_SE"/>
    <x v="4"/>
    <m/>
    <m/>
    <m/>
    <m/>
    <x v="0"/>
    <s v="Project"/>
    <x v="1100"/>
    <x v="0"/>
    <x v="18"/>
    <s v="Exclude in HGB Group allocation"/>
  </r>
  <r>
    <s v="0"/>
    <m/>
    <x v="0"/>
    <x v="0"/>
    <m/>
    <m/>
    <m/>
    <n v="7911"/>
    <n v="2"/>
    <n v="1"/>
    <m/>
    <s v="01_SE"/>
    <x v="4"/>
    <m/>
    <m/>
    <m/>
    <m/>
    <x v="0"/>
    <s v="Project"/>
    <x v="1100"/>
    <x v="0"/>
    <x v="19"/>
    <s v="Exclude in HGB Group allocation"/>
  </r>
  <r>
    <s v="20093828"/>
    <m/>
    <x v="0"/>
    <x v="0"/>
    <m/>
    <m/>
    <m/>
    <n v="2009"/>
    <n v="38"/>
    <n v="2"/>
    <s v="20093828"/>
    <s v="01_SE"/>
    <x v="0"/>
    <m/>
    <m/>
    <m/>
    <m/>
    <x v="0"/>
    <s v="Project"/>
    <x v="1101"/>
    <x v="0"/>
    <x v="0"/>
    <s v="Exclude in HGB Group allocation"/>
  </r>
  <r>
    <s v="20094011"/>
    <m/>
    <x v="0"/>
    <x v="0"/>
    <m/>
    <m/>
    <m/>
    <n v="2009"/>
    <n v="40"/>
    <n v="1"/>
    <s v="20094011"/>
    <s v="01_SE"/>
    <x v="4"/>
    <m/>
    <m/>
    <m/>
    <m/>
    <x v="0"/>
    <s v="Project"/>
    <x v="1102"/>
    <x v="0"/>
    <x v="18"/>
    <s v="Exclude in HGB Group allocation"/>
  </r>
  <r>
    <s v="20094016"/>
    <m/>
    <x v="0"/>
    <x v="0"/>
    <m/>
    <m/>
    <m/>
    <n v="2009"/>
    <n v="40"/>
    <n v="1"/>
    <s v="20094016"/>
    <s v="01_SE"/>
    <x v="4"/>
    <m/>
    <m/>
    <m/>
    <m/>
    <x v="0"/>
    <s v="Project"/>
    <x v="1102"/>
    <x v="0"/>
    <x v="19"/>
    <s v="Exclude in HGB Group allocation"/>
  </r>
  <r>
    <s v="20097128"/>
    <m/>
    <x v="0"/>
    <x v="0"/>
    <m/>
    <m/>
    <m/>
    <n v="2009"/>
    <n v="71"/>
    <n v="2"/>
    <s v="20097128"/>
    <s v="01_SE"/>
    <x v="0"/>
    <m/>
    <m/>
    <m/>
    <m/>
    <x v="0"/>
    <s v="Project"/>
    <x v="1103"/>
    <x v="0"/>
    <x v="0"/>
    <s v="Exclude in HGB Group allocation"/>
  </r>
  <r>
    <s v="20097528"/>
    <m/>
    <x v="0"/>
    <x v="0"/>
    <m/>
    <m/>
    <m/>
    <n v="2009"/>
    <n v="75"/>
    <n v="2"/>
    <s v="20097528"/>
    <s v="01_SE"/>
    <x v="0"/>
    <m/>
    <m/>
    <m/>
    <m/>
    <x v="0"/>
    <s v="Project"/>
    <x v="1104"/>
    <x v="0"/>
    <x v="0"/>
    <s v="Exclude in HGB Group allocation"/>
  </r>
  <r>
    <s v="0"/>
    <m/>
    <x v="0"/>
    <x v="0"/>
    <m/>
    <m/>
    <m/>
    <n v="8858"/>
    <n v="8"/>
    <n v="2"/>
    <m/>
    <s v="01_SE"/>
    <x v="0"/>
    <m/>
    <m/>
    <m/>
    <m/>
    <x v="0"/>
    <s v="Project"/>
    <x v="1105"/>
    <x v="0"/>
    <x v="0"/>
    <s v="Exclude in HGB Group allocation"/>
  </r>
  <r>
    <s v="0"/>
    <m/>
    <x v="0"/>
    <x v="0"/>
    <m/>
    <m/>
    <m/>
    <n v="8858"/>
    <n v="9"/>
    <n v="2"/>
    <m/>
    <s v="01_SE"/>
    <x v="0"/>
    <m/>
    <m/>
    <m/>
    <m/>
    <x v="0"/>
    <s v="Project"/>
    <x v="1106"/>
    <x v="0"/>
    <x v="0"/>
    <s v="Exclude in HGB Group allocation"/>
  </r>
  <r>
    <s v="0"/>
    <m/>
    <x v="0"/>
    <x v="0"/>
    <m/>
    <m/>
    <m/>
    <n v="8858"/>
    <n v="10"/>
    <n v="2"/>
    <m/>
    <s v="01_SE"/>
    <x v="0"/>
    <m/>
    <m/>
    <m/>
    <m/>
    <x v="0"/>
    <s v="Project"/>
    <x v="1107"/>
    <x v="0"/>
    <x v="0"/>
    <s v="Exclude in HGB Group allocation"/>
  </r>
  <r>
    <s v="0"/>
    <m/>
    <x v="0"/>
    <x v="0"/>
    <m/>
    <m/>
    <m/>
    <n v="8858"/>
    <n v="11"/>
    <n v="1"/>
    <m/>
    <s v="01_SE"/>
    <x v="4"/>
    <m/>
    <m/>
    <m/>
    <m/>
    <x v="0"/>
    <s v="Project"/>
    <x v="1108"/>
    <x v="0"/>
    <x v="19"/>
    <s v="Exclude in HGB Group allocation"/>
  </r>
  <r>
    <s v="0"/>
    <m/>
    <x v="0"/>
    <x v="0"/>
    <m/>
    <m/>
    <m/>
    <n v="8858"/>
    <n v="11"/>
    <n v="1"/>
    <m/>
    <s v="01_SE"/>
    <x v="4"/>
    <m/>
    <m/>
    <m/>
    <m/>
    <x v="0"/>
    <s v="Project"/>
    <x v="1108"/>
    <x v="0"/>
    <x v="18"/>
    <s v="Exclude in HGB Group allocation"/>
  </r>
  <r>
    <s v="0"/>
    <m/>
    <x v="0"/>
    <x v="0"/>
    <m/>
    <m/>
    <m/>
    <n v="8858"/>
    <n v="12"/>
    <n v="2"/>
    <m/>
    <s v="01_SE"/>
    <x v="0"/>
    <m/>
    <m/>
    <m/>
    <m/>
    <x v="0"/>
    <s v="Project"/>
    <x v="1109"/>
    <x v="0"/>
    <x v="21"/>
    <s v="Exclude in HGB Group allocation"/>
  </r>
  <r>
    <s v="88580526"/>
    <m/>
    <x v="0"/>
    <x v="0"/>
    <m/>
    <m/>
    <m/>
    <n v="8858"/>
    <n v="5"/>
    <n v="2"/>
    <s v="88580526"/>
    <s v="01_SE"/>
    <x v="0"/>
    <m/>
    <m/>
    <m/>
    <m/>
    <x v="0"/>
    <s v="Project"/>
    <x v="1110"/>
    <x v="0"/>
    <x v="0"/>
    <s v="Exclude in HGB Group allocation"/>
  </r>
  <r>
    <s v="88580628"/>
    <m/>
    <x v="0"/>
    <x v="0"/>
    <m/>
    <m/>
    <m/>
    <n v="8858"/>
    <n v="6"/>
    <n v="2"/>
    <s v="88580628"/>
    <s v="01_SE"/>
    <x v="0"/>
    <m/>
    <m/>
    <m/>
    <m/>
    <x v="0"/>
    <s v="Project"/>
    <x v="1111"/>
    <x v="0"/>
    <x v="0"/>
    <s v="Exclude in HGB Group allocation"/>
  </r>
  <r>
    <s v="88580728"/>
    <m/>
    <x v="0"/>
    <x v="0"/>
    <m/>
    <m/>
    <m/>
    <n v="8858"/>
    <n v="7"/>
    <n v="2"/>
    <s v="88580728"/>
    <s v="01_SE"/>
    <x v="0"/>
    <m/>
    <m/>
    <m/>
    <m/>
    <x v="0"/>
    <s v="Project"/>
    <x v="1112"/>
    <x v="0"/>
    <x v="0"/>
    <s v="Exclude in HGB Group allocation"/>
  </r>
  <r>
    <s v="0"/>
    <m/>
    <x v="0"/>
    <x v="0"/>
    <m/>
    <m/>
    <m/>
    <n v="8858"/>
    <n v="13"/>
    <n v="2"/>
    <m/>
    <s v="01_SE"/>
    <x v="0"/>
    <m/>
    <m/>
    <m/>
    <m/>
    <x v="0"/>
    <s v="Project"/>
    <x v="1113"/>
    <x v="0"/>
    <x v="0"/>
    <s v="Exclude in HGB Group allocation"/>
  </r>
  <r>
    <s v="88640228"/>
    <m/>
    <x v="0"/>
    <x v="0"/>
    <m/>
    <m/>
    <m/>
    <n v="8864"/>
    <n v="2"/>
    <n v="2"/>
    <s v="88640228"/>
    <s v="05_Shg"/>
    <x v="0"/>
    <m/>
    <m/>
    <m/>
    <m/>
    <x v="0"/>
    <s v="Project"/>
    <x v="1114"/>
    <x v="0"/>
    <x v="0"/>
    <s v="Exclude in HGB Group allocation"/>
  </r>
  <r>
    <s v="88640328"/>
    <m/>
    <x v="0"/>
    <x v="0"/>
    <m/>
    <m/>
    <m/>
    <n v="8864"/>
    <n v="3"/>
    <n v="2"/>
    <s v="88640328"/>
    <s v="05_Shg"/>
    <x v="0"/>
    <m/>
    <m/>
    <m/>
    <m/>
    <x v="0"/>
    <s v="Project"/>
    <x v="1115"/>
    <x v="0"/>
    <x v="0"/>
    <s v="Exclude in HGB Group allocation"/>
  </r>
  <r>
    <s v="31450228"/>
    <m/>
    <x v="0"/>
    <x v="0"/>
    <m/>
    <m/>
    <m/>
    <n v="3145"/>
    <n v="2"/>
    <n v="2"/>
    <s v="31450228"/>
    <s v="01_SE"/>
    <x v="0"/>
    <m/>
    <m/>
    <m/>
    <m/>
    <x v="0"/>
    <s v="Project"/>
    <x v="1116"/>
    <x v="0"/>
    <x v="0"/>
    <s v="Exclude in HGB Group allocation"/>
  </r>
  <r>
    <s v="0"/>
    <m/>
    <x v="0"/>
    <x v="0"/>
    <m/>
    <m/>
    <m/>
    <n v="6137"/>
    <n v="2"/>
    <n v="2"/>
    <m/>
    <s v="01_SE"/>
    <x v="0"/>
    <m/>
    <m/>
    <m/>
    <m/>
    <x v="0"/>
    <s v="Project"/>
    <x v="1117"/>
    <x v="0"/>
    <x v="0"/>
    <s v="Exclude in HGB Group allocation"/>
  </r>
  <r>
    <s v="66080243"/>
    <m/>
    <x v="0"/>
    <x v="0"/>
    <m/>
    <m/>
    <m/>
    <n v="6608"/>
    <n v="2"/>
    <n v="4"/>
    <s v="66080243"/>
    <s v="05_Shg"/>
    <x v="1"/>
    <m/>
    <m/>
    <m/>
    <m/>
    <x v="0"/>
    <s v="Project"/>
    <x v="1118"/>
    <x v="0"/>
    <x v="1"/>
    <s v="Exclude in HGB Group allocation"/>
  </r>
  <r>
    <s v="0"/>
    <m/>
    <x v="0"/>
    <x v="0"/>
    <m/>
    <m/>
    <m/>
    <n v="7672"/>
    <n v="2"/>
    <n v="2"/>
    <m/>
    <s v="01_SE"/>
    <x v="0"/>
    <m/>
    <m/>
    <m/>
    <m/>
    <x v="0"/>
    <s v="Project"/>
    <x v="1119"/>
    <x v="0"/>
    <x v="0"/>
    <s v="Exclude in HGB Group allocation"/>
  </r>
  <r>
    <s v="22730528"/>
    <m/>
    <x v="0"/>
    <x v="0"/>
    <m/>
    <m/>
    <m/>
    <n v="2273"/>
    <n v="5"/>
    <n v="2"/>
    <s v="22730528"/>
    <s v="07_Inc"/>
    <x v="0"/>
    <m/>
    <m/>
    <m/>
    <m/>
    <x v="0"/>
    <s v="Project"/>
    <x v="1120"/>
    <x v="0"/>
    <x v="0"/>
    <s v="Exclude in HGB Group allocation"/>
  </r>
  <r>
    <s v="0"/>
    <m/>
    <x v="0"/>
    <x v="0"/>
    <m/>
    <m/>
    <m/>
    <n v="3164"/>
    <n v="2"/>
    <n v="2"/>
    <m/>
    <s v="07_Inc"/>
    <x v="0"/>
    <m/>
    <m/>
    <m/>
    <m/>
    <x v="0"/>
    <s v="Project"/>
    <x v="1121"/>
    <x v="0"/>
    <x v="0"/>
    <s v="Exclude in HGB Group allocation"/>
  </r>
  <r>
    <s v="75410128"/>
    <m/>
    <x v="0"/>
    <x v="0"/>
    <m/>
    <m/>
    <m/>
    <n v="7541"/>
    <n v="1"/>
    <n v="2"/>
    <s v="75410128"/>
    <s v="01_SE"/>
    <x v="0"/>
    <m/>
    <m/>
    <m/>
    <m/>
    <x v="0"/>
    <s v="Project"/>
    <x v="1122"/>
    <x v="0"/>
    <x v="0"/>
    <s v="Exclude in HGB Group allocation"/>
  </r>
  <r>
    <s v="75410228"/>
    <m/>
    <x v="0"/>
    <x v="0"/>
    <m/>
    <m/>
    <m/>
    <n v="7541"/>
    <n v="2"/>
    <n v="2"/>
    <s v="75410228"/>
    <s v="01_SE"/>
    <x v="0"/>
    <m/>
    <m/>
    <m/>
    <m/>
    <x v="0"/>
    <s v="Project"/>
    <x v="1123"/>
    <x v="0"/>
    <x v="0"/>
    <s v="Exclude in HGB Group allocation"/>
  </r>
  <r>
    <s v="0"/>
    <m/>
    <x v="0"/>
    <x v="0"/>
    <m/>
    <m/>
    <m/>
    <n v="4117"/>
    <n v="2"/>
    <n v="2"/>
    <m/>
    <s v="09_Ltda"/>
    <x v="0"/>
    <m/>
    <m/>
    <m/>
    <m/>
    <x v="0"/>
    <s v="Project"/>
    <x v="1124"/>
    <x v="0"/>
    <x v="21"/>
    <s v="Exclude in HGB Group allocation"/>
  </r>
  <r>
    <s v="0"/>
    <m/>
    <x v="0"/>
    <x v="0"/>
    <m/>
    <m/>
    <m/>
    <n v="2123"/>
    <n v="2"/>
    <n v="2"/>
    <m/>
    <s v="01_SE"/>
    <x v="0"/>
    <m/>
    <m/>
    <m/>
    <m/>
    <x v="0"/>
    <s v="Project"/>
    <x v="1125"/>
    <x v="0"/>
    <x v="0"/>
    <s v="Exclude in HGB Group allocation"/>
  </r>
  <r>
    <s v="75320228"/>
    <m/>
    <x v="0"/>
    <x v="0"/>
    <m/>
    <m/>
    <m/>
    <n v="7532"/>
    <n v="2"/>
    <n v="2"/>
    <s v="75320228"/>
    <s v="01_SE"/>
    <x v="0"/>
    <m/>
    <m/>
    <m/>
    <m/>
    <x v="0"/>
    <s v="Project"/>
    <x v="1126"/>
    <x v="0"/>
    <x v="0"/>
    <s v="Exclude in HGB Group allocation"/>
  </r>
  <r>
    <s v="0"/>
    <m/>
    <x v="0"/>
    <x v="0"/>
    <m/>
    <m/>
    <m/>
    <n v="2060"/>
    <n v="2"/>
    <n v="2"/>
    <m/>
    <s v="09_Ltda"/>
    <x v="0"/>
    <m/>
    <m/>
    <m/>
    <m/>
    <x v="0"/>
    <s v="Project"/>
    <x v="1127"/>
    <x v="0"/>
    <x v="0"/>
    <s v="Exclude in HGB Group allocation"/>
  </r>
  <r>
    <s v="66120243"/>
    <m/>
    <x v="0"/>
    <x v="0"/>
    <m/>
    <m/>
    <m/>
    <n v="6612"/>
    <n v="2"/>
    <n v="4"/>
    <s v="66120243"/>
    <s v="05_Shg"/>
    <x v="1"/>
    <m/>
    <m/>
    <m/>
    <m/>
    <x v="0"/>
    <s v="Project"/>
    <x v="1128"/>
    <x v="0"/>
    <x v="21"/>
    <s v="Exclude in HGB Group allocation"/>
  </r>
  <r>
    <s v="66130228"/>
    <m/>
    <x v="0"/>
    <x v="0"/>
    <m/>
    <m/>
    <m/>
    <n v="6613"/>
    <n v="2"/>
    <n v="2"/>
    <s v="66130228"/>
    <s v="09_Ltda"/>
    <x v="0"/>
    <m/>
    <m/>
    <m/>
    <m/>
    <x v="0"/>
    <s v="Project"/>
    <x v="1129"/>
    <x v="0"/>
    <x v="21"/>
    <s v="Exclude in HGB Group allocation"/>
  </r>
  <r>
    <s v="66130328"/>
    <m/>
    <x v="0"/>
    <x v="0"/>
    <m/>
    <m/>
    <m/>
    <n v="6613"/>
    <n v="3"/>
    <n v="2"/>
    <s v="66130328"/>
    <s v="07_Inc"/>
    <x v="0"/>
    <m/>
    <m/>
    <m/>
    <m/>
    <x v="0"/>
    <s v="Project"/>
    <x v="1130"/>
    <x v="0"/>
    <x v="21"/>
    <s v="Exclude in HGB Group allocation"/>
  </r>
  <r>
    <s v="66140228"/>
    <m/>
    <x v="0"/>
    <x v="0"/>
    <m/>
    <m/>
    <m/>
    <n v="6614"/>
    <n v="2"/>
    <n v="2"/>
    <s v="66140228"/>
    <s v="01_SE"/>
    <x v="0"/>
    <m/>
    <m/>
    <m/>
    <m/>
    <x v="0"/>
    <s v="Project"/>
    <x v="1131"/>
    <x v="0"/>
    <x v="0"/>
    <s v="Exclude in HGB Group allocation"/>
  </r>
  <r>
    <s v="66150241"/>
    <m/>
    <x v="0"/>
    <x v="0"/>
    <m/>
    <m/>
    <m/>
    <n v="6615"/>
    <n v="2"/>
    <n v="4"/>
    <s v="66150241"/>
    <s v="02_GmbH"/>
    <x v="1"/>
    <m/>
    <m/>
    <m/>
    <m/>
    <x v="0"/>
    <s v="Project"/>
    <x v="1132"/>
    <x v="0"/>
    <x v="22"/>
    <s v="Exclude in HGB Group allocation"/>
  </r>
  <r>
    <s v="66150243"/>
    <m/>
    <x v="0"/>
    <x v="0"/>
    <m/>
    <m/>
    <m/>
    <n v="6615"/>
    <n v="2"/>
    <n v="4"/>
    <s v="66150243"/>
    <s v="02_GmbH"/>
    <x v="1"/>
    <m/>
    <m/>
    <m/>
    <m/>
    <x v="0"/>
    <s v="Project"/>
    <x v="1132"/>
    <x v="0"/>
    <x v="1"/>
    <s v="Exclude in HGB Group allocation"/>
  </r>
  <r>
    <s v="66150244"/>
    <m/>
    <x v="0"/>
    <x v="0"/>
    <m/>
    <m/>
    <m/>
    <n v="6615"/>
    <n v="2"/>
    <n v="4"/>
    <s v="66150244"/>
    <s v="02_GmbH"/>
    <x v="1"/>
    <m/>
    <m/>
    <m/>
    <m/>
    <x v="0"/>
    <s v="Project"/>
    <x v="1132"/>
    <x v="0"/>
    <x v="2"/>
    <s v="Exclude in HGB Group allocation"/>
  </r>
  <r>
    <s v="66160228"/>
    <m/>
    <x v="0"/>
    <x v="0"/>
    <m/>
    <m/>
    <m/>
    <n v="6616"/>
    <n v="2"/>
    <n v="2"/>
    <s v="66160228"/>
    <s v="01_SE"/>
    <x v="0"/>
    <m/>
    <m/>
    <m/>
    <m/>
    <x v="0"/>
    <s v="Project"/>
    <x v="1133"/>
    <x v="0"/>
    <x v="0"/>
    <s v="Exclude in HGB Group allocation"/>
  </r>
  <r>
    <s v="66170228"/>
    <m/>
    <x v="0"/>
    <x v="0"/>
    <m/>
    <m/>
    <m/>
    <n v="6617"/>
    <n v="2"/>
    <n v="2"/>
    <s v="66170228"/>
    <s v="01_SE"/>
    <x v="0"/>
    <m/>
    <m/>
    <m/>
    <m/>
    <x v="0"/>
    <s v="Project"/>
    <x v="1134"/>
    <x v="0"/>
    <x v="0"/>
    <s v="Exclude in HGB Group allocation"/>
  </r>
  <r>
    <s v="66190316"/>
    <m/>
    <x v="0"/>
    <x v="0"/>
    <m/>
    <m/>
    <m/>
    <n v="6619"/>
    <n v="3"/>
    <n v="1"/>
    <s v="66190316"/>
    <s v="01_SE"/>
    <x v="4"/>
    <m/>
    <m/>
    <m/>
    <m/>
    <x v="0"/>
    <s v="Project"/>
    <x v="1135"/>
    <x v="0"/>
    <x v="19"/>
    <s v="Exclude in HGB Group allocation"/>
  </r>
  <r>
    <s v="66190543"/>
    <m/>
    <x v="0"/>
    <x v="0"/>
    <m/>
    <m/>
    <m/>
    <n v="6619"/>
    <n v="5"/>
    <n v="4"/>
    <s v="66190543"/>
    <s v="02_GmbH"/>
    <x v="1"/>
    <m/>
    <m/>
    <m/>
    <m/>
    <x v="0"/>
    <s v="Project"/>
    <x v="1136"/>
    <x v="0"/>
    <x v="1"/>
    <s v="Exclude in HGB Group allocation"/>
  </r>
  <r>
    <s v="66190544"/>
    <m/>
    <x v="0"/>
    <x v="0"/>
    <m/>
    <m/>
    <m/>
    <n v="6619"/>
    <n v="5"/>
    <n v="4"/>
    <s v="66190544"/>
    <s v="02_GmbH"/>
    <x v="1"/>
    <m/>
    <m/>
    <m/>
    <m/>
    <x v="0"/>
    <s v="Project"/>
    <x v="1136"/>
    <x v="0"/>
    <x v="2"/>
    <s v="Exclude in HGB Group allocation"/>
  </r>
  <r>
    <s v="66190547"/>
    <m/>
    <x v="0"/>
    <x v="0"/>
    <m/>
    <m/>
    <m/>
    <n v="6619"/>
    <n v="5"/>
    <n v="4"/>
    <s v="66190547"/>
    <s v="02_GmbH"/>
    <x v="1"/>
    <m/>
    <m/>
    <m/>
    <m/>
    <x v="0"/>
    <s v="Project"/>
    <x v="1136"/>
    <x v="0"/>
    <x v="20"/>
    <s v="Exclude in HGB Group allocation"/>
  </r>
  <r>
    <s v="66190549"/>
    <m/>
    <x v="0"/>
    <x v="0"/>
    <m/>
    <m/>
    <m/>
    <n v="6619"/>
    <n v="5"/>
    <n v="4"/>
    <s v="66190549"/>
    <s v="02_GmbH"/>
    <x v="1"/>
    <m/>
    <m/>
    <m/>
    <m/>
    <x v="0"/>
    <s v="Project"/>
    <x v="1136"/>
    <x v="0"/>
    <x v="24"/>
    <s v="Exclude in HGB Group allocation"/>
  </r>
  <r>
    <s v="0"/>
    <m/>
    <x v="0"/>
    <x v="0"/>
    <m/>
    <m/>
    <m/>
    <n v="9963"/>
    <n v="58"/>
    <n v="1"/>
    <m/>
    <s v="01_SE"/>
    <x v="4"/>
    <m/>
    <m/>
    <m/>
    <m/>
    <x v="0"/>
    <s v="Project"/>
    <x v="1137"/>
    <x v="0"/>
    <x v="21"/>
    <s v="Exclude in HGB Group allocation"/>
  </r>
  <r>
    <s v="0"/>
    <m/>
    <x v="0"/>
    <x v="0"/>
    <m/>
    <m/>
    <m/>
    <n v="9963"/>
    <n v="59"/>
    <n v="1"/>
    <m/>
    <s v="01_SE"/>
    <x v="4"/>
    <m/>
    <m/>
    <m/>
    <m/>
    <x v="0"/>
    <s v="Project"/>
    <x v="1138"/>
    <x v="0"/>
    <x v="21"/>
    <s v="Exclude in HGB Group allocation"/>
  </r>
  <r>
    <s v="0"/>
    <m/>
    <x v="0"/>
    <x v="0"/>
    <m/>
    <m/>
    <m/>
    <n v="9963"/>
    <n v="60"/>
    <n v="1"/>
    <m/>
    <s v="01_SE"/>
    <x v="4"/>
    <m/>
    <m/>
    <m/>
    <m/>
    <x v="0"/>
    <s v="Project"/>
    <x v="1139"/>
    <x v="0"/>
    <x v="18"/>
    <s v="Exclude in HGB Group allocation"/>
  </r>
  <r>
    <s v="99882611"/>
    <m/>
    <x v="0"/>
    <x v="0"/>
    <m/>
    <m/>
    <m/>
    <n v="9988"/>
    <n v="26"/>
    <n v="1"/>
    <s v="99882611"/>
    <s v="01_SE"/>
    <x v="4"/>
    <m/>
    <m/>
    <m/>
    <m/>
    <x v="0"/>
    <s v="Project"/>
    <x v="1140"/>
    <x v="0"/>
    <x v="18"/>
    <s v="Exclude in HGB Group allocation"/>
  </r>
  <r>
    <s v="99934511"/>
    <m/>
    <x v="0"/>
    <x v="0"/>
    <m/>
    <m/>
    <m/>
    <n v="9988"/>
    <n v="26"/>
    <n v="1"/>
    <s v="99934511"/>
    <s v="01_SE"/>
    <x v="4"/>
    <m/>
    <m/>
    <m/>
    <m/>
    <x v="0"/>
    <s v="Project"/>
    <x v="1140"/>
    <x v="0"/>
    <x v="18"/>
    <s v="Exclude in HGB Group allocation"/>
  </r>
  <r>
    <s v="99893711"/>
    <m/>
    <x v="0"/>
    <x v="0"/>
    <m/>
    <m/>
    <m/>
    <n v="9989"/>
    <n v="37"/>
    <n v="1"/>
    <s v="99893711"/>
    <s v="01_SE"/>
    <x v="4"/>
    <m/>
    <m/>
    <m/>
    <m/>
    <x v="0"/>
    <s v="Project"/>
    <x v="1141"/>
    <x v="0"/>
    <x v="18"/>
    <s v="Exclude in HGB Group allocation"/>
  </r>
  <r>
    <s v="99951911"/>
    <m/>
    <x v="0"/>
    <x v="0"/>
    <m/>
    <m/>
    <m/>
    <n v="9995"/>
    <n v="19"/>
    <n v="1"/>
    <s v="99951911"/>
    <s v="01_SE"/>
    <x v="4"/>
    <m/>
    <m/>
    <m/>
    <m/>
    <x v="0"/>
    <s v="Project"/>
    <x v="1142"/>
    <x v="0"/>
    <x v="18"/>
    <s v="Exclude in HGB Group allocation"/>
  </r>
  <r>
    <s v="99954013"/>
    <m/>
    <x v="0"/>
    <x v="0"/>
    <m/>
    <m/>
    <m/>
    <n v="9995"/>
    <n v="40"/>
    <n v="1"/>
    <s v="99954013"/>
    <s v="01_SE"/>
    <x v="4"/>
    <m/>
    <m/>
    <m/>
    <m/>
    <x v="0"/>
    <s v="Project"/>
    <x v="1143"/>
    <x v="0"/>
    <x v="17"/>
    <s v="Exclude in HGB Group allocation"/>
  </r>
  <r>
    <s v="99955811"/>
    <m/>
    <x v="0"/>
    <x v="0"/>
    <m/>
    <m/>
    <m/>
    <n v="9995"/>
    <n v="58"/>
    <n v="1"/>
    <s v="99955811"/>
    <s v="01_SE"/>
    <x v="4"/>
    <m/>
    <m/>
    <m/>
    <m/>
    <x v="0"/>
    <s v="Project"/>
    <x v="1144"/>
    <x v="0"/>
    <x v="18"/>
    <s v="Exclude in HGB Group allocation"/>
  </r>
  <r>
    <s v="99955813"/>
    <m/>
    <x v="0"/>
    <x v="0"/>
    <m/>
    <m/>
    <m/>
    <n v="9995"/>
    <n v="58"/>
    <n v="1"/>
    <s v="99955813"/>
    <s v="01_SE"/>
    <x v="4"/>
    <m/>
    <m/>
    <m/>
    <m/>
    <x v="0"/>
    <s v="Project"/>
    <x v="1144"/>
    <x v="0"/>
    <x v="17"/>
    <s v="Exclude in HGB Group allocation"/>
  </r>
  <r>
    <s v="99956713"/>
    <m/>
    <x v="0"/>
    <x v="0"/>
    <m/>
    <m/>
    <m/>
    <n v="9995"/>
    <n v="67"/>
    <n v="1"/>
    <s v="99956713"/>
    <s v="01_SE"/>
    <x v="4"/>
    <m/>
    <m/>
    <m/>
    <m/>
    <x v="0"/>
    <s v="Project"/>
    <x v="1145"/>
    <x v="0"/>
    <x v="17"/>
    <s v="Exclude in HGB Group allocation"/>
  </r>
  <r>
    <s v="99958016"/>
    <m/>
    <x v="0"/>
    <x v="0"/>
    <m/>
    <m/>
    <m/>
    <n v="9995"/>
    <n v="80"/>
    <n v="1"/>
    <s v="99958016"/>
    <s v="01_SE"/>
    <x v="4"/>
    <m/>
    <m/>
    <m/>
    <m/>
    <x v="0"/>
    <s v="Project"/>
    <x v="1146"/>
    <x v="0"/>
    <x v="19"/>
    <s v="Exclude in HGB Group allocation"/>
  </r>
  <r>
    <s v="89139243"/>
    <m/>
    <x v="0"/>
    <x v="0"/>
    <m/>
    <m/>
    <m/>
    <n v="8913"/>
    <n v="2"/>
    <n v="4"/>
    <n v="89139243"/>
    <s v="05_Shg"/>
    <x v="1"/>
    <m/>
    <m/>
    <m/>
    <m/>
    <x v="0"/>
    <s v="Project"/>
    <x v="1147"/>
    <x v="0"/>
    <x v="1"/>
    <s v="Exclude in HGB Group allocation"/>
  </r>
  <r>
    <s v="0"/>
    <m/>
    <x v="0"/>
    <x v="0"/>
    <m/>
    <m/>
    <m/>
    <n v="2010"/>
    <n v="4"/>
    <n v="2"/>
    <m/>
    <s v="09_Ltda"/>
    <x v="0"/>
    <m/>
    <m/>
    <m/>
    <m/>
    <x v="0"/>
    <s v="Project"/>
    <x v="1148"/>
    <x v="0"/>
    <x v="0"/>
    <s v="Exclude in HGB Group allocation"/>
  </r>
  <r>
    <s v="20100328"/>
    <m/>
    <x v="0"/>
    <x v="0"/>
    <m/>
    <m/>
    <m/>
    <n v="2010"/>
    <n v="3"/>
    <n v="2"/>
    <s v="20100328"/>
    <s v="09_Ltda"/>
    <x v="0"/>
    <m/>
    <m/>
    <m/>
    <m/>
    <x v="0"/>
    <s v="Project"/>
    <x v="1149"/>
    <x v="0"/>
    <x v="21"/>
    <s v="Exclude in HGB Group allocation"/>
  </r>
  <r>
    <s v="0"/>
    <m/>
    <x v="0"/>
    <x v="0"/>
    <m/>
    <m/>
    <m/>
    <n v="8096"/>
    <n v="4"/>
    <n v="2"/>
    <m/>
    <s v="01_SE"/>
    <x v="0"/>
    <m/>
    <m/>
    <m/>
    <m/>
    <x v="0"/>
    <s v="Project"/>
    <x v="1150"/>
    <x v="0"/>
    <x v="0"/>
    <s v="Exclude in HGB Group allocation"/>
  </r>
  <r>
    <s v="0"/>
    <m/>
    <x v="0"/>
    <x v="0"/>
    <m/>
    <m/>
    <m/>
    <n v="8096"/>
    <n v="5"/>
    <n v="2"/>
    <m/>
    <s v="01_SE"/>
    <x v="0"/>
    <m/>
    <m/>
    <m/>
    <m/>
    <x v="0"/>
    <s v="Project"/>
    <x v="1151"/>
    <x v="0"/>
    <x v="0"/>
    <s v="Exclude in HGB Group allocation"/>
  </r>
  <r>
    <s v="80960328"/>
    <m/>
    <x v="0"/>
    <x v="0"/>
    <m/>
    <m/>
    <m/>
    <n v="8096"/>
    <n v="3"/>
    <n v="2"/>
    <s v="80960328"/>
    <s v="01_SE"/>
    <x v="0"/>
    <m/>
    <m/>
    <m/>
    <m/>
    <x v="0"/>
    <s v="Project"/>
    <x v="1152"/>
    <x v="0"/>
    <x v="0"/>
    <s v="Exclude in HGB Group allocation"/>
  </r>
  <r>
    <s v="29260126"/>
    <m/>
    <x v="0"/>
    <x v="0"/>
    <m/>
    <m/>
    <m/>
    <n v="2926"/>
    <n v="1"/>
    <n v="2"/>
    <s v="29260126"/>
    <s v="01_SE"/>
    <x v="0"/>
    <m/>
    <m/>
    <m/>
    <m/>
    <x v="0"/>
    <s v="Project"/>
    <x v="1153"/>
    <x v="0"/>
    <x v="0"/>
    <s v="Exclude in HGB Group allocation"/>
  </r>
  <r>
    <s v="29260128"/>
    <m/>
    <x v="0"/>
    <x v="0"/>
    <m/>
    <m/>
    <m/>
    <n v="2926"/>
    <n v="1"/>
    <n v="2"/>
    <s v="29260128"/>
    <s v="01_SE"/>
    <x v="0"/>
    <m/>
    <m/>
    <m/>
    <m/>
    <x v="0"/>
    <s v="Project"/>
    <x v="1153"/>
    <x v="0"/>
    <x v="0"/>
    <s v="Exclude in HGB Group allocation"/>
  </r>
  <r>
    <s v="29261128"/>
    <m/>
    <x v="0"/>
    <x v="0"/>
    <m/>
    <m/>
    <m/>
    <n v="2926"/>
    <n v="11"/>
    <n v="2"/>
    <s v="29261128"/>
    <s v="09_Ltda"/>
    <x v="0"/>
    <m/>
    <m/>
    <m/>
    <m/>
    <x v="0"/>
    <s v="Project"/>
    <x v="1154"/>
    <x v="0"/>
    <x v="21"/>
    <s v="Exclude in HGB Group allocation"/>
  </r>
  <r>
    <s v="29261228"/>
    <m/>
    <x v="0"/>
    <x v="0"/>
    <m/>
    <m/>
    <m/>
    <n v="2926"/>
    <n v="12"/>
    <n v="2"/>
    <s v="29261228"/>
    <s v="09_Ltda"/>
    <x v="0"/>
    <m/>
    <m/>
    <m/>
    <m/>
    <x v="0"/>
    <s v="Project"/>
    <x v="1155"/>
    <x v="0"/>
    <x v="0"/>
    <s v="Exclude in HGB Group allocation"/>
  </r>
  <r>
    <s v="0"/>
    <m/>
    <x v="0"/>
    <x v="0"/>
    <m/>
    <m/>
    <m/>
    <n v="2926"/>
    <n v="13"/>
    <n v="2"/>
    <m/>
    <s v="09_Ltda"/>
    <x v="0"/>
    <m/>
    <m/>
    <m/>
    <m/>
    <x v="0"/>
    <s v="Project"/>
    <x v="1156"/>
    <x v="0"/>
    <x v="0"/>
    <s v="Exclude in HGB Group allocation"/>
  </r>
  <r>
    <s v="0"/>
    <m/>
    <x v="0"/>
    <x v="0"/>
    <m/>
    <m/>
    <m/>
    <n v="2926"/>
    <n v="14"/>
    <n v="2"/>
    <m/>
    <s v="01_SE"/>
    <x v="0"/>
    <m/>
    <m/>
    <m/>
    <m/>
    <x v="0"/>
    <s v="Project"/>
    <x v="1157"/>
    <x v="0"/>
    <x v="0"/>
    <s v="Exclude in HGB Group allocation"/>
  </r>
  <r>
    <s v="20580228"/>
    <m/>
    <x v="0"/>
    <x v="0"/>
    <m/>
    <m/>
    <m/>
    <n v="2058"/>
    <n v="2"/>
    <n v="2"/>
    <s v="20580228"/>
    <s v="05_Shg"/>
    <x v="0"/>
    <m/>
    <m/>
    <m/>
    <m/>
    <x v="0"/>
    <s v="Project"/>
    <x v="1158"/>
    <x v="0"/>
    <x v="21"/>
    <s v="Exclude in HGB Group allocation"/>
  </r>
  <r>
    <s v="0"/>
    <m/>
    <x v="0"/>
    <x v="0"/>
    <m/>
    <m/>
    <m/>
    <n v="3037"/>
    <n v="8"/>
    <n v="2"/>
    <m/>
    <s v="01_SE"/>
    <x v="0"/>
    <m/>
    <m/>
    <m/>
    <m/>
    <x v="0"/>
    <s v="Project"/>
    <x v="1159"/>
    <x v="0"/>
    <x v="0"/>
    <s v="Exclude in HGB Group allocation"/>
  </r>
  <r>
    <s v="30370728"/>
    <m/>
    <x v="0"/>
    <x v="0"/>
    <m/>
    <m/>
    <m/>
    <n v="3037"/>
    <n v="7"/>
    <n v="2"/>
    <s v="30370728"/>
    <s v="01_SE"/>
    <x v="0"/>
    <m/>
    <m/>
    <m/>
    <m/>
    <x v="0"/>
    <s v="Project"/>
    <x v="1160"/>
    <x v="0"/>
    <x v="0"/>
    <s v="Exclude in HGB Group allocation"/>
  </r>
  <r>
    <s v="0"/>
    <m/>
    <x v="0"/>
    <x v="0"/>
    <m/>
    <m/>
    <m/>
    <n v="3081"/>
    <n v="34"/>
    <n v="1"/>
    <m/>
    <s v="01_SE"/>
    <x v="4"/>
    <m/>
    <m/>
    <m/>
    <m/>
    <x v="0"/>
    <s v="Project"/>
    <x v="1161"/>
    <x v="0"/>
    <x v="18"/>
    <s v="Exclude in HGB Group allocation"/>
  </r>
  <r>
    <s v="0"/>
    <m/>
    <x v="0"/>
    <x v="0"/>
    <m/>
    <m/>
    <m/>
    <n v="3081"/>
    <n v="34"/>
    <n v="1"/>
    <m/>
    <s v="01_SE"/>
    <x v="4"/>
    <m/>
    <m/>
    <m/>
    <m/>
    <x v="0"/>
    <s v="Project"/>
    <x v="1161"/>
    <x v="0"/>
    <x v="19"/>
    <s v="Exclude in HGB Group allocation"/>
  </r>
  <r>
    <s v="60870228"/>
    <m/>
    <x v="0"/>
    <x v="0"/>
    <m/>
    <m/>
    <m/>
    <n v="6087"/>
    <n v="3"/>
    <n v="2"/>
    <s v="60870228"/>
    <s v="01_SE"/>
    <x v="0"/>
    <m/>
    <m/>
    <m/>
    <m/>
    <x v="0"/>
    <s v="Project"/>
    <x v="1162"/>
    <x v="0"/>
    <x v="0"/>
    <s v="Exclude in HGB Group allocation"/>
  </r>
  <r>
    <s v="0"/>
    <m/>
    <x v="0"/>
    <x v="0"/>
    <m/>
    <m/>
    <m/>
    <n v="7520"/>
    <n v="4"/>
    <n v="2"/>
    <m/>
    <s v="01_SE"/>
    <x v="0"/>
    <m/>
    <m/>
    <m/>
    <m/>
    <x v="0"/>
    <s v="Project"/>
    <x v="1163"/>
    <x v="0"/>
    <x v="0"/>
    <s v="Exclude in HGB Group allocation"/>
  </r>
  <r>
    <s v="0"/>
    <m/>
    <x v="0"/>
    <x v="0"/>
    <m/>
    <m/>
    <m/>
    <n v="2100"/>
    <n v="2"/>
    <n v="2"/>
    <m/>
    <s v="01_SE"/>
    <x v="0"/>
    <m/>
    <m/>
    <m/>
    <m/>
    <x v="0"/>
    <s v="Project"/>
    <x v="1164"/>
    <x v="0"/>
    <x v="0"/>
    <s v="Exclude in HGB Group allocation"/>
  </r>
  <r>
    <s v="0"/>
    <m/>
    <x v="0"/>
    <x v="0"/>
    <m/>
    <m/>
    <m/>
    <n v="2100"/>
    <n v="3"/>
    <n v="2"/>
    <m/>
    <s v="01_SE"/>
    <x v="0"/>
    <m/>
    <m/>
    <m/>
    <m/>
    <x v="0"/>
    <s v="Project"/>
    <x v="1165"/>
    <x v="0"/>
    <x v="0"/>
    <s v="Exclude in HGB Group allocation"/>
  </r>
  <r>
    <s v="70120217"/>
    <m/>
    <x v="0"/>
    <x v="0"/>
    <m/>
    <m/>
    <m/>
    <n v="7012"/>
    <n v="2"/>
    <n v="1"/>
    <s v="70120217"/>
    <s v="05_Shg"/>
    <x v="4"/>
    <m/>
    <m/>
    <m/>
    <m/>
    <x v="0"/>
    <s v="Project"/>
    <x v="1166"/>
    <x v="0"/>
    <x v="19"/>
    <s v="Exclude in HGB Group allocation"/>
  </r>
  <r>
    <s v="70120311"/>
    <m/>
    <x v="0"/>
    <x v="0"/>
    <m/>
    <m/>
    <m/>
    <n v="7012"/>
    <n v="3"/>
    <n v="1"/>
    <s v="70120311"/>
    <s v="05_Shg"/>
    <x v="4"/>
    <m/>
    <m/>
    <m/>
    <m/>
    <x v="0"/>
    <s v="Project"/>
    <x v="1167"/>
    <x v="0"/>
    <x v="18"/>
    <s v="Exclude in HGB Group allocation"/>
  </r>
  <r>
    <s v="70120316"/>
    <m/>
    <x v="0"/>
    <x v="0"/>
    <m/>
    <m/>
    <m/>
    <n v="7012"/>
    <n v="3"/>
    <n v="1"/>
    <s v="70120316"/>
    <s v="05_Shg"/>
    <x v="4"/>
    <m/>
    <m/>
    <m/>
    <m/>
    <x v="0"/>
    <s v="Project"/>
    <x v="1167"/>
    <x v="0"/>
    <x v="19"/>
    <s v="Exclude in HGB Group allocation"/>
  </r>
  <r>
    <s v="60980228"/>
    <m/>
    <x v="0"/>
    <x v="0"/>
    <m/>
    <m/>
    <m/>
    <n v="6098"/>
    <n v="2"/>
    <n v="2"/>
    <s v="60980228"/>
    <s v="07_Inc"/>
    <x v="0"/>
    <m/>
    <m/>
    <m/>
    <m/>
    <x v="0"/>
    <s v="Project"/>
    <x v="1168"/>
    <x v="0"/>
    <x v="21"/>
    <s v="Exclude in HGB Group allocation"/>
  </r>
  <r>
    <s v="0"/>
    <m/>
    <x v="0"/>
    <x v="0"/>
    <m/>
    <m/>
    <m/>
    <n v="6098"/>
    <n v="3"/>
    <n v="2"/>
    <m/>
    <s v="05_Shg"/>
    <x v="0"/>
    <m/>
    <m/>
    <m/>
    <m/>
    <x v="0"/>
    <s v="Project"/>
    <x v="1169"/>
    <x v="0"/>
    <x v="0"/>
    <s v="Exclude in HGB Group allocation"/>
  </r>
  <r>
    <s v="0"/>
    <m/>
    <x v="0"/>
    <x v="0"/>
    <m/>
    <m/>
    <m/>
    <n v="7801"/>
    <n v="2"/>
    <n v="2"/>
    <m/>
    <s v="07_Inc"/>
    <x v="0"/>
    <m/>
    <m/>
    <m/>
    <m/>
    <x v="0"/>
    <s v="Project"/>
    <x v="1170"/>
    <x v="0"/>
    <x v="0"/>
    <s v="Exclude in HGB Group allocation"/>
  </r>
  <r>
    <s v="0"/>
    <m/>
    <x v="0"/>
    <x v="0"/>
    <m/>
    <m/>
    <m/>
    <n v="7802"/>
    <n v="57"/>
    <n v="2"/>
    <m/>
    <s v="01_SE"/>
    <x v="0"/>
    <m/>
    <m/>
    <m/>
    <m/>
    <x v="0"/>
    <s v="Project"/>
    <x v="1171"/>
    <x v="0"/>
    <x v="0"/>
    <s v="Exclude in HGB Group allocation"/>
  </r>
  <r>
    <s v="0"/>
    <m/>
    <x v="0"/>
    <x v="0"/>
    <m/>
    <m/>
    <m/>
    <n v="7802"/>
    <n v="58"/>
    <n v="2"/>
    <m/>
    <s v="01_SE"/>
    <x v="0"/>
    <m/>
    <m/>
    <m/>
    <m/>
    <x v="0"/>
    <s v="Project"/>
    <x v="1172"/>
    <x v="0"/>
    <x v="0"/>
    <s v="Exclude in HGB Group allocation"/>
  </r>
  <r>
    <s v="0"/>
    <m/>
    <x v="0"/>
    <x v="0"/>
    <m/>
    <m/>
    <m/>
    <n v="7802"/>
    <n v="59"/>
    <n v="2"/>
    <m/>
    <s v="01_SE"/>
    <x v="0"/>
    <m/>
    <m/>
    <m/>
    <m/>
    <x v="0"/>
    <s v="Project"/>
    <x v="1173"/>
    <x v="0"/>
    <x v="0"/>
    <s v="Exclude in HGB Group allocation"/>
  </r>
  <r>
    <s v="0"/>
    <m/>
    <x v="0"/>
    <x v="0"/>
    <m/>
    <m/>
    <m/>
    <n v="7802"/>
    <n v="61"/>
    <n v="2"/>
    <m/>
    <s v="01_SE"/>
    <x v="0"/>
    <m/>
    <m/>
    <m/>
    <m/>
    <x v="0"/>
    <s v="Project"/>
    <x v="1174"/>
    <x v="0"/>
    <x v="25"/>
    <s v="Exclude in HGB Group allocation"/>
  </r>
  <r>
    <s v="0"/>
    <m/>
    <x v="0"/>
    <x v="0"/>
    <m/>
    <m/>
    <m/>
    <n v="7802"/>
    <n v="62"/>
    <n v="2"/>
    <m/>
    <s v="01_SE"/>
    <x v="0"/>
    <m/>
    <m/>
    <m/>
    <m/>
    <x v="0"/>
    <s v="Project"/>
    <x v="1175"/>
    <x v="0"/>
    <x v="25"/>
    <s v="Exclude in HGB Group allocation"/>
  </r>
  <r>
    <s v="66191442"/>
    <m/>
    <x v="0"/>
    <x v="0"/>
    <m/>
    <m/>
    <m/>
    <n v="6619"/>
    <n v="14"/>
    <n v="4"/>
    <s v="66191442"/>
    <s v="02_GmbH"/>
    <x v="1"/>
    <m/>
    <m/>
    <m/>
    <m/>
    <x v="0"/>
    <s v="Project"/>
    <x v="1176"/>
    <x v="0"/>
    <x v="23"/>
    <s v="Exclude in HGB Group allocation"/>
  </r>
  <r>
    <s v="88990428"/>
    <m/>
    <x v="0"/>
    <x v="0"/>
    <m/>
    <m/>
    <m/>
    <n v="8899"/>
    <n v="4"/>
    <n v="2"/>
    <s v="88990428"/>
    <s v="01_SE"/>
    <x v="0"/>
    <m/>
    <m/>
    <m/>
    <m/>
    <x v="0"/>
    <s v="Project"/>
    <x v="1177"/>
    <x v="0"/>
    <x v="0"/>
    <s v="Exclude in HGB Group allocation"/>
  </r>
  <r>
    <s v="88990528"/>
    <m/>
    <x v="0"/>
    <x v="0"/>
    <m/>
    <m/>
    <m/>
    <n v="8899"/>
    <n v="5"/>
    <n v="2"/>
    <s v="88990528"/>
    <s v="01_SE"/>
    <x v="0"/>
    <m/>
    <m/>
    <m/>
    <m/>
    <x v="0"/>
    <s v="Project"/>
    <x v="1178"/>
    <x v="0"/>
    <x v="0"/>
    <s v="Exclude in HGB Group allocation"/>
  </r>
  <r>
    <s v="0"/>
    <m/>
    <x v="0"/>
    <x v="0"/>
    <m/>
    <m/>
    <m/>
    <n v="2907"/>
    <n v="54"/>
    <n v="4"/>
    <m/>
    <s v="02_GmbH"/>
    <x v="1"/>
    <m/>
    <m/>
    <m/>
    <m/>
    <x v="0"/>
    <s v="Project"/>
    <x v="1179"/>
    <x v="0"/>
    <x v="20"/>
    <s v="Exclude in HGB Group allocation"/>
  </r>
  <r>
    <s v="0"/>
    <m/>
    <x v="0"/>
    <x v="0"/>
    <m/>
    <m/>
    <m/>
    <n v="2907"/>
    <n v="55"/>
    <n v="4"/>
    <m/>
    <s v="02_GmbH"/>
    <x v="1"/>
    <m/>
    <m/>
    <m/>
    <m/>
    <x v="0"/>
    <s v="Project"/>
    <x v="1180"/>
    <x v="0"/>
    <x v="2"/>
    <s v="Exclude in HGB Group allocation"/>
  </r>
  <r>
    <s v="0"/>
    <m/>
    <x v="0"/>
    <x v="0"/>
    <m/>
    <m/>
    <m/>
    <n v="2907"/>
    <n v="56"/>
    <n v="4"/>
    <m/>
    <s v="02_GmbH"/>
    <x v="1"/>
    <m/>
    <m/>
    <m/>
    <m/>
    <x v="0"/>
    <s v="Project"/>
    <x v="1181"/>
    <x v="0"/>
    <x v="2"/>
    <s v="Exclude in HGB Group allocation"/>
  </r>
  <r>
    <s v="0"/>
    <m/>
    <x v="0"/>
    <x v="0"/>
    <m/>
    <m/>
    <m/>
    <n v="2907"/>
    <n v="57"/>
    <n v="4"/>
    <m/>
    <s v="02_GmbH"/>
    <x v="1"/>
    <m/>
    <m/>
    <m/>
    <m/>
    <x v="0"/>
    <s v="Project"/>
    <x v="1182"/>
    <x v="0"/>
    <x v="25"/>
    <s v="Exclude in HGB Group allocation"/>
  </r>
  <r>
    <s v="0"/>
    <m/>
    <x v="0"/>
    <x v="0"/>
    <m/>
    <m/>
    <m/>
    <n v="2907"/>
    <n v="58"/>
    <n v="2"/>
    <m/>
    <s v="01_SE"/>
    <x v="0"/>
    <m/>
    <m/>
    <m/>
    <m/>
    <x v="0"/>
    <s v="Project"/>
    <x v="1183"/>
    <x v="0"/>
    <x v="0"/>
    <s v="Exclude in HGB Group allocation"/>
  </r>
  <r>
    <s v="0"/>
    <m/>
    <x v="0"/>
    <x v="0"/>
    <m/>
    <m/>
    <m/>
    <n v="2907"/>
    <n v="91"/>
    <n v="2"/>
    <m/>
    <s v="09_Ltda"/>
    <x v="0"/>
    <m/>
    <m/>
    <m/>
    <m/>
    <x v="0"/>
    <s v="Project"/>
    <x v="1184"/>
    <x v="0"/>
    <x v="0"/>
    <s v="Exclude in HGB Group allocation"/>
  </r>
  <r>
    <s v="29073747"/>
    <m/>
    <x v="0"/>
    <x v="0"/>
    <m/>
    <m/>
    <m/>
    <n v="2907"/>
    <n v="37"/>
    <n v="4"/>
    <s v="29073747"/>
    <s v="02_GmbH"/>
    <x v="1"/>
    <m/>
    <m/>
    <m/>
    <m/>
    <x v="0"/>
    <s v="Project"/>
    <x v="1185"/>
    <x v="0"/>
    <x v="20"/>
    <s v="Exclude in HGB Group allocation"/>
  </r>
  <r>
    <s v="29074047"/>
    <m/>
    <x v="0"/>
    <x v="0"/>
    <m/>
    <m/>
    <m/>
    <n v="2907"/>
    <n v="40"/>
    <n v="4"/>
    <s v="29074047"/>
    <s v="02_GmbH"/>
    <x v="1"/>
    <m/>
    <m/>
    <m/>
    <m/>
    <x v="0"/>
    <s v="Project"/>
    <x v="1186"/>
    <x v="0"/>
    <x v="21"/>
    <s v="Exclude in HGB Group allocation"/>
  </r>
  <r>
    <s v="29074242"/>
    <m/>
    <x v="0"/>
    <x v="0"/>
    <m/>
    <m/>
    <m/>
    <n v="2907"/>
    <n v="42"/>
    <n v="4"/>
    <s v="29074242"/>
    <s v="02_GmbH"/>
    <x v="1"/>
    <m/>
    <m/>
    <m/>
    <m/>
    <x v="0"/>
    <s v="Project"/>
    <x v="1187"/>
    <x v="0"/>
    <x v="23"/>
    <s v="Exclude in HGB Group allocation"/>
  </r>
  <r>
    <s v="29074344"/>
    <m/>
    <x v="0"/>
    <x v="0"/>
    <m/>
    <m/>
    <m/>
    <n v="2907"/>
    <n v="43"/>
    <n v="4"/>
    <s v="29074344"/>
    <s v="02_GmbH"/>
    <x v="1"/>
    <m/>
    <m/>
    <m/>
    <m/>
    <x v="0"/>
    <s v="Project"/>
    <x v="1188"/>
    <x v="0"/>
    <x v="2"/>
    <s v="Exclude in HGB Group allocation"/>
  </r>
  <r>
    <s v="29074347"/>
    <m/>
    <x v="0"/>
    <x v="0"/>
    <m/>
    <m/>
    <m/>
    <n v="2907"/>
    <n v="43"/>
    <n v="4"/>
    <s v="29074347"/>
    <s v="02_GmbH"/>
    <x v="1"/>
    <m/>
    <m/>
    <m/>
    <m/>
    <x v="0"/>
    <s v="Project"/>
    <x v="1188"/>
    <x v="0"/>
    <x v="20"/>
    <s v="Exclude in HGB Group allocation"/>
  </r>
  <r>
    <s v="29074528"/>
    <m/>
    <x v="0"/>
    <x v="0"/>
    <m/>
    <m/>
    <m/>
    <n v="2907"/>
    <n v="45"/>
    <n v="2"/>
    <s v="29074528"/>
    <s v="01_SE"/>
    <x v="0"/>
    <m/>
    <m/>
    <m/>
    <m/>
    <x v="0"/>
    <s v="Project"/>
    <x v="1189"/>
    <x v="0"/>
    <x v="0"/>
    <s v="Exclude in HGB Group allocation"/>
  </r>
  <r>
    <s v="29074647"/>
    <m/>
    <x v="0"/>
    <x v="0"/>
    <m/>
    <m/>
    <m/>
    <n v="2907"/>
    <n v="46"/>
    <n v="4"/>
    <s v="29074647"/>
    <s v="02_GmbH"/>
    <x v="1"/>
    <m/>
    <m/>
    <m/>
    <m/>
    <x v="0"/>
    <s v="Project"/>
    <x v="1190"/>
    <x v="0"/>
    <x v="21"/>
    <s v="Exclude in HGB Group allocation"/>
  </r>
  <r>
    <s v="29074743"/>
    <m/>
    <x v="0"/>
    <x v="0"/>
    <m/>
    <m/>
    <m/>
    <n v="2907"/>
    <n v="47"/>
    <n v="4"/>
    <s v="29074743"/>
    <s v="07_Inc"/>
    <x v="1"/>
    <m/>
    <m/>
    <m/>
    <m/>
    <x v="0"/>
    <s v="Project"/>
    <x v="1191"/>
    <x v="0"/>
    <x v="21"/>
    <s v="Exclude in HGB Group allocation"/>
  </r>
  <r>
    <s v="29074847"/>
    <m/>
    <x v="0"/>
    <x v="0"/>
    <m/>
    <m/>
    <m/>
    <n v="2907"/>
    <n v="48"/>
    <n v="4"/>
    <s v="29074847"/>
    <s v="02_GmbH"/>
    <x v="1"/>
    <m/>
    <m/>
    <m/>
    <m/>
    <x v="0"/>
    <s v="Project"/>
    <x v="1192"/>
    <x v="0"/>
    <x v="21"/>
    <s v="Exclude in HGB Group allocation"/>
  </r>
  <r>
    <s v="29074947"/>
    <m/>
    <x v="0"/>
    <x v="0"/>
    <m/>
    <m/>
    <m/>
    <n v="2907"/>
    <n v="49"/>
    <n v="4"/>
    <s v="29074947"/>
    <s v="02_GmbH"/>
    <x v="1"/>
    <m/>
    <m/>
    <m/>
    <m/>
    <x v="0"/>
    <s v="Project"/>
    <x v="1193"/>
    <x v="0"/>
    <x v="20"/>
    <s v="Exclude in HGB Group allocation"/>
  </r>
  <r>
    <s v="29075047"/>
    <m/>
    <x v="0"/>
    <x v="0"/>
    <m/>
    <m/>
    <m/>
    <n v="2907"/>
    <n v="50"/>
    <n v="4"/>
    <s v="29075047"/>
    <s v="02_GmbH"/>
    <x v="1"/>
    <m/>
    <m/>
    <m/>
    <m/>
    <x v="0"/>
    <s v="Project"/>
    <x v="1194"/>
    <x v="0"/>
    <x v="21"/>
    <s v="Exclude in HGB Group allocation"/>
  </r>
  <r>
    <s v="29075128"/>
    <m/>
    <x v="0"/>
    <x v="0"/>
    <m/>
    <m/>
    <m/>
    <n v="2907"/>
    <n v="51"/>
    <n v="2"/>
    <s v="29075128"/>
    <s v="01_SE"/>
    <x v="0"/>
    <m/>
    <m/>
    <m/>
    <m/>
    <x v="0"/>
    <s v="Project"/>
    <x v="1195"/>
    <x v="0"/>
    <x v="25"/>
    <s v="Exclude in HGB Group allocation"/>
  </r>
  <r>
    <s v="29075228"/>
    <m/>
    <x v="0"/>
    <x v="0"/>
    <m/>
    <m/>
    <m/>
    <n v="2907"/>
    <n v="52"/>
    <n v="2"/>
    <s v="29075228"/>
    <s v="01_SE"/>
    <x v="0"/>
    <m/>
    <m/>
    <m/>
    <m/>
    <x v="0"/>
    <s v="Project"/>
    <x v="1196"/>
    <x v="0"/>
    <x v="0"/>
    <s v="Exclude in HGB Group allocation"/>
  </r>
  <r>
    <s v="29075328"/>
    <m/>
    <x v="0"/>
    <x v="0"/>
    <m/>
    <m/>
    <m/>
    <n v="2907"/>
    <n v="53"/>
    <n v="2"/>
    <s v="29075328"/>
    <s v="01_SE"/>
    <x v="0"/>
    <m/>
    <m/>
    <m/>
    <m/>
    <x v="0"/>
    <s v="Project"/>
    <x v="1197"/>
    <x v="0"/>
    <x v="0"/>
    <s v="Exclude in HGB Group allocation"/>
  </r>
  <r>
    <s v="0"/>
    <m/>
    <x v="0"/>
    <x v="0"/>
    <m/>
    <m/>
    <m/>
    <n v="2907"/>
    <n v="53"/>
    <n v="2"/>
    <m/>
    <s v="01_SE"/>
    <x v="0"/>
    <m/>
    <m/>
    <m/>
    <m/>
    <x v="0"/>
    <s v="Project"/>
    <x v="1197"/>
    <x v="0"/>
    <x v="0"/>
    <s v="Exclude in HGB Group allocation"/>
  </r>
  <r>
    <s v="0"/>
    <m/>
    <x v="0"/>
    <x v="0"/>
    <m/>
    <m/>
    <m/>
    <n v="2907"/>
    <n v="59"/>
    <n v="4"/>
    <m/>
    <s v="02_GmbH"/>
    <x v="1"/>
    <m/>
    <m/>
    <m/>
    <m/>
    <x v="0"/>
    <s v="Project"/>
    <x v="1198"/>
    <x v="0"/>
    <x v="22"/>
    <s v="Exclude in HGB Group allocation"/>
  </r>
  <r>
    <s v="29076047"/>
    <m/>
    <x v="0"/>
    <x v="0"/>
    <m/>
    <m/>
    <m/>
    <n v="2907"/>
    <n v="60"/>
    <n v="4"/>
    <n v="29076047"/>
    <s v="02_GmbH"/>
    <x v="1"/>
    <m/>
    <m/>
    <m/>
    <m/>
    <x v="0"/>
    <s v="Project"/>
    <x v="1199"/>
    <x v="0"/>
    <x v="20"/>
    <s v="Exclude in HGB Group allocation"/>
  </r>
  <r>
    <s v="29076147"/>
    <m/>
    <x v="0"/>
    <x v="0"/>
    <m/>
    <m/>
    <m/>
    <n v="2907"/>
    <n v="61"/>
    <n v="4"/>
    <n v="29076147"/>
    <s v="02_GmbH"/>
    <x v="1"/>
    <m/>
    <m/>
    <m/>
    <m/>
    <x v="0"/>
    <s v="Project"/>
    <x v="1200"/>
    <x v="0"/>
    <x v="20"/>
    <s v="Exclude in HGB Group allocation"/>
  </r>
  <r>
    <s v="0"/>
    <m/>
    <x v="0"/>
    <x v="0"/>
    <m/>
    <m/>
    <m/>
    <n v="2907"/>
    <n v="62"/>
    <n v="2"/>
    <m/>
    <s v="01_SE"/>
    <x v="0"/>
    <m/>
    <m/>
    <m/>
    <m/>
    <x v="0"/>
    <s v="Project"/>
    <x v="1201"/>
    <x v="0"/>
    <x v="0"/>
    <s v="Exclude in HGB Group allocation"/>
  </r>
  <r>
    <s v="99632344"/>
    <m/>
    <x v="0"/>
    <x v="0"/>
    <m/>
    <m/>
    <m/>
    <n v="2907"/>
    <n v="56"/>
    <n v="4"/>
    <s v="99632344"/>
    <s v="02_GmbH"/>
    <x v="1"/>
    <m/>
    <m/>
    <m/>
    <m/>
    <x v="0"/>
    <s v="Project"/>
    <x v="1181"/>
    <x v="0"/>
    <x v="2"/>
    <s v="Exclude in HGB Group allocation"/>
  </r>
  <r>
    <s v="99632542"/>
    <m/>
    <x v="0"/>
    <x v="0"/>
    <m/>
    <m/>
    <m/>
    <n v="2907"/>
    <n v="55"/>
    <n v="4"/>
    <n v="99632542"/>
    <s v="02_GmbH"/>
    <x v="1"/>
    <m/>
    <m/>
    <m/>
    <m/>
    <x v="0"/>
    <s v="Project"/>
    <x v="1180"/>
    <x v="0"/>
    <x v="2"/>
    <s v="Exclude in HGB Group allocation"/>
  </r>
  <r>
    <s v="99632544"/>
    <m/>
    <x v="0"/>
    <x v="0"/>
    <m/>
    <m/>
    <m/>
    <n v="2907"/>
    <n v="55"/>
    <n v="4"/>
    <s v="99632544"/>
    <s v="02_GmbH"/>
    <x v="1"/>
    <m/>
    <m/>
    <m/>
    <m/>
    <x v="0"/>
    <s v="Project"/>
    <x v="1180"/>
    <x v="0"/>
    <x v="2"/>
    <s v="Exclude in HGB Group allocation"/>
  </r>
  <r>
    <s v="99632644"/>
    <m/>
    <x v="0"/>
    <x v="0"/>
    <m/>
    <m/>
    <m/>
    <n v="2907"/>
    <n v="43"/>
    <n v="4"/>
    <s v="99632644"/>
    <s v="02_GmbH"/>
    <x v="1"/>
    <m/>
    <m/>
    <m/>
    <m/>
    <x v="0"/>
    <s v="Project"/>
    <x v="1188"/>
    <x v="0"/>
    <x v="2"/>
    <s v="Exclude in HGB Group allocation"/>
  </r>
  <r>
    <s v="99633844"/>
    <m/>
    <x v="0"/>
    <x v="0"/>
    <m/>
    <m/>
    <m/>
    <n v="2907"/>
    <n v="43"/>
    <n v="4"/>
    <s v="99633844"/>
    <s v="02_GmbH"/>
    <x v="1"/>
    <m/>
    <m/>
    <m/>
    <m/>
    <x v="0"/>
    <s v="Project"/>
    <x v="1188"/>
    <x v="0"/>
    <x v="2"/>
    <s v="Exclude in HGB Group allocation"/>
  </r>
  <r>
    <s v="99846944"/>
    <m/>
    <x v="0"/>
    <x v="0"/>
    <m/>
    <m/>
    <m/>
    <n v="2907"/>
    <n v="56"/>
    <n v="4"/>
    <n v="99846944"/>
    <s v="02_GmbH"/>
    <x v="1"/>
    <m/>
    <m/>
    <m/>
    <m/>
    <x v="0"/>
    <s v="Project"/>
    <x v="1181"/>
    <x v="0"/>
    <x v="2"/>
    <s v="Exclude in HGB Group allocation"/>
  </r>
  <r>
    <s v="99871344"/>
    <m/>
    <x v="0"/>
    <x v="0"/>
    <m/>
    <m/>
    <m/>
    <n v="2907"/>
    <n v="55"/>
    <n v="4"/>
    <s v="99871344"/>
    <s v="02_GmbH"/>
    <x v="1"/>
    <m/>
    <m/>
    <m/>
    <m/>
    <x v="0"/>
    <s v="Project"/>
    <x v="1180"/>
    <x v="0"/>
    <x v="2"/>
    <s v="Exclude in HGB Group allocation"/>
  </r>
  <r>
    <s v="99968328"/>
    <m/>
    <x v="0"/>
    <x v="0"/>
    <m/>
    <m/>
    <m/>
    <n v="2907"/>
    <n v="51"/>
    <n v="2"/>
    <s v="99968328"/>
    <s v="01_SE"/>
    <x v="0"/>
    <m/>
    <m/>
    <m/>
    <m/>
    <x v="0"/>
    <s v="Project"/>
    <x v="1195"/>
    <x v="0"/>
    <x v="25"/>
    <s v="Exclude in HGB Group allocation"/>
  </r>
  <r>
    <s v="0"/>
    <m/>
    <x v="0"/>
    <x v="0"/>
    <m/>
    <m/>
    <m/>
    <n v="7813"/>
    <n v="3"/>
    <n v="2"/>
    <m/>
    <s v="09_Ltda"/>
    <x v="0"/>
    <m/>
    <m/>
    <m/>
    <m/>
    <x v="0"/>
    <s v="Project"/>
    <x v="1202"/>
    <x v="0"/>
    <x v="0"/>
    <s v="Exclude in HGB Group allocation"/>
  </r>
  <r>
    <s v="0"/>
    <m/>
    <x v="0"/>
    <x v="0"/>
    <m/>
    <m/>
    <m/>
    <n v="7813"/>
    <n v="4"/>
    <n v="2"/>
    <m/>
    <s v="09_Ltda"/>
    <x v="0"/>
    <m/>
    <m/>
    <m/>
    <m/>
    <x v="0"/>
    <s v="Project"/>
    <x v="1203"/>
    <x v="0"/>
    <x v="0"/>
    <s v="Exclude in HGB Group allocation"/>
  </r>
  <r>
    <s v="0"/>
    <m/>
    <x v="0"/>
    <x v="0"/>
    <m/>
    <m/>
    <m/>
    <n v="9963"/>
    <n v="60"/>
    <n v="1"/>
    <m/>
    <s v="01_SE"/>
    <x v="4"/>
    <m/>
    <m/>
    <m/>
    <m/>
    <x v="0"/>
    <s v="Project"/>
    <x v="1139"/>
    <x v="0"/>
    <x v="17"/>
    <s v="Exclude in HGB Group allocation"/>
  </r>
  <r>
    <s v="0"/>
    <m/>
    <x v="0"/>
    <x v="0"/>
    <m/>
    <m/>
    <m/>
    <n v="9963"/>
    <n v="60"/>
    <n v="1"/>
    <m/>
    <s v="01_SE"/>
    <x v="4"/>
    <m/>
    <m/>
    <m/>
    <m/>
    <x v="0"/>
    <s v="Project"/>
    <x v="1139"/>
    <x v="0"/>
    <x v="19"/>
    <s v="Exclude in HGB Group allocation"/>
  </r>
  <r>
    <s v="0"/>
    <m/>
    <x v="0"/>
    <x v="0"/>
    <m/>
    <m/>
    <m/>
    <n v="9963"/>
    <n v="61"/>
    <n v="1"/>
    <m/>
    <s v="01_SE"/>
    <x v="4"/>
    <m/>
    <m/>
    <m/>
    <m/>
    <x v="0"/>
    <s v="Project"/>
    <x v="1204"/>
    <x v="0"/>
    <x v="17"/>
    <s v="Exclude in HGB Group allocation"/>
  </r>
  <r>
    <s v="9963622"/>
    <m/>
    <x v="0"/>
    <x v="0"/>
    <m/>
    <m/>
    <m/>
    <n v="9963"/>
    <n v="62"/>
    <n v="2"/>
    <n v="9963622"/>
    <s v="01_SE"/>
    <x v="0"/>
    <m/>
    <m/>
    <m/>
    <m/>
    <x v="0"/>
    <s v="Project"/>
    <x v="1205"/>
    <x v="0"/>
    <x v="0"/>
    <s v="Exclude in HGB Group allocation"/>
  </r>
  <r>
    <s v="0"/>
    <m/>
    <x v="0"/>
    <x v="0"/>
    <m/>
    <m/>
    <m/>
    <n v="9963"/>
    <n v="63"/>
    <n v="1"/>
    <m/>
    <s v="01_SE"/>
    <x v="4"/>
    <m/>
    <m/>
    <m/>
    <m/>
    <x v="0"/>
    <s v="Project"/>
    <x v="1206"/>
    <x v="0"/>
    <x v="21"/>
    <s v="Exclude in HGB Group allocation"/>
  </r>
  <r>
    <s v="0"/>
    <m/>
    <x v="0"/>
    <x v="0"/>
    <m/>
    <m/>
    <m/>
    <n v="9963"/>
    <n v="64"/>
    <n v="1"/>
    <m/>
    <s v="01_SE"/>
    <x v="4"/>
    <m/>
    <m/>
    <m/>
    <m/>
    <x v="0"/>
    <s v="Project"/>
    <x v="1207"/>
    <x v="0"/>
    <x v="21"/>
    <s v="Exclude in HGB Group allocation"/>
  </r>
  <r>
    <s v="0"/>
    <m/>
    <x v="0"/>
    <x v="0"/>
    <m/>
    <m/>
    <m/>
    <n v="9963"/>
    <n v="65"/>
    <n v="1"/>
    <m/>
    <s v="01_SE"/>
    <x v="4"/>
    <m/>
    <m/>
    <m/>
    <m/>
    <x v="0"/>
    <s v="Project"/>
    <x v="1208"/>
    <x v="0"/>
    <x v="21"/>
    <s v="Exclude in HGB Group allocation"/>
  </r>
  <r>
    <s v="0"/>
    <m/>
    <x v="0"/>
    <x v="0"/>
    <m/>
    <m/>
    <m/>
    <n v="9963"/>
    <n v="66"/>
    <n v="1"/>
    <m/>
    <s v="01_SE"/>
    <x v="4"/>
    <m/>
    <m/>
    <m/>
    <m/>
    <x v="0"/>
    <s v="Project"/>
    <x v="1209"/>
    <x v="0"/>
    <x v="21"/>
    <s v="Exclude in HGB Group allocation"/>
  </r>
  <r>
    <s v="0"/>
    <m/>
    <x v="0"/>
    <x v="0"/>
    <m/>
    <m/>
    <m/>
    <n v="9963"/>
    <n v="67"/>
    <n v="1"/>
    <m/>
    <s v="01_SE"/>
    <x v="4"/>
    <m/>
    <m/>
    <m/>
    <m/>
    <x v="0"/>
    <s v="Project"/>
    <x v="1210"/>
    <x v="0"/>
    <x v="19"/>
    <s v="Exclude in HGB Group allocation"/>
  </r>
  <r>
    <s v="0"/>
    <m/>
    <x v="0"/>
    <x v="0"/>
    <m/>
    <m/>
    <m/>
    <n v="9963"/>
    <n v="68"/>
    <n v="1"/>
    <m/>
    <s v="01_SE"/>
    <x v="4"/>
    <m/>
    <m/>
    <m/>
    <m/>
    <x v="0"/>
    <s v="Project"/>
    <x v="1211"/>
    <x v="0"/>
    <x v="18"/>
    <s v="Exclude in HGB Group allocation"/>
  </r>
  <r>
    <s v="0"/>
    <m/>
    <x v="0"/>
    <x v="0"/>
    <m/>
    <m/>
    <m/>
    <n v="9963"/>
    <n v="68"/>
    <n v="1"/>
    <m/>
    <s v="01_SE"/>
    <x v="4"/>
    <m/>
    <m/>
    <m/>
    <m/>
    <x v="0"/>
    <s v="Project"/>
    <x v="1211"/>
    <x v="0"/>
    <x v="19"/>
    <s v="Exclude in HGB Group allocation"/>
  </r>
  <r>
    <s v="0"/>
    <m/>
    <x v="0"/>
    <x v="0"/>
    <m/>
    <m/>
    <m/>
    <n v="9963"/>
    <n v="69"/>
    <n v="1"/>
    <m/>
    <s v="01_SE"/>
    <x v="4"/>
    <m/>
    <m/>
    <m/>
    <m/>
    <x v="0"/>
    <s v="Project"/>
    <x v="1212"/>
    <x v="0"/>
    <x v="19"/>
    <s v="Exclude in HGB Group allocation"/>
  </r>
  <r>
    <s v="0"/>
    <m/>
    <x v="0"/>
    <x v="0"/>
    <m/>
    <m/>
    <m/>
    <n v="9963"/>
    <n v="70"/>
    <n v="1"/>
    <m/>
    <s v="01_SE"/>
    <x v="4"/>
    <m/>
    <m/>
    <m/>
    <m/>
    <x v="0"/>
    <s v="Project"/>
    <x v="1213"/>
    <x v="0"/>
    <x v="19"/>
    <s v="Exclude in HGB Group allocation"/>
  </r>
  <r>
    <s v="0"/>
    <m/>
    <x v="0"/>
    <x v="0"/>
    <m/>
    <m/>
    <m/>
    <n v="9963"/>
    <n v="71"/>
    <n v="1"/>
    <m/>
    <s v="01_SE"/>
    <x v="4"/>
    <m/>
    <m/>
    <m/>
    <m/>
    <x v="0"/>
    <s v="Project"/>
    <x v="1214"/>
    <x v="0"/>
    <x v="19"/>
    <s v="Exclude in HGB Group allocation"/>
  </r>
  <r>
    <s v="0"/>
    <m/>
    <x v="0"/>
    <x v="0"/>
    <m/>
    <m/>
    <m/>
    <n v="9963"/>
    <n v="73"/>
    <n v="1"/>
    <m/>
    <s v="01_SE"/>
    <x v="4"/>
    <m/>
    <m/>
    <m/>
    <m/>
    <x v="0"/>
    <s v="Project"/>
    <x v="1215"/>
    <x v="0"/>
    <x v="17"/>
    <s v="Exclude in HGB Group allocation"/>
  </r>
  <r>
    <s v="0"/>
    <m/>
    <x v="0"/>
    <x v="0"/>
    <m/>
    <m/>
    <m/>
    <n v="9985"/>
    <n v="20"/>
    <n v="2"/>
    <m/>
    <s v="05_Shg"/>
    <x v="0"/>
    <m/>
    <m/>
    <m/>
    <m/>
    <x v="0"/>
    <s v="Project"/>
    <x v="1216"/>
    <x v="0"/>
    <x v="0"/>
    <s v="Exclude in HGB Group allocation"/>
  </r>
  <r>
    <s v="0"/>
    <m/>
    <x v="0"/>
    <x v="0"/>
    <m/>
    <m/>
    <m/>
    <n v="9985"/>
    <n v="21"/>
    <n v="1"/>
    <m/>
    <s v="05_Shg"/>
    <x v="4"/>
    <m/>
    <m/>
    <m/>
    <m/>
    <x v="0"/>
    <s v="Project"/>
    <x v="1217"/>
    <x v="0"/>
    <x v="18"/>
    <s v="Exclude in HGB Group allocation"/>
  </r>
  <r>
    <s v="99881411"/>
    <m/>
    <x v="0"/>
    <x v="0"/>
    <m/>
    <m/>
    <m/>
    <n v="9988"/>
    <n v="14"/>
    <n v="1"/>
    <s v="99881411"/>
    <s v="01_SE"/>
    <x v="4"/>
    <m/>
    <m/>
    <m/>
    <m/>
    <x v="0"/>
    <s v="Project"/>
    <x v="1218"/>
    <x v="0"/>
    <x v="18"/>
    <s v="Exclude in HGB Group allocation"/>
  </r>
  <r>
    <s v="99968811"/>
    <m/>
    <x v="0"/>
    <x v="0"/>
    <m/>
    <m/>
    <m/>
    <n v="9988"/>
    <n v="14"/>
    <n v="1"/>
    <s v="99968811"/>
    <s v="01_SE"/>
    <x v="4"/>
    <m/>
    <m/>
    <m/>
    <m/>
    <x v="0"/>
    <s v="Project"/>
    <x v="1218"/>
    <x v="0"/>
    <x v="18"/>
    <s v="Exclude in HGB Group allocation"/>
  </r>
  <r>
    <s v="99958216"/>
    <m/>
    <x v="0"/>
    <x v="0"/>
    <m/>
    <m/>
    <m/>
    <n v="9995"/>
    <n v="82"/>
    <n v="1"/>
    <s v="99958216"/>
    <s v="01_SE"/>
    <x v="4"/>
    <m/>
    <m/>
    <m/>
    <m/>
    <x v="0"/>
    <s v="Project"/>
    <x v="1219"/>
    <x v="0"/>
    <x v="19"/>
    <s v="Exclude in HGB Group allocation"/>
  </r>
  <r>
    <s v="99958711"/>
    <m/>
    <x v="0"/>
    <x v="0"/>
    <m/>
    <m/>
    <m/>
    <n v="9995"/>
    <n v="87"/>
    <n v="1"/>
    <s v="99958711"/>
    <s v="01_SE"/>
    <x v="4"/>
    <m/>
    <m/>
    <m/>
    <m/>
    <x v="0"/>
    <s v="Project"/>
    <x v="1220"/>
    <x v="0"/>
    <x v="18"/>
    <s v="Exclude in HGB Group allocation"/>
  </r>
  <r>
    <s v="99958816"/>
    <m/>
    <x v="0"/>
    <x v="0"/>
    <m/>
    <m/>
    <m/>
    <n v="9995"/>
    <n v="88"/>
    <n v="1"/>
    <s v="99958816"/>
    <s v="01_SE"/>
    <x v="4"/>
    <m/>
    <m/>
    <m/>
    <m/>
    <x v="0"/>
    <s v="Project"/>
    <x v="1221"/>
    <x v="0"/>
    <x v="19"/>
    <s v="Exclude in HGB Group allocation"/>
  </r>
  <r>
    <s v="99958911"/>
    <m/>
    <x v="0"/>
    <x v="0"/>
    <m/>
    <m/>
    <m/>
    <n v="9995"/>
    <n v="89"/>
    <n v="1"/>
    <s v="99958911"/>
    <s v="01_SE"/>
    <x v="4"/>
    <m/>
    <m/>
    <m/>
    <m/>
    <x v="0"/>
    <s v="Project"/>
    <x v="1222"/>
    <x v="0"/>
    <x v="18"/>
    <s v="Exclude in HGB Group allocation"/>
  </r>
  <r>
    <s v="99958916"/>
    <m/>
    <x v="0"/>
    <x v="0"/>
    <m/>
    <m/>
    <m/>
    <n v="9995"/>
    <n v="89"/>
    <n v="1"/>
    <s v="99958916"/>
    <s v="01_SE"/>
    <x v="4"/>
    <m/>
    <m/>
    <m/>
    <m/>
    <x v="0"/>
    <s v="Project"/>
    <x v="1222"/>
    <x v="0"/>
    <x v="19"/>
    <s v="Exclude in HGB Group allocation"/>
  </r>
  <r>
    <s v="99637401"/>
    <m/>
    <x v="0"/>
    <x v="0"/>
    <m/>
    <m/>
    <m/>
    <n v="9963"/>
    <n v="74"/>
    <n v="1"/>
    <n v="99637401"/>
    <s v="01_SE"/>
    <x v="4"/>
    <m/>
    <m/>
    <m/>
    <m/>
    <x v="0"/>
    <s v="Project"/>
    <x v="1223"/>
    <x v="0"/>
    <x v="18"/>
    <s v="Exclude in HGB Group allocation"/>
  </r>
  <r>
    <s v="0"/>
    <m/>
    <x v="0"/>
    <x v="0"/>
    <m/>
    <m/>
    <m/>
    <n v="9963"/>
    <n v="75"/>
    <n v="1"/>
    <m/>
    <s v="01_SE"/>
    <x v="4"/>
    <m/>
    <m/>
    <m/>
    <m/>
    <x v="0"/>
    <s v="Project"/>
    <x v="1224"/>
    <x v="0"/>
    <x v="18"/>
    <s v="Exclude in HGB Group allocation"/>
  </r>
  <r>
    <s v="0"/>
    <m/>
    <x v="0"/>
    <x v="0"/>
    <m/>
    <m/>
    <m/>
    <n v="9963"/>
    <n v="75"/>
    <n v="1"/>
    <m/>
    <s v="01_SE"/>
    <x v="4"/>
    <m/>
    <m/>
    <m/>
    <m/>
    <x v="0"/>
    <s v="Project"/>
    <x v="1224"/>
    <x v="0"/>
    <x v="17"/>
    <s v="Exclude in HGB Group allocation"/>
  </r>
  <r>
    <s v="29080243"/>
    <m/>
    <x v="0"/>
    <x v="0"/>
    <m/>
    <m/>
    <m/>
    <n v="2908"/>
    <n v="2"/>
    <n v="4"/>
    <s v="29080243"/>
    <s v="05_Shg"/>
    <x v="1"/>
    <m/>
    <m/>
    <m/>
    <m/>
    <x v="0"/>
    <s v="Project"/>
    <x v="1225"/>
    <x v="0"/>
    <x v="21"/>
    <s v="Exclude in HGB Group allocation"/>
  </r>
  <r>
    <s v="0"/>
    <m/>
    <x v="0"/>
    <x v="0"/>
    <m/>
    <m/>
    <m/>
    <n v="2057"/>
    <n v="2"/>
    <n v="2"/>
    <m/>
    <s v="01_SE"/>
    <x v="0"/>
    <m/>
    <m/>
    <m/>
    <m/>
    <x v="0"/>
    <s v="Project"/>
    <x v="1226"/>
    <x v="0"/>
    <x v="0"/>
    <s v="Exclude in HGB Group allocation"/>
  </r>
  <r>
    <s v="0"/>
    <m/>
    <x v="0"/>
    <x v="0"/>
    <m/>
    <m/>
    <m/>
    <n v="7605"/>
    <n v="13"/>
    <n v="2"/>
    <m/>
    <s v="01_SE"/>
    <x v="0"/>
    <m/>
    <m/>
    <m/>
    <m/>
    <x v="0"/>
    <s v="Project"/>
    <x v="1227"/>
    <x v="0"/>
    <x v="0"/>
    <s v="Exclude in HGB Group allocation"/>
  </r>
  <r>
    <s v="0"/>
    <m/>
    <x v="0"/>
    <x v="0"/>
    <m/>
    <m/>
    <m/>
    <n v="7605"/>
    <n v="14"/>
    <n v="2"/>
    <m/>
    <s v="01_SE"/>
    <x v="0"/>
    <m/>
    <m/>
    <m/>
    <m/>
    <x v="0"/>
    <s v="Project"/>
    <x v="1228"/>
    <x v="0"/>
    <x v="0"/>
    <s v="Exclude in HGB Group allocation"/>
  </r>
  <r>
    <s v="0"/>
    <m/>
    <x v="0"/>
    <x v="0"/>
    <m/>
    <m/>
    <m/>
    <n v="7605"/>
    <n v="15"/>
    <n v="2"/>
    <m/>
    <s v="01_SE"/>
    <x v="0"/>
    <m/>
    <m/>
    <m/>
    <m/>
    <x v="0"/>
    <s v="Project"/>
    <x v="1229"/>
    <x v="0"/>
    <x v="0"/>
    <s v="Exclude in HGB Group allocation"/>
  </r>
  <r>
    <s v="0"/>
    <m/>
    <x v="0"/>
    <x v="0"/>
    <m/>
    <m/>
    <m/>
    <n v="7605"/>
    <n v="16"/>
    <n v="2"/>
    <m/>
    <s v="01_SE"/>
    <x v="0"/>
    <m/>
    <m/>
    <m/>
    <m/>
    <x v="0"/>
    <s v="Project"/>
    <x v="1230"/>
    <x v="0"/>
    <x v="0"/>
    <s v="Exclude in HGB Group allocation"/>
  </r>
  <r>
    <s v="0"/>
    <m/>
    <x v="0"/>
    <x v="0"/>
    <m/>
    <m/>
    <m/>
    <n v="7605"/>
    <n v="17"/>
    <n v="2"/>
    <m/>
    <s v="01_SE"/>
    <x v="0"/>
    <m/>
    <m/>
    <m/>
    <m/>
    <x v="0"/>
    <s v="Project"/>
    <x v="1231"/>
    <x v="0"/>
    <x v="0"/>
    <s v="Exclude in HGB Group allocation"/>
  </r>
  <r>
    <s v="76050228"/>
    <m/>
    <x v="0"/>
    <x v="0"/>
    <m/>
    <m/>
    <m/>
    <n v="7605"/>
    <n v="2"/>
    <n v="2"/>
    <s v="76050228"/>
    <s v="01_SE"/>
    <x v="0"/>
    <m/>
    <m/>
    <m/>
    <m/>
    <x v="0"/>
    <s v="Project"/>
    <x v="1232"/>
    <x v="0"/>
    <x v="0"/>
    <s v="Exclude in HGB Group allocation"/>
  </r>
  <r>
    <s v="76050328"/>
    <m/>
    <x v="0"/>
    <x v="0"/>
    <m/>
    <m/>
    <m/>
    <n v="7605"/>
    <n v="3"/>
    <n v="2"/>
    <s v="76050328"/>
    <s v="01_SE"/>
    <x v="0"/>
    <m/>
    <m/>
    <m/>
    <m/>
    <x v="0"/>
    <s v="Project"/>
    <x v="1233"/>
    <x v="0"/>
    <x v="0"/>
    <s v="Exclude in HGB Group allocation"/>
  </r>
  <r>
    <s v="76050428"/>
    <m/>
    <x v="0"/>
    <x v="0"/>
    <m/>
    <m/>
    <m/>
    <n v="7605"/>
    <n v="4"/>
    <n v="2"/>
    <s v="76050428"/>
    <s v="01_SE"/>
    <x v="0"/>
    <m/>
    <m/>
    <m/>
    <m/>
    <x v="0"/>
    <s v="Project"/>
    <x v="1234"/>
    <x v="0"/>
    <x v="0"/>
    <s v="Exclude in HGB Group allocation"/>
  </r>
  <r>
    <s v="76050528"/>
    <m/>
    <x v="0"/>
    <x v="0"/>
    <m/>
    <m/>
    <m/>
    <n v="7605"/>
    <n v="5"/>
    <n v="2"/>
    <s v="76050528"/>
    <s v="01_SE"/>
    <x v="0"/>
    <m/>
    <m/>
    <m/>
    <m/>
    <x v="0"/>
    <s v="Project"/>
    <x v="1235"/>
    <x v="0"/>
    <x v="0"/>
    <s v="Exclude in HGB Group allocation"/>
  </r>
  <r>
    <s v="76050628"/>
    <m/>
    <x v="0"/>
    <x v="0"/>
    <m/>
    <m/>
    <m/>
    <n v="7605"/>
    <n v="6"/>
    <n v="2"/>
    <s v="76050628"/>
    <s v="01_SE"/>
    <x v="0"/>
    <m/>
    <m/>
    <m/>
    <m/>
    <x v="0"/>
    <s v="Project"/>
    <x v="1236"/>
    <x v="0"/>
    <x v="0"/>
    <s v="Exclude in HGB Group allocation"/>
  </r>
  <r>
    <s v="76050728"/>
    <m/>
    <x v="0"/>
    <x v="0"/>
    <m/>
    <m/>
    <m/>
    <n v="7605"/>
    <n v="7"/>
    <n v="2"/>
    <s v="76050728"/>
    <s v="01_SE"/>
    <x v="0"/>
    <m/>
    <m/>
    <m/>
    <m/>
    <x v="0"/>
    <s v="Project"/>
    <x v="1237"/>
    <x v="0"/>
    <x v="0"/>
    <s v="Exclude in HGB Group allocation"/>
  </r>
  <r>
    <s v="76050828"/>
    <m/>
    <x v="0"/>
    <x v="0"/>
    <m/>
    <m/>
    <m/>
    <n v="7605"/>
    <n v="8"/>
    <n v="2"/>
    <s v="76050828"/>
    <s v="01_SE"/>
    <x v="0"/>
    <m/>
    <m/>
    <m/>
    <m/>
    <x v="0"/>
    <s v="Project"/>
    <x v="1238"/>
    <x v="0"/>
    <x v="0"/>
    <s v="Exclude in HGB Group allocation"/>
  </r>
  <r>
    <s v="0"/>
    <m/>
    <x v="0"/>
    <x v="0"/>
    <m/>
    <m/>
    <m/>
    <n v="7605"/>
    <n v="9"/>
    <n v="2"/>
    <m/>
    <s v="01_SE"/>
    <x v="0"/>
    <m/>
    <m/>
    <m/>
    <m/>
    <x v="0"/>
    <s v="Project"/>
    <x v="1239"/>
    <x v="0"/>
    <x v="0"/>
    <s v="Exclude in HGB Group allocation"/>
  </r>
  <r>
    <s v="0"/>
    <m/>
    <x v="0"/>
    <x v="0"/>
    <m/>
    <m/>
    <m/>
    <n v="7605"/>
    <n v="10"/>
    <n v="2"/>
    <m/>
    <s v="01_SE"/>
    <x v="0"/>
    <m/>
    <m/>
    <m/>
    <m/>
    <x v="0"/>
    <s v="Project"/>
    <x v="1240"/>
    <x v="0"/>
    <x v="0"/>
    <s v="Exclude in HGB Group allocation"/>
  </r>
  <r>
    <s v="0"/>
    <m/>
    <x v="0"/>
    <x v="0"/>
    <m/>
    <m/>
    <m/>
    <n v="7605"/>
    <n v="11"/>
    <n v="2"/>
    <m/>
    <s v="01_SE"/>
    <x v="0"/>
    <m/>
    <m/>
    <m/>
    <m/>
    <x v="0"/>
    <s v="Project"/>
    <x v="1241"/>
    <x v="0"/>
    <x v="0"/>
    <s v="Exclude in HGB Group allocation"/>
  </r>
  <r>
    <s v="0"/>
    <m/>
    <x v="0"/>
    <x v="0"/>
    <m/>
    <m/>
    <m/>
    <n v="7605"/>
    <n v="12"/>
    <n v="2"/>
    <m/>
    <s v="01_SE"/>
    <x v="0"/>
    <m/>
    <m/>
    <m/>
    <m/>
    <x v="0"/>
    <s v="Project"/>
    <x v="1242"/>
    <x v="0"/>
    <x v="0"/>
    <s v="Exclude in HGB Group allocation"/>
  </r>
  <r>
    <s v="80050226"/>
    <m/>
    <x v="0"/>
    <x v="0"/>
    <m/>
    <m/>
    <m/>
    <n v="8005"/>
    <n v="2"/>
    <n v="2"/>
    <s v="80050226"/>
    <s v="01_SE"/>
    <x v="0"/>
    <m/>
    <m/>
    <m/>
    <m/>
    <x v="0"/>
    <s v="Project"/>
    <x v="1243"/>
    <x v="0"/>
    <x v="0"/>
    <s v="Exclude in HGB Group allocation"/>
  </r>
  <r>
    <s v="0"/>
    <m/>
    <x v="0"/>
    <x v="0"/>
    <m/>
    <m/>
    <m/>
    <n v="3061"/>
    <n v="5"/>
    <n v="2"/>
    <m/>
    <s v="07_Inc"/>
    <x v="0"/>
    <m/>
    <m/>
    <m/>
    <m/>
    <x v="0"/>
    <s v="Project"/>
    <x v="1244"/>
    <x v="0"/>
    <x v="0"/>
    <s v="Exclude in HGB Group allocation"/>
  </r>
  <r>
    <s v="30610228"/>
    <m/>
    <x v="0"/>
    <x v="0"/>
    <m/>
    <m/>
    <m/>
    <n v="3061"/>
    <n v="2"/>
    <n v="2"/>
    <s v="30610228"/>
    <s v="07_Inc"/>
    <x v="0"/>
    <m/>
    <m/>
    <m/>
    <m/>
    <x v="0"/>
    <s v="Project"/>
    <x v="1245"/>
    <x v="0"/>
    <x v="21"/>
    <s v="Exclude in HGB Group allocation"/>
  </r>
  <r>
    <s v="30610328"/>
    <m/>
    <x v="0"/>
    <x v="0"/>
    <m/>
    <m/>
    <m/>
    <n v="3061"/>
    <n v="3"/>
    <n v="2"/>
    <s v="30610328"/>
    <s v="07_Inc"/>
    <x v="0"/>
    <m/>
    <m/>
    <m/>
    <m/>
    <x v="0"/>
    <s v="Project"/>
    <x v="1246"/>
    <x v="0"/>
    <x v="21"/>
    <s v="Exclude in HGB Group allocation"/>
  </r>
  <r>
    <s v="30610428"/>
    <m/>
    <x v="0"/>
    <x v="0"/>
    <m/>
    <m/>
    <m/>
    <n v="3061"/>
    <n v="4"/>
    <n v="2"/>
    <s v="30610428"/>
    <s v="07_Inc"/>
    <x v="0"/>
    <m/>
    <m/>
    <m/>
    <m/>
    <x v="0"/>
    <s v="Project"/>
    <x v="1247"/>
    <x v="0"/>
    <x v="0"/>
    <s v="Exclude in HGB Group allocation"/>
  </r>
  <r>
    <s v="0"/>
    <m/>
    <x v="0"/>
    <x v="0"/>
    <m/>
    <m/>
    <m/>
    <n v="3061"/>
    <n v="6"/>
    <n v="2"/>
    <m/>
    <s v="07_Inc"/>
    <x v="0"/>
    <m/>
    <m/>
    <m/>
    <m/>
    <x v="0"/>
    <s v="Project"/>
    <x v="1248"/>
    <x v="0"/>
    <x v="0"/>
    <s v="Exclude in HGB Group allocation"/>
  </r>
  <r>
    <s v="99869528"/>
    <m/>
    <x v="0"/>
    <x v="0"/>
    <m/>
    <m/>
    <m/>
    <n v="3061"/>
    <n v="2"/>
    <n v="2"/>
    <s v="99869528"/>
    <s v="07_Inc"/>
    <x v="0"/>
    <m/>
    <m/>
    <m/>
    <m/>
    <x v="0"/>
    <s v="Project"/>
    <x v="1245"/>
    <x v="0"/>
    <x v="0"/>
    <s v="Exclude in HGB Group allocation"/>
  </r>
  <r>
    <s v="78117611"/>
    <m/>
    <x v="0"/>
    <x v="0"/>
    <m/>
    <m/>
    <m/>
    <n v="7811"/>
    <n v="76"/>
    <n v="1"/>
    <s v="78117611"/>
    <s v="01_SE"/>
    <x v="4"/>
    <m/>
    <m/>
    <m/>
    <m/>
    <x v="0"/>
    <s v="Project"/>
    <x v="1249"/>
    <x v="0"/>
    <x v="18"/>
    <s v="Exclude in HGB Group allocation"/>
  </r>
  <r>
    <s v="78118712"/>
    <m/>
    <x v="0"/>
    <x v="0"/>
    <m/>
    <m/>
    <m/>
    <n v="7811"/>
    <n v="87"/>
    <n v="1"/>
    <s v="78118712"/>
    <s v="01_SE"/>
    <x v="4"/>
    <m/>
    <m/>
    <m/>
    <m/>
    <x v="0"/>
    <s v="Project"/>
    <x v="1250"/>
    <x v="0"/>
    <x v="18"/>
    <s v="Exclude in HGB Group allocation"/>
  </r>
  <r>
    <s v="78119616"/>
    <m/>
    <x v="0"/>
    <x v="0"/>
    <m/>
    <m/>
    <m/>
    <n v="7811"/>
    <n v="96"/>
    <n v="1"/>
    <s v="78119616"/>
    <s v="01_SE"/>
    <x v="4"/>
    <m/>
    <m/>
    <m/>
    <m/>
    <x v="0"/>
    <s v="Project"/>
    <x v="1251"/>
    <x v="0"/>
    <x v="19"/>
    <s v="Exclude in HGB Group allocation"/>
  </r>
  <r>
    <s v="99908616"/>
    <m/>
    <x v="0"/>
    <x v="0"/>
    <m/>
    <m/>
    <m/>
    <n v="7811"/>
    <n v="96"/>
    <n v="1"/>
    <s v="99908616"/>
    <s v="01_SE"/>
    <x v="4"/>
    <m/>
    <m/>
    <m/>
    <m/>
    <x v="0"/>
    <s v="Project"/>
    <x v="1251"/>
    <x v="0"/>
    <x v="19"/>
    <s v="Exclude in HGB Group allocation"/>
  </r>
  <r>
    <s v="78120711"/>
    <m/>
    <x v="0"/>
    <x v="0"/>
    <m/>
    <m/>
    <m/>
    <n v="7812"/>
    <n v="7"/>
    <n v="1"/>
    <s v="78120711"/>
    <s v="01_SE"/>
    <x v="4"/>
    <m/>
    <m/>
    <m/>
    <m/>
    <x v="0"/>
    <s v="Project"/>
    <x v="1252"/>
    <x v="0"/>
    <x v="18"/>
    <s v="Exclude in HGB Group allocation"/>
  </r>
  <r>
    <s v="78120816"/>
    <m/>
    <x v="0"/>
    <x v="0"/>
    <m/>
    <m/>
    <m/>
    <n v="7812"/>
    <n v="8"/>
    <n v="1"/>
    <s v="78120816"/>
    <s v="01_SE"/>
    <x v="4"/>
    <m/>
    <m/>
    <m/>
    <m/>
    <x v="0"/>
    <s v="Project"/>
    <x v="1253"/>
    <x v="0"/>
    <x v="19"/>
    <s v="Exclude in HGB Group allocation"/>
  </r>
  <r>
    <s v="0"/>
    <m/>
    <x v="0"/>
    <x v="0"/>
    <m/>
    <m/>
    <m/>
    <n v="7812"/>
    <n v="12"/>
    <n v="1"/>
    <m/>
    <s v="01_SE"/>
    <x v="4"/>
    <m/>
    <m/>
    <m/>
    <m/>
    <x v="0"/>
    <s v="Project"/>
    <x v="1254"/>
    <x v="0"/>
    <x v="19"/>
    <s v="Exclude in HGB Group allocation"/>
  </r>
  <r>
    <s v="30740528"/>
    <m/>
    <x v="0"/>
    <x v="0"/>
    <m/>
    <m/>
    <m/>
    <n v="3074"/>
    <n v="5"/>
    <n v="2"/>
    <s v="30740528"/>
    <s v="01_SE"/>
    <x v="0"/>
    <m/>
    <m/>
    <m/>
    <m/>
    <x v="0"/>
    <s v="Project"/>
    <x v="1255"/>
    <x v="0"/>
    <x v="0"/>
    <s v="Exclude in HGB Group allocation"/>
  </r>
  <r>
    <s v="20560228"/>
    <m/>
    <x v="0"/>
    <x v="0"/>
    <m/>
    <m/>
    <m/>
    <n v="2056"/>
    <n v="2"/>
    <n v="2"/>
    <s v="20560228"/>
    <s v="05_Shg"/>
    <x v="0"/>
    <m/>
    <m/>
    <m/>
    <m/>
    <x v="0"/>
    <s v="Project"/>
    <x v="1256"/>
    <x v="0"/>
    <x v="21"/>
    <s v="Exclude in HGB Group allocation"/>
  </r>
  <r>
    <s v="0"/>
    <m/>
    <x v="0"/>
    <x v="0"/>
    <m/>
    <m/>
    <m/>
    <n v="7681"/>
    <n v="2"/>
    <n v="2"/>
    <m/>
    <s v="09_Ltda"/>
    <x v="0"/>
    <m/>
    <m/>
    <m/>
    <m/>
    <x v="0"/>
    <s v="Project"/>
    <x v="1257"/>
    <x v="0"/>
    <x v="0"/>
    <s v="Exclude in HGB Group allocation"/>
  </r>
  <r>
    <s v="0"/>
    <m/>
    <x v="0"/>
    <x v="0"/>
    <m/>
    <m/>
    <m/>
    <n v="7681"/>
    <n v="3"/>
    <n v="2"/>
    <m/>
    <s v="09_Ltda"/>
    <x v="0"/>
    <m/>
    <m/>
    <m/>
    <m/>
    <x v="0"/>
    <s v="Project"/>
    <x v="1258"/>
    <x v="0"/>
    <x v="0"/>
    <s v="Exclude in HGB Group allocation"/>
  </r>
  <r>
    <s v="0"/>
    <m/>
    <x v="0"/>
    <x v="0"/>
    <m/>
    <m/>
    <m/>
    <n v="2126"/>
    <n v="2"/>
    <n v="2"/>
    <m/>
    <s v="01_SE"/>
    <x v="0"/>
    <m/>
    <m/>
    <m/>
    <m/>
    <x v="0"/>
    <s v="Project"/>
    <x v="1259"/>
    <x v="0"/>
    <x v="0"/>
    <s v="Exclude in HGB Group allocation"/>
  </r>
  <r>
    <s v="12820428"/>
    <m/>
    <x v="0"/>
    <x v="0"/>
    <m/>
    <m/>
    <m/>
    <n v="1282"/>
    <n v="4"/>
    <n v="2"/>
    <s v="12820428"/>
    <s v="01_SE"/>
    <x v="0"/>
    <m/>
    <m/>
    <m/>
    <m/>
    <x v="0"/>
    <s v="Project"/>
    <x v="1260"/>
    <x v="0"/>
    <x v="0"/>
    <s v="Exclude in HGB Group allocation"/>
  </r>
  <r>
    <s v="78022928"/>
    <m/>
    <x v="0"/>
    <x v="0"/>
    <m/>
    <m/>
    <m/>
    <n v="7802"/>
    <n v="29"/>
    <n v="2"/>
    <s v="78022928"/>
    <s v="01_SE"/>
    <x v="0"/>
    <m/>
    <m/>
    <m/>
    <m/>
    <x v="0"/>
    <s v="Project"/>
    <x v="1261"/>
    <x v="0"/>
    <x v="0"/>
    <s v="Exclude in HGB Group allocation"/>
  </r>
  <r>
    <s v="0"/>
    <m/>
    <x v="0"/>
    <x v="0"/>
    <m/>
    <m/>
    <m/>
    <n v="3158"/>
    <n v="2"/>
    <n v="2"/>
    <m/>
    <s v="01_SE"/>
    <x v="0"/>
    <m/>
    <m/>
    <m/>
    <m/>
    <x v="0"/>
    <s v="Project"/>
    <x v="1262"/>
    <x v="0"/>
    <x v="0"/>
    <s v="Exclude in HGB Group allocation"/>
  </r>
  <r>
    <s v="0"/>
    <m/>
    <x v="0"/>
    <x v="0"/>
    <m/>
    <m/>
    <m/>
    <n v="8080"/>
    <n v="32"/>
    <n v="2"/>
    <m/>
    <s v="05_Shg"/>
    <x v="0"/>
    <m/>
    <m/>
    <m/>
    <m/>
    <x v="0"/>
    <s v="Project"/>
    <x v="1263"/>
    <x v="0"/>
    <x v="0"/>
    <s v="Exclude in HGB Group allocation"/>
  </r>
  <r>
    <s v="0"/>
    <m/>
    <x v="0"/>
    <x v="0"/>
    <m/>
    <m/>
    <m/>
    <n v="8080"/>
    <n v="33"/>
    <n v="2"/>
    <m/>
    <s v="05_Shg"/>
    <x v="0"/>
    <m/>
    <m/>
    <m/>
    <m/>
    <x v="0"/>
    <s v="Project"/>
    <x v="1264"/>
    <x v="0"/>
    <x v="0"/>
    <s v="Exclude in HGB Group allocation"/>
  </r>
  <r>
    <s v="0"/>
    <m/>
    <x v="0"/>
    <x v="0"/>
    <m/>
    <m/>
    <m/>
    <n v="8080"/>
    <n v="34"/>
    <n v="2"/>
    <m/>
    <s v="07_Inc"/>
    <x v="0"/>
    <m/>
    <m/>
    <m/>
    <m/>
    <x v="0"/>
    <s v="Project"/>
    <x v="1265"/>
    <x v="0"/>
    <x v="0"/>
    <s v="Exclude in HGB Group allocation"/>
  </r>
  <r>
    <s v="0"/>
    <m/>
    <x v="0"/>
    <x v="0"/>
    <m/>
    <m/>
    <m/>
    <n v="8080"/>
    <n v="35"/>
    <n v="2"/>
    <m/>
    <s v="05_Shg"/>
    <x v="0"/>
    <m/>
    <m/>
    <m/>
    <m/>
    <x v="0"/>
    <s v="Project"/>
    <x v="1266"/>
    <x v="0"/>
    <x v="0"/>
    <s v="Exclude in HGB Group allocation"/>
  </r>
  <r>
    <s v="0"/>
    <m/>
    <x v="0"/>
    <x v="0"/>
    <m/>
    <m/>
    <m/>
    <n v="8080"/>
    <n v="36"/>
    <n v="2"/>
    <m/>
    <s v="01_SE"/>
    <x v="0"/>
    <m/>
    <m/>
    <m/>
    <m/>
    <x v="0"/>
    <s v="Project"/>
    <x v="1267"/>
    <x v="0"/>
    <x v="0"/>
    <s v="Exclude in HGB Group allocation"/>
  </r>
  <r>
    <s v="0"/>
    <m/>
    <x v="0"/>
    <x v="0"/>
    <m/>
    <m/>
    <m/>
    <n v="8080"/>
    <n v="37"/>
    <n v="2"/>
    <m/>
    <s v="05_Shg"/>
    <x v="0"/>
    <m/>
    <m/>
    <m/>
    <m/>
    <x v="0"/>
    <s v="Project"/>
    <x v="1268"/>
    <x v="0"/>
    <x v="0"/>
    <s v="Exclude in HGB Group allocation"/>
  </r>
  <r>
    <s v="0"/>
    <m/>
    <x v="0"/>
    <x v="0"/>
    <m/>
    <m/>
    <m/>
    <n v="8080"/>
    <n v="38"/>
    <n v="2"/>
    <m/>
    <s v="05_Shg"/>
    <x v="0"/>
    <m/>
    <m/>
    <m/>
    <m/>
    <x v="0"/>
    <s v="Project"/>
    <x v="1269"/>
    <x v="0"/>
    <x v="0"/>
    <s v="Exclude in HGB Group allocation"/>
  </r>
  <r>
    <s v="0"/>
    <m/>
    <x v="0"/>
    <x v="0"/>
    <m/>
    <m/>
    <m/>
    <n v="8080"/>
    <n v="39"/>
    <n v="2"/>
    <m/>
    <s v="05_Shg"/>
    <x v="0"/>
    <m/>
    <m/>
    <m/>
    <m/>
    <x v="0"/>
    <s v="Project"/>
    <x v="1270"/>
    <x v="0"/>
    <x v="0"/>
    <s v="Exclude in HGB Group allocation"/>
  </r>
  <r>
    <s v="0"/>
    <m/>
    <x v="0"/>
    <x v="0"/>
    <m/>
    <m/>
    <m/>
    <n v="8080"/>
    <n v="40"/>
    <n v="2"/>
    <m/>
    <s v="05_Shg"/>
    <x v="0"/>
    <m/>
    <m/>
    <m/>
    <m/>
    <x v="0"/>
    <s v="Project"/>
    <x v="1271"/>
    <x v="0"/>
    <x v="0"/>
    <s v="Exclude in HGB Group allocation"/>
  </r>
  <r>
    <s v="0"/>
    <m/>
    <x v="0"/>
    <x v="0"/>
    <m/>
    <m/>
    <m/>
    <n v="8080"/>
    <n v="41"/>
    <n v="2"/>
    <m/>
    <s v="05_Shg"/>
    <x v="0"/>
    <m/>
    <m/>
    <m/>
    <m/>
    <x v="0"/>
    <s v="Project"/>
    <x v="1272"/>
    <x v="0"/>
    <x v="0"/>
    <s v="Exclude in HGB Group allocation"/>
  </r>
  <r>
    <s v="0"/>
    <m/>
    <x v="0"/>
    <x v="0"/>
    <m/>
    <m/>
    <m/>
    <n v="8080"/>
    <n v="42"/>
    <n v="2"/>
    <m/>
    <s v="05_Shg"/>
    <x v="0"/>
    <m/>
    <m/>
    <m/>
    <m/>
    <x v="0"/>
    <s v="Project"/>
    <x v="1273"/>
    <x v="0"/>
    <x v="0"/>
    <s v="Exclude in HGB Group allocation"/>
  </r>
  <r>
    <s v="80801328"/>
    <m/>
    <x v="0"/>
    <x v="0"/>
    <m/>
    <m/>
    <m/>
    <n v="8080"/>
    <n v="13"/>
    <n v="2"/>
    <s v="80801328"/>
    <s v="05_Shg"/>
    <x v="0"/>
    <m/>
    <m/>
    <m/>
    <m/>
    <x v="0"/>
    <s v="Project"/>
    <x v="1274"/>
    <x v="0"/>
    <x v="0"/>
    <s v="Exclude in HGB Group allocation"/>
  </r>
  <r>
    <s v="80801528"/>
    <m/>
    <x v="0"/>
    <x v="0"/>
    <m/>
    <m/>
    <m/>
    <n v="8080"/>
    <n v="15"/>
    <n v="2"/>
    <s v="80801528"/>
    <s v="01_SE"/>
    <x v="0"/>
    <m/>
    <m/>
    <m/>
    <m/>
    <x v="0"/>
    <s v="Project"/>
    <x v="1275"/>
    <x v="0"/>
    <x v="0"/>
    <s v="Exclude in HGB Group allocation"/>
  </r>
  <r>
    <s v="80802028"/>
    <m/>
    <x v="0"/>
    <x v="0"/>
    <m/>
    <m/>
    <m/>
    <n v="8080"/>
    <n v="20"/>
    <n v="2"/>
    <s v="80802028"/>
    <s v="05_Shg"/>
    <x v="0"/>
    <m/>
    <m/>
    <m/>
    <m/>
    <x v="0"/>
    <s v="Project"/>
    <x v="1276"/>
    <x v="0"/>
    <x v="0"/>
    <s v="Exclude in HGB Group allocation"/>
  </r>
  <r>
    <s v="80802328"/>
    <m/>
    <x v="0"/>
    <x v="0"/>
    <m/>
    <m/>
    <m/>
    <n v="8080"/>
    <n v="23"/>
    <n v="2"/>
    <s v="80802328"/>
    <s v="05_Shg"/>
    <x v="0"/>
    <m/>
    <m/>
    <m/>
    <m/>
    <x v="0"/>
    <s v="Project"/>
    <x v="1277"/>
    <x v="0"/>
    <x v="0"/>
    <s v="Exclude in HGB Group allocation"/>
  </r>
  <r>
    <s v="80802428"/>
    <m/>
    <x v="0"/>
    <x v="0"/>
    <m/>
    <m/>
    <m/>
    <n v="8080"/>
    <n v="24"/>
    <n v="2"/>
    <s v="80802428"/>
    <s v="05_Shg"/>
    <x v="0"/>
    <m/>
    <m/>
    <m/>
    <m/>
    <x v="0"/>
    <s v="Project"/>
    <x v="1278"/>
    <x v="0"/>
    <x v="21"/>
    <s v="Exclude in HGB Group allocation"/>
  </r>
  <r>
    <s v="80802526"/>
    <m/>
    <x v="0"/>
    <x v="0"/>
    <m/>
    <m/>
    <m/>
    <n v="8080"/>
    <n v="25"/>
    <n v="2"/>
    <s v="80802526"/>
    <s v="01_SE"/>
    <x v="0"/>
    <m/>
    <m/>
    <m/>
    <m/>
    <x v="0"/>
    <s v="Project"/>
    <x v="1279"/>
    <x v="0"/>
    <x v="0"/>
    <s v="Exclude in HGB Group allocation"/>
  </r>
  <r>
    <s v="80802628"/>
    <m/>
    <x v="0"/>
    <x v="0"/>
    <m/>
    <m/>
    <m/>
    <n v="8080"/>
    <n v="26"/>
    <n v="2"/>
    <s v="80802628"/>
    <s v="05_Shg"/>
    <x v="0"/>
    <m/>
    <m/>
    <m/>
    <m/>
    <x v="0"/>
    <s v="Project"/>
    <x v="1280"/>
    <x v="0"/>
    <x v="21"/>
    <s v="Exclude in HGB Group allocation"/>
  </r>
  <r>
    <s v="80802728"/>
    <m/>
    <x v="0"/>
    <x v="0"/>
    <m/>
    <m/>
    <m/>
    <n v="8080"/>
    <n v="27"/>
    <n v="2"/>
    <s v="80802728"/>
    <s v="05_Shg"/>
    <x v="0"/>
    <m/>
    <m/>
    <m/>
    <m/>
    <x v="0"/>
    <s v="Project"/>
    <x v="1281"/>
    <x v="0"/>
    <x v="21"/>
    <s v="Exclude in HGB Group allocation"/>
  </r>
  <r>
    <s v="80802828"/>
    <m/>
    <x v="0"/>
    <x v="0"/>
    <m/>
    <m/>
    <m/>
    <n v="8080"/>
    <n v="28"/>
    <n v="2"/>
    <s v="80802828"/>
    <s v="01_SE"/>
    <x v="0"/>
    <m/>
    <m/>
    <m/>
    <m/>
    <x v="0"/>
    <s v="Project"/>
    <x v="1282"/>
    <x v="0"/>
    <x v="0"/>
    <s v="Exclude in HGB Group allocation"/>
  </r>
  <r>
    <s v="80802928"/>
    <m/>
    <x v="0"/>
    <x v="0"/>
    <m/>
    <m/>
    <m/>
    <n v="8080"/>
    <n v="29"/>
    <n v="2"/>
    <s v="80802928"/>
    <s v="05_Shg"/>
    <x v="0"/>
    <m/>
    <m/>
    <m/>
    <m/>
    <x v="0"/>
    <s v="Project"/>
    <x v="1283"/>
    <x v="0"/>
    <x v="21"/>
    <s v="Exclude in HGB Group allocation"/>
  </r>
  <r>
    <s v="80803028"/>
    <m/>
    <x v="0"/>
    <x v="0"/>
    <m/>
    <m/>
    <m/>
    <n v="8080"/>
    <n v="30"/>
    <n v="2"/>
    <s v="80803028"/>
    <s v="05_Shg"/>
    <x v="0"/>
    <m/>
    <m/>
    <m/>
    <m/>
    <x v="0"/>
    <s v="Project"/>
    <x v="1284"/>
    <x v="0"/>
    <x v="0"/>
    <s v="Exclude in HGB Group allocation"/>
  </r>
  <r>
    <s v="99966026"/>
    <m/>
    <x v="0"/>
    <x v="0"/>
    <m/>
    <m/>
    <m/>
    <n v="8080"/>
    <n v="25"/>
    <n v="2"/>
    <s v="99966026"/>
    <s v="01_SE"/>
    <x v="0"/>
    <m/>
    <m/>
    <m/>
    <m/>
    <x v="0"/>
    <s v="Project"/>
    <x v="1279"/>
    <x v="0"/>
    <x v="21"/>
    <s v="Exclude in HGB Group allocation"/>
  </r>
  <r>
    <s v="81800428"/>
    <m/>
    <x v="0"/>
    <x v="0"/>
    <m/>
    <m/>
    <m/>
    <n v="8180"/>
    <n v="4"/>
    <n v="2"/>
    <s v="81800428"/>
    <s v="05_Shg"/>
    <x v="0"/>
    <m/>
    <m/>
    <m/>
    <m/>
    <x v="0"/>
    <s v="Project"/>
    <x v="1285"/>
    <x v="0"/>
    <x v="21"/>
    <s v="Exclude in HGB Group allocation"/>
  </r>
  <r>
    <s v="81810328"/>
    <m/>
    <x v="0"/>
    <x v="0"/>
    <m/>
    <m/>
    <m/>
    <n v="8181"/>
    <n v="3"/>
    <n v="2"/>
    <s v="81810328"/>
    <s v="05_Shg"/>
    <x v="0"/>
    <m/>
    <m/>
    <m/>
    <m/>
    <x v="0"/>
    <s v="Project"/>
    <x v="1286"/>
    <x v="0"/>
    <x v="21"/>
    <s v="Exclude in HGB Group allocation"/>
  </r>
  <r>
    <s v="81820328"/>
    <m/>
    <x v="0"/>
    <x v="0"/>
    <m/>
    <m/>
    <m/>
    <n v="8182"/>
    <n v="3"/>
    <n v="2"/>
    <s v="81820328"/>
    <s v="05_Shg"/>
    <x v="0"/>
    <m/>
    <m/>
    <m/>
    <m/>
    <x v="0"/>
    <s v="Project"/>
    <x v="1287"/>
    <x v="0"/>
    <x v="21"/>
    <s v="Exclude in HGB Group allocation"/>
  </r>
  <r>
    <s v="81830328"/>
    <m/>
    <x v="0"/>
    <x v="0"/>
    <m/>
    <m/>
    <m/>
    <n v="8183"/>
    <n v="3"/>
    <n v="2"/>
    <s v="81830328"/>
    <s v="01_SE"/>
    <x v="0"/>
    <m/>
    <m/>
    <m/>
    <m/>
    <x v="0"/>
    <s v="Project"/>
    <x v="1288"/>
    <x v="0"/>
    <x v="0"/>
    <s v="Exclude in HGB Group allocation"/>
  </r>
  <r>
    <s v="81840228"/>
    <m/>
    <x v="0"/>
    <x v="0"/>
    <m/>
    <m/>
    <m/>
    <n v="8184"/>
    <n v="2"/>
    <n v="2"/>
    <s v="81840228"/>
    <s v="05_Shg"/>
    <x v="0"/>
    <m/>
    <m/>
    <m/>
    <m/>
    <x v="0"/>
    <s v="Project"/>
    <x v="1289"/>
    <x v="0"/>
    <x v="21"/>
    <s v="Exclude in HGB Group allocation"/>
  </r>
  <r>
    <s v="60190128"/>
    <m/>
    <x v="0"/>
    <x v="0"/>
    <m/>
    <m/>
    <m/>
    <n v="6019"/>
    <n v="1"/>
    <n v="2"/>
    <s v="60190128"/>
    <s v="01_SE"/>
    <x v="0"/>
    <m/>
    <m/>
    <m/>
    <m/>
    <x v="0"/>
    <s v="Project"/>
    <x v="1290"/>
    <x v="0"/>
    <x v="0"/>
    <s v="Exclude in HGB Group allocation"/>
  </r>
  <r>
    <s v="60190828"/>
    <m/>
    <x v="0"/>
    <x v="0"/>
    <m/>
    <m/>
    <m/>
    <n v="6019"/>
    <n v="8"/>
    <n v="2"/>
    <s v="60190828"/>
    <s v="01_SE"/>
    <x v="0"/>
    <m/>
    <m/>
    <m/>
    <m/>
    <x v="0"/>
    <s v="Project"/>
    <x v="1291"/>
    <x v="0"/>
    <x v="0"/>
    <s v="Exclude in HGB Group allocation"/>
  </r>
  <r>
    <s v="60190928"/>
    <m/>
    <x v="0"/>
    <x v="0"/>
    <m/>
    <m/>
    <m/>
    <n v="6019"/>
    <n v="9"/>
    <n v="2"/>
    <s v="60190928"/>
    <s v="01_SE"/>
    <x v="0"/>
    <m/>
    <m/>
    <m/>
    <m/>
    <x v="0"/>
    <s v="Project"/>
    <x v="1292"/>
    <x v="0"/>
    <x v="0"/>
    <s v="Exclude in HGB Group allocation"/>
  </r>
  <r>
    <s v="60191028"/>
    <m/>
    <x v="0"/>
    <x v="0"/>
    <m/>
    <m/>
    <m/>
    <n v="6019"/>
    <n v="10"/>
    <n v="2"/>
    <s v="60191028"/>
    <s v="01_SE"/>
    <x v="0"/>
    <m/>
    <m/>
    <m/>
    <m/>
    <x v="0"/>
    <s v="Project"/>
    <x v="1293"/>
    <x v="0"/>
    <x v="0"/>
    <s v="Exclude in HGB Group allocation"/>
  </r>
  <r>
    <s v="60191111"/>
    <m/>
    <x v="0"/>
    <x v="0"/>
    <m/>
    <m/>
    <m/>
    <n v="6019"/>
    <n v="11"/>
    <n v="1"/>
    <s v="60191111"/>
    <s v="01_SE"/>
    <x v="4"/>
    <m/>
    <m/>
    <m/>
    <m/>
    <x v="0"/>
    <s v="Project"/>
    <x v="1294"/>
    <x v="0"/>
    <x v="18"/>
    <s v="Exclude in HGB Group allocation"/>
  </r>
  <r>
    <s v="60191228"/>
    <m/>
    <x v="0"/>
    <x v="0"/>
    <m/>
    <m/>
    <m/>
    <n v="6019"/>
    <n v="12"/>
    <n v="2"/>
    <s v="60191228"/>
    <s v="01_SE"/>
    <x v="0"/>
    <m/>
    <m/>
    <m/>
    <m/>
    <x v="0"/>
    <s v="Project"/>
    <x v="1295"/>
    <x v="0"/>
    <x v="0"/>
    <s v="Exclude in HGB Group allocation"/>
  </r>
  <r>
    <s v="99968628"/>
    <m/>
    <x v="0"/>
    <x v="0"/>
    <m/>
    <m/>
    <m/>
    <n v="6019"/>
    <n v="12"/>
    <n v="2"/>
    <s v="99968628"/>
    <s v="01_SE"/>
    <x v="0"/>
    <m/>
    <m/>
    <m/>
    <m/>
    <x v="0"/>
    <s v="Project"/>
    <x v="1295"/>
    <x v="0"/>
    <x v="0"/>
    <s v="Exclude in HGB Group allocation"/>
  </r>
  <r>
    <s v="0"/>
    <m/>
    <x v="0"/>
    <x v="0"/>
    <m/>
    <m/>
    <m/>
    <n v="3168"/>
    <n v="3"/>
    <n v="2"/>
    <m/>
    <s v="05_Shg"/>
    <x v="0"/>
    <m/>
    <m/>
    <m/>
    <m/>
    <x v="0"/>
    <s v="Project"/>
    <x v="1296"/>
    <x v="0"/>
    <x v="0"/>
    <s v="Exclude in HGB Group allocation"/>
  </r>
  <r>
    <s v="0"/>
    <m/>
    <x v="0"/>
    <x v="0"/>
    <m/>
    <m/>
    <m/>
    <n v="3168"/>
    <n v="4"/>
    <n v="2"/>
    <m/>
    <s v="05_Shg"/>
    <x v="0"/>
    <m/>
    <m/>
    <m/>
    <m/>
    <x v="0"/>
    <s v="Project"/>
    <x v="1297"/>
    <x v="0"/>
    <x v="0"/>
    <s v="Exclude in HGB Group allocation"/>
  </r>
  <r>
    <s v="0"/>
    <m/>
    <x v="0"/>
    <x v="0"/>
    <m/>
    <m/>
    <m/>
    <n v="3168"/>
    <n v="2"/>
    <n v="2"/>
    <m/>
    <s v="05_Shg"/>
    <x v="0"/>
    <m/>
    <m/>
    <m/>
    <m/>
    <x v="0"/>
    <s v="Project"/>
    <x v="1298"/>
    <x v="0"/>
    <x v="0"/>
    <s v="Exclude in HGB Group allocation"/>
  </r>
  <r>
    <s v="78024111"/>
    <m/>
    <x v="0"/>
    <x v="0"/>
    <m/>
    <m/>
    <m/>
    <n v="7802"/>
    <n v="41"/>
    <n v="1"/>
    <s v="78024111"/>
    <s v="01_SE"/>
    <x v="4"/>
    <m/>
    <m/>
    <m/>
    <m/>
    <x v="0"/>
    <s v="Project"/>
    <x v="1299"/>
    <x v="0"/>
    <x v="18"/>
    <s v="Exclude in HGB Group allocation"/>
  </r>
  <r>
    <s v="78024116"/>
    <m/>
    <x v="0"/>
    <x v="0"/>
    <m/>
    <m/>
    <m/>
    <n v="7802"/>
    <n v="41"/>
    <n v="1"/>
    <s v="78024116"/>
    <s v="01_SE"/>
    <x v="4"/>
    <m/>
    <m/>
    <m/>
    <m/>
    <x v="0"/>
    <s v="Project"/>
    <x v="1299"/>
    <x v="0"/>
    <x v="19"/>
    <s v="Exclude in HGB Group allocation"/>
  </r>
  <r>
    <s v="21500843"/>
    <m/>
    <x v="0"/>
    <x v="0"/>
    <m/>
    <m/>
    <m/>
    <n v="2150"/>
    <n v="8"/>
    <n v="4"/>
    <s v="21500843"/>
    <s v="02_GmbH"/>
    <x v="1"/>
    <m/>
    <m/>
    <m/>
    <m/>
    <x v="0"/>
    <s v="Project"/>
    <x v="1300"/>
    <x v="0"/>
    <x v="1"/>
    <s v="Exclude in HGB Group allocation"/>
  </r>
  <r>
    <s v="21500844"/>
    <m/>
    <x v="0"/>
    <x v="0"/>
    <m/>
    <m/>
    <m/>
    <n v="2150"/>
    <n v="8"/>
    <n v="4"/>
    <s v="21500844"/>
    <s v="02_GmbH"/>
    <x v="1"/>
    <m/>
    <m/>
    <m/>
    <m/>
    <x v="0"/>
    <s v="Project"/>
    <x v="1300"/>
    <x v="0"/>
    <x v="2"/>
    <s v="Exclude in HGB Group allocation"/>
  </r>
  <r>
    <s v="21506447"/>
    <m/>
    <x v="0"/>
    <x v="0"/>
    <m/>
    <m/>
    <m/>
    <n v="2150"/>
    <n v="64"/>
    <n v="4"/>
    <s v="21506447"/>
    <s v="02_GmbH"/>
    <x v="1"/>
    <m/>
    <m/>
    <m/>
    <m/>
    <x v="0"/>
    <s v="Project"/>
    <x v="1301"/>
    <x v="0"/>
    <x v="20"/>
    <s v="Exclude in HGB Group allocation"/>
  </r>
  <r>
    <s v="21508641"/>
    <m/>
    <x v="0"/>
    <x v="0"/>
    <m/>
    <m/>
    <m/>
    <n v="2150"/>
    <n v="86"/>
    <n v="4"/>
    <s v="21508641"/>
    <s v="02_GmbH"/>
    <x v="1"/>
    <m/>
    <m/>
    <m/>
    <m/>
    <x v="0"/>
    <s v="Project"/>
    <x v="1302"/>
    <x v="0"/>
    <x v="22"/>
    <s v="Exclude in HGB Group allocation"/>
  </r>
  <r>
    <s v="21508642"/>
    <m/>
    <x v="0"/>
    <x v="0"/>
    <m/>
    <m/>
    <m/>
    <n v="2150"/>
    <n v="86"/>
    <n v="4"/>
    <s v="21508642"/>
    <s v="02_GmbH"/>
    <x v="1"/>
    <m/>
    <m/>
    <m/>
    <m/>
    <x v="0"/>
    <s v="Project"/>
    <x v="1302"/>
    <x v="0"/>
    <x v="23"/>
    <s v="Exclude in HGB Group allocation"/>
  </r>
  <r>
    <s v="21508643"/>
    <m/>
    <x v="0"/>
    <x v="0"/>
    <m/>
    <m/>
    <m/>
    <n v="2150"/>
    <n v="86"/>
    <n v="4"/>
    <s v="21508643"/>
    <s v="02_GmbH"/>
    <x v="1"/>
    <m/>
    <m/>
    <m/>
    <m/>
    <x v="0"/>
    <s v="Project"/>
    <x v="1302"/>
    <x v="0"/>
    <x v="1"/>
    <s v="Exclude in HGB Group allocation"/>
  </r>
  <r>
    <s v="21508644"/>
    <m/>
    <x v="0"/>
    <x v="0"/>
    <m/>
    <m/>
    <m/>
    <n v="2150"/>
    <n v="86"/>
    <n v="4"/>
    <s v="21508644"/>
    <s v="02_GmbH"/>
    <x v="1"/>
    <m/>
    <m/>
    <m/>
    <m/>
    <x v="0"/>
    <s v="Project"/>
    <x v="1302"/>
    <x v="0"/>
    <x v="2"/>
    <s v="Exclude in HGB Group allocation"/>
  </r>
  <r>
    <s v="21508647"/>
    <m/>
    <x v="0"/>
    <x v="0"/>
    <m/>
    <m/>
    <m/>
    <n v="2150"/>
    <n v="86"/>
    <n v="4"/>
    <s v="21508647"/>
    <s v="02_GmbH"/>
    <x v="1"/>
    <m/>
    <m/>
    <m/>
    <m/>
    <x v="0"/>
    <s v="Project"/>
    <x v="1302"/>
    <x v="0"/>
    <x v="20"/>
    <s v="Exclude in HGB Group allocation"/>
  </r>
  <r>
    <s v="21508847"/>
    <m/>
    <x v="0"/>
    <x v="0"/>
    <m/>
    <m/>
    <m/>
    <n v="2150"/>
    <n v="88"/>
    <n v="4"/>
    <s v="21508847"/>
    <s v="02_GmbH"/>
    <x v="1"/>
    <m/>
    <m/>
    <m/>
    <m/>
    <x v="0"/>
    <s v="Project"/>
    <x v="1303"/>
    <x v="0"/>
    <x v="21"/>
    <s v="Exclude in HGB Group allocation"/>
  </r>
  <r>
    <s v="21508947"/>
    <m/>
    <x v="0"/>
    <x v="0"/>
    <m/>
    <m/>
    <m/>
    <n v="2150"/>
    <n v="89"/>
    <n v="4"/>
    <s v="21508947"/>
    <s v="02_GmbH"/>
    <x v="1"/>
    <m/>
    <m/>
    <m/>
    <m/>
    <x v="0"/>
    <s v="Project"/>
    <x v="1304"/>
    <x v="0"/>
    <x v="21"/>
    <s v="Exclude in HGB Group allocation"/>
  </r>
  <r>
    <s v="21509028"/>
    <m/>
    <x v="0"/>
    <x v="0"/>
    <m/>
    <m/>
    <m/>
    <n v="2150"/>
    <n v="90"/>
    <n v="2"/>
    <s v="21509028"/>
    <s v="01_SE"/>
    <x v="0"/>
    <m/>
    <m/>
    <m/>
    <m/>
    <x v="0"/>
    <s v="Project"/>
    <x v="1305"/>
    <x v="0"/>
    <x v="0"/>
    <s v="Exclude in HGB Group allocation"/>
  </r>
  <r>
    <s v="99894943"/>
    <m/>
    <x v="0"/>
    <x v="0"/>
    <m/>
    <m/>
    <m/>
    <n v="2150"/>
    <n v="8"/>
    <n v="4"/>
    <s v="99894943"/>
    <s v="02_GmbH"/>
    <x v="1"/>
    <m/>
    <m/>
    <m/>
    <m/>
    <x v="0"/>
    <s v="Project"/>
    <x v="1300"/>
    <x v="0"/>
    <x v="1"/>
    <s v="Exclude in HGB Group allocation"/>
  </r>
  <r>
    <s v="99894944"/>
    <m/>
    <x v="0"/>
    <x v="0"/>
    <m/>
    <m/>
    <m/>
    <n v="2150"/>
    <n v="8"/>
    <n v="4"/>
    <s v="99894944"/>
    <s v="02_GmbH"/>
    <x v="1"/>
    <m/>
    <m/>
    <m/>
    <m/>
    <x v="0"/>
    <s v="Project"/>
    <x v="1300"/>
    <x v="0"/>
    <x v="2"/>
    <s v="Exclude in HGB Group allocation"/>
  </r>
  <r>
    <s v="99950543"/>
    <m/>
    <x v="0"/>
    <x v="0"/>
    <m/>
    <m/>
    <m/>
    <n v="2150"/>
    <n v="86"/>
    <n v="4"/>
    <s v="99950543"/>
    <s v="02_GmbH"/>
    <x v="1"/>
    <m/>
    <m/>
    <m/>
    <m/>
    <x v="0"/>
    <s v="Project"/>
    <x v="1302"/>
    <x v="0"/>
    <x v="1"/>
    <s v="Exclude in HGB Group allocation"/>
  </r>
  <r>
    <s v="99950544"/>
    <m/>
    <x v="0"/>
    <x v="0"/>
    <m/>
    <m/>
    <m/>
    <n v="2150"/>
    <n v="86"/>
    <n v="4"/>
    <s v="99950544"/>
    <s v="02_GmbH"/>
    <x v="1"/>
    <m/>
    <m/>
    <m/>
    <m/>
    <x v="0"/>
    <s v="Project"/>
    <x v="1302"/>
    <x v="0"/>
    <x v="2"/>
    <s v="Exclude in HGB Group allocation"/>
  </r>
  <r>
    <s v="0"/>
    <m/>
    <x v="0"/>
    <x v="0"/>
    <m/>
    <m/>
    <m/>
    <n v="9963"/>
    <n v="76"/>
    <n v="1"/>
    <m/>
    <s v="01_SE"/>
    <x v="4"/>
    <m/>
    <m/>
    <m/>
    <m/>
    <x v="0"/>
    <s v="Project"/>
    <x v="1306"/>
    <x v="0"/>
    <x v="18"/>
    <s v="Exclude in HGB Group allocation"/>
  </r>
  <r>
    <s v="99813311"/>
    <m/>
    <x v="0"/>
    <x v="0"/>
    <m/>
    <m/>
    <m/>
    <n v="9981"/>
    <n v="33"/>
    <n v="1"/>
    <s v="99813311"/>
    <s v="01_SE"/>
    <x v="4"/>
    <m/>
    <m/>
    <m/>
    <m/>
    <x v="0"/>
    <s v="Project"/>
    <x v="1307"/>
    <x v="0"/>
    <x v="18"/>
    <s v="Exclude in HGB Group allocation"/>
  </r>
  <r>
    <s v="99815011"/>
    <m/>
    <x v="0"/>
    <x v="0"/>
    <m/>
    <m/>
    <m/>
    <n v="9981"/>
    <n v="50"/>
    <n v="1"/>
    <s v="99815011"/>
    <s v="01_SE"/>
    <x v="4"/>
    <m/>
    <m/>
    <m/>
    <m/>
    <x v="0"/>
    <s v="Project"/>
    <x v="1308"/>
    <x v="0"/>
    <x v="18"/>
    <s v="Exclude in HGB Group allocation"/>
  </r>
  <r>
    <s v="99912911"/>
    <m/>
    <x v="0"/>
    <x v="0"/>
    <m/>
    <m/>
    <m/>
    <n v="9991"/>
    <n v="29"/>
    <n v="1"/>
    <s v="99912911"/>
    <s v="01_SE"/>
    <x v="4"/>
    <m/>
    <m/>
    <m/>
    <m/>
    <x v="0"/>
    <s v="Project"/>
    <x v="1309"/>
    <x v="0"/>
    <x v="18"/>
    <s v="Exclude in HGB Group allocation"/>
  </r>
  <r>
    <s v="99914911"/>
    <m/>
    <x v="0"/>
    <x v="0"/>
    <m/>
    <m/>
    <m/>
    <n v="9991"/>
    <n v="49"/>
    <n v="1"/>
    <s v="99914911"/>
    <s v="01_SE"/>
    <x v="4"/>
    <m/>
    <m/>
    <m/>
    <m/>
    <x v="0"/>
    <s v="Project"/>
    <x v="1310"/>
    <x v="0"/>
    <x v="18"/>
    <s v="Exclude in HGB Group allocation"/>
  </r>
  <r>
    <s v="99932311"/>
    <m/>
    <x v="0"/>
    <x v="0"/>
    <m/>
    <m/>
    <m/>
    <n v="9991"/>
    <n v="29"/>
    <n v="1"/>
    <s v="99932311"/>
    <s v="01_SE"/>
    <x v="4"/>
    <m/>
    <m/>
    <m/>
    <m/>
    <x v="0"/>
    <s v="Project"/>
    <x v="1309"/>
    <x v="0"/>
    <x v="18"/>
    <s v="Exclude in HGB Group allocation"/>
  </r>
  <r>
    <s v="99947928"/>
    <m/>
    <x v="0"/>
    <x v="0"/>
    <m/>
    <m/>
    <m/>
    <n v="9995"/>
    <n v="5"/>
    <n v="2"/>
    <s v="99947928"/>
    <s v="01_SE"/>
    <x v="0"/>
    <m/>
    <m/>
    <m/>
    <m/>
    <x v="0"/>
    <s v="Project"/>
    <x v="1311"/>
    <x v="0"/>
    <x v="0"/>
    <s v="Exclude in HGB Group allocation"/>
  </r>
  <r>
    <s v="99950511"/>
    <m/>
    <x v="0"/>
    <x v="0"/>
    <m/>
    <m/>
    <m/>
    <n v="9995"/>
    <n v="5"/>
    <n v="1"/>
    <s v="99950511"/>
    <s v="01_SE"/>
    <x v="4"/>
    <m/>
    <m/>
    <m/>
    <m/>
    <x v="0"/>
    <s v="Project"/>
    <x v="1312"/>
    <x v="0"/>
    <x v="18"/>
    <s v="Exclude in HGB Group allocation"/>
  </r>
  <r>
    <s v="99950516"/>
    <m/>
    <x v="0"/>
    <x v="0"/>
    <m/>
    <m/>
    <m/>
    <n v="9995"/>
    <n v="5"/>
    <n v="1"/>
    <s v="99950516"/>
    <s v="01_SE"/>
    <x v="4"/>
    <m/>
    <m/>
    <m/>
    <m/>
    <x v="0"/>
    <s v="Project"/>
    <x v="1312"/>
    <x v="0"/>
    <x v="19"/>
    <s v="Exclude in HGB Group allocation"/>
  </r>
  <r>
    <s v="99950528"/>
    <m/>
    <x v="0"/>
    <x v="0"/>
    <m/>
    <m/>
    <m/>
    <n v="9995"/>
    <n v="5"/>
    <n v="2"/>
    <s v="99950528"/>
    <s v="01_SE"/>
    <x v="0"/>
    <m/>
    <m/>
    <m/>
    <m/>
    <x v="0"/>
    <s v="Project"/>
    <x v="1311"/>
    <x v="0"/>
    <x v="0"/>
    <s v="Exclude in HGB Group allocation"/>
  </r>
  <r>
    <s v="99950911"/>
    <m/>
    <x v="0"/>
    <x v="0"/>
    <m/>
    <m/>
    <m/>
    <n v="9995"/>
    <n v="9"/>
    <n v="1"/>
    <s v="99950911"/>
    <s v="01_SE"/>
    <x v="4"/>
    <m/>
    <m/>
    <m/>
    <m/>
    <x v="0"/>
    <s v="Project"/>
    <x v="1313"/>
    <x v="0"/>
    <x v="18"/>
    <s v="Exclude in HGB Group allocation"/>
  </r>
  <r>
    <s v="99951311"/>
    <m/>
    <x v="0"/>
    <x v="0"/>
    <m/>
    <m/>
    <m/>
    <n v="9995"/>
    <n v="13"/>
    <n v="1"/>
    <s v="99951311"/>
    <s v="01_SE"/>
    <x v="4"/>
    <m/>
    <m/>
    <m/>
    <m/>
    <x v="0"/>
    <s v="Project"/>
    <x v="1314"/>
    <x v="0"/>
    <x v="18"/>
    <s v="Exclude in HGB Group allocation"/>
  </r>
  <r>
    <s v="99951313"/>
    <m/>
    <x v="0"/>
    <x v="0"/>
    <m/>
    <m/>
    <m/>
    <n v="9995"/>
    <n v="13"/>
    <n v="1"/>
    <s v="99951313"/>
    <s v="01_SE"/>
    <x v="4"/>
    <m/>
    <m/>
    <m/>
    <m/>
    <x v="0"/>
    <s v="Project"/>
    <x v="1314"/>
    <x v="0"/>
    <x v="17"/>
    <s v="Exclude in HGB Group allocation"/>
  </r>
  <r>
    <s v="99952013"/>
    <m/>
    <x v="0"/>
    <x v="0"/>
    <m/>
    <m/>
    <m/>
    <n v="9995"/>
    <n v="20"/>
    <n v="1"/>
    <s v="99952013"/>
    <s v="01_SE"/>
    <x v="4"/>
    <m/>
    <m/>
    <m/>
    <m/>
    <x v="0"/>
    <s v="Project"/>
    <x v="1315"/>
    <x v="0"/>
    <x v="17"/>
    <s v="Exclude in HGB Group allocation"/>
  </r>
  <r>
    <s v="99952113"/>
    <m/>
    <x v="0"/>
    <x v="0"/>
    <m/>
    <m/>
    <m/>
    <n v="9995"/>
    <n v="21"/>
    <n v="1"/>
    <s v="99952113"/>
    <s v="01_SE"/>
    <x v="4"/>
    <m/>
    <m/>
    <m/>
    <m/>
    <x v="0"/>
    <s v="Project"/>
    <x v="1316"/>
    <x v="0"/>
    <x v="17"/>
    <s v="Exclude in HGB Group allocation"/>
  </r>
  <r>
    <s v="99954513"/>
    <m/>
    <x v="0"/>
    <x v="0"/>
    <m/>
    <m/>
    <m/>
    <n v="9995"/>
    <n v="45"/>
    <n v="1"/>
    <s v="99954513"/>
    <s v="01_SE"/>
    <x v="4"/>
    <m/>
    <m/>
    <m/>
    <m/>
    <x v="0"/>
    <s v="Project"/>
    <x v="1317"/>
    <x v="0"/>
    <x v="17"/>
    <s v="Exclude in HGB Group allocation"/>
  </r>
  <r>
    <s v="99956011"/>
    <m/>
    <x v="0"/>
    <x v="0"/>
    <m/>
    <m/>
    <m/>
    <n v="9995"/>
    <n v="60"/>
    <n v="1"/>
    <s v="99956011"/>
    <s v="01_SE"/>
    <x v="4"/>
    <m/>
    <m/>
    <m/>
    <m/>
    <x v="0"/>
    <s v="Project"/>
    <x v="1318"/>
    <x v="0"/>
    <x v="18"/>
    <s v="Exclude in HGB Group allocation"/>
  </r>
  <r>
    <s v="99956013"/>
    <m/>
    <x v="0"/>
    <x v="0"/>
    <m/>
    <m/>
    <m/>
    <n v="9995"/>
    <n v="60"/>
    <n v="1"/>
    <s v="99956013"/>
    <s v="01_SE"/>
    <x v="4"/>
    <m/>
    <m/>
    <m/>
    <m/>
    <x v="0"/>
    <s v="Project"/>
    <x v="1318"/>
    <x v="0"/>
    <x v="17"/>
    <s v="Exclude in HGB Group allocation"/>
  </r>
  <r>
    <s v="99958613"/>
    <m/>
    <x v="0"/>
    <x v="0"/>
    <m/>
    <m/>
    <m/>
    <n v="9995"/>
    <n v="86"/>
    <n v="1"/>
    <s v="99958613"/>
    <s v="01_SE"/>
    <x v="4"/>
    <m/>
    <m/>
    <m/>
    <m/>
    <x v="0"/>
    <s v="Project"/>
    <x v="1319"/>
    <x v="0"/>
    <x v="17"/>
    <s v="Exclude in HGB Group allocation"/>
  </r>
  <r>
    <s v="99520128"/>
    <m/>
    <x v="0"/>
    <x v="0"/>
    <m/>
    <m/>
    <m/>
    <n v="9952"/>
    <n v="1"/>
    <n v="2"/>
    <s v="99520128"/>
    <s v="01_SE"/>
    <x v="0"/>
    <m/>
    <m/>
    <m/>
    <m/>
    <x v="0"/>
    <s v="Project"/>
    <x v="1320"/>
    <x v="0"/>
    <x v="0"/>
    <s v="Exclude in HGB Group allocation"/>
  </r>
  <r>
    <s v="99520228"/>
    <m/>
    <x v="0"/>
    <x v="0"/>
    <m/>
    <m/>
    <m/>
    <n v="9952"/>
    <n v="2"/>
    <n v="2"/>
    <s v="99520228"/>
    <s v="01_SE"/>
    <x v="0"/>
    <m/>
    <m/>
    <m/>
    <m/>
    <x v="0"/>
    <s v="Project"/>
    <x v="1321"/>
    <x v="0"/>
    <x v="0"/>
    <s v="Exclude in HGB Group allocation"/>
  </r>
  <r>
    <s v="99520328"/>
    <m/>
    <x v="0"/>
    <x v="0"/>
    <m/>
    <m/>
    <m/>
    <n v="9952"/>
    <n v="3"/>
    <n v="2"/>
    <s v="99520328"/>
    <s v="01_SE"/>
    <x v="0"/>
    <m/>
    <m/>
    <m/>
    <m/>
    <x v="0"/>
    <s v="Project"/>
    <x v="1322"/>
    <x v="0"/>
    <x v="0"/>
    <s v="Exclude in HGB Group allocation"/>
  </r>
  <r>
    <s v="75380428"/>
    <m/>
    <x v="0"/>
    <x v="0"/>
    <m/>
    <m/>
    <m/>
    <n v="7538"/>
    <n v="4"/>
    <n v="2"/>
    <s v="75380428"/>
    <s v="01_SE"/>
    <x v="0"/>
    <m/>
    <m/>
    <m/>
    <m/>
    <x v="0"/>
    <s v="Project"/>
    <x v="1323"/>
    <x v="0"/>
    <x v="0"/>
    <s v="Exclude in HGB Group allocation"/>
  </r>
  <r>
    <s v="30210428"/>
    <m/>
    <x v="0"/>
    <x v="0"/>
    <m/>
    <m/>
    <m/>
    <n v="3021"/>
    <n v="4"/>
    <n v="2"/>
    <s v="30210428"/>
    <s v="01_SE"/>
    <x v="0"/>
    <m/>
    <m/>
    <m/>
    <m/>
    <x v="0"/>
    <s v="Project"/>
    <x v="1324"/>
    <x v="0"/>
    <x v="0"/>
    <s v="Exclude in HGB Group allocation"/>
  </r>
  <r>
    <s v="0"/>
    <m/>
    <x v="0"/>
    <x v="0"/>
    <m/>
    <m/>
    <m/>
    <n v="7630"/>
    <n v="2"/>
    <n v="2"/>
    <m/>
    <s v="09_Ltda"/>
    <x v="0"/>
    <m/>
    <m/>
    <m/>
    <m/>
    <x v="0"/>
    <s v="Project"/>
    <x v="1325"/>
    <x v="0"/>
    <x v="0"/>
    <m/>
  </r>
  <r>
    <s v="0"/>
    <m/>
    <x v="0"/>
    <x v="0"/>
    <m/>
    <m/>
    <m/>
    <n v="7630"/>
    <n v="3"/>
    <n v="2"/>
    <m/>
    <s v="09_Ltda"/>
    <x v="0"/>
    <m/>
    <m/>
    <m/>
    <m/>
    <x v="0"/>
    <s v="Project"/>
    <x v="1326"/>
    <x v="0"/>
    <x v="0"/>
    <s v="Exclude in HGB Group allocation"/>
  </r>
  <r>
    <s v="0"/>
    <m/>
    <x v="0"/>
    <x v="0"/>
    <m/>
    <m/>
    <m/>
    <n v="7802"/>
    <n v="47"/>
    <n v="2"/>
    <m/>
    <s v="01_SE"/>
    <x v="0"/>
    <m/>
    <m/>
    <m/>
    <m/>
    <x v="0"/>
    <s v="Project"/>
    <x v="1327"/>
    <x v="0"/>
    <x v="25"/>
    <s v="Exclude in HGB Group allocation"/>
  </r>
  <r>
    <s v="99965128"/>
    <m/>
    <x v="0"/>
    <x v="0"/>
    <m/>
    <m/>
    <m/>
    <n v="7505"/>
    <n v="43"/>
    <n v="2"/>
    <s v="99965128"/>
    <s v="01_SE"/>
    <x v="0"/>
    <m/>
    <m/>
    <m/>
    <m/>
    <x v="0"/>
    <s v="Project"/>
    <x v="1328"/>
    <x v="0"/>
    <x v="0"/>
    <s v="Exclude in HGB Group allocation"/>
  </r>
  <r>
    <s v="0"/>
    <m/>
    <x v="0"/>
    <x v="0"/>
    <m/>
    <m/>
    <m/>
    <n v="7505"/>
    <n v="46"/>
    <n v="2"/>
    <m/>
    <s v="01_SE"/>
    <x v="0"/>
    <m/>
    <m/>
    <m/>
    <m/>
    <x v="0"/>
    <s v="Project"/>
    <x v="1329"/>
    <x v="0"/>
    <x v="0"/>
    <s v="Exclude in HGB Group allocation"/>
  </r>
  <r>
    <s v="0"/>
    <m/>
    <x v="0"/>
    <x v="0"/>
    <m/>
    <m/>
    <m/>
    <n v="7505"/>
    <n v="47"/>
    <n v="2"/>
    <m/>
    <s v="01_SE"/>
    <x v="0"/>
    <m/>
    <m/>
    <m/>
    <m/>
    <x v="0"/>
    <s v="Project"/>
    <x v="1330"/>
    <x v="0"/>
    <x v="0"/>
    <s v="Exclude in HGB Group allocation"/>
  </r>
  <r>
    <s v="0"/>
    <m/>
    <x v="0"/>
    <x v="0"/>
    <m/>
    <m/>
    <m/>
    <n v="7505"/>
    <n v="48"/>
    <n v="2"/>
    <m/>
    <s v="01_SE"/>
    <x v="0"/>
    <m/>
    <m/>
    <m/>
    <m/>
    <x v="0"/>
    <s v="Project"/>
    <x v="1331"/>
    <x v="0"/>
    <x v="0"/>
    <s v="Exclude in HGB Group allocation"/>
  </r>
  <r>
    <s v="75053228"/>
    <m/>
    <x v="0"/>
    <x v="0"/>
    <m/>
    <m/>
    <m/>
    <n v="7505"/>
    <n v="32"/>
    <n v="2"/>
    <s v="75053228"/>
    <s v="01_SE"/>
    <x v="0"/>
    <m/>
    <m/>
    <m/>
    <m/>
    <x v="0"/>
    <s v="Project"/>
    <x v="1332"/>
    <x v="0"/>
    <x v="0"/>
    <s v="Exclude in HGB Group allocation"/>
  </r>
  <r>
    <s v="75053828"/>
    <m/>
    <x v="0"/>
    <x v="0"/>
    <m/>
    <m/>
    <m/>
    <n v="7505"/>
    <n v="38"/>
    <n v="2"/>
    <s v="75053828"/>
    <s v="01_SE"/>
    <x v="0"/>
    <m/>
    <m/>
    <m/>
    <m/>
    <x v="0"/>
    <s v="Project"/>
    <x v="1333"/>
    <x v="0"/>
    <x v="0"/>
    <s v="Exclude in HGB Group allocation"/>
  </r>
  <r>
    <s v="75053928"/>
    <m/>
    <x v="0"/>
    <x v="0"/>
    <m/>
    <m/>
    <m/>
    <n v="7505"/>
    <n v="39"/>
    <n v="2"/>
    <s v="75053928"/>
    <s v="01_SE"/>
    <x v="0"/>
    <m/>
    <m/>
    <m/>
    <m/>
    <x v="0"/>
    <s v="Project"/>
    <x v="1334"/>
    <x v="0"/>
    <x v="0"/>
    <s v="Exclude in HGB Group allocation"/>
  </r>
  <r>
    <s v="75054228"/>
    <m/>
    <x v="0"/>
    <x v="0"/>
    <m/>
    <m/>
    <m/>
    <n v="7505"/>
    <n v="42"/>
    <n v="2"/>
    <s v="75054228"/>
    <s v="01_SE"/>
    <x v="0"/>
    <m/>
    <m/>
    <m/>
    <m/>
    <x v="0"/>
    <s v="Project"/>
    <x v="1335"/>
    <x v="0"/>
    <x v="0"/>
    <s v="Exclude in HGB Group allocation"/>
  </r>
  <r>
    <s v="75054328"/>
    <m/>
    <x v="0"/>
    <x v="0"/>
    <m/>
    <m/>
    <m/>
    <n v="7505"/>
    <n v="43"/>
    <n v="2"/>
    <s v="75054328"/>
    <s v="01_SE"/>
    <x v="0"/>
    <m/>
    <m/>
    <m/>
    <m/>
    <x v="0"/>
    <s v="Project"/>
    <x v="1328"/>
    <x v="0"/>
    <x v="0"/>
    <s v="Exclude in HGB Group allocation"/>
  </r>
  <r>
    <s v="75054428"/>
    <m/>
    <x v="0"/>
    <x v="0"/>
    <m/>
    <m/>
    <m/>
    <n v="7505"/>
    <n v="44"/>
    <n v="2"/>
    <s v="75054428"/>
    <s v="01_SE"/>
    <x v="0"/>
    <m/>
    <m/>
    <m/>
    <m/>
    <x v="0"/>
    <s v="Project"/>
    <x v="1336"/>
    <x v="0"/>
    <x v="0"/>
    <s v="Exclude in HGB Group allocation"/>
  </r>
  <r>
    <s v="75054528"/>
    <m/>
    <x v="0"/>
    <x v="0"/>
    <m/>
    <m/>
    <m/>
    <n v="7505"/>
    <n v="45"/>
    <n v="2"/>
    <s v="75054528"/>
    <s v="01_SE"/>
    <x v="0"/>
    <m/>
    <m/>
    <m/>
    <m/>
    <x v="0"/>
    <s v="Project"/>
    <x v="1337"/>
    <x v="0"/>
    <x v="0"/>
    <s v="Exclude in HGB Group allocation"/>
  </r>
  <r>
    <s v="99946828"/>
    <m/>
    <x v="0"/>
    <x v="0"/>
    <m/>
    <m/>
    <m/>
    <n v="7505"/>
    <n v="38"/>
    <n v="2"/>
    <s v="99946828"/>
    <s v="01_SE"/>
    <x v="0"/>
    <m/>
    <m/>
    <m/>
    <m/>
    <x v="0"/>
    <s v="Project"/>
    <x v="1333"/>
    <x v="0"/>
    <x v="0"/>
    <s v="Exclude in HGB Group allocation"/>
  </r>
  <r>
    <s v="99964428"/>
    <m/>
    <x v="0"/>
    <x v="0"/>
    <m/>
    <m/>
    <m/>
    <n v="7505"/>
    <n v="42"/>
    <n v="2"/>
    <s v="99964428"/>
    <s v="01_SE"/>
    <x v="0"/>
    <m/>
    <m/>
    <m/>
    <m/>
    <x v="0"/>
    <s v="Project"/>
    <x v="1335"/>
    <x v="0"/>
    <x v="0"/>
    <s v="Exclude in HGB Group allocation"/>
  </r>
  <r>
    <s v="0"/>
    <m/>
    <x v="0"/>
    <x v="0"/>
    <m/>
    <m/>
    <m/>
    <n v="3126"/>
    <n v="9"/>
    <n v="2"/>
    <m/>
    <s v="01_SE"/>
    <x v="0"/>
    <m/>
    <m/>
    <m/>
    <m/>
    <x v="0"/>
    <s v="Project"/>
    <x v="1338"/>
    <x v="0"/>
    <x v="0"/>
    <s v="Exclude in HGB Group allocation"/>
  </r>
  <r>
    <s v="0"/>
    <m/>
    <x v="0"/>
    <x v="0"/>
    <m/>
    <m/>
    <m/>
    <n v="3126"/>
    <n v="8"/>
    <n v="2"/>
    <m/>
    <s v="01_SE"/>
    <x v="0"/>
    <m/>
    <m/>
    <m/>
    <m/>
    <x v="0"/>
    <s v="Project"/>
    <x v="1339"/>
    <x v="0"/>
    <x v="0"/>
    <s v="Exclude in HGB Group allocation"/>
  </r>
  <r>
    <s v="0"/>
    <m/>
    <x v="0"/>
    <x v="0"/>
    <m/>
    <m/>
    <m/>
    <n v="3126"/>
    <n v="5"/>
    <n v="2"/>
    <m/>
    <s v="01_SE"/>
    <x v="0"/>
    <m/>
    <m/>
    <m/>
    <m/>
    <x v="0"/>
    <s v="Project"/>
    <x v="1340"/>
    <x v="0"/>
    <x v="0"/>
    <s v="Exclude in HGB Group allocation"/>
  </r>
  <r>
    <s v="0"/>
    <m/>
    <x v="0"/>
    <x v="0"/>
    <m/>
    <m/>
    <m/>
    <n v="3126"/>
    <n v="7"/>
    <n v="2"/>
    <m/>
    <s v="01_SE"/>
    <x v="0"/>
    <m/>
    <m/>
    <m/>
    <m/>
    <x v="0"/>
    <s v="Project"/>
    <x v="1341"/>
    <x v="0"/>
    <x v="0"/>
    <s v="Exclude in HGB Group allocation"/>
  </r>
  <r>
    <s v="0"/>
    <m/>
    <x v="0"/>
    <x v="0"/>
    <m/>
    <m/>
    <m/>
    <n v="3126"/>
    <n v="6"/>
    <n v="2"/>
    <m/>
    <s v="01_SE"/>
    <x v="0"/>
    <m/>
    <m/>
    <m/>
    <m/>
    <x v="0"/>
    <s v="Project"/>
    <x v="1342"/>
    <x v="0"/>
    <x v="0"/>
    <s v="Exclude in HGB Group allocation"/>
  </r>
  <r>
    <s v="0"/>
    <m/>
    <x v="0"/>
    <x v="0"/>
    <m/>
    <m/>
    <m/>
    <n v="3126"/>
    <n v="10"/>
    <n v="2"/>
    <m/>
    <s v="01_SE"/>
    <x v="0"/>
    <m/>
    <m/>
    <m/>
    <m/>
    <x v="0"/>
    <s v="Project"/>
    <x v="1343"/>
    <x v="0"/>
    <x v="0"/>
    <s v="Exclude in HGB Group allocation"/>
  </r>
  <r>
    <s v="0"/>
    <m/>
    <x v="0"/>
    <x v="0"/>
    <m/>
    <m/>
    <m/>
    <n v="3154"/>
    <n v="2"/>
    <n v="2"/>
    <m/>
    <s v="07_Inc"/>
    <x v="0"/>
    <m/>
    <m/>
    <m/>
    <m/>
    <x v="0"/>
    <s v="Project"/>
    <x v="1344"/>
    <x v="0"/>
    <x v="0"/>
    <s v="Exclude in HGB Group allocation"/>
  </r>
  <r>
    <s v="75360211"/>
    <m/>
    <x v="0"/>
    <x v="0"/>
    <m/>
    <m/>
    <m/>
    <n v="7536"/>
    <n v="2"/>
    <n v="1"/>
    <s v="75360211"/>
    <s v="01_SE"/>
    <x v="4"/>
    <m/>
    <m/>
    <m/>
    <m/>
    <x v="0"/>
    <s v="Project"/>
    <x v="1345"/>
    <x v="0"/>
    <x v="18"/>
    <s v="Exclude in HGB Group allocation"/>
  </r>
  <r>
    <s v="0"/>
    <m/>
    <x v="0"/>
    <x v="0"/>
    <m/>
    <m/>
    <m/>
    <n v="7636"/>
    <n v="35"/>
    <n v="2"/>
    <m/>
    <s v="01_SE"/>
    <x v="0"/>
    <m/>
    <m/>
    <m/>
    <m/>
    <x v="0"/>
    <s v="Project"/>
    <x v="1346"/>
    <x v="0"/>
    <x v="0"/>
    <s v="Exclude in HGB Group allocation"/>
  </r>
  <r>
    <s v="0"/>
    <m/>
    <x v="0"/>
    <x v="0"/>
    <m/>
    <m/>
    <m/>
    <n v="7636"/>
    <n v="36"/>
    <n v="2"/>
    <m/>
    <s v="01_SE"/>
    <x v="0"/>
    <m/>
    <m/>
    <m/>
    <m/>
    <x v="0"/>
    <s v="Project"/>
    <x v="1347"/>
    <x v="0"/>
    <x v="0"/>
    <s v="Exclude in HGB Group allocation"/>
  </r>
  <r>
    <s v="0"/>
    <m/>
    <x v="0"/>
    <x v="0"/>
    <m/>
    <m/>
    <m/>
    <n v="7636"/>
    <n v="37"/>
    <n v="2"/>
    <m/>
    <s v="01_SE"/>
    <x v="0"/>
    <m/>
    <m/>
    <m/>
    <m/>
    <x v="0"/>
    <s v="Project"/>
    <x v="1348"/>
    <x v="0"/>
    <x v="0"/>
    <s v="Exclude in HGB Group allocation"/>
  </r>
  <r>
    <s v="76360128"/>
    <m/>
    <x v="0"/>
    <x v="0"/>
    <m/>
    <m/>
    <m/>
    <n v="7636"/>
    <n v="1"/>
    <n v="2"/>
    <s v="76360128"/>
    <s v="01_SE"/>
    <x v="0"/>
    <m/>
    <m/>
    <m/>
    <m/>
    <x v="0"/>
    <s v="Project"/>
    <x v="1349"/>
    <x v="0"/>
    <x v="0"/>
    <s v="Exclude in HGB Group allocation"/>
  </r>
  <r>
    <s v="76362128"/>
    <m/>
    <x v="0"/>
    <x v="0"/>
    <m/>
    <m/>
    <m/>
    <n v="7636"/>
    <n v="21"/>
    <n v="2"/>
    <s v="76362128"/>
    <s v="01_SE"/>
    <x v="0"/>
    <m/>
    <m/>
    <m/>
    <m/>
    <x v="0"/>
    <s v="Project"/>
    <x v="1350"/>
    <x v="0"/>
    <x v="0"/>
    <s v="Exclude in HGB Group allocation"/>
  </r>
  <r>
    <s v="76362328"/>
    <m/>
    <x v="0"/>
    <x v="0"/>
    <m/>
    <m/>
    <m/>
    <n v="7636"/>
    <n v="23"/>
    <n v="2"/>
    <s v="76362328"/>
    <s v="01_SE"/>
    <x v="0"/>
    <m/>
    <m/>
    <m/>
    <m/>
    <x v="0"/>
    <s v="Project"/>
    <x v="1351"/>
    <x v="0"/>
    <x v="0"/>
    <s v="Exclude in HGB Group allocation"/>
  </r>
  <r>
    <s v="76362928"/>
    <m/>
    <x v="0"/>
    <x v="0"/>
    <m/>
    <m/>
    <m/>
    <n v="7636"/>
    <n v="29"/>
    <n v="2"/>
    <s v="76362928"/>
    <s v="01_SE"/>
    <x v="0"/>
    <m/>
    <m/>
    <m/>
    <m/>
    <x v="0"/>
    <s v="Project"/>
    <x v="1352"/>
    <x v="0"/>
    <x v="0"/>
    <s v="Exclude in HGB Group allocation"/>
  </r>
  <r>
    <s v="76363028"/>
    <m/>
    <x v="0"/>
    <x v="0"/>
    <m/>
    <m/>
    <m/>
    <n v="7636"/>
    <n v="30"/>
    <n v="2"/>
    <s v="76363028"/>
    <s v="01_SE"/>
    <x v="0"/>
    <m/>
    <m/>
    <m/>
    <m/>
    <x v="0"/>
    <s v="Project"/>
    <x v="1353"/>
    <x v="0"/>
    <x v="0"/>
    <s v="Exclude in HGB Group allocation"/>
  </r>
  <r>
    <s v="76363128"/>
    <m/>
    <x v="0"/>
    <x v="0"/>
    <m/>
    <m/>
    <m/>
    <n v="7636"/>
    <n v="31"/>
    <n v="2"/>
    <s v="76363128"/>
    <s v="01_SE"/>
    <x v="0"/>
    <m/>
    <m/>
    <m/>
    <m/>
    <x v="0"/>
    <s v="Project"/>
    <x v="1354"/>
    <x v="0"/>
    <x v="0"/>
    <s v="Exclude in HGB Group allocation"/>
  </r>
  <r>
    <s v="76363228"/>
    <m/>
    <x v="0"/>
    <x v="0"/>
    <m/>
    <m/>
    <m/>
    <n v="7636"/>
    <n v="32"/>
    <n v="2"/>
    <s v="76363228"/>
    <s v="01_SE"/>
    <x v="0"/>
    <m/>
    <m/>
    <m/>
    <m/>
    <x v="0"/>
    <s v="Project"/>
    <x v="1355"/>
    <x v="0"/>
    <x v="0"/>
    <s v="Exclude in HGB Group allocation"/>
  </r>
  <r>
    <s v="0"/>
    <m/>
    <x v="0"/>
    <x v="0"/>
    <m/>
    <m/>
    <m/>
    <n v="7636"/>
    <n v="33"/>
    <n v="2"/>
    <m/>
    <s v="01_SE"/>
    <x v="0"/>
    <m/>
    <m/>
    <m/>
    <m/>
    <x v="0"/>
    <s v="Project"/>
    <x v="1356"/>
    <x v="0"/>
    <x v="0"/>
    <s v="Exclude in HGB Group allocation"/>
  </r>
  <r>
    <s v="99967628"/>
    <m/>
    <x v="0"/>
    <x v="0"/>
    <m/>
    <m/>
    <m/>
    <n v="7636"/>
    <n v="30"/>
    <n v="2"/>
    <s v="99967628"/>
    <s v="01_SE"/>
    <x v="0"/>
    <m/>
    <m/>
    <m/>
    <m/>
    <x v="0"/>
    <s v="Project"/>
    <x v="1353"/>
    <x v="0"/>
    <x v="21"/>
    <s v="Exclude in HGB Group allocation"/>
  </r>
  <r>
    <s v="0"/>
    <m/>
    <x v="0"/>
    <x v="0"/>
    <m/>
    <m/>
    <m/>
    <n v="7655"/>
    <n v="9"/>
    <n v="2"/>
    <m/>
    <s v="01_SE"/>
    <x v="0"/>
    <m/>
    <m/>
    <m/>
    <m/>
    <x v="0"/>
    <s v="Project"/>
    <x v="1357"/>
    <x v="0"/>
    <x v="0"/>
    <s v="Exclude in HGB Group allocation"/>
  </r>
  <r>
    <s v="0"/>
    <m/>
    <x v="0"/>
    <x v="0"/>
    <m/>
    <m/>
    <m/>
    <n v="7655"/>
    <n v="10"/>
    <n v="2"/>
    <m/>
    <s v="01_SE"/>
    <x v="0"/>
    <m/>
    <m/>
    <m/>
    <m/>
    <x v="0"/>
    <s v="Project"/>
    <x v="1358"/>
    <x v="0"/>
    <x v="0"/>
    <s v="Exclude in HGB Group allocation"/>
  </r>
  <r>
    <s v="0"/>
    <m/>
    <x v="0"/>
    <x v="0"/>
    <m/>
    <m/>
    <m/>
    <n v="7655"/>
    <n v="11"/>
    <n v="2"/>
    <m/>
    <s v="01_SE"/>
    <x v="0"/>
    <m/>
    <m/>
    <m/>
    <m/>
    <x v="0"/>
    <s v="Project"/>
    <x v="1359"/>
    <x v="0"/>
    <x v="0"/>
    <s v="Exclude in HGB Group allocation"/>
  </r>
  <r>
    <s v="76550328"/>
    <m/>
    <x v="0"/>
    <x v="0"/>
    <m/>
    <m/>
    <m/>
    <n v="7655"/>
    <n v="3"/>
    <n v="2"/>
    <s v="76550328"/>
    <s v="01_SE"/>
    <x v="0"/>
    <m/>
    <m/>
    <m/>
    <m/>
    <x v="0"/>
    <s v="Project"/>
    <x v="1360"/>
    <x v="0"/>
    <x v="0"/>
    <s v="Exclude in HGB Group allocation"/>
  </r>
  <r>
    <s v="76550428"/>
    <m/>
    <x v="0"/>
    <x v="0"/>
    <m/>
    <m/>
    <m/>
    <n v="7655"/>
    <n v="4"/>
    <n v="2"/>
    <s v="76550428"/>
    <s v="01_SE"/>
    <x v="0"/>
    <m/>
    <m/>
    <m/>
    <m/>
    <x v="0"/>
    <s v="Project"/>
    <x v="1361"/>
    <x v="0"/>
    <x v="0"/>
    <s v="Exclude in HGB Group allocation"/>
  </r>
  <r>
    <s v="76550528"/>
    <m/>
    <x v="0"/>
    <x v="0"/>
    <m/>
    <m/>
    <m/>
    <n v="7655"/>
    <n v="5"/>
    <n v="2"/>
    <s v="76550528"/>
    <s v="01_SE"/>
    <x v="0"/>
    <m/>
    <m/>
    <m/>
    <m/>
    <x v="0"/>
    <s v="Project"/>
    <x v="1362"/>
    <x v="0"/>
    <x v="0"/>
    <s v="Exclude in HGB Group allocation"/>
  </r>
  <r>
    <s v="76550628"/>
    <m/>
    <x v="0"/>
    <x v="0"/>
    <m/>
    <m/>
    <m/>
    <n v="7655"/>
    <n v="6"/>
    <n v="2"/>
    <s v="76550628"/>
    <s v="01_SE"/>
    <x v="0"/>
    <m/>
    <m/>
    <m/>
    <m/>
    <x v="0"/>
    <s v="Project"/>
    <x v="1363"/>
    <x v="0"/>
    <x v="0"/>
    <s v="Exclude in HGB Group allocation"/>
  </r>
  <r>
    <s v="76550728"/>
    <m/>
    <x v="0"/>
    <x v="0"/>
    <m/>
    <m/>
    <m/>
    <n v="7655"/>
    <n v="7"/>
    <n v="2"/>
    <s v="76550728"/>
    <s v="01_SE"/>
    <x v="0"/>
    <m/>
    <m/>
    <m/>
    <m/>
    <x v="0"/>
    <s v="Project"/>
    <x v="1364"/>
    <x v="0"/>
    <x v="0"/>
    <s v="Exclude in HGB Group allocation"/>
  </r>
  <r>
    <s v="76550828"/>
    <m/>
    <x v="0"/>
    <x v="0"/>
    <m/>
    <m/>
    <m/>
    <n v="7655"/>
    <n v="8"/>
    <n v="2"/>
    <s v="76550828"/>
    <s v="01_SE"/>
    <x v="0"/>
    <m/>
    <m/>
    <m/>
    <m/>
    <x v="0"/>
    <s v="Project"/>
    <x v="1365"/>
    <x v="0"/>
    <x v="0"/>
    <s v="Exclude in HGB Group allocation"/>
  </r>
  <r>
    <s v="40060228"/>
    <m/>
    <x v="0"/>
    <x v="0"/>
    <m/>
    <m/>
    <m/>
    <n v="4006"/>
    <n v="2"/>
    <n v="2"/>
    <s v="40060228"/>
    <s v="01_SE"/>
    <x v="0"/>
    <m/>
    <m/>
    <m/>
    <m/>
    <x v="0"/>
    <s v="Project"/>
    <x v="1366"/>
    <x v="0"/>
    <x v="0"/>
    <s v="Exclude in HGB Group allocation"/>
  </r>
  <r>
    <s v="0"/>
    <m/>
    <x v="0"/>
    <x v="0"/>
    <m/>
    <m/>
    <m/>
    <n v="7049"/>
    <n v="2"/>
    <n v="2"/>
    <m/>
    <s v="01_SE"/>
    <x v="0"/>
    <m/>
    <m/>
    <m/>
    <m/>
    <x v="0"/>
    <s v="Project"/>
    <x v="1367"/>
    <x v="0"/>
    <x v="0"/>
    <s v="Exclude in HGB Group allocation"/>
  </r>
  <r>
    <s v="0"/>
    <m/>
    <x v="0"/>
    <x v="0"/>
    <m/>
    <m/>
    <m/>
    <n v="7049"/>
    <n v="3"/>
    <n v="2"/>
    <m/>
    <s v="01_SE"/>
    <x v="0"/>
    <m/>
    <m/>
    <m/>
    <m/>
    <x v="0"/>
    <s v="Project"/>
    <x v="1368"/>
    <x v="0"/>
    <x v="0"/>
    <s v="Exclude in HGB Group allocation"/>
  </r>
  <r>
    <s v="0"/>
    <m/>
    <x v="0"/>
    <x v="0"/>
    <m/>
    <m/>
    <m/>
    <n v="7049"/>
    <n v="4"/>
    <n v="2"/>
    <m/>
    <s v="01_SE"/>
    <x v="0"/>
    <m/>
    <m/>
    <m/>
    <m/>
    <x v="0"/>
    <s v="Project"/>
    <x v="1369"/>
    <x v="0"/>
    <x v="0"/>
    <s v="Exclude in HGB Group allocation"/>
  </r>
  <r>
    <s v="0"/>
    <m/>
    <x v="0"/>
    <x v="0"/>
    <m/>
    <m/>
    <m/>
    <n v="6065"/>
    <n v="8"/>
    <n v="2"/>
    <m/>
    <s v="01_SE"/>
    <x v="0"/>
    <m/>
    <m/>
    <m/>
    <m/>
    <x v="0"/>
    <s v="Project"/>
    <x v="1370"/>
    <x v="0"/>
    <x v="0"/>
    <s v="Exclude in HGB Group allocation"/>
  </r>
  <r>
    <s v="80803128"/>
    <m/>
    <x v="0"/>
    <x v="0"/>
    <m/>
    <m/>
    <m/>
    <n v="8080"/>
    <n v="31"/>
    <n v="2"/>
    <s v="80803128"/>
    <s v="01_SE"/>
    <x v="0"/>
    <m/>
    <m/>
    <m/>
    <m/>
    <x v="0"/>
    <s v="Project"/>
    <x v="1371"/>
    <x v="0"/>
    <x v="0"/>
    <s v="Exclude in HGB Group allocation"/>
  </r>
  <r>
    <s v="70110128"/>
    <m/>
    <x v="0"/>
    <x v="0"/>
    <m/>
    <m/>
    <m/>
    <n v="7011"/>
    <n v="1"/>
    <n v="2"/>
    <s v="70110128"/>
    <s v="01_SE"/>
    <x v="0"/>
    <m/>
    <m/>
    <m/>
    <m/>
    <x v="0"/>
    <s v="Project"/>
    <x v="1372"/>
    <x v="0"/>
    <x v="0"/>
    <s v="Exclude in HGB Group allocation"/>
  </r>
  <r>
    <s v="70110228"/>
    <m/>
    <x v="0"/>
    <x v="0"/>
    <m/>
    <m/>
    <m/>
    <n v="7011"/>
    <n v="2"/>
    <n v="2"/>
    <s v="70110228"/>
    <s v="01_SE"/>
    <x v="0"/>
    <m/>
    <m/>
    <m/>
    <m/>
    <x v="0"/>
    <s v="Project"/>
    <x v="1373"/>
    <x v="0"/>
    <x v="0"/>
    <s v="Exclude in HGB Group allocation"/>
  </r>
  <r>
    <s v="70110311"/>
    <m/>
    <x v="0"/>
    <x v="0"/>
    <m/>
    <m/>
    <m/>
    <n v="7011"/>
    <n v="3"/>
    <n v="1"/>
    <s v="70110311"/>
    <s v="01_SE"/>
    <x v="4"/>
    <m/>
    <m/>
    <m/>
    <m/>
    <x v="0"/>
    <s v="Project"/>
    <x v="1374"/>
    <x v="0"/>
    <x v="18"/>
    <s v="Exclude in HGB Group allocation"/>
  </r>
  <r>
    <s v="70110316"/>
    <m/>
    <x v="0"/>
    <x v="0"/>
    <m/>
    <m/>
    <m/>
    <n v="7011"/>
    <n v="3"/>
    <n v="1"/>
    <s v="70110316"/>
    <s v="01_SE"/>
    <x v="4"/>
    <m/>
    <m/>
    <m/>
    <m/>
    <x v="0"/>
    <s v="Project"/>
    <x v="1374"/>
    <x v="0"/>
    <x v="19"/>
    <s v="Exclude in HGB Group allocation"/>
  </r>
  <r>
    <s v="0"/>
    <m/>
    <x v="0"/>
    <x v="0"/>
    <m/>
    <m/>
    <m/>
    <n v="7670"/>
    <n v="2"/>
    <n v="4"/>
    <m/>
    <s v="05_Shg"/>
    <x v="1"/>
    <m/>
    <m/>
    <m/>
    <m/>
    <x v="0"/>
    <s v="Project"/>
    <x v="1375"/>
    <x v="0"/>
    <x v="1"/>
    <s v="Exclude in HGB Group allocation"/>
  </r>
  <r>
    <s v="0"/>
    <m/>
    <x v="0"/>
    <x v="0"/>
    <m/>
    <m/>
    <m/>
    <n v="6400"/>
    <n v="9"/>
    <n v="2"/>
    <m/>
    <s v="01_SE"/>
    <x v="0"/>
    <m/>
    <m/>
    <m/>
    <m/>
    <x v="0"/>
    <s v="Project"/>
    <x v="1376"/>
    <x v="0"/>
    <x v="0"/>
    <s v="Exclude in HGB Group allocation"/>
  </r>
  <r>
    <s v="0"/>
    <m/>
    <x v="0"/>
    <x v="0"/>
    <m/>
    <m/>
    <m/>
    <n v="7629"/>
    <n v="4"/>
    <n v="2"/>
    <m/>
    <s v="05_Shg"/>
    <x v="0"/>
    <m/>
    <m/>
    <m/>
    <m/>
    <x v="0"/>
    <s v="Project"/>
    <x v="1377"/>
    <x v="0"/>
    <x v="0"/>
    <s v="Exclude in HGB Group allocation"/>
  </r>
  <r>
    <s v="0"/>
    <m/>
    <x v="0"/>
    <x v="0"/>
    <m/>
    <m/>
    <m/>
    <n v="7629"/>
    <n v="5"/>
    <n v="2"/>
    <m/>
    <s v="05_Shg"/>
    <x v="0"/>
    <m/>
    <m/>
    <m/>
    <m/>
    <x v="0"/>
    <s v="Project"/>
    <x v="1378"/>
    <x v="0"/>
    <x v="0"/>
    <s v="Exclude in HGB Group allocation"/>
  </r>
  <r>
    <s v="0"/>
    <m/>
    <x v="0"/>
    <x v="0"/>
    <m/>
    <m/>
    <m/>
    <n v="7629"/>
    <n v="6"/>
    <n v="2"/>
    <m/>
    <s v="05_Shg"/>
    <x v="0"/>
    <m/>
    <m/>
    <m/>
    <m/>
    <x v="0"/>
    <s v="Project"/>
    <x v="1379"/>
    <x v="0"/>
    <x v="0"/>
    <s v="Exclude in HGB Group allocation"/>
  </r>
  <r>
    <s v="0"/>
    <m/>
    <x v="0"/>
    <x v="0"/>
    <m/>
    <m/>
    <m/>
    <n v="7629"/>
    <n v="7"/>
    <n v="2"/>
    <m/>
    <s v="05_Shg"/>
    <x v="0"/>
    <m/>
    <m/>
    <m/>
    <m/>
    <x v="0"/>
    <s v="Project"/>
    <x v="1380"/>
    <x v="0"/>
    <x v="0"/>
    <s v="Exclude in HGB Group allocation"/>
  </r>
  <r>
    <s v="0"/>
    <m/>
    <x v="0"/>
    <x v="0"/>
    <m/>
    <m/>
    <m/>
    <n v="7629"/>
    <n v="8"/>
    <n v="2"/>
    <m/>
    <s v="05_Shg"/>
    <x v="0"/>
    <m/>
    <m/>
    <m/>
    <m/>
    <x v="0"/>
    <s v="Project"/>
    <x v="1381"/>
    <x v="0"/>
    <x v="0"/>
    <s v="Exclude in HGB Group allocation"/>
  </r>
  <r>
    <s v="0"/>
    <m/>
    <x v="0"/>
    <x v="0"/>
    <m/>
    <m/>
    <m/>
    <n v="7629"/>
    <n v="9"/>
    <n v="2"/>
    <m/>
    <s v="05_Shg"/>
    <x v="0"/>
    <m/>
    <m/>
    <m/>
    <m/>
    <x v="0"/>
    <s v="Project"/>
    <x v="1382"/>
    <x v="0"/>
    <x v="0"/>
    <s v="Exclude in HGB Group allocation"/>
  </r>
  <r>
    <s v="76290226"/>
    <m/>
    <x v="0"/>
    <x v="0"/>
    <m/>
    <m/>
    <m/>
    <n v="7629"/>
    <n v="2"/>
    <n v="2"/>
    <s v="76290226"/>
    <s v="05_Shg"/>
    <x v="0"/>
    <m/>
    <m/>
    <m/>
    <m/>
    <x v="0"/>
    <s v="Project"/>
    <x v="1383"/>
    <x v="0"/>
    <x v="0"/>
    <s v="Exclude in HGB Group allocation"/>
  </r>
  <r>
    <s v="0"/>
    <m/>
    <x v="0"/>
    <x v="0"/>
    <m/>
    <m/>
    <m/>
    <n v="7629"/>
    <n v="3"/>
    <n v="2"/>
    <m/>
    <s v="05_Shg"/>
    <x v="0"/>
    <m/>
    <m/>
    <m/>
    <m/>
    <x v="0"/>
    <s v="Project"/>
    <x v="1384"/>
    <x v="0"/>
    <x v="0"/>
    <s v="Exclude in HGB Group allocation"/>
  </r>
  <r>
    <s v="75241228"/>
    <m/>
    <x v="0"/>
    <x v="0"/>
    <m/>
    <m/>
    <m/>
    <n v="7524"/>
    <n v="12"/>
    <n v="2"/>
    <s v="75241228"/>
    <s v="01_SE"/>
    <x v="0"/>
    <m/>
    <m/>
    <m/>
    <m/>
    <x v="0"/>
    <s v="Project"/>
    <x v="1385"/>
    <x v="0"/>
    <x v="0"/>
    <s v="Exclude in HGB Group allocation"/>
  </r>
  <r>
    <s v="0"/>
    <m/>
    <x v="0"/>
    <x v="0"/>
    <m/>
    <m/>
    <m/>
    <n v="7692"/>
    <n v="2"/>
    <n v="2"/>
    <m/>
    <s v="01_SE"/>
    <x v="0"/>
    <m/>
    <m/>
    <m/>
    <m/>
    <x v="0"/>
    <s v="Project"/>
    <x v="1386"/>
    <x v="0"/>
    <x v="0"/>
    <s v="Exclude in HGB Group allocation"/>
  </r>
  <r>
    <s v="77000528"/>
    <m/>
    <x v="0"/>
    <x v="0"/>
    <m/>
    <m/>
    <m/>
    <n v="7700"/>
    <n v="5"/>
    <n v="2"/>
    <s v="77000528"/>
    <s v="07_Inc"/>
    <x v="0"/>
    <m/>
    <m/>
    <m/>
    <m/>
    <x v="0"/>
    <s v="Project"/>
    <x v="1387"/>
    <x v="0"/>
    <x v="0"/>
    <s v="Exclude in HGB Group allocation"/>
  </r>
  <r>
    <s v="77000628"/>
    <m/>
    <x v="0"/>
    <x v="0"/>
    <m/>
    <m/>
    <m/>
    <n v="7700"/>
    <n v="6"/>
    <n v="2"/>
    <s v="77000628"/>
    <s v="05_Shg"/>
    <x v="0"/>
    <m/>
    <m/>
    <m/>
    <m/>
    <x v="0"/>
    <s v="Project"/>
    <x v="1388"/>
    <x v="0"/>
    <x v="0"/>
    <s v="Exclude in HGB Group allocation"/>
  </r>
  <r>
    <s v="77000728"/>
    <m/>
    <x v="0"/>
    <x v="0"/>
    <m/>
    <m/>
    <m/>
    <n v="7700"/>
    <n v="7"/>
    <n v="2"/>
    <s v="77000728"/>
    <s v="05_Shg"/>
    <x v="0"/>
    <m/>
    <m/>
    <m/>
    <m/>
    <x v="0"/>
    <s v="Project"/>
    <x v="1389"/>
    <x v="0"/>
    <x v="0"/>
    <s v="Exclude in HGB Group allocation"/>
  </r>
  <r>
    <s v="0"/>
    <m/>
    <x v="0"/>
    <x v="0"/>
    <m/>
    <m/>
    <m/>
    <n v="7700"/>
    <n v="8"/>
    <n v="2"/>
    <m/>
    <s v="05_Shg"/>
    <x v="0"/>
    <m/>
    <m/>
    <m/>
    <m/>
    <x v="0"/>
    <s v="Project"/>
    <x v="1390"/>
    <x v="0"/>
    <x v="0"/>
    <s v="Exclude in HGB Group allocation"/>
  </r>
  <r>
    <s v="77020328"/>
    <m/>
    <x v="0"/>
    <x v="0"/>
    <m/>
    <m/>
    <m/>
    <n v="7702"/>
    <n v="3"/>
    <n v="2"/>
    <s v="77020328"/>
    <s v="05_Shg"/>
    <x v="0"/>
    <m/>
    <m/>
    <m/>
    <m/>
    <x v="0"/>
    <s v="Project"/>
    <x v="1391"/>
    <x v="0"/>
    <x v="0"/>
    <s v="Exclude in HGB Group allocation"/>
  </r>
  <r>
    <s v="77020428"/>
    <m/>
    <x v="0"/>
    <x v="0"/>
    <m/>
    <m/>
    <m/>
    <n v="7702"/>
    <n v="4"/>
    <n v="2"/>
    <s v="77020428"/>
    <s v="05_Shg"/>
    <x v="0"/>
    <m/>
    <m/>
    <m/>
    <m/>
    <x v="0"/>
    <s v="Project"/>
    <x v="1392"/>
    <x v="0"/>
    <x v="21"/>
    <s v="Exclude in HGB Group allocation"/>
  </r>
  <r>
    <s v="0"/>
    <m/>
    <x v="0"/>
    <x v="0"/>
    <m/>
    <m/>
    <m/>
    <n v="7663"/>
    <n v="2"/>
    <n v="2"/>
    <m/>
    <s v="09_Ltda"/>
    <x v="0"/>
    <m/>
    <m/>
    <m/>
    <m/>
    <x v="0"/>
    <s v="Project"/>
    <x v="1393"/>
    <x v="0"/>
    <x v="0"/>
    <s v="Exclude in HGB Group allocation"/>
  </r>
  <r>
    <s v="0"/>
    <m/>
    <x v="0"/>
    <x v="0"/>
    <m/>
    <m/>
    <m/>
    <n v="2051"/>
    <n v="36"/>
    <n v="2"/>
    <m/>
    <s v="01_SE"/>
    <x v="0"/>
    <m/>
    <m/>
    <m/>
    <m/>
    <x v="0"/>
    <s v="Project"/>
    <x v="1394"/>
    <x v="0"/>
    <x v="0"/>
    <s v="Exclude in HGB Group allocation"/>
  </r>
  <r>
    <s v="0"/>
    <m/>
    <x v="0"/>
    <x v="0"/>
    <m/>
    <m/>
    <m/>
    <n v="2051"/>
    <n v="37"/>
    <n v="2"/>
    <m/>
    <s v="01_SE"/>
    <x v="0"/>
    <m/>
    <m/>
    <m/>
    <m/>
    <x v="0"/>
    <s v="Project"/>
    <x v="1395"/>
    <x v="0"/>
    <x v="0"/>
    <m/>
  </r>
  <r>
    <s v="20512144"/>
    <m/>
    <x v="0"/>
    <x v="0"/>
    <m/>
    <m/>
    <m/>
    <n v="2051"/>
    <n v="21"/>
    <n v="4"/>
    <s v="20512144"/>
    <s v="02_GmbH"/>
    <x v="1"/>
    <m/>
    <m/>
    <m/>
    <m/>
    <x v="0"/>
    <s v="Project"/>
    <x v="1396"/>
    <x v="0"/>
    <x v="2"/>
    <s v="Exclude in HGB Group allocation"/>
  </r>
  <r>
    <s v="20513143"/>
    <m/>
    <x v="0"/>
    <x v="0"/>
    <m/>
    <m/>
    <m/>
    <n v="2051"/>
    <n v="31"/>
    <n v="4"/>
    <s v="20513143"/>
    <s v="02_GmbH"/>
    <x v="1"/>
    <m/>
    <m/>
    <m/>
    <m/>
    <x v="0"/>
    <s v="Project"/>
    <x v="1397"/>
    <x v="0"/>
    <x v="1"/>
    <s v="Exclude in HGB Group allocation"/>
  </r>
  <r>
    <s v="20513144"/>
    <m/>
    <x v="0"/>
    <x v="0"/>
    <m/>
    <m/>
    <m/>
    <n v="2051"/>
    <n v="31"/>
    <n v="4"/>
    <s v="20513144"/>
    <s v="02_GmbH"/>
    <x v="1"/>
    <m/>
    <m/>
    <m/>
    <m/>
    <x v="0"/>
    <s v="Project"/>
    <x v="1397"/>
    <x v="0"/>
    <x v="2"/>
    <s v="Exclude in HGB Group allocation"/>
  </r>
  <r>
    <s v="20513147"/>
    <m/>
    <x v="0"/>
    <x v="0"/>
    <m/>
    <m/>
    <m/>
    <n v="2051"/>
    <n v="31"/>
    <n v="4"/>
    <s v="20513147"/>
    <s v="02_GmbH"/>
    <x v="1"/>
    <m/>
    <m/>
    <m/>
    <m/>
    <x v="0"/>
    <s v="Project"/>
    <x v="1397"/>
    <x v="0"/>
    <x v="20"/>
    <s v="Exclude in HGB Group allocation"/>
  </r>
  <r>
    <s v="20513212"/>
    <m/>
    <x v="0"/>
    <x v="0"/>
    <m/>
    <m/>
    <m/>
    <n v="2051"/>
    <n v="32"/>
    <n v="1"/>
    <s v="20513212"/>
    <s v="01_SE"/>
    <x v="4"/>
    <m/>
    <m/>
    <m/>
    <m/>
    <x v="0"/>
    <s v="Project"/>
    <x v="1398"/>
    <x v="0"/>
    <x v="18"/>
    <s v="Exclude in HGB Group allocation"/>
  </r>
  <r>
    <s v="20513343"/>
    <m/>
    <x v="0"/>
    <x v="0"/>
    <m/>
    <m/>
    <m/>
    <n v="2051"/>
    <n v="33"/>
    <n v="4"/>
    <s v="20513343"/>
    <s v="02_GmbH"/>
    <x v="1"/>
    <m/>
    <m/>
    <m/>
    <m/>
    <x v="0"/>
    <s v="Project"/>
    <x v="1399"/>
    <x v="0"/>
    <x v="1"/>
    <s v="Exclude in HGB Group allocation"/>
  </r>
  <r>
    <s v="20513447"/>
    <m/>
    <x v="0"/>
    <x v="0"/>
    <m/>
    <m/>
    <m/>
    <n v="2051"/>
    <n v="34"/>
    <n v="4"/>
    <s v="20513447"/>
    <s v="02_GmbH"/>
    <x v="1"/>
    <m/>
    <m/>
    <m/>
    <m/>
    <x v="0"/>
    <s v="Project"/>
    <x v="1400"/>
    <x v="0"/>
    <x v="21"/>
    <s v="Exclude in HGB Group allocation"/>
  </r>
  <r>
    <s v="20513547"/>
    <m/>
    <x v="0"/>
    <x v="0"/>
    <m/>
    <m/>
    <m/>
    <n v="2051"/>
    <n v="35"/>
    <n v="4"/>
    <s v="20513547"/>
    <s v="02_GmbH"/>
    <x v="1"/>
    <m/>
    <m/>
    <m/>
    <m/>
    <x v="0"/>
    <s v="Project"/>
    <x v="1401"/>
    <x v="0"/>
    <x v="21"/>
    <s v="Exclude in HGB Group allocation"/>
  </r>
  <r>
    <s v="99894543"/>
    <m/>
    <x v="0"/>
    <x v="0"/>
    <m/>
    <m/>
    <m/>
    <n v="2051"/>
    <n v="31"/>
    <n v="4"/>
    <s v="99894543"/>
    <s v="02_GmbH"/>
    <x v="1"/>
    <m/>
    <m/>
    <m/>
    <m/>
    <x v="0"/>
    <s v="Project"/>
    <x v="1397"/>
    <x v="0"/>
    <x v="1"/>
    <s v="Exclude in HGB Group allocation"/>
  </r>
  <r>
    <s v="0"/>
    <m/>
    <x v="0"/>
    <x v="0"/>
    <m/>
    <m/>
    <m/>
    <n v="2065"/>
    <n v="6"/>
    <n v="2"/>
    <m/>
    <s v="01_SE"/>
    <x v="0"/>
    <m/>
    <m/>
    <m/>
    <m/>
    <x v="0"/>
    <s v="Project"/>
    <x v="1402"/>
    <x v="0"/>
    <x v="0"/>
    <s v="Exclude in HGB Group allocation"/>
  </r>
  <r>
    <s v="0"/>
    <m/>
    <x v="0"/>
    <x v="0"/>
    <m/>
    <m/>
    <m/>
    <n v="2065"/>
    <n v="7"/>
    <n v="2"/>
    <m/>
    <s v="01_SE"/>
    <x v="0"/>
    <m/>
    <m/>
    <m/>
    <m/>
    <x v="0"/>
    <s v="Project"/>
    <x v="1403"/>
    <x v="0"/>
    <x v="0"/>
    <s v="Exclude in HGB Group allocation"/>
  </r>
  <r>
    <s v="0"/>
    <m/>
    <x v="0"/>
    <x v="0"/>
    <m/>
    <m/>
    <m/>
    <n v="2129"/>
    <n v="2"/>
    <n v="1"/>
    <m/>
    <s v="01_SE"/>
    <x v="4"/>
    <m/>
    <m/>
    <m/>
    <m/>
    <x v="0"/>
    <s v="Project"/>
    <x v="1404"/>
    <x v="0"/>
    <x v="19"/>
    <s v="Exclude in HGB Group allocation"/>
  </r>
  <r>
    <s v="0"/>
    <m/>
    <x v="0"/>
    <x v="0"/>
    <m/>
    <m/>
    <m/>
    <n v="9963"/>
    <n v="76"/>
    <n v="1"/>
    <m/>
    <s v="01_SE"/>
    <x v="4"/>
    <m/>
    <m/>
    <m/>
    <m/>
    <x v="0"/>
    <s v="Project"/>
    <x v="1306"/>
    <x v="0"/>
    <x v="17"/>
    <s v="Exclude in HGB Group allocation"/>
  </r>
  <r>
    <s v="0"/>
    <m/>
    <x v="0"/>
    <x v="0"/>
    <m/>
    <m/>
    <m/>
    <n v="9963"/>
    <n v="76"/>
    <n v="1"/>
    <m/>
    <s v="01_SE"/>
    <x v="4"/>
    <m/>
    <m/>
    <m/>
    <m/>
    <x v="0"/>
    <s v="Project"/>
    <x v="1306"/>
    <x v="0"/>
    <x v="19"/>
    <s v="Exclude in HGB Group allocation"/>
  </r>
  <r>
    <s v="0"/>
    <m/>
    <x v="0"/>
    <x v="0"/>
    <m/>
    <m/>
    <m/>
    <n v="9963"/>
    <n v="77"/>
    <n v="2"/>
    <m/>
    <s v="01_SE"/>
    <x v="0"/>
    <m/>
    <m/>
    <m/>
    <m/>
    <x v="0"/>
    <s v="Project"/>
    <x v="1405"/>
    <x v="0"/>
    <x v="0"/>
    <s v="Exclude in HGB Group allocation"/>
  </r>
  <r>
    <s v="0"/>
    <m/>
    <x v="0"/>
    <x v="0"/>
    <m/>
    <m/>
    <m/>
    <n v="9963"/>
    <n v="78"/>
    <n v="1"/>
    <m/>
    <s v="01_SE"/>
    <x v="4"/>
    <m/>
    <m/>
    <m/>
    <m/>
    <x v="0"/>
    <s v="Project"/>
    <x v="1406"/>
    <x v="0"/>
    <x v="18"/>
    <s v="Exclude in HGB Group allocation"/>
  </r>
  <r>
    <s v="0"/>
    <m/>
    <x v="0"/>
    <x v="0"/>
    <m/>
    <m/>
    <m/>
    <n v="9963"/>
    <n v="78"/>
    <n v="1"/>
    <m/>
    <s v="01_SE"/>
    <x v="4"/>
    <m/>
    <m/>
    <m/>
    <m/>
    <x v="0"/>
    <s v="Project"/>
    <x v="1406"/>
    <x v="0"/>
    <x v="17"/>
    <s v="Exclude in HGB Group allocation"/>
  </r>
  <r>
    <s v="0"/>
    <m/>
    <x v="0"/>
    <x v="0"/>
    <m/>
    <m/>
    <m/>
    <n v="9963"/>
    <n v="78"/>
    <n v="1"/>
    <m/>
    <s v="01_SE"/>
    <x v="4"/>
    <m/>
    <m/>
    <m/>
    <m/>
    <x v="0"/>
    <s v="Project"/>
    <x v="1406"/>
    <x v="0"/>
    <x v="19"/>
    <s v="Exclude in HGB Group allocation"/>
  </r>
  <r>
    <s v="99931311"/>
    <m/>
    <x v="0"/>
    <x v="0"/>
    <m/>
    <m/>
    <m/>
    <n v="9981"/>
    <n v="50"/>
    <n v="1"/>
    <s v="99931311"/>
    <s v="01_SE"/>
    <x v="4"/>
    <m/>
    <m/>
    <m/>
    <m/>
    <x v="0"/>
    <s v="Project"/>
    <x v="1308"/>
    <x v="0"/>
    <x v="18"/>
    <s v="Exclude in HGB Group allocation"/>
  </r>
  <r>
    <s v="99888411"/>
    <m/>
    <x v="0"/>
    <x v="0"/>
    <m/>
    <m/>
    <m/>
    <n v="9988"/>
    <n v="84"/>
    <n v="1"/>
    <s v="99888411"/>
    <s v="01_SE"/>
    <x v="4"/>
    <m/>
    <m/>
    <m/>
    <m/>
    <x v="0"/>
    <s v="Project"/>
    <x v="1407"/>
    <x v="0"/>
    <x v="18"/>
    <s v="Exclude in HGB Group allocation"/>
  </r>
  <r>
    <s v="99888413"/>
    <m/>
    <x v="0"/>
    <x v="0"/>
    <m/>
    <m/>
    <m/>
    <n v="9988"/>
    <n v="84"/>
    <n v="1"/>
    <s v="99888413"/>
    <s v="01_SE"/>
    <x v="4"/>
    <m/>
    <m/>
    <m/>
    <m/>
    <x v="0"/>
    <s v="Project"/>
    <x v="1407"/>
    <x v="0"/>
    <x v="17"/>
    <s v="Exclude in HGB Group allocation"/>
  </r>
  <r>
    <s v="99931611"/>
    <m/>
    <x v="0"/>
    <x v="0"/>
    <m/>
    <m/>
    <m/>
    <n v="9988"/>
    <n v="84"/>
    <n v="1"/>
    <s v="99931611"/>
    <s v="01_SE"/>
    <x v="4"/>
    <m/>
    <m/>
    <m/>
    <m/>
    <x v="0"/>
    <s v="Project"/>
    <x v="1407"/>
    <x v="0"/>
    <x v="18"/>
    <s v="Exclude in HGB Group allocation"/>
  </r>
  <r>
    <s v="99894011"/>
    <m/>
    <x v="0"/>
    <x v="0"/>
    <m/>
    <m/>
    <m/>
    <n v="9989"/>
    <n v="40"/>
    <n v="1"/>
    <s v="99894011"/>
    <s v="01_SE"/>
    <x v="4"/>
    <m/>
    <m/>
    <m/>
    <m/>
    <x v="0"/>
    <s v="Project"/>
    <x v="1408"/>
    <x v="0"/>
    <x v="18"/>
    <s v="Exclude in HGB Group allocation"/>
  </r>
  <r>
    <s v="99910913"/>
    <m/>
    <x v="0"/>
    <x v="0"/>
    <m/>
    <m/>
    <m/>
    <n v="9991"/>
    <n v="9"/>
    <n v="1"/>
    <s v="99910913"/>
    <s v="01_SE"/>
    <x v="4"/>
    <m/>
    <m/>
    <m/>
    <m/>
    <x v="0"/>
    <s v="Project"/>
    <x v="1409"/>
    <x v="0"/>
    <x v="17"/>
    <s v="Exclude in HGB Group allocation"/>
  </r>
  <r>
    <s v="99912613"/>
    <m/>
    <x v="0"/>
    <x v="0"/>
    <m/>
    <m/>
    <m/>
    <n v="9991"/>
    <n v="26"/>
    <n v="1"/>
    <s v="99912613"/>
    <s v="01_SE"/>
    <x v="4"/>
    <m/>
    <m/>
    <m/>
    <m/>
    <x v="0"/>
    <s v="Project"/>
    <x v="1410"/>
    <x v="0"/>
    <x v="17"/>
    <s v="Exclude in HGB Group allocation"/>
  </r>
  <r>
    <s v="99955913"/>
    <m/>
    <x v="0"/>
    <x v="0"/>
    <m/>
    <m/>
    <m/>
    <n v="9995"/>
    <n v="59"/>
    <n v="1"/>
    <s v="99955913"/>
    <s v="01_SE"/>
    <x v="4"/>
    <m/>
    <m/>
    <m/>
    <m/>
    <x v="0"/>
    <s v="Project"/>
    <x v="1411"/>
    <x v="0"/>
    <x v="17"/>
    <s v="Exclude in HGB Group allocation"/>
  </r>
  <r>
    <s v="99957516"/>
    <m/>
    <x v="0"/>
    <x v="0"/>
    <m/>
    <m/>
    <m/>
    <n v="9995"/>
    <n v="75"/>
    <n v="1"/>
    <s v="99957516"/>
    <s v="01_SE"/>
    <x v="4"/>
    <m/>
    <m/>
    <m/>
    <m/>
    <x v="0"/>
    <s v="Project"/>
    <x v="1412"/>
    <x v="0"/>
    <x v="19"/>
    <s v="Exclude in HGB Group allocation"/>
  </r>
  <r>
    <s v="99957913"/>
    <m/>
    <x v="0"/>
    <x v="0"/>
    <m/>
    <m/>
    <m/>
    <n v="9995"/>
    <n v="79"/>
    <n v="1"/>
    <s v="99957913"/>
    <s v="01_SE"/>
    <x v="4"/>
    <m/>
    <m/>
    <m/>
    <m/>
    <x v="0"/>
    <s v="Project"/>
    <x v="1413"/>
    <x v="0"/>
    <x v="17"/>
    <s v="Exclude in HGB Group allocation"/>
  </r>
  <r>
    <s v="99958113"/>
    <m/>
    <x v="0"/>
    <x v="0"/>
    <m/>
    <m/>
    <m/>
    <n v="9995"/>
    <n v="81"/>
    <n v="1"/>
    <s v="99958113"/>
    <s v="01_SE"/>
    <x v="4"/>
    <m/>
    <m/>
    <m/>
    <m/>
    <x v="0"/>
    <s v="Project"/>
    <x v="1414"/>
    <x v="0"/>
    <x v="17"/>
    <s v="Exclude in HGB Group allocation"/>
  </r>
  <r>
    <s v="99959011"/>
    <m/>
    <x v="0"/>
    <x v="0"/>
    <m/>
    <m/>
    <m/>
    <n v="9995"/>
    <n v="90"/>
    <n v="1"/>
    <s v="99959011"/>
    <s v="01_SE"/>
    <x v="4"/>
    <m/>
    <m/>
    <m/>
    <m/>
    <x v="0"/>
    <s v="Project"/>
    <x v="1415"/>
    <x v="0"/>
    <x v="18"/>
    <s v="Exclude in HGB Group allocation"/>
  </r>
  <r>
    <s v="99959013"/>
    <m/>
    <x v="0"/>
    <x v="0"/>
    <m/>
    <m/>
    <m/>
    <n v="9995"/>
    <n v="90"/>
    <n v="1"/>
    <s v="99959013"/>
    <s v="01_SE"/>
    <x v="4"/>
    <m/>
    <m/>
    <m/>
    <m/>
    <x v="0"/>
    <s v="Project"/>
    <x v="1415"/>
    <x v="0"/>
    <x v="17"/>
    <s v="Exclude in HGB Group allocation"/>
  </r>
  <r>
    <s v="99959111"/>
    <m/>
    <x v="0"/>
    <x v="0"/>
    <m/>
    <m/>
    <m/>
    <n v="9995"/>
    <n v="91"/>
    <n v="1"/>
    <s v="99959111"/>
    <s v="01_SE"/>
    <x v="4"/>
    <m/>
    <m/>
    <m/>
    <m/>
    <x v="0"/>
    <s v="Project"/>
    <x v="1416"/>
    <x v="0"/>
    <x v="18"/>
    <s v="Exclude in HGB Group allocation"/>
  </r>
  <r>
    <s v="99959113"/>
    <m/>
    <x v="0"/>
    <x v="0"/>
    <m/>
    <m/>
    <m/>
    <n v="9995"/>
    <n v="91"/>
    <n v="1"/>
    <s v="99959113"/>
    <s v="01_SE"/>
    <x v="4"/>
    <m/>
    <m/>
    <m/>
    <m/>
    <x v="0"/>
    <s v="Project"/>
    <x v="1416"/>
    <x v="0"/>
    <x v="17"/>
    <s v="Exclude in HGB Group allocation"/>
  </r>
  <r>
    <s v="0"/>
    <m/>
    <x v="0"/>
    <x v="0"/>
    <m/>
    <m/>
    <m/>
    <n v="9963"/>
    <n v="79"/>
    <n v="2"/>
    <m/>
    <s v="02_GmbH"/>
    <x v="0"/>
    <m/>
    <m/>
    <m/>
    <m/>
    <x v="0"/>
    <s v="Project"/>
    <x v="1417"/>
    <x v="0"/>
    <x v="0"/>
    <s v="Exclude in HGB Group allocation"/>
  </r>
  <r>
    <s v="76070228"/>
    <m/>
    <x v="0"/>
    <x v="0"/>
    <m/>
    <m/>
    <m/>
    <n v="7607"/>
    <n v="2"/>
    <n v="2"/>
    <s v="76070228"/>
    <s v="09_Ltda"/>
    <x v="0"/>
    <m/>
    <m/>
    <m/>
    <m/>
    <x v="0"/>
    <s v="Project"/>
    <x v="1418"/>
    <x v="0"/>
    <x v="21"/>
    <s v="Exclude in HGB Group allocation"/>
  </r>
  <r>
    <s v="0"/>
    <m/>
    <x v="0"/>
    <x v="0"/>
    <m/>
    <m/>
    <m/>
    <n v="2083"/>
    <n v="7"/>
    <n v="2"/>
    <m/>
    <s v="01_SE"/>
    <x v="0"/>
    <m/>
    <m/>
    <m/>
    <m/>
    <x v="0"/>
    <s v="Project"/>
    <x v="1419"/>
    <x v="0"/>
    <x v="0"/>
    <s v="Exclude in HGB Group allocation"/>
  </r>
  <r>
    <s v="20830628"/>
    <m/>
    <x v="0"/>
    <x v="0"/>
    <m/>
    <m/>
    <m/>
    <n v="2083"/>
    <n v="6"/>
    <n v="2"/>
    <s v="20830628"/>
    <s v="01_SE"/>
    <x v="0"/>
    <m/>
    <m/>
    <m/>
    <m/>
    <x v="0"/>
    <s v="Project"/>
    <x v="1420"/>
    <x v="0"/>
    <x v="0"/>
    <s v="Exclude in HGB Group allocation"/>
  </r>
  <r>
    <s v="21250328"/>
    <m/>
    <x v="0"/>
    <x v="0"/>
    <m/>
    <m/>
    <m/>
    <n v="2125"/>
    <n v="3"/>
    <n v="2"/>
    <s v="21250328"/>
    <s v="01_SE"/>
    <x v="0"/>
    <m/>
    <m/>
    <m/>
    <m/>
    <x v="0"/>
    <s v="Project"/>
    <x v="1421"/>
    <x v="0"/>
    <x v="0"/>
    <s v="Exclude in HGB Group allocation"/>
  </r>
  <r>
    <s v="21250428"/>
    <m/>
    <x v="0"/>
    <x v="0"/>
    <m/>
    <m/>
    <m/>
    <n v="2125"/>
    <n v="4"/>
    <n v="2"/>
    <s v="21250428"/>
    <s v="01_SE"/>
    <x v="0"/>
    <m/>
    <m/>
    <m/>
    <m/>
    <x v="0"/>
    <s v="Project"/>
    <x v="1422"/>
    <x v="0"/>
    <x v="0"/>
    <s v="Exclude in HGB Group allocation"/>
  </r>
  <r>
    <s v="21250528"/>
    <m/>
    <x v="0"/>
    <x v="0"/>
    <m/>
    <m/>
    <m/>
    <n v="2125"/>
    <n v="5"/>
    <n v="2"/>
    <s v="21250528"/>
    <s v="01_SE"/>
    <x v="0"/>
    <m/>
    <m/>
    <m/>
    <m/>
    <x v="0"/>
    <s v="Project"/>
    <x v="1423"/>
    <x v="0"/>
    <x v="0"/>
    <s v="Exclude in HGB Group allocation"/>
  </r>
  <r>
    <s v="21250628"/>
    <m/>
    <x v="0"/>
    <x v="0"/>
    <m/>
    <m/>
    <m/>
    <n v="2125"/>
    <n v="6"/>
    <n v="2"/>
    <s v="21250628"/>
    <s v="01_SE"/>
    <x v="0"/>
    <m/>
    <m/>
    <m/>
    <m/>
    <x v="0"/>
    <s v="Project"/>
    <x v="1424"/>
    <x v="0"/>
    <x v="0"/>
    <s v="Exclude in HGB Group allocation"/>
  </r>
  <r>
    <s v="21250728"/>
    <m/>
    <x v="0"/>
    <x v="0"/>
    <m/>
    <m/>
    <m/>
    <n v="2125"/>
    <n v="7"/>
    <n v="2"/>
    <s v="21250728"/>
    <s v="01_SE"/>
    <x v="0"/>
    <m/>
    <m/>
    <m/>
    <m/>
    <x v="0"/>
    <s v="Project"/>
    <x v="1425"/>
    <x v="0"/>
    <x v="0"/>
    <s v="Exclude in HGB Group allocation"/>
  </r>
  <r>
    <s v="21250828"/>
    <m/>
    <x v="0"/>
    <x v="0"/>
    <m/>
    <m/>
    <m/>
    <n v="2125"/>
    <n v="8"/>
    <n v="2"/>
    <s v="21250828"/>
    <s v="01_SE"/>
    <x v="0"/>
    <m/>
    <m/>
    <m/>
    <m/>
    <x v="0"/>
    <s v="Project"/>
    <x v="1426"/>
    <x v="0"/>
    <x v="0"/>
    <s v="Exclude in HGB Group allocation"/>
  </r>
  <r>
    <s v="21250928"/>
    <m/>
    <x v="0"/>
    <x v="0"/>
    <m/>
    <m/>
    <m/>
    <n v="2125"/>
    <n v="9"/>
    <n v="2"/>
    <s v="21250928"/>
    <s v="01_SE"/>
    <x v="0"/>
    <m/>
    <m/>
    <m/>
    <m/>
    <x v="0"/>
    <s v="Project"/>
    <x v="1427"/>
    <x v="0"/>
    <x v="0"/>
    <s v="Exclude in HGB Group allocation"/>
  </r>
  <r>
    <s v="0"/>
    <m/>
    <x v="0"/>
    <x v="0"/>
    <m/>
    <m/>
    <m/>
    <n v="3016"/>
    <n v="13"/>
    <n v="2"/>
    <m/>
    <s v="01_SE"/>
    <x v="0"/>
    <m/>
    <m/>
    <m/>
    <m/>
    <x v="0"/>
    <s v="Project"/>
    <x v="1428"/>
    <x v="0"/>
    <x v="0"/>
    <s v="Exclude in HGB Group allocation"/>
  </r>
  <r>
    <s v="0"/>
    <m/>
    <x v="0"/>
    <x v="0"/>
    <m/>
    <m/>
    <m/>
    <n v="3016"/>
    <n v="14"/>
    <n v="2"/>
    <m/>
    <s v="01_SE"/>
    <x v="0"/>
    <m/>
    <m/>
    <m/>
    <m/>
    <x v="0"/>
    <s v="Project"/>
    <x v="1429"/>
    <x v="0"/>
    <x v="0"/>
    <s v="Exclude in HGB Group allocation"/>
  </r>
  <r>
    <s v="30161228"/>
    <m/>
    <x v="0"/>
    <x v="0"/>
    <m/>
    <m/>
    <m/>
    <n v="3016"/>
    <n v="12"/>
    <n v="2"/>
    <s v="30161228"/>
    <s v="01_SE"/>
    <x v="0"/>
    <m/>
    <m/>
    <m/>
    <m/>
    <x v="0"/>
    <s v="Project"/>
    <x v="1430"/>
    <x v="0"/>
    <x v="0"/>
    <s v="Exclude in HGB Group allocation"/>
  </r>
  <r>
    <s v="78023928"/>
    <m/>
    <x v="0"/>
    <x v="0"/>
    <m/>
    <m/>
    <m/>
    <n v="7802"/>
    <n v="39"/>
    <n v="2"/>
    <s v="78023928"/>
    <s v="01_SE"/>
    <x v="0"/>
    <m/>
    <m/>
    <m/>
    <m/>
    <x v="0"/>
    <s v="Project"/>
    <x v="1431"/>
    <x v="0"/>
    <x v="0"/>
    <s v="Exclude in HGB Group allocation"/>
  </r>
  <r>
    <s v="0"/>
    <m/>
    <x v="0"/>
    <x v="0"/>
    <m/>
    <m/>
    <m/>
    <n v="7694"/>
    <n v="2"/>
    <n v="2"/>
    <m/>
    <s v="01_SE"/>
    <x v="0"/>
    <m/>
    <m/>
    <m/>
    <m/>
    <x v="0"/>
    <s v="Project"/>
    <x v="1432"/>
    <x v="0"/>
    <x v="0"/>
    <s v="Exclude in HGB Group allocation"/>
  </r>
  <r>
    <s v="0"/>
    <m/>
    <x v="0"/>
    <x v="0"/>
    <m/>
    <m/>
    <m/>
    <n v="7625"/>
    <n v="2"/>
    <n v="2"/>
    <m/>
    <s v="01_SE"/>
    <x v="0"/>
    <m/>
    <m/>
    <m/>
    <m/>
    <x v="0"/>
    <s v="Project"/>
    <x v="1433"/>
    <x v="0"/>
    <x v="0"/>
    <s v="Exclude in HGB Group allocation"/>
  </r>
  <r>
    <s v="0"/>
    <m/>
    <x v="0"/>
    <x v="0"/>
    <m/>
    <m/>
    <m/>
    <n v="2042"/>
    <n v="2"/>
    <n v="2"/>
    <m/>
    <s v="09_Ltda"/>
    <x v="0"/>
    <m/>
    <m/>
    <m/>
    <m/>
    <x v="0"/>
    <s v="Project"/>
    <x v="1434"/>
    <x v="0"/>
    <x v="0"/>
    <s v="Exclude in HGB Group allocation"/>
  </r>
  <r>
    <s v="0"/>
    <m/>
    <x v="0"/>
    <x v="0"/>
    <m/>
    <m/>
    <m/>
    <n v="2042"/>
    <n v="3"/>
    <n v="2"/>
    <m/>
    <s v="09_Ltda"/>
    <x v="0"/>
    <m/>
    <m/>
    <m/>
    <m/>
    <x v="0"/>
    <s v="Project"/>
    <x v="1435"/>
    <x v="0"/>
    <x v="0"/>
    <s v="Exclude in HGB Group allocation"/>
  </r>
  <r>
    <s v="21910128"/>
    <m/>
    <x v="0"/>
    <x v="0"/>
    <m/>
    <m/>
    <m/>
    <n v="2191"/>
    <n v="1"/>
    <n v="2"/>
    <s v="21910128"/>
    <s v="01_SE"/>
    <x v="0"/>
    <m/>
    <m/>
    <m/>
    <m/>
    <x v="0"/>
    <s v="Project"/>
    <x v="1436"/>
    <x v="0"/>
    <x v="0"/>
    <s v="Exclude in HGB Group allocation"/>
  </r>
  <r>
    <s v="70450328"/>
    <m/>
    <x v="0"/>
    <x v="0"/>
    <m/>
    <m/>
    <m/>
    <n v="7045"/>
    <n v="3"/>
    <n v="2"/>
    <s v="70450328"/>
    <s v="07_Inc"/>
    <x v="0"/>
    <m/>
    <m/>
    <m/>
    <m/>
    <x v="0"/>
    <s v="Project"/>
    <x v="1437"/>
    <x v="0"/>
    <x v="0"/>
    <s v="Exclude in HGB Group allocation"/>
  </r>
  <r>
    <s v="70450528"/>
    <m/>
    <x v="0"/>
    <x v="0"/>
    <m/>
    <m/>
    <m/>
    <n v="7045"/>
    <n v="5"/>
    <n v="2"/>
    <s v="70450528"/>
    <s v="07_Inc"/>
    <x v="0"/>
    <m/>
    <m/>
    <m/>
    <m/>
    <x v="0"/>
    <s v="Project"/>
    <x v="1438"/>
    <x v="0"/>
    <x v="0"/>
    <s v="Exclude in HGB Group allocation"/>
  </r>
  <r>
    <s v="70450628"/>
    <m/>
    <x v="0"/>
    <x v="0"/>
    <m/>
    <m/>
    <m/>
    <n v="7045"/>
    <n v="6"/>
    <n v="2"/>
    <s v="70450628"/>
    <s v="07_Inc"/>
    <x v="0"/>
    <m/>
    <m/>
    <m/>
    <m/>
    <x v="0"/>
    <s v="Project"/>
    <x v="1439"/>
    <x v="0"/>
    <x v="21"/>
    <s v="Exclude in HGB Group allocation"/>
  </r>
  <r>
    <s v="0"/>
    <m/>
    <x v="0"/>
    <x v="0"/>
    <m/>
    <m/>
    <m/>
    <n v="7045"/>
    <n v="7"/>
    <n v="2"/>
    <m/>
    <s v="07_Inc"/>
    <x v="0"/>
    <m/>
    <m/>
    <m/>
    <m/>
    <x v="0"/>
    <s v="Project"/>
    <x v="1440"/>
    <x v="0"/>
    <x v="0"/>
    <s v="Exclude in HGB Group allocation"/>
  </r>
  <r>
    <s v="0"/>
    <m/>
    <x v="0"/>
    <x v="0"/>
    <m/>
    <m/>
    <m/>
    <n v="3161"/>
    <n v="2"/>
    <n v="2"/>
    <m/>
    <s v="09_Ltda"/>
    <x v="0"/>
    <m/>
    <m/>
    <m/>
    <m/>
    <x v="0"/>
    <s v="Project"/>
    <x v="1441"/>
    <x v="0"/>
    <x v="0"/>
    <s v="Exclude in HGB Group allocation"/>
  </r>
  <r>
    <s v="21912211"/>
    <m/>
    <x v="0"/>
    <x v="0"/>
    <m/>
    <m/>
    <m/>
    <n v="2191"/>
    <n v="21"/>
    <n v="1"/>
    <n v="21912211"/>
    <s v="01_SE"/>
    <x v="4"/>
    <m/>
    <m/>
    <m/>
    <m/>
    <x v="0"/>
    <s v="Project"/>
    <x v="1442"/>
    <x v="0"/>
    <x v="18"/>
    <s v="Exclude in HGB Group allocation"/>
  </r>
  <r>
    <s v="21912116"/>
    <m/>
    <x v="0"/>
    <x v="0"/>
    <m/>
    <m/>
    <m/>
    <n v="2191"/>
    <n v="21"/>
    <n v="1"/>
    <n v="21912116"/>
    <s v="01_SE"/>
    <x v="4"/>
    <m/>
    <m/>
    <m/>
    <m/>
    <x v="0"/>
    <s v="Project"/>
    <x v="1442"/>
    <x v="0"/>
    <x v="19"/>
    <s v="Exclude in HGB Group allocation"/>
  </r>
  <r>
    <s v="76190428"/>
    <m/>
    <x v="0"/>
    <x v="0"/>
    <m/>
    <m/>
    <m/>
    <n v="7619"/>
    <n v="4"/>
    <n v="2"/>
    <s v="76190428"/>
    <s v="01_SE"/>
    <x v="0"/>
    <m/>
    <m/>
    <m/>
    <m/>
    <x v="0"/>
    <s v="Project"/>
    <x v="1443"/>
    <x v="0"/>
    <x v="0"/>
    <s v="Exclude in HGB Group allocation"/>
  </r>
  <r>
    <s v="0"/>
    <m/>
    <x v="0"/>
    <x v="0"/>
    <m/>
    <m/>
    <m/>
    <n v="2114"/>
    <n v="7"/>
    <n v="2"/>
    <m/>
    <s v="01_SE"/>
    <x v="0"/>
    <m/>
    <m/>
    <m/>
    <m/>
    <x v="0"/>
    <s v="Project"/>
    <x v="1444"/>
    <x v="0"/>
    <x v="0"/>
    <s v="Exclude in HGB Group allocation"/>
  </r>
  <r>
    <s v="0"/>
    <m/>
    <x v="0"/>
    <x v="0"/>
    <m/>
    <m/>
    <m/>
    <n v="2114"/>
    <n v="8"/>
    <n v="2"/>
    <m/>
    <s v="01_SE"/>
    <x v="0"/>
    <m/>
    <m/>
    <m/>
    <m/>
    <x v="0"/>
    <s v="Project"/>
    <x v="1445"/>
    <x v="0"/>
    <x v="0"/>
    <s v="Exclude in HGB Group allocation"/>
  </r>
  <r>
    <s v="0"/>
    <m/>
    <x v="0"/>
    <x v="0"/>
    <m/>
    <m/>
    <m/>
    <n v="2114"/>
    <n v="9"/>
    <n v="2"/>
    <m/>
    <s v="01_SE"/>
    <x v="0"/>
    <m/>
    <m/>
    <m/>
    <m/>
    <x v="0"/>
    <s v="Project"/>
    <x v="1446"/>
    <x v="0"/>
    <x v="0"/>
    <s v="Exclude in HGB Group allocation"/>
  </r>
  <r>
    <s v="0"/>
    <m/>
    <x v="0"/>
    <x v="0"/>
    <m/>
    <m/>
    <m/>
    <n v="2114"/>
    <n v="11"/>
    <n v="2"/>
    <m/>
    <s v="01_SE"/>
    <x v="0"/>
    <m/>
    <m/>
    <m/>
    <m/>
    <x v="0"/>
    <s v="Project"/>
    <x v="1447"/>
    <x v="0"/>
    <x v="0"/>
    <s v="Exclude in HGB Group allocation"/>
  </r>
  <r>
    <s v="0"/>
    <m/>
    <x v="0"/>
    <x v="0"/>
    <m/>
    <m/>
    <m/>
    <n v="2114"/>
    <n v="12"/>
    <n v="2"/>
    <m/>
    <s v="01_SE"/>
    <x v="0"/>
    <m/>
    <m/>
    <m/>
    <m/>
    <x v="0"/>
    <s v="Project"/>
    <x v="1448"/>
    <x v="0"/>
    <x v="0"/>
    <s v="Exclude in HGB Group allocation"/>
  </r>
  <r>
    <s v="21140628"/>
    <m/>
    <x v="0"/>
    <x v="0"/>
    <m/>
    <m/>
    <m/>
    <n v="2114"/>
    <n v="6"/>
    <n v="2"/>
    <s v="21140628"/>
    <s v="01_SE"/>
    <x v="0"/>
    <m/>
    <m/>
    <m/>
    <m/>
    <x v="0"/>
    <s v="Project"/>
    <x v="1449"/>
    <x v="0"/>
    <x v="0"/>
    <s v="Exclude in HGB Group allocation"/>
  </r>
  <r>
    <s v="0"/>
    <m/>
    <x v="0"/>
    <x v="0"/>
    <m/>
    <m/>
    <m/>
    <n v="2114"/>
    <n v="10"/>
    <n v="2"/>
    <m/>
    <s v="01_SE"/>
    <x v="0"/>
    <m/>
    <m/>
    <m/>
    <m/>
    <x v="0"/>
    <s v="Project"/>
    <x v="1450"/>
    <x v="0"/>
    <x v="0"/>
    <s v="Exclude in HGB Group allocation"/>
  </r>
  <r>
    <s v="0"/>
    <m/>
    <x v="0"/>
    <x v="0"/>
    <m/>
    <m/>
    <m/>
    <n v="2144"/>
    <n v="11"/>
    <n v="2"/>
    <m/>
    <s v="01_SE"/>
    <x v="0"/>
    <m/>
    <m/>
    <m/>
    <m/>
    <x v="0"/>
    <s v="Project"/>
    <x v="1451"/>
    <x v="0"/>
    <x v="0"/>
    <s v="Exclude in HGB Group allocation"/>
  </r>
  <r>
    <s v="66192447"/>
    <m/>
    <x v="0"/>
    <x v="0"/>
    <m/>
    <m/>
    <m/>
    <n v="6619"/>
    <n v="24"/>
    <n v="4"/>
    <s v="66192447"/>
    <s v="02_GmbH"/>
    <x v="1"/>
    <m/>
    <m/>
    <m/>
    <m/>
    <x v="0"/>
    <s v="Project"/>
    <x v="1452"/>
    <x v="0"/>
    <x v="20"/>
    <s v="Exclude in HGB Group allocation"/>
  </r>
  <r>
    <s v="66192547"/>
    <m/>
    <x v="0"/>
    <x v="0"/>
    <m/>
    <m/>
    <m/>
    <n v="6619"/>
    <n v="25"/>
    <n v="4"/>
    <s v="66192547"/>
    <s v="02_GmbH"/>
    <x v="1"/>
    <m/>
    <m/>
    <m/>
    <m/>
    <x v="0"/>
    <s v="Project"/>
    <x v="1453"/>
    <x v="0"/>
    <x v="20"/>
    <s v="Exclude in HGB Group allocation"/>
  </r>
  <r>
    <s v="66192847"/>
    <m/>
    <x v="0"/>
    <x v="0"/>
    <m/>
    <m/>
    <m/>
    <n v="6619"/>
    <n v="28"/>
    <n v="4"/>
    <s v="66192847"/>
    <s v="02_GmbH"/>
    <x v="1"/>
    <m/>
    <m/>
    <m/>
    <m/>
    <x v="0"/>
    <s v="Project"/>
    <x v="1454"/>
    <x v="0"/>
    <x v="20"/>
    <s v="Exclude in HGB Group allocation"/>
  </r>
  <r>
    <s v="66192928"/>
    <m/>
    <x v="0"/>
    <x v="0"/>
    <m/>
    <m/>
    <m/>
    <n v="6619"/>
    <n v="29"/>
    <n v="2"/>
    <s v="66192928"/>
    <s v="01_SE"/>
    <x v="0"/>
    <m/>
    <m/>
    <m/>
    <m/>
    <x v="0"/>
    <s v="Project"/>
    <x v="1455"/>
    <x v="0"/>
    <x v="0"/>
    <s v="Exclude in HGB Group allocation"/>
  </r>
  <r>
    <s v="0"/>
    <m/>
    <x v="0"/>
    <x v="0"/>
    <m/>
    <m/>
    <m/>
    <n v="6619"/>
    <n v="30"/>
    <n v="2"/>
    <m/>
    <s v="01_SE"/>
    <x v="0"/>
    <m/>
    <m/>
    <m/>
    <m/>
    <x v="0"/>
    <s v="Project"/>
    <x v="1456"/>
    <x v="0"/>
    <x v="0"/>
    <s v="Exclude in HGB Group allocation"/>
  </r>
  <r>
    <s v="66193142"/>
    <m/>
    <x v="0"/>
    <x v="0"/>
    <m/>
    <m/>
    <m/>
    <n v="6619"/>
    <n v="31"/>
    <n v="4"/>
    <n v="66193142"/>
    <s v="02_GmbH"/>
    <x v="1"/>
    <m/>
    <m/>
    <m/>
    <m/>
    <x v="0"/>
    <s v="Project"/>
    <x v="1457"/>
    <x v="0"/>
    <x v="23"/>
    <s v="Exclude in HGB Group allocation"/>
  </r>
  <r>
    <s v="0"/>
    <m/>
    <x v="0"/>
    <x v="0"/>
    <m/>
    <m/>
    <m/>
    <n v="6622"/>
    <n v="3"/>
    <n v="2"/>
    <m/>
    <s v="05_Shg"/>
    <x v="0"/>
    <m/>
    <m/>
    <m/>
    <m/>
    <x v="0"/>
    <s v="Project"/>
    <x v="1458"/>
    <x v="0"/>
    <x v="0"/>
    <s v="Exclude in HGB Group allocation"/>
  </r>
  <r>
    <s v="0"/>
    <m/>
    <x v="0"/>
    <x v="0"/>
    <m/>
    <m/>
    <m/>
    <n v="6622"/>
    <n v="4"/>
    <n v="2"/>
    <m/>
    <s v="05_Shg"/>
    <x v="0"/>
    <m/>
    <m/>
    <m/>
    <m/>
    <x v="0"/>
    <s v="Project"/>
    <x v="1459"/>
    <x v="0"/>
    <x v="0"/>
    <s v="Exclude in HGB Group allocation"/>
  </r>
  <r>
    <s v="0"/>
    <m/>
    <x v="0"/>
    <x v="0"/>
    <m/>
    <m/>
    <m/>
    <n v="6625"/>
    <n v="2"/>
    <n v="2"/>
    <m/>
    <s v="01_SE"/>
    <x v="0"/>
    <m/>
    <m/>
    <m/>
    <m/>
    <x v="0"/>
    <s v="Project"/>
    <x v="1460"/>
    <x v="0"/>
    <x v="0"/>
    <s v="Exclude in HGB Group allocation"/>
  </r>
  <r>
    <s v="66280243"/>
    <m/>
    <x v="0"/>
    <x v="0"/>
    <m/>
    <m/>
    <m/>
    <n v="6628"/>
    <n v="2"/>
    <n v="4"/>
    <s v="66280243"/>
    <s v="05_Shg"/>
    <x v="1"/>
    <m/>
    <m/>
    <m/>
    <m/>
    <x v="0"/>
    <s v="Project"/>
    <x v="1461"/>
    <x v="0"/>
    <x v="21"/>
    <s v="Exclude in HGB Group allocation"/>
  </r>
  <r>
    <s v="66300242"/>
    <m/>
    <x v="0"/>
    <x v="0"/>
    <m/>
    <m/>
    <m/>
    <n v="6630"/>
    <n v="2"/>
    <n v="4"/>
    <n v="66300242"/>
    <s v="02_GmbH"/>
    <x v="1"/>
    <m/>
    <m/>
    <m/>
    <m/>
    <x v="0"/>
    <s v="Project"/>
    <x v="1462"/>
    <x v="0"/>
    <x v="23"/>
    <s v="Exclude in HGB Group allocation"/>
  </r>
  <r>
    <s v="66300243"/>
    <m/>
    <x v="0"/>
    <x v="0"/>
    <m/>
    <m/>
    <m/>
    <n v="6630"/>
    <n v="2"/>
    <n v="4"/>
    <n v="66300243"/>
    <s v="02_GmbH"/>
    <x v="1"/>
    <m/>
    <m/>
    <m/>
    <m/>
    <x v="0"/>
    <s v="Project"/>
    <x v="1462"/>
    <x v="0"/>
    <x v="1"/>
    <s v="Exclude in HGB Group allocation"/>
  </r>
  <r>
    <s v="66300244"/>
    <m/>
    <x v="0"/>
    <x v="0"/>
    <m/>
    <m/>
    <m/>
    <n v="6630"/>
    <n v="2"/>
    <n v="4"/>
    <n v="66300244"/>
    <s v="02_GmbH"/>
    <x v="1"/>
    <m/>
    <m/>
    <m/>
    <m/>
    <x v="0"/>
    <s v="Project"/>
    <x v="1462"/>
    <x v="0"/>
    <x v="2"/>
    <s v="Exclude in HGB Group allocation"/>
  </r>
  <r>
    <s v="66300249"/>
    <m/>
    <x v="0"/>
    <x v="0"/>
    <m/>
    <m/>
    <m/>
    <n v="6630"/>
    <n v="2"/>
    <n v="4"/>
    <n v="66300249"/>
    <s v="02_GmbH"/>
    <x v="1"/>
    <m/>
    <m/>
    <m/>
    <m/>
    <x v="0"/>
    <s v="Project"/>
    <x v="1462"/>
    <x v="0"/>
    <x v="24"/>
    <s v="Exclude in HGB Group allocation"/>
  </r>
  <r>
    <s v="66300344"/>
    <m/>
    <x v="0"/>
    <x v="0"/>
    <m/>
    <m/>
    <m/>
    <n v="6630"/>
    <n v="3"/>
    <n v="4"/>
    <n v="66300344"/>
    <s v="02_GmbH"/>
    <x v="1"/>
    <m/>
    <m/>
    <m/>
    <m/>
    <x v="0"/>
    <s v="Project"/>
    <x v="1463"/>
    <x v="0"/>
    <x v="2"/>
    <s v="Exclude in HGB Group allocation"/>
  </r>
  <r>
    <s v="66370444"/>
    <m/>
    <x v="0"/>
    <x v="0"/>
    <m/>
    <m/>
    <m/>
    <n v="6637"/>
    <n v="4"/>
    <n v="4"/>
    <s v="66370444"/>
    <s v="05_Shg"/>
    <x v="1"/>
    <m/>
    <m/>
    <m/>
    <m/>
    <x v="0"/>
    <s v="Project"/>
    <x v="1464"/>
    <x v="0"/>
    <x v="2"/>
    <s v="Exclude in HGB Group allocation"/>
  </r>
  <r>
    <s v="66380428"/>
    <m/>
    <x v="0"/>
    <x v="0"/>
    <m/>
    <m/>
    <m/>
    <n v="6638"/>
    <n v="4"/>
    <n v="2"/>
    <s v="66380428"/>
    <s v="01_SE"/>
    <x v="0"/>
    <m/>
    <m/>
    <m/>
    <m/>
    <x v="0"/>
    <s v="Project"/>
    <x v="1465"/>
    <x v="0"/>
    <x v="0"/>
    <s v="Exclude in HGB Group allocation"/>
  </r>
  <r>
    <s v="0"/>
    <m/>
    <x v="0"/>
    <x v="0"/>
    <m/>
    <m/>
    <m/>
    <n v="9963"/>
    <n v="80"/>
    <n v="2"/>
    <m/>
    <s v="02_GmbH"/>
    <x v="0"/>
    <m/>
    <m/>
    <m/>
    <m/>
    <x v="0"/>
    <s v="Project"/>
    <x v="1466"/>
    <x v="0"/>
    <x v="0"/>
    <s v="Exclude in HGB Group allocation"/>
  </r>
  <r>
    <s v="0"/>
    <m/>
    <x v="0"/>
    <x v="0"/>
    <m/>
    <m/>
    <m/>
    <n v="9963"/>
    <n v="81"/>
    <n v="1"/>
    <m/>
    <s v="01_SE"/>
    <x v="4"/>
    <m/>
    <m/>
    <m/>
    <m/>
    <x v="0"/>
    <s v="Project"/>
    <x v="1467"/>
    <x v="0"/>
    <x v="18"/>
    <s v="Exclude in HGB Group allocation"/>
  </r>
  <r>
    <s v="0"/>
    <m/>
    <x v="0"/>
    <x v="0"/>
    <m/>
    <m/>
    <m/>
    <n v="9963"/>
    <n v="81"/>
    <n v="1"/>
    <m/>
    <s v="01_SE"/>
    <x v="4"/>
    <m/>
    <m/>
    <m/>
    <m/>
    <x v="0"/>
    <s v="Project"/>
    <x v="1467"/>
    <x v="0"/>
    <x v="17"/>
    <s v="Exclude in HGB Group allocation"/>
  </r>
  <r>
    <s v="0"/>
    <m/>
    <x v="0"/>
    <x v="0"/>
    <m/>
    <m/>
    <m/>
    <n v="9963"/>
    <n v="81"/>
    <n v="1"/>
    <m/>
    <s v="01_SE"/>
    <x v="4"/>
    <m/>
    <m/>
    <m/>
    <m/>
    <x v="0"/>
    <s v="Project"/>
    <x v="1467"/>
    <x v="0"/>
    <x v="19"/>
    <s v="Exclude in HGB Group allocation"/>
  </r>
  <r>
    <s v="0"/>
    <m/>
    <x v="0"/>
    <x v="0"/>
    <m/>
    <m/>
    <m/>
    <n v="9963"/>
    <n v="82"/>
    <n v="1"/>
    <m/>
    <m/>
    <x v="4"/>
    <m/>
    <m/>
    <m/>
    <m/>
    <x v="0"/>
    <s v="Project"/>
    <x v="1468"/>
    <x v="0"/>
    <x v="18"/>
    <s v="Exclude in HGB Group allocation"/>
  </r>
  <r>
    <s v="0"/>
    <m/>
    <x v="0"/>
    <x v="0"/>
    <m/>
    <m/>
    <m/>
    <n v="9963"/>
    <n v="82"/>
    <n v="1"/>
    <m/>
    <m/>
    <x v="4"/>
    <m/>
    <m/>
    <m/>
    <m/>
    <x v="0"/>
    <s v="Project"/>
    <x v="1468"/>
    <x v="0"/>
    <x v="17"/>
    <s v="Exclude in HGB Group allocation"/>
  </r>
  <r>
    <s v="0"/>
    <m/>
    <x v="0"/>
    <x v="0"/>
    <m/>
    <m/>
    <m/>
    <n v="9963"/>
    <n v="83"/>
    <n v="1"/>
    <m/>
    <m/>
    <x v="4"/>
    <m/>
    <m/>
    <m/>
    <m/>
    <x v="0"/>
    <s v="Project"/>
    <x v="1469"/>
    <x v="0"/>
    <x v="19"/>
    <s v="Exclude in HGB Group allocation"/>
  </r>
  <r>
    <s v="0"/>
    <m/>
    <x v="0"/>
    <x v="0"/>
    <m/>
    <m/>
    <m/>
    <n v="9981"/>
    <n v="51"/>
    <n v="2"/>
    <m/>
    <s v="01_SE"/>
    <x v="0"/>
    <m/>
    <m/>
    <m/>
    <m/>
    <x v="0"/>
    <s v="Project"/>
    <x v="1470"/>
    <x v="0"/>
    <x v="0"/>
    <s v="Exclude in HGB Group allocation"/>
  </r>
  <r>
    <s v="99846011"/>
    <m/>
    <x v="0"/>
    <x v="0"/>
    <m/>
    <m/>
    <m/>
    <n v="9985"/>
    <n v="89"/>
    <n v="1"/>
    <s v="99846011"/>
    <s v="05_Shg"/>
    <x v="4"/>
    <m/>
    <m/>
    <m/>
    <m/>
    <x v="0"/>
    <s v="Project"/>
    <x v="1471"/>
    <x v="0"/>
    <x v="18"/>
    <s v="Exclude in HGB Group allocation"/>
  </r>
  <r>
    <s v="99858911"/>
    <m/>
    <x v="0"/>
    <x v="0"/>
    <m/>
    <m/>
    <m/>
    <n v="9985"/>
    <n v="89"/>
    <n v="1"/>
    <s v="99858911"/>
    <s v="05_Shg"/>
    <x v="4"/>
    <m/>
    <m/>
    <m/>
    <m/>
    <x v="0"/>
    <s v="Project"/>
    <x v="1471"/>
    <x v="0"/>
    <x v="18"/>
    <s v="Exclude in HGB Group allocation"/>
  </r>
  <r>
    <s v="99892411"/>
    <m/>
    <x v="0"/>
    <x v="0"/>
    <m/>
    <m/>
    <m/>
    <n v="9989"/>
    <n v="24"/>
    <n v="1"/>
    <s v="99892411"/>
    <s v="01_SE"/>
    <x v="4"/>
    <m/>
    <m/>
    <m/>
    <m/>
    <x v="0"/>
    <s v="Project"/>
    <x v="1472"/>
    <x v="0"/>
    <x v="18"/>
    <s v="Exclude in HGB Group allocation"/>
  </r>
  <r>
    <s v="99899011"/>
    <m/>
    <x v="0"/>
    <x v="0"/>
    <m/>
    <m/>
    <m/>
    <n v="9989"/>
    <n v="90"/>
    <n v="1"/>
    <s v="99899011"/>
    <s v="01_SE"/>
    <x v="4"/>
    <m/>
    <m/>
    <m/>
    <m/>
    <x v="0"/>
    <s v="Project"/>
    <x v="1473"/>
    <x v="0"/>
    <x v="18"/>
    <s v="Exclude in HGB Group allocation"/>
  </r>
  <r>
    <s v="99931711"/>
    <m/>
    <x v="0"/>
    <x v="0"/>
    <m/>
    <m/>
    <m/>
    <n v="9989"/>
    <n v="90"/>
    <n v="1"/>
    <s v="99931711"/>
    <s v="01_SE"/>
    <x v="4"/>
    <m/>
    <m/>
    <m/>
    <m/>
    <x v="0"/>
    <s v="Project"/>
    <x v="1473"/>
    <x v="0"/>
    <x v="18"/>
    <s v="Exclude in HGB Group allocation"/>
  </r>
  <r>
    <s v="99902048"/>
    <m/>
    <x v="0"/>
    <x v="0"/>
    <m/>
    <m/>
    <m/>
    <n v="9990"/>
    <n v="20"/>
    <n v="4"/>
    <s v="99902048"/>
    <s v="02_GmbH"/>
    <x v="1"/>
    <m/>
    <m/>
    <m/>
    <m/>
    <x v="0"/>
    <s v="Project"/>
    <x v="1474"/>
    <x v="0"/>
    <x v="21"/>
    <s v="Exclude in HGB Group allocation"/>
  </r>
  <r>
    <s v="99911828"/>
    <m/>
    <x v="0"/>
    <x v="0"/>
    <m/>
    <m/>
    <m/>
    <n v="9991"/>
    <n v="18"/>
    <n v="2"/>
    <s v="99911828"/>
    <s v="01_SE"/>
    <x v="0"/>
    <m/>
    <m/>
    <m/>
    <m/>
    <x v="0"/>
    <s v="Project"/>
    <x v="1475"/>
    <x v="0"/>
    <x v="0"/>
    <s v="Exclude in HGB Group allocation"/>
  </r>
  <r>
    <s v="99917028"/>
    <m/>
    <x v="0"/>
    <x v="0"/>
    <m/>
    <m/>
    <m/>
    <n v="9991"/>
    <n v="70"/>
    <n v="2"/>
    <n v="99917028"/>
    <s v="01_SE"/>
    <x v="0"/>
    <m/>
    <m/>
    <m/>
    <m/>
    <x v="0"/>
    <s v="Project"/>
    <x v="1476"/>
    <x v="0"/>
    <x v="0"/>
    <s v="Exclude in HGB Group allocation"/>
  </r>
  <r>
    <s v="99919211"/>
    <m/>
    <x v="0"/>
    <x v="0"/>
    <m/>
    <m/>
    <m/>
    <n v="9991"/>
    <n v="92"/>
    <n v="1"/>
    <s v="99919211"/>
    <s v="01_SE"/>
    <x v="4"/>
    <m/>
    <m/>
    <m/>
    <m/>
    <x v="0"/>
    <s v="Project"/>
    <x v="1477"/>
    <x v="0"/>
    <x v="18"/>
    <s v="Exclude in HGB Group allocation"/>
  </r>
  <r>
    <s v="99955513"/>
    <m/>
    <x v="0"/>
    <x v="0"/>
    <m/>
    <m/>
    <m/>
    <n v="9995"/>
    <n v="55"/>
    <n v="1"/>
    <s v="99955513"/>
    <s v="01_SE"/>
    <x v="4"/>
    <m/>
    <m/>
    <m/>
    <m/>
    <x v="0"/>
    <s v="Project"/>
    <x v="1478"/>
    <x v="0"/>
    <x v="17"/>
    <s v="Exclude in HGB Group allocation"/>
  </r>
  <r>
    <s v="99958511"/>
    <m/>
    <x v="0"/>
    <x v="0"/>
    <m/>
    <m/>
    <m/>
    <n v="9995"/>
    <n v="85"/>
    <n v="1"/>
    <s v="99958511"/>
    <s v="01_SE"/>
    <x v="4"/>
    <m/>
    <m/>
    <m/>
    <m/>
    <x v="0"/>
    <s v="Project"/>
    <x v="1479"/>
    <x v="0"/>
    <x v="18"/>
    <s v="Exclude in HGB Group allocation"/>
  </r>
  <r>
    <s v="99958513"/>
    <m/>
    <x v="0"/>
    <x v="0"/>
    <m/>
    <m/>
    <m/>
    <n v="9995"/>
    <n v="85"/>
    <n v="1"/>
    <s v="99958513"/>
    <s v="01_SE"/>
    <x v="4"/>
    <m/>
    <m/>
    <m/>
    <m/>
    <x v="0"/>
    <s v="Project"/>
    <x v="1479"/>
    <x v="0"/>
    <x v="17"/>
    <s v="Exclude in HGB Group allocation"/>
  </r>
  <r>
    <s v="70430228"/>
    <m/>
    <x v="0"/>
    <x v="0"/>
    <m/>
    <m/>
    <m/>
    <n v="7043"/>
    <n v="2"/>
    <n v="2"/>
    <s v="70430228"/>
    <s v="09_Ltda"/>
    <x v="0"/>
    <m/>
    <m/>
    <m/>
    <m/>
    <x v="0"/>
    <s v="Project"/>
    <x v="1480"/>
    <x v="0"/>
    <x v="21"/>
    <s v="Exclude in HGB Group allocation"/>
  </r>
  <r>
    <s v="70430328"/>
    <m/>
    <x v="0"/>
    <x v="0"/>
    <m/>
    <m/>
    <m/>
    <n v="7043"/>
    <n v="3"/>
    <n v="2"/>
    <s v="70430328"/>
    <s v="09_Ltda"/>
    <x v="0"/>
    <m/>
    <m/>
    <m/>
    <m/>
    <x v="0"/>
    <s v="Project"/>
    <x v="1481"/>
    <x v="0"/>
    <x v="21"/>
    <s v="Exclude in HGB Group allocation"/>
  </r>
  <r>
    <s v="76160228"/>
    <m/>
    <x v="0"/>
    <x v="0"/>
    <m/>
    <m/>
    <m/>
    <n v="7616"/>
    <n v="2"/>
    <n v="2"/>
    <s v="76160228"/>
    <s v="09_Ltda"/>
    <x v="0"/>
    <m/>
    <m/>
    <m/>
    <m/>
    <x v="0"/>
    <s v="Project"/>
    <x v="1482"/>
    <x v="0"/>
    <x v="21"/>
    <s v="Exclude in HGB Group allocation"/>
  </r>
  <r>
    <s v="76160328"/>
    <m/>
    <x v="0"/>
    <x v="0"/>
    <m/>
    <m/>
    <m/>
    <n v="7616"/>
    <n v="3"/>
    <n v="2"/>
    <s v="76160328"/>
    <s v="09_Ltda"/>
    <x v="0"/>
    <m/>
    <m/>
    <m/>
    <m/>
    <x v="0"/>
    <s v="Project"/>
    <x v="1483"/>
    <x v="0"/>
    <x v="21"/>
    <s v="Exclude in HGB Group allocation"/>
  </r>
  <r>
    <s v="0"/>
    <m/>
    <x v="0"/>
    <x v="0"/>
    <m/>
    <m/>
    <m/>
    <n v="6136"/>
    <n v="2"/>
    <n v="1"/>
    <m/>
    <s v="01_SE"/>
    <x v="4"/>
    <m/>
    <m/>
    <m/>
    <m/>
    <x v="0"/>
    <s v="Project"/>
    <x v="1484"/>
    <x v="0"/>
    <x v="18"/>
    <s v="Exclude in HGB Group allocation"/>
  </r>
  <r>
    <s v="0"/>
    <m/>
    <x v="0"/>
    <x v="0"/>
    <m/>
    <m/>
    <m/>
    <n v="6136"/>
    <n v="2"/>
    <n v="1"/>
    <m/>
    <s v="01_SE"/>
    <x v="4"/>
    <m/>
    <m/>
    <m/>
    <m/>
    <x v="0"/>
    <s v="Project"/>
    <x v="1484"/>
    <x v="0"/>
    <x v="19"/>
    <s v="Exclude in HGB Group allocation"/>
  </r>
  <r>
    <s v="0"/>
    <m/>
    <x v="0"/>
    <x v="0"/>
    <m/>
    <m/>
    <m/>
    <n v="6122"/>
    <n v="2"/>
    <n v="1"/>
    <m/>
    <s v="01_SE"/>
    <x v="4"/>
    <m/>
    <m/>
    <m/>
    <m/>
    <x v="0"/>
    <s v="Project"/>
    <x v="1485"/>
    <x v="0"/>
    <x v="18"/>
    <s v="Exclude in HGB Group allocation"/>
  </r>
  <r>
    <s v="0"/>
    <m/>
    <x v="0"/>
    <x v="0"/>
    <m/>
    <m/>
    <m/>
    <n v="2124"/>
    <n v="2"/>
    <n v="2"/>
    <m/>
    <s v="01_SE"/>
    <x v="0"/>
    <m/>
    <m/>
    <m/>
    <m/>
    <x v="0"/>
    <s v="Project"/>
    <x v="1486"/>
    <x v="0"/>
    <x v="0"/>
    <s v="Exclude in HGB Group allocation"/>
  </r>
  <r>
    <s v="0"/>
    <m/>
    <x v="0"/>
    <x v="0"/>
    <m/>
    <m/>
    <m/>
    <n v="2124"/>
    <n v="3"/>
    <n v="2"/>
    <m/>
    <s v="01_SE"/>
    <x v="0"/>
    <m/>
    <m/>
    <m/>
    <m/>
    <x v="0"/>
    <s v="Project"/>
    <x v="1487"/>
    <x v="0"/>
    <x v="0"/>
    <s v="Exclude in HGB Group allocation"/>
  </r>
  <r>
    <s v="0"/>
    <m/>
    <x v="0"/>
    <x v="0"/>
    <m/>
    <m/>
    <m/>
    <n v="6023"/>
    <n v="19"/>
    <n v="2"/>
    <m/>
    <s v="01_SE"/>
    <x v="0"/>
    <m/>
    <m/>
    <m/>
    <m/>
    <x v="0"/>
    <s v="Project"/>
    <x v="1488"/>
    <x v="0"/>
    <x v="0"/>
    <s v="Exclude in HGB Group allocation"/>
  </r>
  <r>
    <s v="60230328"/>
    <m/>
    <x v="0"/>
    <x v="0"/>
    <m/>
    <m/>
    <m/>
    <n v="6023"/>
    <n v="3"/>
    <n v="2"/>
    <s v="60230328"/>
    <s v="01_SE"/>
    <x v="0"/>
    <m/>
    <m/>
    <m/>
    <m/>
    <x v="0"/>
    <s v="Project"/>
    <x v="1489"/>
    <x v="0"/>
    <x v="0"/>
    <s v="Exclude in HGB Group allocation"/>
  </r>
  <r>
    <s v="60231628"/>
    <m/>
    <x v="0"/>
    <x v="0"/>
    <m/>
    <m/>
    <m/>
    <n v="6023"/>
    <n v="16"/>
    <n v="2"/>
    <s v="60231628"/>
    <s v="01_SE"/>
    <x v="0"/>
    <m/>
    <m/>
    <m/>
    <m/>
    <x v="0"/>
    <s v="Project"/>
    <x v="1490"/>
    <x v="0"/>
    <x v="0"/>
    <s v="Exclude in HGB Group allocation"/>
  </r>
  <r>
    <s v="60231728"/>
    <m/>
    <x v="0"/>
    <x v="0"/>
    <m/>
    <m/>
    <m/>
    <n v="6023"/>
    <n v="17"/>
    <n v="2"/>
    <s v="60231728"/>
    <s v="01_SE"/>
    <x v="0"/>
    <m/>
    <m/>
    <m/>
    <m/>
    <x v="0"/>
    <s v="Project"/>
    <x v="1491"/>
    <x v="0"/>
    <x v="0"/>
    <s v="Exclude in HGB Group allocation"/>
  </r>
  <r>
    <s v="60231828"/>
    <m/>
    <x v="0"/>
    <x v="0"/>
    <m/>
    <m/>
    <m/>
    <n v="6023"/>
    <n v="18"/>
    <n v="2"/>
    <s v="60231828"/>
    <s v="01_SE"/>
    <x v="0"/>
    <m/>
    <m/>
    <m/>
    <m/>
    <x v="0"/>
    <s v="Project"/>
    <x v="1492"/>
    <x v="0"/>
    <x v="0"/>
    <s v="Exclude in HGB Group allocation"/>
  </r>
  <r>
    <s v="99963828"/>
    <m/>
    <x v="0"/>
    <x v="0"/>
    <m/>
    <m/>
    <m/>
    <n v="6023"/>
    <n v="16"/>
    <n v="2"/>
    <s v="99963828"/>
    <s v="01_SE"/>
    <x v="0"/>
    <m/>
    <m/>
    <m/>
    <m/>
    <x v="0"/>
    <s v="Project"/>
    <x v="1490"/>
    <x v="0"/>
    <x v="21"/>
    <s v="Exclude in HGB Group allocation"/>
  </r>
  <r>
    <s v="99965628"/>
    <m/>
    <x v="0"/>
    <x v="0"/>
    <m/>
    <m/>
    <m/>
    <n v="6023"/>
    <n v="17"/>
    <n v="2"/>
    <s v="99965628"/>
    <s v="01_SE"/>
    <x v="0"/>
    <m/>
    <m/>
    <m/>
    <m/>
    <x v="0"/>
    <s v="Project"/>
    <x v="1491"/>
    <x v="0"/>
    <x v="21"/>
    <s v="Exclude in HGB Group allocation"/>
  </r>
  <r>
    <s v="99967928"/>
    <m/>
    <x v="0"/>
    <x v="0"/>
    <m/>
    <m/>
    <m/>
    <n v="6023"/>
    <n v="18"/>
    <n v="2"/>
    <s v="99967928"/>
    <s v="01_SE"/>
    <x v="0"/>
    <m/>
    <m/>
    <m/>
    <m/>
    <x v="0"/>
    <s v="Project"/>
    <x v="1492"/>
    <x v="0"/>
    <x v="0"/>
    <s v="Exclude in HGB Group allocation"/>
  </r>
  <r>
    <s v="60270726"/>
    <m/>
    <x v="0"/>
    <x v="0"/>
    <m/>
    <m/>
    <m/>
    <n v="6027"/>
    <n v="7"/>
    <n v="2"/>
    <s v="60270726"/>
    <s v="07_Inc"/>
    <x v="0"/>
    <m/>
    <m/>
    <m/>
    <m/>
    <x v="0"/>
    <s v="Project"/>
    <x v="1493"/>
    <x v="0"/>
    <x v="0"/>
    <s v="Exclude in HGB Group allocation"/>
  </r>
  <r>
    <s v="60270826"/>
    <m/>
    <x v="0"/>
    <x v="0"/>
    <m/>
    <m/>
    <m/>
    <n v="6027"/>
    <n v="8"/>
    <n v="2"/>
    <s v="60270826"/>
    <s v="07_Inc"/>
    <x v="0"/>
    <m/>
    <m/>
    <m/>
    <m/>
    <x v="0"/>
    <s v="Project"/>
    <x v="1494"/>
    <x v="0"/>
    <x v="0"/>
    <s v="Exclude in HGB Group allocation"/>
  </r>
  <r>
    <s v="60270928"/>
    <m/>
    <x v="0"/>
    <x v="0"/>
    <m/>
    <m/>
    <m/>
    <n v="6027"/>
    <n v="9"/>
    <n v="2"/>
    <s v="60270928"/>
    <s v="07_Inc"/>
    <x v="0"/>
    <m/>
    <m/>
    <m/>
    <m/>
    <x v="0"/>
    <s v="Project"/>
    <x v="1495"/>
    <x v="0"/>
    <x v="21"/>
    <s v="Exclude in HGB Group allocation"/>
  </r>
  <r>
    <s v="75710244"/>
    <m/>
    <x v="0"/>
    <x v="0"/>
    <m/>
    <m/>
    <m/>
    <n v="7571"/>
    <n v="2"/>
    <n v="4"/>
    <s v="75710244"/>
    <s v="02_GmbH"/>
    <x v="1"/>
    <m/>
    <m/>
    <m/>
    <m/>
    <x v="0"/>
    <s v="Project"/>
    <x v="1496"/>
    <x v="0"/>
    <x v="21"/>
    <s v="Exclude in HGB Group allocation"/>
  </r>
  <r>
    <s v="75710328"/>
    <m/>
    <x v="0"/>
    <x v="0"/>
    <m/>
    <m/>
    <m/>
    <n v="7571"/>
    <n v="3"/>
    <n v="2"/>
    <s v="75710328"/>
    <s v="01_SE"/>
    <x v="0"/>
    <m/>
    <m/>
    <m/>
    <m/>
    <x v="0"/>
    <s v="Project"/>
    <x v="1497"/>
    <x v="0"/>
    <x v="0"/>
    <s v="Exclude in HGB Group allocation"/>
  </r>
  <r>
    <s v="0"/>
    <m/>
    <x v="0"/>
    <x v="0"/>
    <m/>
    <m/>
    <m/>
    <n v="7545"/>
    <n v="3"/>
    <n v="2"/>
    <m/>
    <s v="01_SE"/>
    <x v="0"/>
    <m/>
    <m/>
    <m/>
    <m/>
    <x v="0"/>
    <s v="Project"/>
    <x v="1498"/>
    <x v="0"/>
    <x v="0"/>
    <s v="Exclude in HGB Group allocation"/>
  </r>
  <r>
    <s v="76430528"/>
    <m/>
    <x v="0"/>
    <x v="0"/>
    <m/>
    <m/>
    <m/>
    <n v="7643"/>
    <n v="5"/>
    <n v="2"/>
    <s v="76430528"/>
    <s v="01_SE"/>
    <x v="0"/>
    <m/>
    <m/>
    <m/>
    <m/>
    <x v="0"/>
    <s v="Project"/>
    <x v="1499"/>
    <x v="0"/>
    <x v="0"/>
    <s v="Exclude in HGB Group allocation"/>
  </r>
  <r>
    <s v="0"/>
    <m/>
    <x v="0"/>
    <x v="0"/>
    <m/>
    <m/>
    <m/>
    <n v="6141"/>
    <n v="2"/>
    <n v="2"/>
    <m/>
    <s v="01_SE"/>
    <x v="0"/>
    <m/>
    <m/>
    <m/>
    <m/>
    <x v="0"/>
    <s v="Project"/>
    <x v="1500"/>
    <x v="0"/>
    <x v="0"/>
    <s v="Exclude in HGB Group allocation"/>
  </r>
  <r>
    <s v="12025128"/>
    <m/>
    <x v="0"/>
    <x v="0"/>
    <m/>
    <m/>
    <m/>
    <n v="1202"/>
    <n v="51"/>
    <n v="2"/>
    <s v="12025128"/>
    <s v="01_SE"/>
    <x v="0"/>
    <m/>
    <m/>
    <m/>
    <m/>
    <x v="0"/>
    <s v="Project"/>
    <x v="1501"/>
    <x v="0"/>
    <x v="0"/>
    <s v="Exclude in HGB Group allocation"/>
  </r>
  <r>
    <s v="12025228"/>
    <m/>
    <x v="0"/>
    <x v="0"/>
    <m/>
    <m/>
    <m/>
    <n v="1202"/>
    <n v="52"/>
    <n v="2"/>
    <s v="12025228"/>
    <s v="01_SE"/>
    <x v="0"/>
    <m/>
    <m/>
    <m/>
    <m/>
    <x v="0"/>
    <s v="Project"/>
    <x v="1502"/>
    <x v="0"/>
    <x v="0"/>
    <s v="Exclude in HGB Group allocation"/>
  </r>
  <r>
    <s v="12025428"/>
    <m/>
    <x v="0"/>
    <x v="0"/>
    <m/>
    <m/>
    <m/>
    <n v="1202"/>
    <n v="54"/>
    <n v="2"/>
    <s v="12025428"/>
    <s v="01_SE"/>
    <x v="0"/>
    <m/>
    <m/>
    <m/>
    <m/>
    <x v="0"/>
    <s v="Project"/>
    <x v="1503"/>
    <x v="0"/>
    <x v="0"/>
    <s v="Exclude in HGB Group allocation"/>
  </r>
  <r>
    <s v="12025628"/>
    <m/>
    <x v="0"/>
    <x v="0"/>
    <m/>
    <m/>
    <m/>
    <n v="1202"/>
    <n v="56"/>
    <n v="2"/>
    <s v="12025628"/>
    <s v="01_SE"/>
    <x v="0"/>
    <m/>
    <m/>
    <m/>
    <m/>
    <x v="0"/>
    <s v="Project"/>
    <x v="1504"/>
    <x v="0"/>
    <x v="0"/>
    <s v="Exclude in HGB Group allocation"/>
  </r>
  <r>
    <s v="12025928"/>
    <m/>
    <x v="0"/>
    <x v="0"/>
    <m/>
    <m/>
    <m/>
    <n v="1202"/>
    <n v="59"/>
    <n v="2"/>
    <s v="12025928"/>
    <s v="01_SE"/>
    <x v="0"/>
    <m/>
    <m/>
    <m/>
    <m/>
    <x v="0"/>
    <s v="Project"/>
    <x v="1505"/>
    <x v="0"/>
    <x v="0"/>
    <s v="Exclude in HGB Group allocation"/>
  </r>
  <r>
    <s v="12026028"/>
    <m/>
    <x v="0"/>
    <x v="0"/>
    <m/>
    <m/>
    <m/>
    <n v="1202"/>
    <n v="60"/>
    <n v="2"/>
    <s v="12026028"/>
    <s v="01_SE"/>
    <x v="0"/>
    <m/>
    <m/>
    <m/>
    <m/>
    <x v="0"/>
    <s v="Project"/>
    <x v="1506"/>
    <x v="0"/>
    <x v="0"/>
    <s v="Exclude in HGB Group allocation"/>
  </r>
  <r>
    <s v="12026128"/>
    <m/>
    <x v="0"/>
    <x v="0"/>
    <m/>
    <m/>
    <m/>
    <n v="1202"/>
    <n v="61"/>
    <n v="2"/>
    <s v="12026128"/>
    <s v="01_SE"/>
    <x v="0"/>
    <m/>
    <m/>
    <m/>
    <m/>
    <x v="0"/>
    <s v="Project"/>
    <x v="1507"/>
    <x v="0"/>
    <x v="0"/>
    <s v="Exclude in HGB Group allocation"/>
  </r>
  <r>
    <s v="12026228"/>
    <m/>
    <x v="0"/>
    <x v="0"/>
    <m/>
    <m/>
    <m/>
    <n v="1202"/>
    <n v="62"/>
    <n v="2"/>
    <s v="12026228"/>
    <s v="01_SE"/>
    <x v="0"/>
    <m/>
    <m/>
    <m/>
    <m/>
    <x v="0"/>
    <s v="Project"/>
    <x v="1508"/>
    <x v="0"/>
    <x v="0"/>
    <s v="Exclude in HGB Group allocation"/>
  </r>
  <r>
    <s v="0"/>
    <m/>
    <x v="0"/>
    <x v="0"/>
    <m/>
    <m/>
    <m/>
    <n v="1203"/>
    <n v="66"/>
    <n v="2"/>
    <m/>
    <s v="01_SE"/>
    <x v="0"/>
    <m/>
    <m/>
    <m/>
    <m/>
    <x v="0"/>
    <s v="Project"/>
    <x v="1509"/>
    <x v="0"/>
    <x v="0"/>
    <s v="Exclude in HGB Group allocation"/>
  </r>
  <r>
    <s v="0"/>
    <m/>
    <x v="0"/>
    <x v="0"/>
    <m/>
    <m/>
    <m/>
    <n v="1203"/>
    <n v="69"/>
    <n v="2"/>
    <m/>
    <s v="01_SE"/>
    <x v="0"/>
    <m/>
    <m/>
    <m/>
    <m/>
    <x v="0"/>
    <s v="Project"/>
    <x v="1510"/>
    <x v="0"/>
    <x v="0"/>
    <s v="Exclude in HGB Group allocation"/>
  </r>
  <r>
    <s v="0"/>
    <m/>
    <x v="0"/>
    <x v="0"/>
    <m/>
    <m/>
    <m/>
    <n v="1203"/>
    <n v="72"/>
    <n v="2"/>
    <m/>
    <s v="01_SE"/>
    <x v="0"/>
    <m/>
    <m/>
    <m/>
    <m/>
    <x v="0"/>
    <s v="Project"/>
    <x v="1511"/>
    <x v="0"/>
    <x v="0"/>
    <s v="Exclude in HGB Group allocation"/>
  </r>
  <r>
    <s v="0"/>
    <m/>
    <x v="0"/>
    <x v="0"/>
    <m/>
    <m/>
    <m/>
    <n v="1203"/>
    <n v="73"/>
    <n v="2"/>
    <m/>
    <s v="01_SE"/>
    <x v="0"/>
    <m/>
    <m/>
    <m/>
    <m/>
    <x v="0"/>
    <s v="Project"/>
    <x v="1512"/>
    <x v="0"/>
    <x v="0"/>
    <s v="Exclude in HGB Group allocation"/>
  </r>
  <r>
    <s v="0"/>
    <m/>
    <x v="0"/>
    <x v="0"/>
    <m/>
    <m/>
    <m/>
    <n v="1203"/>
    <n v="74"/>
    <n v="2"/>
    <m/>
    <s v="01_SE"/>
    <x v="0"/>
    <m/>
    <m/>
    <m/>
    <m/>
    <x v="0"/>
    <s v="Project"/>
    <x v="1513"/>
    <x v="0"/>
    <x v="0"/>
    <s v="Exclude in HGB Group allocation"/>
  </r>
  <r>
    <s v="0"/>
    <m/>
    <x v="0"/>
    <x v="0"/>
    <m/>
    <m/>
    <m/>
    <n v="1203"/>
    <n v="75"/>
    <n v="2"/>
    <m/>
    <s v="01_SE"/>
    <x v="0"/>
    <m/>
    <m/>
    <m/>
    <m/>
    <x v="0"/>
    <s v="Project"/>
    <x v="1514"/>
    <x v="0"/>
    <x v="0"/>
    <s v="Exclude in HGB Group allocation"/>
  </r>
  <r>
    <s v="0"/>
    <m/>
    <x v="0"/>
    <x v="0"/>
    <m/>
    <m/>
    <m/>
    <n v="1203"/>
    <n v="76"/>
    <n v="2"/>
    <m/>
    <s v="01_SE"/>
    <x v="0"/>
    <m/>
    <m/>
    <m/>
    <m/>
    <x v="0"/>
    <s v="Project"/>
    <x v="1515"/>
    <x v="0"/>
    <x v="0"/>
    <s v="Exclude in HGB Group allocation"/>
  </r>
  <r>
    <s v="12034228"/>
    <m/>
    <x v="0"/>
    <x v="0"/>
    <m/>
    <m/>
    <m/>
    <n v="1203"/>
    <n v="42"/>
    <n v="2"/>
    <s v="12034228"/>
    <s v="01_SE"/>
    <x v="0"/>
    <m/>
    <m/>
    <m/>
    <m/>
    <x v="0"/>
    <s v="Project"/>
    <x v="1516"/>
    <x v="0"/>
    <x v="0"/>
    <s v="Exclude in HGB Group allocation"/>
  </r>
  <r>
    <s v="12034328"/>
    <m/>
    <x v="0"/>
    <x v="0"/>
    <m/>
    <m/>
    <m/>
    <n v="1203"/>
    <n v="43"/>
    <n v="2"/>
    <s v="12034328"/>
    <s v="01_SE"/>
    <x v="0"/>
    <m/>
    <m/>
    <m/>
    <m/>
    <x v="0"/>
    <s v="Project"/>
    <x v="1517"/>
    <x v="0"/>
    <x v="0"/>
    <s v="Exclude in HGB Group allocation"/>
  </r>
  <r>
    <s v="12034528"/>
    <m/>
    <x v="0"/>
    <x v="0"/>
    <m/>
    <m/>
    <m/>
    <n v="1203"/>
    <n v="45"/>
    <n v="2"/>
    <s v="12034528"/>
    <s v="01_SE"/>
    <x v="0"/>
    <m/>
    <m/>
    <m/>
    <m/>
    <x v="0"/>
    <s v="Project"/>
    <x v="1518"/>
    <x v="0"/>
    <x v="0"/>
    <s v="Exclude in HGB Group allocation"/>
  </r>
  <r>
    <s v="12034828"/>
    <m/>
    <x v="0"/>
    <x v="0"/>
    <m/>
    <m/>
    <m/>
    <n v="1203"/>
    <n v="48"/>
    <n v="2"/>
    <s v="12034828"/>
    <s v="01_SE"/>
    <x v="0"/>
    <m/>
    <m/>
    <m/>
    <m/>
    <x v="0"/>
    <s v="Project"/>
    <x v="1519"/>
    <x v="0"/>
    <x v="0"/>
    <s v="Exclude in HGB Group allocation"/>
  </r>
  <r>
    <s v="12034928"/>
    <m/>
    <x v="0"/>
    <x v="0"/>
    <m/>
    <m/>
    <m/>
    <n v="1203"/>
    <n v="49"/>
    <n v="2"/>
    <s v="12034928"/>
    <s v="01_SE"/>
    <x v="0"/>
    <m/>
    <m/>
    <m/>
    <m/>
    <x v="0"/>
    <s v="Project"/>
    <x v="1520"/>
    <x v="0"/>
    <x v="0"/>
    <s v="Exclude in HGB Group allocation"/>
  </r>
  <r>
    <s v="12035328"/>
    <m/>
    <x v="0"/>
    <x v="0"/>
    <m/>
    <m/>
    <m/>
    <n v="1203"/>
    <n v="53"/>
    <n v="2"/>
    <s v="12035328"/>
    <s v="01_SE"/>
    <x v="0"/>
    <m/>
    <m/>
    <m/>
    <m/>
    <x v="0"/>
    <s v="Project"/>
    <x v="1521"/>
    <x v="0"/>
    <x v="0"/>
    <s v="Exclude in HGB Group allocation"/>
  </r>
  <r>
    <s v="12035728"/>
    <m/>
    <x v="0"/>
    <x v="0"/>
    <m/>
    <m/>
    <m/>
    <n v="1203"/>
    <n v="57"/>
    <n v="2"/>
    <s v="12035728"/>
    <s v="01_SE"/>
    <x v="0"/>
    <m/>
    <m/>
    <m/>
    <m/>
    <x v="0"/>
    <s v="Project"/>
    <x v="1522"/>
    <x v="0"/>
    <x v="0"/>
    <s v="Exclude in HGB Group allocation"/>
  </r>
  <r>
    <s v="12035928"/>
    <m/>
    <x v="0"/>
    <x v="0"/>
    <m/>
    <m/>
    <m/>
    <n v="1203"/>
    <n v="59"/>
    <n v="2"/>
    <s v="12035928"/>
    <s v="01_SE"/>
    <x v="0"/>
    <m/>
    <m/>
    <m/>
    <m/>
    <x v="0"/>
    <s v="Project"/>
    <x v="1523"/>
    <x v="0"/>
    <x v="0"/>
    <s v="Exclude in HGB Group allocation"/>
  </r>
  <r>
    <s v="12036028"/>
    <m/>
    <x v="0"/>
    <x v="0"/>
    <m/>
    <m/>
    <m/>
    <n v="1203"/>
    <n v="60"/>
    <n v="2"/>
    <s v="12036028"/>
    <s v="01_SE"/>
    <x v="0"/>
    <m/>
    <m/>
    <m/>
    <m/>
    <x v="0"/>
    <s v="Project"/>
    <x v="1524"/>
    <x v="0"/>
    <x v="0"/>
    <s v="Exclude in HGB Group allocation"/>
  </r>
  <r>
    <s v="12036128"/>
    <m/>
    <x v="0"/>
    <x v="0"/>
    <m/>
    <m/>
    <m/>
    <n v="1203"/>
    <n v="61"/>
    <n v="2"/>
    <s v="12036128"/>
    <s v="01_SE"/>
    <x v="0"/>
    <m/>
    <m/>
    <m/>
    <m/>
    <x v="0"/>
    <s v="Project"/>
    <x v="1525"/>
    <x v="0"/>
    <x v="0"/>
    <s v="Exclude in HGB Group allocation"/>
  </r>
  <r>
    <s v="12036228"/>
    <m/>
    <x v="0"/>
    <x v="0"/>
    <m/>
    <m/>
    <m/>
    <n v="1203"/>
    <n v="62"/>
    <n v="2"/>
    <s v="12036228"/>
    <s v="01_SE"/>
    <x v="0"/>
    <m/>
    <m/>
    <m/>
    <m/>
    <x v="0"/>
    <s v="Project"/>
    <x v="1526"/>
    <x v="0"/>
    <x v="0"/>
    <s v="Exclude in HGB Group allocation"/>
  </r>
  <r>
    <s v="12036328"/>
    <m/>
    <x v="0"/>
    <x v="0"/>
    <m/>
    <m/>
    <m/>
    <n v="1203"/>
    <n v="63"/>
    <n v="2"/>
    <s v="12036328"/>
    <s v="01_SE"/>
    <x v="0"/>
    <m/>
    <m/>
    <m/>
    <m/>
    <x v="0"/>
    <s v="Project"/>
    <x v="1527"/>
    <x v="0"/>
    <x v="0"/>
    <s v="Exclude in HGB Group allocation"/>
  </r>
  <r>
    <s v="12036428"/>
    <m/>
    <x v="0"/>
    <x v="0"/>
    <m/>
    <m/>
    <m/>
    <n v="1203"/>
    <n v="64"/>
    <n v="2"/>
    <s v="12036428"/>
    <s v="01_SE"/>
    <x v="0"/>
    <m/>
    <m/>
    <m/>
    <m/>
    <x v="0"/>
    <s v="Project"/>
    <x v="1528"/>
    <x v="0"/>
    <x v="0"/>
    <s v="Exclude in HGB Group allocation"/>
  </r>
  <r>
    <s v="0"/>
    <m/>
    <x v="0"/>
    <x v="0"/>
    <m/>
    <m/>
    <m/>
    <n v="1203"/>
    <n v="65"/>
    <n v="2"/>
    <m/>
    <s v="01_SE"/>
    <x v="0"/>
    <m/>
    <m/>
    <m/>
    <m/>
    <x v="0"/>
    <s v="Project"/>
    <x v="1529"/>
    <x v="0"/>
    <x v="0"/>
    <s v="Exclude in HGB Group allocation"/>
  </r>
  <r>
    <s v="0"/>
    <m/>
    <x v="0"/>
    <x v="0"/>
    <m/>
    <m/>
    <m/>
    <n v="1203"/>
    <n v="67"/>
    <n v="2"/>
    <m/>
    <s v="01_SE"/>
    <x v="0"/>
    <m/>
    <m/>
    <m/>
    <m/>
    <x v="0"/>
    <s v="Project"/>
    <x v="1530"/>
    <x v="0"/>
    <x v="0"/>
    <s v="Exclude in HGB Group allocation"/>
  </r>
  <r>
    <s v="0"/>
    <m/>
    <x v="0"/>
    <x v="0"/>
    <m/>
    <m/>
    <m/>
    <n v="1203"/>
    <n v="68"/>
    <n v="2"/>
    <m/>
    <s v="01_SE"/>
    <x v="0"/>
    <m/>
    <m/>
    <m/>
    <m/>
    <x v="0"/>
    <s v="Project"/>
    <x v="1531"/>
    <x v="0"/>
    <x v="0"/>
    <s v="Exclude in HGB Group allocation"/>
  </r>
  <r>
    <s v="0"/>
    <m/>
    <x v="0"/>
    <x v="0"/>
    <m/>
    <m/>
    <m/>
    <n v="1203"/>
    <n v="70"/>
    <n v="2"/>
    <m/>
    <s v="01_SE"/>
    <x v="0"/>
    <m/>
    <m/>
    <m/>
    <m/>
    <x v="0"/>
    <s v="Project"/>
    <x v="1532"/>
    <x v="0"/>
    <x v="0"/>
    <s v="Exclude in HGB Group allocation"/>
  </r>
  <r>
    <s v="0"/>
    <m/>
    <x v="0"/>
    <x v="0"/>
    <m/>
    <m/>
    <m/>
    <n v="1203"/>
    <n v="71"/>
    <n v="2"/>
    <m/>
    <s v="01_SE"/>
    <x v="0"/>
    <m/>
    <m/>
    <m/>
    <m/>
    <x v="0"/>
    <s v="Project"/>
    <x v="1533"/>
    <x v="0"/>
    <x v="0"/>
    <s v="Exclude in HGB Group allocation"/>
  </r>
  <r>
    <s v="99947428"/>
    <m/>
    <x v="0"/>
    <x v="0"/>
    <m/>
    <m/>
    <m/>
    <n v="1203"/>
    <n v="53"/>
    <n v="2"/>
    <s v="99947428"/>
    <s v="01_SE"/>
    <x v="0"/>
    <m/>
    <m/>
    <m/>
    <m/>
    <x v="0"/>
    <s v="Project"/>
    <x v="1521"/>
    <x v="0"/>
    <x v="21"/>
    <s v="Exclude in HGB Group allocation"/>
  </r>
  <r>
    <s v="99961328"/>
    <m/>
    <x v="0"/>
    <x v="0"/>
    <m/>
    <m/>
    <m/>
    <n v="1203"/>
    <n v="57"/>
    <n v="2"/>
    <s v="99961328"/>
    <s v="01_SE"/>
    <x v="0"/>
    <m/>
    <m/>
    <m/>
    <m/>
    <x v="0"/>
    <s v="Project"/>
    <x v="1522"/>
    <x v="0"/>
    <x v="21"/>
    <s v="Exclude in HGB Group allocation"/>
  </r>
  <r>
    <s v="99965728"/>
    <m/>
    <x v="0"/>
    <x v="0"/>
    <m/>
    <m/>
    <m/>
    <n v="1203"/>
    <n v="59"/>
    <n v="2"/>
    <s v="99965728"/>
    <s v="01_SE"/>
    <x v="0"/>
    <m/>
    <m/>
    <m/>
    <m/>
    <x v="0"/>
    <s v="Project"/>
    <x v="1523"/>
    <x v="0"/>
    <x v="21"/>
    <s v="Exclude in HGB Group allocation"/>
  </r>
  <r>
    <s v="12040228"/>
    <m/>
    <x v="0"/>
    <x v="0"/>
    <m/>
    <m/>
    <m/>
    <n v="1204"/>
    <n v="2"/>
    <n v="2"/>
    <s v="12040228"/>
    <s v="01_SE"/>
    <x v="0"/>
    <m/>
    <m/>
    <m/>
    <m/>
    <x v="0"/>
    <s v="Project"/>
    <x v="1534"/>
    <x v="0"/>
    <x v="0"/>
    <s v="Exclude in HGB Group allocation"/>
  </r>
  <r>
    <s v="12040328"/>
    <m/>
    <x v="0"/>
    <x v="0"/>
    <m/>
    <m/>
    <m/>
    <n v="1204"/>
    <n v="3"/>
    <n v="2"/>
    <s v="12040328"/>
    <s v="01_SE"/>
    <x v="0"/>
    <m/>
    <m/>
    <m/>
    <m/>
    <x v="0"/>
    <s v="Project"/>
    <x v="1535"/>
    <x v="0"/>
    <x v="0"/>
    <s v="Exclude in HGB Group allocation"/>
  </r>
  <r>
    <s v="12040428"/>
    <m/>
    <x v="0"/>
    <x v="0"/>
    <m/>
    <m/>
    <m/>
    <n v="1204"/>
    <n v="4"/>
    <n v="2"/>
    <s v="12040428"/>
    <s v="01_SE"/>
    <x v="0"/>
    <m/>
    <m/>
    <m/>
    <m/>
    <x v="0"/>
    <s v="Project"/>
    <x v="1536"/>
    <x v="0"/>
    <x v="0"/>
    <s v="Exclude in HGB Group allocation"/>
  </r>
  <r>
    <s v="12040528"/>
    <m/>
    <x v="0"/>
    <x v="0"/>
    <m/>
    <m/>
    <m/>
    <n v="1204"/>
    <n v="5"/>
    <n v="2"/>
    <s v="12040528"/>
    <s v="01_SE"/>
    <x v="0"/>
    <m/>
    <m/>
    <m/>
    <m/>
    <x v="0"/>
    <s v="Project"/>
    <x v="1537"/>
    <x v="0"/>
    <x v="0"/>
    <s v="Exclude in HGB Group allocation"/>
  </r>
  <r>
    <s v="12040628"/>
    <m/>
    <x v="0"/>
    <x v="0"/>
    <m/>
    <m/>
    <m/>
    <n v="1204"/>
    <n v="6"/>
    <n v="2"/>
    <s v="12040628"/>
    <s v="01_SE"/>
    <x v="0"/>
    <m/>
    <m/>
    <m/>
    <m/>
    <x v="0"/>
    <s v="Project"/>
    <x v="1538"/>
    <x v="0"/>
    <x v="0"/>
    <s v="Exclude in HGB Group allocation"/>
  </r>
  <r>
    <s v="0"/>
    <m/>
    <x v="0"/>
    <x v="0"/>
    <m/>
    <m/>
    <m/>
    <n v="1240"/>
    <n v="95"/>
    <n v="2"/>
    <m/>
    <s v="01_SE"/>
    <x v="0"/>
    <m/>
    <m/>
    <m/>
    <m/>
    <x v="0"/>
    <s v="Project"/>
    <x v="1539"/>
    <x v="0"/>
    <x v="0"/>
    <s v="Exclude in HGB Group allocation"/>
  </r>
  <r>
    <s v="12410142"/>
    <m/>
    <x v="0"/>
    <x v="0"/>
    <m/>
    <m/>
    <m/>
    <n v="1241"/>
    <n v="1"/>
    <n v="4"/>
    <s v="12410142"/>
    <s v="02_GmbH"/>
    <x v="1"/>
    <m/>
    <m/>
    <m/>
    <m/>
    <x v="0"/>
    <s v="Project"/>
    <x v="1540"/>
    <x v="0"/>
    <x v="23"/>
    <s v="Exclude in HGB Group allocation"/>
  </r>
  <r>
    <s v="99959845"/>
    <m/>
    <x v="0"/>
    <x v="0"/>
    <m/>
    <m/>
    <m/>
    <n v="1241"/>
    <n v="1"/>
    <n v="4"/>
    <s v="99959845"/>
    <s v="02_GmbH"/>
    <x v="1"/>
    <m/>
    <m/>
    <m/>
    <m/>
    <x v="0"/>
    <s v="Project"/>
    <x v="1540"/>
    <x v="0"/>
    <x v="1"/>
    <s v="Exclude in HGB Group allocation"/>
  </r>
  <r>
    <s v="12410942"/>
    <m/>
    <x v="0"/>
    <x v="0"/>
    <m/>
    <m/>
    <m/>
    <n v="1241"/>
    <n v="9"/>
    <n v="4"/>
    <s v="12410942"/>
    <s v="02_GmbH"/>
    <x v="1"/>
    <m/>
    <m/>
    <m/>
    <m/>
    <x v="0"/>
    <s v="Project"/>
    <x v="1541"/>
    <x v="0"/>
    <x v="23"/>
    <s v="Exclude in HGB Group allocation"/>
  </r>
  <r>
    <s v="12410944"/>
    <m/>
    <x v="0"/>
    <x v="0"/>
    <m/>
    <m/>
    <m/>
    <n v="1241"/>
    <n v="9"/>
    <n v="4"/>
    <s v="12410944"/>
    <s v="02_GmbH"/>
    <x v="1"/>
    <m/>
    <m/>
    <m/>
    <m/>
    <x v="0"/>
    <s v="Project"/>
    <x v="1541"/>
    <x v="0"/>
    <x v="2"/>
    <s v="Exclude in HGB Group allocation"/>
  </r>
  <r>
    <s v="12410947"/>
    <m/>
    <x v="0"/>
    <x v="0"/>
    <m/>
    <m/>
    <m/>
    <n v="1241"/>
    <n v="9"/>
    <n v="4"/>
    <s v="12410947"/>
    <s v="02_GmbH"/>
    <x v="1"/>
    <m/>
    <m/>
    <m/>
    <m/>
    <x v="0"/>
    <s v="Project"/>
    <x v="1541"/>
    <x v="0"/>
    <x v="20"/>
    <s v="Exclude in HGB Group allocation"/>
  </r>
  <r>
    <s v="12410949"/>
    <m/>
    <x v="0"/>
    <x v="0"/>
    <m/>
    <m/>
    <m/>
    <n v="1241"/>
    <n v="9"/>
    <n v="4"/>
    <s v="12410949"/>
    <s v="02_GmbH"/>
    <x v="1"/>
    <m/>
    <m/>
    <m/>
    <m/>
    <x v="0"/>
    <s v="Project"/>
    <x v="1541"/>
    <x v="0"/>
    <x v="21"/>
    <s v="Exclude in HGB Group allocation"/>
  </r>
  <r>
    <s v="12411028"/>
    <m/>
    <x v="0"/>
    <x v="0"/>
    <m/>
    <m/>
    <m/>
    <n v="1241"/>
    <n v="10"/>
    <n v="2"/>
    <s v="12411028"/>
    <s v="16_digital"/>
    <x v="0"/>
    <m/>
    <m/>
    <m/>
    <m/>
    <x v="0"/>
    <s v="Project"/>
    <x v="1542"/>
    <x v="0"/>
    <x v="0"/>
    <s v="Exclude in HGB Group allocation"/>
  </r>
  <r>
    <s v="12411128"/>
    <m/>
    <x v="0"/>
    <x v="0"/>
    <m/>
    <m/>
    <m/>
    <n v="1241"/>
    <n v="11"/>
    <n v="2"/>
    <s v="12411128"/>
    <s v="16_digital"/>
    <x v="0"/>
    <m/>
    <m/>
    <m/>
    <m/>
    <x v="0"/>
    <s v="Project"/>
    <x v="1543"/>
    <x v="0"/>
    <x v="0"/>
    <s v="Exclude in HGB Group allocation"/>
  </r>
  <r>
    <s v="12411228"/>
    <m/>
    <x v="0"/>
    <x v="0"/>
    <m/>
    <m/>
    <m/>
    <n v="1241"/>
    <n v="12"/>
    <n v="2"/>
    <s v="12411228"/>
    <s v="01_SE"/>
    <x v="0"/>
    <m/>
    <m/>
    <m/>
    <m/>
    <x v="0"/>
    <s v="Project"/>
    <x v="1544"/>
    <x v="0"/>
    <x v="25"/>
    <s v="Exclude in HGB Group allocation"/>
  </r>
  <r>
    <s v="12411628"/>
    <m/>
    <x v="0"/>
    <x v="0"/>
    <m/>
    <m/>
    <m/>
    <n v="1241"/>
    <n v="16"/>
    <n v="2"/>
    <s v="12411628"/>
    <s v="01_SE"/>
    <x v="0"/>
    <m/>
    <m/>
    <m/>
    <m/>
    <x v="0"/>
    <s v="Project"/>
    <x v="1545"/>
    <x v="0"/>
    <x v="0"/>
    <s v="Exclude in HGB Group allocation"/>
  </r>
  <r>
    <s v="12411728"/>
    <m/>
    <x v="0"/>
    <x v="0"/>
    <m/>
    <m/>
    <m/>
    <n v="1241"/>
    <n v="17"/>
    <n v="2"/>
    <s v="12411728"/>
    <s v="01_SE"/>
    <x v="0"/>
    <m/>
    <m/>
    <m/>
    <m/>
    <x v="0"/>
    <s v="Project"/>
    <x v="1546"/>
    <x v="0"/>
    <x v="0"/>
    <s v="Exclude in HGB Group allocation"/>
  </r>
  <r>
    <s v="12411845"/>
    <m/>
    <x v="0"/>
    <x v="0"/>
    <m/>
    <m/>
    <m/>
    <n v="1241"/>
    <n v="18"/>
    <n v="4"/>
    <s v="12411845"/>
    <s v="02_GmbH"/>
    <x v="1"/>
    <m/>
    <m/>
    <m/>
    <m/>
    <x v="0"/>
    <s v="Project"/>
    <x v="1547"/>
    <x v="0"/>
    <x v="21"/>
    <s v="Exclude in HGB Group allocation"/>
  </r>
  <r>
    <s v="12411928"/>
    <m/>
    <x v="0"/>
    <x v="0"/>
    <m/>
    <m/>
    <m/>
    <n v="1241"/>
    <n v="19"/>
    <n v="2"/>
    <s v="12411928"/>
    <s v="01_SE"/>
    <x v="0"/>
    <m/>
    <m/>
    <m/>
    <m/>
    <x v="0"/>
    <s v="Project"/>
    <x v="1548"/>
    <x v="0"/>
    <x v="0"/>
    <s v="Exclude in HGB Group allocation"/>
  </r>
  <r>
    <s v="12412028"/>
    <m/>
    <x v="0"/>
    <x v="0"/>
    <m/>
    <m/>
    <m/>
    <n v="1241"/>
    <n v="20"/>
    <n v="2"/>
    <s v="12412028"/>
    <s v="01_SE"/>
    <x v="0"/>
    <m/>
    <m/>
    <m/>
    <m/>
    <x v="0"/>
    <s v="Project"/>
    <x v="1549"/>
    <x v="0"/>
    <x v="0"/>
    <s v="Exclude in HGB Group allocation"/>
  </r>
  <r>
    <s v="12412145"/>
    <m/>
    <x v="0"/>
    <x v="0"/>
    <m/>
    <m/>
    <m/>
    <n v="1241"/>
    <n v="21"/>
    <n v="4"/>
    <s v="12412145"/>
    <s v="02_GmbH"/>
    <x v="1"/>
    <m/>
    <m/>
    <m/>
    <m/>
    <x v="0"/>
    <s v="Project"/>
    <x v="1550"/>
    <x v="0"/>
    <x v="1"/>
    <s v="Exclude in HGB Group allocation"/>
  </r>
  <r>
    <s v="12412147"/>
    <m/>
    <x v="0"/>
    <x v="0"/>
    <m/>
    <m/>
    <m/>
    <n v="1241"/>
    <n v="21"/>
    <n v="4"/>
    <s v="12412147"/>
    <s v="02_GmbH"/>
    <x v="1"/>
    <m/>
    <m/>
    <m/>
    <m/>
    <x v="0"/>
    <s v="Project"/>
    <x v="1550"/>
    <x v="0"/>
    <x v="1"/>
    <s v="Exclude in HGB Group allocation"/>
  </r>
  <r>
    <s v="12412249"/>
    <m/>
    <x v="0"/>
    <x v="0"/>
    <m/>
    <m/>
    <m/>
    <n v="1241"/>
    <n v="22"/>
    <n v="4"/>
    <s v="12412249"/>
    <s v="02_GmbH"/>
    <x v="1"/>
    <m/>
    <m/>
    <m/>
    <m/>
    <x v="0"/>
    <s v="Project"/>
    <x v="1551"/>
    <x v="0"/>
    <x v="21"/>
    <s v="Exclude in HGB Group allocation"/>
  </r>
  <r>
    <s v="12412349"/>
    <m/>
    <x v="0"/>
    <x v="0"/>
    <m/>
    <m/>
    <m/>
    <n v="1241"/>
    <n v="23"/>
    <n v="4"/>
    <s v="12412349"/>
    <s v="02_GmbH"/>
    <x v="1"/>
    <m/>
    <m/>
    <m/>
    <m/>
    <x v="0"/>
    <s v="Project"/>
    <x v="1552"/>
    <x v="0"/>
    <x v="21"/>
    <s v="Exclude in HGB Group allocation"/>
  </r>
  <r>
    <s v="12412428"/>
    <m/>
    <x v="0"/>
    <x v="0"/>
    <m/>
    <m/>
    <m/>
    <n v="1241"/>
    <n v="24"/>
    <n v="2"/>
    <s v="12412428"/>
    <s v="01_SE"/>
    <x v="0"/>
    <m/>
    <m/>
    <m/>
    <m/>
    <x v="0"/>
    <s v="Project"/>
    <x v="1553"/>
    <x v="0"/>
    <x v="0"/>
    <s v="Exclude in HGB Group allocation"/>
  </r>
  <r>
    <s v="12412649"/>
    <m/>
    <x v="0"/>
    <x v="0"/>
    <m/>
    <m/>
    <m/>
    <n v="1241"/>
    <n v="26"/>
    <n v="4"/>
    <s v="12412649"/>
    <s v="02_GmbH"/>
    <x v="1"/>
    <m/>
    <m/>
    <m/>
    <m/>
    <x v="0"/>
    <s v="Project"/>
    <x v="1554"/>
    <x v="0"/>
    <x v="21"/>
    <s v="Exclude in HGB Group allocation"/>
  </r>
  <r>
    <s v="12412728"/>
    <m/>
    <x v="0"/>
    <x v="0"/>
    <m/>
    <m/>
    <m/>
    <n v="1241"/>
    <n v="27"/>
    <n v="2"/>
    <s v="12412728"/>
    <s v="16_digital"/>
    <x v="0"/>
    <m/>
    <m/>
    <m/>
    <m/>
    <x v="0"/>
    <s v="Project"/>
    <x v="1555"/>
    <x v="0"/>
    <x v="21"/>
    <s v="Exclude in HGB Group allocation"/>
  </r>
  <r>
    <s v="12412828"/>
    <m/>
    <x v="0"/>
    <x v="0"/>
    <m/>
    <m/>
    <m/>
    <n v="1241"/>
    <n v="28"/>
    <n v="2"/>
    <s v="12412828"/>
    <s v="16_digital"/>
    <x v="0"/>
    <m/>
    <m/>
    <m/>
    <m/>
    <x v="0"/>
    <s v="Project"/>
    <x v="1556"/>
    <x v="0"/>
    <x v="21"/>
    <s v="Exclude in HGB Group allocation"/>
  </r>
  <r>
    <s v="12412942"/>
    <m/>
    <x v="0"/>
    <x v="0"/>
    <m/>
    <m/>
    <m/>
    <n v="1241"/>
    <n v="29"/>
    <n v="4"/>
    <s v="12412942"/>
    <s v="02_GmbH"/>
    <x v="1"/>
    <m/>
    <m/>
    <m/>
    <m/>
    <x v="0"/>
    <s v="Project"/>
    <x v="1557"/>
    <x v="0"/>
    <x v="21"/>
    <s v="Exclude in HGB Group allocation"/>
  </r>
  <r>
    <s v="12413045"/>
    <m/>
    <x v="0"/>
    <x v="0"/>
    <m/>
    <m/>
    <m/>
    <n v="1241"/>
    <n v="30"/>
    <n v="4"/>
    <s v="12413045"/>
    <s v="02_GmbH"/>
    <x v="1"/>
    <m/>
    <m/>
    <m/>
    <m/>
    <x v="0"/>
    <s v="Project"/>
    <x v="1558"/>
    <x v="0"/>
    <x v="1"/>
    <s v="Exclude in HGB Group allocation"/>
  </r>
  <r>
    <s v="12413142"/>
    <m/>
    <x v="0"/>
    <x v="0"/>
    <m/>
    <m/>
    <m/>
    <n v="1241"/>
    <n v="31"/>
    <n v="4"/>
    <s v="12413142"/>
    <s v="02_GmbH"/>
    <x v="1"/>
    <m/>
    <m/>
    <m/>
    <m/>
    <x v="0"/>
    <s v="Project"/>
    <x v="1559"/>
    <x v="0"/>
    <x v="23"/>
    <s v="Exclude in HGB Group allocation"/>
  </r>
  <r>
    <s v="0"/>
    <m/>
    <x v="0"/>
    <x v="0"/>
    <m/>
    <m/>
    <m/>
    <n v="1241"/>
    <n v="32"/>
    <n v="4"/>
    <m/>
    <s v="02_GmbH"/>
    <x v="1"/>
    <m/>
    <m/>
    <m/>
    <m/>
    <x v="0"/>
    <s v="Project"/>
    <x v="1560"/>
    <x v="0"/>
    <x v="1"/>
    <s v="Exclude in HGB Group allocation"/>
  </r>
  <r>
    <s v="0"/>
    <m/>
    <x v="0"/>
    <x v="0"/>
    <m/>
    <m/>
    <m/>
    <n v="1241"/>
    <n v="33"/>
    <n v="4"/>
    <m/>
    <s v="02_GmbH"/>
    <x v="1"/>
    <m/>
    <m/>
    <m/>
    <m/>
    <x v="0"/>
    <s v="Project"/>
    <x v="1561"/>
    <x v="0"/>
    <x v="1"/>
    <s v="Exclude in HGB Group allocation"/>
  </r>
  <r>
    <s v="0"/>
    <m/>
    <x v="0"/>
    <x v="0"/>
    <m/>
    <m/>
    <m/>
    <n v="1241"/>
    <n v="34"/>
    <n v="2"/>
    <m/>
    <s v="01_SE"/>
    <x v="0"/>
    <m/>
    <m/>
    <m/>
    <m/>
    <x v="0"/>
    <s v="Project"/>
    <x v="1562"/>
    <x v="0"/>
    <x v="25"/>
    <s v="Exclude in HGB Group allocation"/>
  </r>
  <r>
    <s v="0"/>
    <m/>
    <x v="0"/>
    <x v="0"/>
    <m/>
    <m/>
    <m/>
    <n v="1241"/>
    <n v="35"/>
    <n v="2"/>
    <m/>
    <s v="01_SE"/>
    <x v="0"/>
    <m/>
    <m/>
    <m/>
    <m/>
    <x v="0"/>
    <s v="Project"/>
    <x v="1563"/>
    <x v="0"/>
    <x v="25"/>
    <s v="Exclude in HGB Group allocation"/>
  </r>
  <r>
    <s v="0"/>
    <m/>
    <x v="0"/>
    <x v="0"/>
    <m/>
    <m/>
    <m/>
    <n v="1241"/>
    <n v="36"/>
    <n v="2"/>
    <m/>
    <s v="01_SE"/>
    <x v="0"/>
    <m/>
    <m/>
    <m/>
    <m/>
    <x v="0"/>
    <s v="Project"/>
    <x v="1564"/>
    <x v="0"/>
    <x v="25"/>
    <s v="Exclude in HGB Group allocation"/>
  </r>
  <r>
    <s v="0"/>
    <m/>
    <x v="0"/>
    <x v="0"/>
    <m/>
    <m/>
    <m/>
    <n v="1241"/>
    <n v="37"/>
    <n v="4"/>
    <m/>
    <s v="02_GmbH"/>
    <x v="1"/>
    <m/>
    <m/>
    <m/>
    <m/>
    <x v="0"/>
    <s v="Project"/>
    <x v="1565"/>
    <x v="0"/>
    <x v="1"/>
    <s v="Exclude in HGB Group allocation"/>
  </r>
  <r>
    <s v="0"/>
    <m/>
    <x v="0"/>
    <x v="0"/>
    <m/>
    <m/>
    <m/>
    <n v="1241"/>
    <n v="38"/>
    <n v="2"/>
    <m/>
    <s v="01_SE"/>
    <x v="0"/>
    <m/>
    <m/>
    <m/>
    <m/>
    <x v="0"/>
    <s v="Project"/>
    <x v="1566"/>
    <x v="0"/>
    <x v="25"/>
    <s v="Exclude in HGB Group allocation"/>
  </r>
  <r>
    <s v="0"/>
    <m/>
    <x v="0"/>
    <x v="0"/>
    <m/>
    <m/>
    <m/>
    <n v="1241"/>
    <n v="38"/>
    <n v="4"/>
    <m/>
    <s v="02_GmbH"/>
    <x v="1"/>
    <m/>
    <m/>
    <m/>
    <m/>
    <x v="0"/>
    <s v="Project"/>
    <x v="1567"/>
    <x v="0"/>
    <x v="2"/>
    <s v="Exclude in HGB Group allocation"/>
  </r>
  <r>
    <s v="0"/>
    <m/>
    <x v="0"/>
    <x v="0"/>
    <m/>
    <m/>
    <m/>
    <n v="1241"/>
    <n v="39"/>
    <n v="4"/>
    <m/>
    <s v="02_GmbH"/>
    <x v="1"/>
    <m/>
    <m/>
    <m/>
    <m/>
    <x v="0"/>
    <s v="Project"/>
    <x v="1568"/>
    <x v="0"/>
    <x v="20"/>
    <s v="Exclude in HGB Group allocation"/>
  </r>
  <r>
    <s v="0"/>
    <m/>
    <x v="0"/>
    <x v="0"/>
    <m/>
    <m/>
    <m/>
    <n v="1241"/>
    <n v="40"/>
    <n v="4"/>
    <m/>
    <s v="02_GmbH"/>
    <x v="1"/>
    <m/>
    <m/>
    <m/>
    <m/>
    <x v="0"/>
    <s v="Project"/>
    <x v="1569"/>
    <x v="0"/>
    <x v="1"/>
    <s v="Exclude in HGB Group allocation"/>
  </r>
  <r>
    <s v="0"/>
    <m/>
    <x v="0"/>
    <x v="0"/>
    <m/>
    <m/>
    <m/>
    <n v="1241"/>
    <n v="41"/>
    <n v="2"/>
    <m/>
    <s v="01_SE"/>
    <x v="0"/>
    <m/>
    <m/>
    <m/>
    <m/>
    <x v="0"/>
    <s v="Project"/>
    <x v="1570"/>
    <x v="0"/>
    <x v="0"/>
    <s v="Exclude in HGB Group allocation"/>
  </r>
  <r>
    <s v="0"/>
    <m/>
    <x v="0"/>
    <x v="0"/>
    <m/>
    <m/>
    <m/>
    <n v="1241"/>
    <n v="42"/>
    <n v="2"/>
    <m/>
    <s v="01_SE"/>
    <x v="0"/>
    <m/>
    <m/>
    <m/>
    <m/>
    <x v="0"/>
    <s v="Project"/>
    <x v="1571"/>
    <x v="0"/>
    <x v="25"/>
    <s v="Exclude in HGB Group allocation"/>
  </r>
  <r>
    <s v="0"/>
    <m/>
    <x v="0"/>
    <x v="0"/>
    <m/>
    <m/>
    <m/>
    <n v="1241"/>
    <n v="43"/>
    <n v="2"/>
    <m/>
    <s v="01_SE"/>
    <x v="0"/>
    <m/>
    <m/>
    <m/>
    <m/>
    <x v="0"/>
    <s v="Project"/>
    <x v="1572"/>
    <x v="0"/>
    <x v="25"/>
    <s v="Exclude in HGB Group allocation"/>
  </r>
  <r>
    <s v="12414442"/>
    <m/>
    <x v="0"/>
    <x v="0"/>
    <m/>
    <m/>
    <m/>
    <n v="1241"/>
    <n v="44"/>
    <n v="4"/>
    <n v="12414442"/>
    <s v="02_GmbH"/>
    <x v="1"/>
    <m/>
    <m/>
    <m/>
    <m/>
    <x v="0"/>
    <s v="Project"/>
    <x v="1573"/>
    <x v="0"/>
    <x v="23"/>
    <s v="Exclude in HGB Group allocation"/>
  </r>
  <r>
    <s v="12414542"/>
    <m/>
    <x v="0"/>
    <x v="0"/>
    <m/>
    <m/>
    <m/>
    <n v="1241"/>
    <n v="45"/>
    <n v="4"/>
    <n v="12414542"/>
    <s v="02_GmbH"/>
    <x v="1"/>
    <m/>
    <m/>
    <m/>
    <m/>
    <x v="0"/>
    <s v="Project"/>
    <x v="1574"/>
    <x v="0"/>
    <x v="23"/>
    <s v="Exclude in HGB Group allocation"/>
  </r>
  <r>
    <s v="0"/>
    <m/>
    <x v="0"/>
    <x v="0"/>
    <m/>
    <m/>
    <m/>
    <n v="1241"/>
    <n v="46"/>
    <n v="2"/>
    <m/>
    <s v="01_SE"/>
    <x v="0"/>
    <m/>
    <m/>
    <m/>
    <m/>
    <x v="0"/>
    <s v="Project"/>
    <x v="1575"/>
    <x v="0"/>
    <x v="0"/>
    <s v="Exclude in HGB Group allocation"/>
  </r>
  <r>
    <s v="0"/>
    <m/>
    <x v="0"/>
    <x v="0"/>
    <m/>
    <m/>
    <m/>
    <n v="1366"/>
    <n v="3"/>
    <n v="2"/>
    <m/>
    <s v="05_Shg"/>
    <x v="0"/>
    <m/>
    <m/>
    <m/>
    <m/>
    <x v="0"/>
    <s v="Project"/>
    <x v="1576"/>
    <x v="0"/>
    <x v="0"/>
    <s v="Exclude in HGB Group allocation"/>
  </r>
  <r>
    <s v="13660211"/>
    <m/>
    <x v="0"/>
    <x v="0"/>
    <m/>
    <m/>
    <m/>
    <n v="1366"/>
    <n v="2"/>
    <n v="1"/>
    <s v="13660211"/>
    <s v="05_Shg"/>
    <x v="4"/>
    <m/>
    <m/>
    <m/>
    <m/>
    <x v="0"/>
    <s v="Project"/>
    <x v="1577"/>
    <x v="0"/>
    <x v="18"/>
    <s v="Exclude in HGB Group allocation"/>
  </r>
  <r>
    <s v="13660217"/>
    <m/>
    <x v="0"/>
    <x v="0"/>
    <m/>
    <m/>
    <m/>
    <n v="1366"/>
    <n v="2"/>
    <n v="1"/>
    <s v="13660217"/>
    <s v="05_Shg"/>
    <x v="4"/>
    <m/>
    <m/>
    <m/>
    <m/>
    <x v="0"/>
    <s v="Project"/>
    <x v="1577"/>
    <x v="0"/>
    <x v="19"/>
    <s v="Exclude in HGB Group allocation"/>
  </r>
  <r>
    <s v="99846811"/>
    <m/>
    <x v="0"/>
    <x v="0"/>
    <m/>
    <m/>
    <m/>
    <n v="1366"/>
    <n v="2"/>
    <n v="1"/>
    <s v="99846811"/>
    <s v="05_Shg"/>
    <x v="4"/>
    <m/>
    <m/>
    <m/>
    <m/>
    <x v="0"/>
    <s v="Project"/>
    <x v="1577"/>
    <x v="0"/>
    <x v="18"/>
    <s v="Exclude in HGB Group allocation"/>
  </r>
  <r>
    <s v="99955311"/>
    <m/>
    <x v="0"/>
    <x v="0"/>
    <m/>
    <m/>
    <m/>
    <n v="9995"/>
    <n v="53"/>
    <n v="1"/>
    <s v="99955311"/>
    <s v="01_SE"/>
    <x v="4"/>
    <m/>
    <m/>
    <m/>
    <m/>
    <x v="0"/>
    <s v="Project"/>
    <x v="1578"/>
    <x v="0"/>
    <x v="18"/>
    <s v="Exclude in HGB Group allocation"/>
  </r>
  <r>
    <s v="99956413"/>
    <m/>
    <x v="0"/>
    <x v="0"/>
    <m/>
    <m/>
    <m/>
    <n v="9995"/>
    <n v="64"/>
    <n v="1"/>
    <s v="99956413"/>
    <s v="01_SE"/>
    <x v="4"/>
    <m/>
    <m/>
    <m/>
    <m/>
    <x v="0"/>
    <s v="Project"/>
    <x v="1579"/>
    <x v="0"/>
    <x v="17"/>
    <s v="Exclude in HGB Group allocation"/>
  </r>
  <r>
    <s v="99959228"/>
    <m/>
    <x v="0"/>
    <x v="0"/>
    <m/>
    <m/>
    <m/>
    <n v="9995"/>
    <n v="92"/>
    <n v="2"/>
    <s v="99959228"/>
    <s v="02_GmbH"/>
    <x v="0"/>
    <m/>
    <m/>
    <m/>
    <m/>
    <x v="0"/>
    <s v="Project"/>
    <x v="1580"/>
    <x v="0"/>
    <x v="21"/>
    <s v="Exclude in HGB Group allocation"/>
  </r>
  <r>
    <s v="99959611"/>
    <m/>
    <x v="0"/>
    <x v="0"/>
    <m/>
    <m/>
    <m/>
    <n v="9995"/>
    <n v="96"/>
    <n v="1"/>
    <s v="99959611"/>
    <s v="01_SE"/>
    <x v="4"/>
    <m/>
    <m/>
    <m/>
    <m/>
    <x v="0"/>
    <s v="Project"/>
    <x v="1581"/>
    <x v="0"/>
    <x v="18"/>
    <s v="Exclude in HGB Group allocation"/>
  </r>
  <r>
    <s v="99959613"/>
    <m/>
    <x v="0"/>
    <x v="0"/>
    <m/>
    <m/>
    <m/>
    <n v="9995"/>
    <n v="96"/>
    <n v="1"/>
    <s v="99959613"/>
    <s v="01_SE"/>
    <x v="4"/>
    <m/>
    <m/>
    <m/>
    <m/>
    <x v="0"/>
    <s v="Project"/>
    <x v="1581"/>
    <x v="0"/>
    <x v="17"/>
    <s v="Exclude in HGB Group allocation"/>
  </r>
  <r>
    <s v="99959711"/>
    <m/>
    <x v="0"/>
    <x v="0"/>
    <m/>
    <m/>
    <m/>
    <n v="9995"/>
    <n v="97"/>
    <n v="1"/>
    <s v="99959711"/>
    <s v="01_SE"/>
    <x v="4"/>
    <m/>
    <m/>
    <m/>
    <m/>
    <x v="0"/>
    <s v="Project"/>
    <x v="1582"/>
    <x v="0"/>
    <x v="18"/>
    <s v="Exclude in HGB Group allocation"/>
  </r>
  <r>
    <s v="99959716"/>
    <m/>
    <x v="0"/>
    <x v="0"/>
    <m/>
    <m/>
    <m/>
    <n v="9995"/>
    <n v="97"/>
    <n v="1"/>
    <s v="99959716"/>
    <s v="01_SE"/>
    <x v="4"/>
    <m/>
    <m/>
    <m/>
    <m/>
    <x v="0"/>
    <s v="Project"/>
    <x v="1582"/>
    <x v="0"/>
    <x v="19"/>
    <s v="Exclude in HGB Group allocation"/>
  </r>
  <r>
    <s v="0"/>
    <m/>
    <x v="0"/>
    <x v="0"/>
    <m/>
    <m/>
    <m/>
    <n v="6020"/>
    <n v="10"/>
    <n v="2"/>
    <m/>
    <s v="05_Shg"/>
    <x v="0"/>
    <m/>
    <m/>
    <m/>
    <m/>
    <x v="0"/>
    <s v="Project"/>
    <x v="1583"/>
    <x v="0"/>
    <x v="0"/>
    <s v="Exclude in HGB Group allocation"/>
  </r>
  <r>
    <s v="60200928"/>
    <m/>
    <x v="0"/>
    <x v="0"/>
    <m/>
    <m/>
    <m/>
    <n v="6020"/>
    <n v="9"/>
    <n v="2"/>
    <s v="60200928"/>
    <s v="05_Shg"/>
    <x v="0"/>
    <m/>
    <m/>
    <m/>
    <m/>
    <x v="0"/>
    <s v="Project"/>
    <x v="1584"/>
    <x v="0"/>
    <x v="21"/>
    <s v="Exclude in HGB Group allocation"/>
  </r>
  <r>
    <s v="0"/>
    <m/>
    <x v="0"/>
    <x v="0"/>
    <m/>
    <m/>
    <m/>
    <n v="6112"/>
    <n v="2"/>
    <n v="2"/>
    <m/>
    <s v="01_SE"/>
    <x v="0"/>
    <m/>
    <m/>
    <m/>
    <m/>
    <x v="0"/>
    <s v="Project"/>
    <x v="1585"/>
    <x v="0"/>
    <x v="0"/>
    <s v="Exclude in HGB Group allocation"/>
  </r>
  <r>
    <s v="20350228"/>
    <m/>
    <x v="0"/>
    <x v="0"/>
    <m/>
    <m/>
    <m/>
    <n v="2035"/>
    <n v="2"/>
    <n v="2"/>
    <s v="20350228"/>
    <s v="05_Shg"/>
    <x v="0"/>
    <m/>
    <m/>
    <m/>
    <m/>
    <x v="0"/>
    <s v="Project"/>
    <x v="1586"/>
    <x v="0"/>
    <x v="21"/>
    <s v="Exclude in HGB Group allocation"/>
  </r>
  <r>
    <s v="0"/>
    <m/>
    <x v="0"/>
    <x v="0"/>
    <m/>
    <m/>
    <m/>
    <n v="7592"/>
    <n v="10"/>
    <n v="2"/>
    <m/>
    <s v="01_SE"/>
    <x v="0"/>
    <m/>
    <m/>
    <m/>
    <m/>
    <x v="0"/>
    <s v="Project"/>
    <x v="1587"/>
    <x v="0"/>
    <x v="0"/>
    <s v="Exclude in HGB Group allocation"/>
  </r>
  <r>
    <s v="0"/>
    <m/>
    <x v="0"/>
    <x v="0"/>
    <m/>
    <m/>
    <m/>
    <n v="7592"/>
    <n v="11"/>
    <n v="2"/>
    <m/>
    <s v="01_SE"/>
    <x v="0"/>
    <m/>
    <m/>
    <m/>
    <m/>
    <x v="0"/>
    <s v="Project"/>
    <x v="1588"/>
    <x v="0"/>
    <x v="0"/>
    <s v="Exclude in HGB Group allocation"/>
  </r>
  <r>
    <s v="0"/>
    <m/>
    <x v="0"/>
    <x v="0"/>
    <m/>
    <m/>
    <m/>
    <n v="7592"/>
    <n v="12"/>
    <n v="2"/>
    <m/>
    <s v="01_SE"/>
    <x v="0"/>
    <m/>
    <m/>
    <m/>
    <m/>
    <x v="0"/>
    <s v="Project"/>
    <x v="1589"/>
    <x v="0"/>
    <x v="0"/>
    <s v="Exclude in HGB Group allocation"/>
  </r>
  <r>
    <s v="75960228"/>
    <m/>
    <x v="0"/>
    <x v="0"/>
    <m/>
    <m/>
    <m/>
    <n v="7596"/>
    <n v="2"/>
    <n v="2"/>
    <s v="75960228"/>
    <s v="01_SE"/>
    <x v="0"/>
    <m/>
    <m/>
    <m/>
    <m/>
    <x v="0"/>
    <s v="Project"/>
    <x v="1590"/>
    <x v="0"/>
    <x v="0"/>
    <s v="Exclude in HGB Group allocation"/>
  </r>
  <r>
    <s v="75920728"/>
    <m/>
    <x v="0"/>
    <x v="0"/>
    <m/>
    <m/>
    <m/>
    <n v="7592"/>
    <n v="7"/>
    <n v="2"/>
    <s v="75920728"/>
    <s v="01_SE"/>
    <x v="0"/>
    <m/>
    <m/>
    <m/>
    <m/>
    <x v="0"/>
    <s v="Project"/>
    <x v="1591"/>
    <x v="0"/>
    <x v="0"/>
    <s v="Exclude in HGB Group allocation"/>
  </r>
  <r>
    <s v="75920928"/>
    <m/>
    <x v="0"/>
    <x v="0"/>
    <m/>
    <m/>
    <m/>
    <n v="7592"/>
    <n v="9"/>
    <n v="2"/>
    <s v="75920928"/>
    <s v="01_SE"/>
    <x v="0"/>
    <m/>
    <m/>
    <m/>
    <m/>
    <x v="0"/>
    <s v="Project"/>
    <x v="1592"/>
    <x v="0"/>
    <x v="0"/>
    <s v="Exclude in HGB Group allocation"/>
  </r>
  <r>
    <s v="74900428"/>
    <m/>
    <x v="0"/>
    <x v="0"/>
    <m/>
    <m/>
    <m/>
    <n v="7490"/>
    <n v="4"/>
    <n v="2"/>
    <s v="74900428"/>
    <s v="01_SE"/>
    <x v="0"/>
    <m/>
    <m/>
    <m/>
    <m/>
    <x v="0"/>
    <s v="Project"/>
    <x v="1593"/>
    <x v="0"/>
    <x v="0"/>
    <s v="Exclude in HGB Group allocation"/>
  </r>
  <r>
    <s v="0"/>
    <m/>
    <x v="0"/>
    <x v="0"/>
    <m/>
    <m/>
    <m/>
    <n v="7676"/>
    <n v="2"/>
    <n v="2"/>
    <m/>
    <s v="01_SE"/>
    <x v="0"/>
    <m/>
    <m/>
    <m/>
    <m/>
    <x v="0"/>
    <s v="Project"/>
    <x v="1594"/>
    <x v="0"/>
    <x v="0"/>
    <s v="Exclude in HGB Group allocation"/>
  </r>
  <r>
    <s v="0"/>
    <m/>
    <x v="0"/>
    <x v="0"/>
    <m/>
    <m/>
    <m/>
    <n v="7676"/>
    <n v="3"/>
    <n v="2"/>
    <m/>
    <s v="01_SE"/>
    <x v="0"/>
    <m/>
    <m/>
    <m/>
    <m/>
    <x v="0"/>
    <s v="Project"/>
    <x v="1595"/>
    <x v="0"/>
    <x v="0"/>
    <s v="Exclude in HGB Group allocation"/>
  </r>
  <r>
    <s v="0"/>
    <m/>
    <x v="0"/>
    <x v="0"/>
    <m/>
    <m/>
    <m/>
    <n v="3009"/>
    <n v="8"/>
    <n v="2"/>
    <m/>
    <s v="01_SE"/>
    <x v="0"/>
    <m/>
    <m/>
    <m/>
    <m/>
    <x v="0"/>
    <s v="Project"/>
    <x v="1596"/>
    <x v="0"/>
    <x v="0"/>
    <s v="Exclude in HGB Group allocation"/>
  </r>
  <r>
    <s v="30090528"/>
    <m/>
    <x v="0"/>
    <x v="0"/>
    <m/>
    <m/>
    <m/>
    <n v="3009"/>
    <n v="5"/>
    <n v="2"/>
    <s v="30090528"/>
    <s v="01_SE"/>
    <x v="0"/>
    <m/>
    <m/>
    <m/>
    <m/>
    <x v="0"/>
    <s v="Project"/>
    <x v="1597"/>
    <x v="0"/>
    <x v="0"/>
    <s v="Exclude in HGB Group allocation"/>
  </r>
  <r>
    <s v="30090628"/>
    <m/>
    <x v="0"/>
    <x v="0"/>
    <m/>
    <m/>
    <m/>
    <n v="3009"/>
    <n v="6"/>
    <n v="2"/>
    <s v="30090628"/>
    <s v="01_SE"/>
    <x v="0"/>
    <m/>
    <m/>
    <m/>
    <m/>
    <x v="0"/>
    <s v="Project"/>
    <x v="1598"/>
    <x v="0"/>
    <x v="0"/>
    <s v="Exclude in HGB Group allocation"/>
  </r>
  <r>
    <s v="30090728"/>
    <m/>
    <x v="0"/>
    <x v="0"/>
    <m/>
    <m/>
    <m/>
    <n v="3009"/>
    <n v="7"/>
    <n v="2"/>
    <s v="30090728"/>
    <s v="01_SE"/>
    <x v="0"/>
    <m/>
    <m/>
    <m/>
    <m/>
    <x v="0"/>
    <s v="Project"/>
    <x v="1599"/>
    <x v="0"/>
    <x v="0"/>
    <s v="Exclude in HGB Group allocation"/>
  </r>
  <r>
    <s v="0"/>
    <m/>
    <x v="0"/>
    <x v="0"/>
    <m/>
    <m/>
    <m/>
    <n v="3009"/>
    <n v="9"/>
    <n v="2"/>
    <m/>
    <s v="01_SE"/>
    <x v="0"/>
    <m/>
    <m/>
    <m/>
    <m/>
    <x v="0"/>
    <s v="Project"/>
    <x v="1600"/>
    <x v="0"/>
    <x v="0"/>
    <s v="Exclude in HGB Group allocation"/>
  </r>
  <r>
    <s v="0"/>
    <m/>
    <x v="0"/>
    <x v="0"/>
    <m/>
    <m/>
    <m/>
    <n v="3009"/>
    <n v="10"/>
    <n v="2"/>
    <m/>
    <s v="01_SE"/>
    <x v="0"/>
    <m/>
    <m/>
    <m/>
    <m/>
    <x v="0"/>
    <s v="Project"/>
    <x v="1601"/>
    <x v="0"/>
    <x v="0"/>
    <s v="Exclude in HGB Group allocation"/>
  </r>
  <r>
    <s v="30520228"/>
    <m/>
    <x v="0"/>
    <x v="0"/>
    <m/>
    <m/>
    <m/>
    <n v="3052"/>
    <n v="2"/>
    <n v="2"/>
    <s v="30520228"/>
    <s v="01_SE"/>
    <x v="0"/>
    <m/>
    <m/>
    <m/>
    <m/>
    <x v="0"/>
    <s v="Project"/>
    <x v="1602"/>
    <x v="0"/>
    <x v="0"/>
    <s v="Exclude in HGB Group allocation"/>
  </r>
  <r>
    <s v="31460228"/>
    <m/>
    <x v="0"/>
    <x v="0"/>
    <m/>
    <m/>
    <m/>
    <n v="3146"/>
    <n v="2"/>
    <n v="2"/>
    <s v="31460228"/>
    <s v="01_SE"/>
    <x v="0"/>
    <m/>
    <m/>
    <m/>
    <m/>
    <x v="0"/>
    <s v="Project"/>
    <x v="1603"/>
    <x v="0"/>
    <x v="0"/>
    <s v="Exclude in HGB Group allocation"/>
  </r>
  <r>
    <s v="88983228"/>
    <m/>
    <x v="0"/>
    <x v="0"/>
    <m/>
    <m/>
    <m/>
    <n v="8898"/>
    <n v="32"/>
    <n v="2"/>
    <s v="88983228"/>
    <s v="01_SE"/>
    <x v="0"/>
    <m/>
    <m/>
    <m/>
    <m/>
    <x v="0"/>
    <s v="Project"/>
    <x v="1604"/>
    <x v="0"/>
    <x v="0"/>
    <s v="Exclude in HGB Group allocation"/>
  </r>
  <r>
    <s v="88984328"/>
    <m/>
    <x v="0"/>
    <x v="0"/>
    <m/>
    <m/>
    <m/>
    <n v="8898"/>
    <n v="43"/>
    <n v="2"/>
    <s v="88984328"/>
    <s v="01_SE"/>
    <x v="0"/>
    <m/>
    <m/>
    <m/>
    <m/>
    <x v="0"/>
    <s v="Project"/>
    <x v="1605"/>
    <x v="0"/>
    <x v="0"/>
    <s v="Exclude in HGB Group allocation"/>
  </r>
  <r>
    <s v="89020528"/>
    <m/>
    <x v="0"/>
    <x v="0"/>
    <m/>
    <m/>
    <m/>
    <n v="8902"/>
    <n v="5"/>
    <n v="2"/>
    <s v="89020528"/>
    <s v="01_SE"/>
    <x v="0"/>
    <m/>
    <m/>
    <m/>
    <m/>
    <x v="0"/>
    <s v="Project"/>
    <x v="1606"/>
    <x v="0"/>
    <x v="0"/>
    <s v="Exclude in HGB Group allocation"/>
  </r>
  <r>
    <s v="89030628"/>
    <m/>
    <x v="0"/>
    <x v="0"/>
    <m/>
    <m/>
    <m/>
    <n v="8903"/>
    <n v="6"/>
    <n v="2"/>
    <n v="89030628"/>
    <s v="01_SE"/>
    <x v="0"/>
    <m/>
    <m/>
    <m/>
    <m/>
    <x v="0"/>
    <s v="Project"/>
    <x v="1607"/>
    <x v="0"/>
    <x v="0"/>
    <s v="Exclude in HGB Group allocation"/>
  </r>
  <r>
    <s v="89030428"/>
    <m/>
    <x v="0"/>
    <x v="0"/>
    <m/>
    <m/>
    <m/>
    <n v="8903"/>
    <n v="4"/>
    <n v="2"/>
    <s v="89030428"/>
    <s v="01_SE"/>
    <x v="0"/>
    <m/>
    <m/>
    <m/>
    <m/>
    <x v="0"/>
    <s v="Project"/>
    <x v="1608"/>
    <x v="0"/>
    <x v="0"/>
    <s v="Exclude in HGB Group allocation"/>
  </r>
  <r>
    <s v="89030528"/>
    <m/>
    <x v="0"/>
    <x v="0"/>
    <m/>
    <m/>
    <m/>
    <n v="8903"/>
    <n v="5"/>
    <n v="2"/>
    <s v="89030528"/>
    <s v="01_SE"/>
    <x v="0"/>
    <m/>
    <m/>
    <m/>
    <m/>
    <x v="0"/>
    <s v="Project"/>
    <x v="1609"/>
    <x v="0"/>
    <x v="0"/>
    <s v="Exclude in HGB Group allocation"/>
  </r>
  <r>
    <s v="0"/>
    <m/>
    <x v="0"/>
    <x v="0"/>
    <m/>
    <m/>
    <m/>
    <n v="8903"/>
    <n v="7"/>
    <n v="2"/>
    <m/>
    <s v="01_SE"/>
    <x v="0"/>
    <m/>
    <m/>
    <m/>
    <m/>
    <x v="0"/>
    <s v="Project"/>
    <x v="1610"/>
    <x v="0"/>
    <x v="0"/>
    <s v="Exclude in HGB Group allocation"/>
  </r>
  <r>
    <s v="0"/>
    <m/>
    <x v="0"/>
    <x v="0"/>
    <m/>
    <m/>
    <m/>
    <n v="8876"/>
    <n v="12"/>
    <n v="2"/>
    <m/>
    <s v="01_SE"/>
    <x v="0"/>
    <m/>
    <m/>
    <m/>
    <m/>
    <x v="0"/>
    <s v="Project"/>
    <x v="1611"/>
    <x v="0"/>
    <x v="0"/>
    <s v="Exclude in HGB Group allocation"/>
  </r>
  <r>
    <s v="0"/>
    <m/>
    <x v="0"/>
    <x v="0"/>
    <m/>
    <m/>
    <m/>
    <n v="7666"/>
    <n v="2"/>
    <n v="2"/>
    <m/>
    <s v="01_SE"/>
    <x v="0"/>
    <m/>
    <m/>
    <m/>
    <m/>
    <x v="0"/>
    <s v="Project"/>
    <x v="1612"/>
    <x v="0"/>
    <x v="0"/>
    <s v="Exclude in HGB Group allocation"/>
  </r>
  <r>
    <s v="0"/>
    <m/>
    <x v="0"/>
    <x v="0"/>
    <m/>
    <m/>
    <m/>
    <n v="7566"/>
    <n v="5"/>
    <n v="2"/>
    <m/>
    <s v="01_SE"/>
    <x v="0"/>
    <m/>
    <m/>
    <m/>
    <m/>
    <x v="0"/>
    <s v="Project"/>
    <x v="1613"/>
    <x v="0"/>
    <x v="0"/>
    <s v="Exclude in HGB Group allocation"/>
  </r>
  <r>
    <s v="0"/>
    <m/>
    <x v="0"/>
    <x v="0"/>
    <m/>
    <m/>
    <m/>
    <n v="8066"/>
    <n v="2"/>
    <n v="2"/>
    <m/>
    <s v="05_Shg"/>
    <x v="0"/>
    <m/>
    <m/>
    <m/>
    <m/>
    <x v="0"/>
    <s v="Project"/>
    <x v="1614"/>
    <x v="0"/>
    <x v="0"/>
    <s v="Exclude in HGB Group allocation"/>
  </r>
  <r>
    <s v="0"/>
    <m/>
    <x v="0"/>
    <x v="0"/>
    <m/>
    <m/>
    <m/>
    <n v="6001"/>
    <n v="2"/>
    <n v="2"/>
    <m/>
    <s v="07_Inc"/>
    <x v="0"/>
    <m/>
    <m/>
    <m/>
    <m/>
    <x v="0"/>
    <s v="Project"/>
    <x v="1615"/>
    <x v="0"/>
    <x v="0"/>
    <s v="Exclude in HGB Group allocation"/>
  </r>
  <r>
    <s v="0"/>
    <m/>
    <x v="0"/>
    <x v="0"/>
    <m/>
    <m/>
    <m/>
    <n v="4009"/>
    <n v="3"/>
    <n v="2"/>
    <m/>
    <s v="11_FR"/>
    <x v="0"/>
    <m/>
    <m/>
    <m/>
    <m/>
    <x v="0"/>
    <s v="Project"/>
    <x v="1616"/>
    <x v="0"/>
    <x v="0"/>
    <s v="Exclude in HGB Group allocation"/>
  </r>
  <r>
    <s v="0"/>
    <m/>
    <x v="0"/>
    <x v="0"/>
    <m/>
    <m/>
    <m/>
    <n v="4009"/>
    <n v="2"/>
    <n v="2"/>
    <m/>
    <s v="11_FR"/>
    <x v="0"/>
    <m/>
    <m/>
    <m/>
    <m/>
    <x v="0"/>
    <s v="Project"/>
    <x v="1617"/>
    <x v="0"/>
    <x v="0"/>
    <s v="Exclude in HGB Group allocation"/>
  </r>
  <r>
    <s v="0"/>
    <m/>
    <x v="0"/>
    <x v="0"/>
    <m/>
    <m/>
    <m/>
    <n v="2041"/>
    <n v="2"/>
    <n v="2"/>
    <m/>
    <s v="07_Inc"/>
    <x v="0"/>
    <m/>
    <m/>
    <m/>
    <m/>
    <x v="0"/>
    <s v="Project"/>
    <x v="1618"/>
    <x v="0"/>
    <x v="0"/>
    <s v="Exclude in HGB Group allocation"/>
  </r>
  <r>
    <s v="0"/>
    <m/>
    <x v="0"/>
    <x v="0"/>
    <m/>
    <m/>
    <m/>
    <n v="7573"/>
    <n v="5"/>
    <n v="2"/>
    <m/>
    <s v="01_SE"/>
    <x v="0"/>
    <m/>
    <m/>
    <m/>
    <m/>
    <x v="0"/>
    <s v="Project"/>
    <x v="1619"/>
    <x v="0"/>
    <x v="0"/>
    <s v="Exclude in HGB Group allocation"/>
  </r>
  <r>
    <s v="75730428"/>
    <m/>
    <x v="0"/>
    <x v="0"/>
    <m/>
    <m/>
    <m/>
    <n v="7573"/>
    <n v="4"/>
    <n v="2"/>
    <s v="75730428"/>
    <s v="01_SE"/>
    <x v="0"/>
    <m/>
    <m/>
    <m/>
    <m/>
    <x v="0"/>
    <s v="Project"/>
    <x v="1620"/>
    <x v="0"/>
    <x v="0"/>
    <s v="Exclude in HGB Group allocation"/>
  </r>
  <r>
    <s v="99948328"/>
    <m/>
    <x v="0"/>
    <x v="0"/>
    <m/>
    <m/>
    <m/>
    <n v="7022"/>
    <n v="13"/>
    <n v="2"/>
    <s v="99948328"/>
    <s v="01_SE"/>
    <x v="0"/>
    <m/>
    <m/>
    <m/>
    <m/>
    <x v="0"/>
    <s v="Project"/>
    <x v="1621"/>
    <x v="0"/>
    <x v="0"/>
    <s v="Exclude in HGB Group allocation"/>
  </r>
  <r>
    <s v="99948428"/>
    <m/>
    <x v="0"/>
    <x v="0"/>
    <m/>
    <m/>
    <m/>
    <n v="7022"/>
    <n v="15"/>
    <n v="2"/>
    <s v="99948428"/>
    <s v="01_SE"/>
    <x v="0"/>
    <m/>
    <m/>
    <m/>
    <m/>
    <x v="0"/>
    <s v="Project"/>
    <x v="1622"/>
    <x v="0"/>
    <x v="0"/>
    <s v="Exclude in HGB Group allocation"/>
  </r>
  <r>
    <s v="99960228"/>
    <m/>
    <x v="0"/>
    <x v="0"/>
    <m/>
    <m/>
    <m/>
    <n v="7022"/>
    <n v="16"/>
    <n v="2"/>
    <s v="99960228"/>
    <s v="16_digital"/>
    <x v="0"/>
    <m/>
    <m/>
    <m/>
    <m/>
    <x v="0"/>
    <s v="Project"/>
    <x v="1623"/>
    <x v="0"/>
    <x v="0"/>
    <s v="Exclude in HGB Group allocation"/>
  </r>
  <r>
    <s v="66460726"/>
    <m/>
    <x v="0"/>
    <x v="0"/>
    <m/>
    <m/>
    <m/>
    <n v="6646"/>
    <n v="7"/>
    <n v="2"/>
    <s v="66460726"/>
    <s v="05_Shg"/>
    <x v="0"/>
    <m/>
    <m/>
    <m/>
    <m/>
    <x v="0"/>
    <s v="Project"/>
    <x v="1624"/>
    <x v="0"/>
    <x v="0"/>
    <s v="Exclude in HGB Group allocation"/>
  </r>
  <r>
    <s v="0"/>
    <m/>
    <x v="0"/>
    <x v="0"/>
    <m/>
    <m/>
    <m/>
    <n v="7533"/>
    <n v="3"/>
    <n v="2"/>
    <m/>
    <s v="01_SE"/>
    <x v="0"/>
    <m/>
    <m/>
    <m/>
    <m/>
    <x v="0"/>
    <s v="Project"/>
    <x v="1625"/>
    <x v="0"/>
    <x v="0"/>
    <s v="Exclude in HGB Group allocation"/>
  </r>
  <r>
    <s v="75330128"/>
    <m/>
    <x v="0"/>
    <x v="0"/>
    <m/>
    <m/>
    <m/>
    <n v="7533"/>
    <n v="1"/>
    <n v="2"/>
    <s v="75330128"/>
    <s v="01_SE"/>
    <x v="0"/>
    <m/>
    <m/>
    <m/>
    <m/>
    <x v="0"/>
    <s v="Project"/>
    <x v="1626"/>
    <x v="0"/>
    <x v="0"/>
    <s v="Exclude in HGB Group allocation"/>
  </r>
  <r>
    <s v="75330228"/>
    <m/>
    <x v="0"/>
    <x v="0"/>
    <m/>
    <m/>
    <m/>
    <n v="7533"/>
    <n v="2"/>
    <n v="2"/>
    <s v="75330228"/>
    <s v="01_SE"/>
    <x v="0"/>
    <m/>
    <m/>
    <m/>
    <m/>
    <x v="0"/>
    <s v="Project"/>
    <x v="1627"/>
    <x v="0"/>
    <x v="14"/>
    <s v="Exclude in HGB Group allocation"/>
  </r>
  <r>
    <s v="99964728"/>
    <m/>
    <x v="0"/>
    <x v="0"/>
    <m/>
    <m/>
    <m/>
    <n v="7533"/>
    <n v="2"/>
    <n v="2"/>
    <s v="99964728"/>
    <s v="01_SE"/>
    <x v="0"/>
    <m/>
    <m/>
    <m/>
    <m/>
    <x v="0"/>
    <s v="Project"/>
    <x v="1627"/>
    <x v="0"/>
    <x v="14"/>
    <s v="Exclude in HGB Group allocation"/>
  </r>
  <r>
    <s v="76030243"/>
    <m/>
    <x v="0"/>
    <x v="0"/>
    <m/>
    <m/>
    <m/>
    <n v="7603"/>
    <n v="2"/>
    <n v="4"/>
    <s v="76030243"/>
    <s v="02_GmbH"/>
    <x v="1"/>
    <m/>
    <m/>
    <m/>
    <m/>
    <x v="0"/>
    <s v="Project"/>
    <x v="1628"/>
    <x v="0"/>
    <x v="21"/>
    <s v="Exclude in HGB Group allocation"/>
  </r>
  <r>
    <s v="78110812"/>
    <m/>
    <x v="0"/>
    <x v="0"/>
    <m/>
    <m/>
    <m/>
    <n v="7811"/>
    <n v="8"/>
    <n v="1"/>
    <s v="78110812"/>
    <s v="01_SE"/>
    <x v="4"/>
    <m/>
    <m/>
    <m/>
    <m/>
    <x v="0"/>
    <s v="Project"/>
    <x v="1629"/>
    <x v="0"/>
    <x v="18"/>
    <s v="Exclude in HGB Group allocation"/>
  </r>
  <r>
    <s v="0"/>
    <m/>
    <x v="0"/>
    <x v="0"/>
    <m/>
    <m/>
    <m/>
    <n v="7683"/>
    <n v="2"/>
    <n v="2"/>
    <m/>
    <s v="05_Shg"/>
    <x v="0"/>
    <m/>
    <m/>
    <m/>
    <m/>
    <x v="0"/>
    <s v="Project"/>
    <x v="1630"/>
    <x v="0"/>
    <x v="0"/>
    <s v="Exclude in HGB Group allocation"/>
  </r>
  <r>
    <s v="0"/>
    <m/>
    <x v="0"/>
    <x v="0"/>
    <m/>
    <m/>
    <m/>
    <n v="7683"/>
    <n v="3"/>
    <n v="2"/>
    <m/>
    <s v="05_Shg"/>
    <x v="0"/>
    <m/>
    <m/>
    <m/>
    <m/>
    <x v="0"/>
    <s v="Project"/>
    <x v="1631"/>
    <x v="0"/>
    <x v="0"/>
    <s v="Exclude in HGB Group allocation"/>
  </r>
  <r>
    <s v="0"/>
    <m/>
    <x v="0"/>
    <x v="0"/>
    <m/>
    <m/>
    <m/>
    <n v="7683"/>
    <n v="4"/>
    <n v="2"/>
    <m/>
    <s v="05_Shg"/>
    <x v="0"/>
    <m/>
    <m/>
    <m/>
    <m/>
    <x v="0"/>
    <s v="Project"/>
    <x v="1632"/>
    <x v="0"/>
    <x v="0"/>
    <s v="Exclude in HGB Group allocation"/>
  </r>
  <r>
    <s v="0"/>
    <m/>
    <x v="0"/>
    <x v="0"/>
    <m/>
    <m/>
    <m/>
    <n v="3178"/>
    <n v="2"/>
    <n v="2"/>
    <m/>
    <s v="05_Shg"/>
    <x v="0"/>
    <m/>
    <m/>
    <m/>
    <m/>
    <x v="0"/>
    <s v="Project"/>
    <x v="1633"/>
    <x v="0"/>
    <x v="0"/>
    <s v="Exclude in HGB Group allocation"/>
  </r>
  <r>
    <s v="88660528"/>
    <m/>
    <x v="0"/>
    <x v="0"/>
    <m/>
    <m/>
    <m/>
    <n v="8866"/>
    <n v="5"/>
    <n v="2"/>
    <s v="88660528"/>
    <s v="01_SE"/>
    <x v="0"/>
    <m/>
    <m/>
    <m/>
    <m/>
    <x v="0"/>
    <s v="Project"/>
    <x v="1634"/>
    <x v="0"/>
    <x v="0"/>
    <s v="Exclude in HGB Group allocation"/>
  </r>
  <r>
    <s v="0"/>
    <m/>
    <x v="0"/>
    <x v="0"/>
    <m/>
    <m/>
    <m/>
    <n v="7662"/>
    <n v="4"/>
    <n v="2"/>
    <m/>
    <s v="01_SE"/>
    <x v="0"/>
    <m/>
    <m/>
    <m/>
    <m/>
    <x v="0"/>
    <s v="Project"/>
    <x v="1635"/>
    <x v="0"/>
    <x v="0"/>
    <s v="Exclude in HGB Group allocation"/>
  </r>
  <r>
    <s v="0"/>
    <m/>
    <x v="0"/>
    <x v="0"/>
    <m/>
    <m/>
    <m/>
    <n v="7662"/>
    <n v="2"/>
    <n v="2"/>
    <m/>
    <s v="01_SE"/>
    <x v="0"/>
    <m/>
    <m/>
    <m/>
    <m/>
    <x v="0"/>
    <s v="Project"/>
    <x v="1636"/>
    <x v="0"/>
    <x v="0"/>
    <s v="Exclude in HGB Group allocation"/>
  </r>
  <r>
    <s v="0"/>
    <m/>
    <x v="0"/>
    <x v="0"/>
    <m/>
    <m/>
    <m/>
    <n v="7662"/>
    <n v="3"/>
    <n v="2"/>
    <m/>
    <s v="01_SE"/>
    <x v="0"/>
    <m/>
    <m/>
    <m/>
    <m/>
    <x v="0"/>
    <s v="Project"/>
    <x v="1637"/>
    <x v="0"/>
    <x v="0"/>
    <s v="Exclude in HGB Group allocation"/>
  </r>
  <r>
    <s v="70350228"/>
    <m/>
    <x v="0"/>
    <x v="0"/>
    <m/>
    <m/>
    <m/>
    <n v="7035"/>
    <n v="2"/>
    <n v="2"/>
    <s v="70350228"/>
    <s v="09_Ltda"/>
    <x v="0"/>
    <m/>
    <m/>
    <m/>
    <m/>
    <x v="0"/>
    <s v="Project"/>
    <x v="1638"/>
    <x v="0"/>
    <x v="0"/>
    <s v="Exclude in HGB Group allocation"/>
  </r>
  <r>
    <s v="70350328"/>
    <m/>
    <x v="0"/>
    <x v="0"/>
    <m/>
    <m/>
    <m/>
    <n v="7035"/>
    <n v="3"/>
    <n v="2"/>
    <s v="70350328"/>
    <s v="09_Ltda"/>
    <x v="0"/>
    <m/>
    <m/>
    <m/>
    <m/>
    <x v="0"/>
    <s v="Project"/>
    <x v="1639"/>
    <x v="0"/>
    <x v="0"/>
    <s v="Exclude in HGB Group allocation"/>
  </r>
  <r>
    <s v="0"/>
    <m/>
    <x v="0"/>
    <x v="0"/>
    <m/>
    <m/>
    <m/>
    <n v="6115"/>
    <n v="2"/>
    <n v="2"/>
    <m/>
    <s v="09_Ltda"/>
    <x v="0"/>
    <m/>
    <m/>
    <m/>
    <m/>
    <x v="0"/>
    <s v="Project"/>
    <x v="1640"/>
    <x v="0"/>
    <x v="0"/>
    <s v="Exclude in HGB Group allocation"/>
  </r>
  <r>
    <s v="0"/>
    <m/>
    <x v="0"/>
    <x v="0"/>
    <m/>
    <m/>
    <m/>
    <n v="6501"/>
    <n v="4"/>
    <n v="2"/>
    <m/>
    <s v="01_SE"/>
    <x v="0"/>
    <m/>
    <m/>
    <m/>
    <m/>
    <x v="0"/>
    <s v="Project"/>
    <x v="1641"/>
    <x v="0"/>
    <x v="0"/>
    <s v="Exclude in HGB Group allocation"/>
  </r>
  <r>
    <s v="0"/>
    <m/>
    <x v="0"/>
    <x v="0"/>
    <m/>
    <m/>
    <m/>
    <n v="6501"/>
    <n v="5"/>
    <n v="2"/>
    <m/>
    <s v="01_SE"/>
    <x v="0"/>
    <m/>
    <m/>
    <m/>
    <m/>
    <x v="0"/>
    <s v="Project"/>
    <x v="1642"/>
    <x v="0"/>
    <x v="0"/>
    <s v="Exclude in HGB Group allocation"/>
  </r>
  <r>
    <s v="0"/>
    <m/>
    <x v="0"/>
    <x v="0"/>
    <m/>
    <m/>
    <m/>
    <n v="6135"/>
    <n v="2"/>
    <n v="2"/>
    <m/>
    <s v="01_SE"/>
    <x v="0"/>
    <m/>
    <m/>
    <m/>
    <m/>
    <x v="0"/>
    <s v="Project"/>
    <x v="1643"/>
    <x v="0"/>
    <x v="0"/>
    <s v="Exclude in HGB Group allocation"/>
  </r>
  <r>
    <s v="75830728"/>
    <m/>
    <x v="0"/>
    <x v="0"/>
    <m/>
    <m/>
    <m/>
    <n v="7583"/>
    <n v="7"/>
    <n v="2"/>
    <s v="75830728"/>
    <s v="01_SE"/>
    <x v="0"/>
    <m/>
    <m/>
    <m/>
    <m/>
    <x v="0"/>
    <s v="Project"/>
    <x v="1644"/>
    <x v="0"/>
    <x v="0"/>
    <s v="Exclude in HGB Group allocation"/>
  </r>
  <r>
    <s v="75830828"/>
    <m/>
    <x v="0"/>
    <x v="0"/>
    <m/>
    <m/>
    <m/>
    <n v="7583"/>
    <n v="8"/>
    <n v="2"/>
    <s v="75830828"/>
    <s v="01_SE"/>
    <x v="0"/>
    <m/>
    <m/>
    <m/>
    <m/>
    <x v="0"/>
    <s v="Project"/>
    <x v="1645"/>
    <x v="0"/>
    <x v="0"/>
    <s v="Exclude in HGB Group allocation"/>
  </r>
  <r>
    <s v="99963928"/>
    <m/>
    <x v="0"/>
    <x v="0"/>
    <m/>
    <m/>
    <m/>
    <n v="7583"/>
    <n v="8"/>
    <n v="2"/>
    <s v="99963928"/>
    <s v="01_SE"/>
    <x v="0"/>
    <m/>
    <m/>
    <m/>
    <m/>
    <x v="0"/>
    <s v="Project"/>
    <x v="1645"/>
    <x v="0"/>
    <x v="21"/>
    <s v="Exclude in HGB Group allocation"/>
  </r>
  <r>
    <s v="70150228"/>
    <m/>
    <x v="0"/>
    <x v="0"/>
    <m/>
    <m/>
    <m/>
    <n v="7015"/>
    <n v="2"/>
    <n v="2"/>
    <s v="70150228"/>
    <s v="16_digital"/>
    <x v="0"/>
    <m/>
    <m/>
    <m/>
    <m/>
    <x v="0"/>
    <s v="Project"/>
    <x v="1646"/>
    <x v="0"/>
    <x v="21"/>
    <s v="Exclude in HGB Group allocation"/>
  </r>
  <r>
    <s v="74351028"/>
    <m/>
    <x v="0"/>
    <x v="0"/>
    <m/>
    <m/>
    <m/>
    <n v="7435"/>
    <n v="10"/>
    <n v="2"/>
    <s v="74351028"/>
    <s v="16_digital"/>
    <x v="0"/>
    <m/>
    <m/>
    <m/>
    <m/>
    <x v="0"/>
    <s v="Project"/>
    <x v="1647"/>
    <x v="0"/>
    <x v="21"/>
    <s v="Exclude in HGB Group allocation"/>
  </r>
  <r>
    <s v="20310228"/>
    <m/>
    <x v="0"/>
    <x v="0"/>
    <m/>
    <m/>
    <m/>
    <n v="2031"/>
    <n v="2"/>
    <n v="2"/>
    <s v="20310228"/>
    <s v="16_digital"/>
    <x v="0"/>
    <m/>
    <m/>
    <m/>
    <m/>
    <x v="0"/>
    <s v="Project"/>
    <x v="1648"/>
    <x v="0"/>
    <x v="21"/>
    <s v="Exclude in HGB Group allocation"/>
  </r>
  <r>
    <s v="75720243"/>
    <m/>
    <x v="0"/>
    <x v="0"/>
    <m/>
    <m/>
    <m/>
    <n v="7572"/>
    <n v="2"/>
    <n v="4"/>
    <s v="75720243"/>
    <s v="05_Shg"/>
    <x v="1"/>
    <m/>
    <m/>
    <m/>
    <m/>
    <x v="0"/>
    <s v="Project"/>
    <x v="1649"/>
    <x v="0"/>
    <x v="21"/>
    <s v="Exclude in HGB Group allocation"/>
  </r>
  <r>
    <s v="99851411"/>
    <m/>
    <x v="0"/>
    <x v="0"/>
    <m/>
    <m/>
    <m/>
    <n v="9985"/>
    <n v="14"/>
    <n v="1"/>
    <s v="99851411"/>
    <s v="05_Shg"/>
    <x v="4"/>
    <m/>
    <m/>
    <m/>
    <m/>
    <x v="0"/>
    <s v="Project"/>
    <x v="1650"/>
    <x v="0"/>
    <x v="18"/>
    <s v="Exclude in HGB Group allocation"/>
  </r>
  <r>
    <s v="99851511"/>
    <m/>
    <x v="0"/>
    <x v="0"/>
    <m/>
    <m/>
    <m/>
    <n v="9985"/>
    <n v="15"/>
    <n v="1"/>
    <s v="99851511"/>
    <s v="05_Shg"/>
    <x v="4"/>
    <m/>
    <m/>
    <m/>
    <m/>
    <x v="0"/>
    <s v="Project"/>
    <x v="1651"/>
    <x v="0"/>
    <x v="18"/>
    <s v="Exclude in HGB Group allocation"/>
  </r>
  <r>
    <s v="0"/>
    <m/>
    <x v="0"/>
    <x v="0"/>
    <m/>
    <m/>
    <m/>
    <n v="6116"/>
    <n v="2"/>
    <n v="4"/>
    <m/>
    <s v="05_Shg"/>
    <x v="1"/>
    <m/>
    <m/>
    <m/>
    <m/>
    <x v="0"/>
    <s v="Project"/>
    <x v="1652"/>
    <x v="0"/>
    <x v="1"/>
    <s v="Exclude in HGB Group allocation"/>
  </r>
  <r>
    <s v="66460928"/>
    <m/>
    <x v="0"/>
    <x v="0"/>
    <m/>
    <m/>
    <m/>
    <n v="6646"/>
    <n v="9"/>
    <n v="2"/>
    <s v="66460928"/>
    <s v="05_Shg"/>
    <x v="0"/>
    <m/>
    <m/>
    <m/>
    <m/>
    <x v="0"/>
    <s v="Project"/>
    <x v="1653"/>
    <x v="0"/>
    <x v="0"/>
    <s v="Exclude in HGB Group allocation"/>
  </r>
  <r>
    <s v="0"/>
    <m/>
    <x v="0"/>
    <x v="0"/>
    <m/>
    <m/>
    <m/>
    <n v="2109"/>
    <n v="2"/>
    <n v="1"/>
    <m/>
    <s v="07_Inc"/>
    <x v="4"/>
    <m/>
    <m/>
    <m/>
    <m/>
    <x v="0"/>
    <s v="Project"/>
    <x v="1654"/>
    <x v="0"/>
    <x v="18"/>
    <s v="Exclude in HGB Group allocation"/>
  </r>
  <r>
    <s v="0"/>
    <m/>
    <x v="0"/>
    <x v="0"/>
    <m/>
    <m/>
    <m/>
    <n v="2122"/>
    <n v="2"/>
    <n v="1"/>
    <m/>
    <s v="05_Shg"/>
    <x v="4"/>
    <m/>
    <m/>
    <m/>
    <m/>
    <x v="0"/>
    <s v="Project"/>
    <x v="1655"/>
    <x v="0"/>
    <x v="18"/>
    <s v="Exclude in HGB Group allocation"/>
  </r>
  <r>
    <s v="10660228"/>
    <m/>
    <x v="0"/>
    <x v="0"/>
    <m/>
    <m/>
    <m/>
    <n v="1066"/>
    <n v="2"/>
    <n v="2"/>
    <s v="10660228"/>
    <s v="05_Shg"/>
    <x v="0"/>
    <m/>
    <m/>
    <m/>
    <m/>
    <x v="0"/>
    <s v="Project"/>
    <x v="1656"/>
    <x v="0"/>
    <x v="27"/>
    <s v="Exclude in HGB Group allocation"/>
  </r>
  <r>
    <s v="0"/>
    <m/>
    <x v="0"/>
    <x v="0"/>
    <m/>
    <m/>
    <m/>
    <n v="2043"/>
    <n v="2"/>
    <n v="2"/>
    <m/>
    <s v="07_Inc"/>
    <x v="0"/>
    <m/>
    <m/>
    <m/>
    <m/>
    <x v="0"/>
    <s v="Project"/>
    <x v="1657"/>
    <x v="0"/>
    <x v="0"/>
    <s v="Exclude in HGB Group allocation"/>
  </r>
  <r>
    <s v="0"/>
    <m/>
    <x v="0"/>
    <x v="0"/>
    <m/>
    <m/>
    <m/>
    <n v="2119"/>
    <n v="3"/>
    <n v="2"/>
    <m/>
    <s v="01_SE"/>
    <x v="0"/>
    <m/>
    <m/>
    <m/>
    <m/>
    <x v="0"/>
    <s v="Project"/>
    <x v="1658"/>
    <x v="0"/>
    <x v="0"/>
    <s v="Exclude in HGB Group allocation"/>
  </r>
  <r>
    <s v="0"/>
    <m/>
    <x v="0"/>
    <x v="0"/>
    <m/>
    <m/>
    <m/>
    <n v="2119"/>
    <n v="2"/>
    <n v="2"/>
    <m/>
    <s v="01_SE"/>
    <x v="0"/>
    <m/>
    <m/>
    <m/>
    <m/>
    <x v="0"/>
    <s v="Project"/>
    <x v="1659"/>
    <x v="0"/>
    <x v="0"/>
    <s v="Exclude in HGB Group allocation"/>
  </r>
  <r>
    <s v="66461328"/>
    <m/>
    <x v="0"/>
    <x v="0"/>
    <m/>
    <m/>
    <m/>
    <n v="6646"/>
    <n v="13"/>
    <n v="2"/>
    <s v="66461328"/>
    <s v="05_Shg"/>
    <x v="0"/>
    <m/>
    <m/>
    <m/>
    <m/>
    <x v="0"/>
    <s v="Project"/>
    <x v="1660"/>
    <x v="0"/>
    <x v="0"/>
    <s v="Exclude in HGB Group allocation"/>
  </r>
  <r>
    <s v="66461428"/>
    <m/>
    <x v="0"/>
    <x v="0"/>
    <m/>
    <m/>
    <m/>
    <n v="6646"/>
    <n v="14"/>
    <n v="2"/>
    <s v="66461428"/>
    <s v="05_Shg"/>
    <x v="0"/>
    <m/>
    <m/>
    <m/>
    <m/>
    <x v="0"/>
    <s v="Project"/>
    <x v="1661"/>
    <x v="0"/>
    <x v="21"/>
    <s v="Exclude in HGB Group allocation"/>
  </r>
  <r>
    <s v="66461528"/>
    <m/>
    <x v="0"/>
    <x v="0"/>
    <m/>
    <m/>
    <m/>
    <n v="6646"/>
    <n v="15"/>
    <n v="2"/>
    <s v="66461528"/>
    <s v="05_Shg"/>
    <x v="0"/>
    <m/>
    <m/>
    <m/>
    <m/>
    <x v="0"/>
    <s v="Project"/>
    <x v="1662"/>
    <x v="0"/>
    <x v="21"/>
    <s v="Exclude in HGB Group allocation"/>
  </r>
  <r>
    <s v="0"/>
    <m/>
    <x v="0"/>
    <x v="0"/>
    <m/>
    <m/>
    <m/>
    <n v="9981"/>
    <n v="5"/>
    <n v="1"/>
    <m/>
    <s v="01_SE"/>
    <x v="4"/>
    <m/>
    <m/>
    <m/>
    <m/>
    <x v="0"/>
    <s v="Project"/>
    <x v="1663"/>
    <x v="0"/>
    <x v="19"/>
    <s v="Exclude in HGB Group allocation"/>
  </r>
  <r>
    <s v="0"/>
    <m/>
    <x v="0"/>
    <x v="0"/>
    <m/>
    <m/>
    <m/>
    <n v="9963"/>
    <n v="84"/>
    <n v="1"/>
    <m/>
    <s v="01_SE"/>
    <x v="4"/>
    <m/>
    <m/>
    <m/>
    <m/>
    <x v="0"/>
    <s v="Project"/>
    <x v="1664"/>
    <x v="0"/>
    <x v="18"/>
    <s v="Exclude in HGB Group allocation"/>
  </r>
  <r>
    <s v="30403226"/>
    <m/>
    <x v="0"/>
    <x v="0"/>
    <m/>
    <m/>
    <m/>
    <n v="3040"/>
    <n v="32"/>
    <n v="2"/>
    <s v="30403226"/>
    <s v="01_SE"/>
    <x v="0"/>
    <m/>
    <m/>
    <m/>
    <m/>
    <x v="0"/>
    <s v="Project"/>
    <x v="1665"/>
    <x v="0"/>
    <x v="0"/>
    <s v="Exclude in HGB Group allocation"/>
  </r>
  <r>
    <s v="30403328"/>
    <m/>
    <x v="0"/>
    <x v="0"/>
    <m/>
    <m/>
    <m/>
    <n v="3040"/>
    <n v="33"/>
    <n v="2"/>
    <s v="30403328"/>
    <s v="01_SE"/>
    <x v="0"/>
    <m/>
    <m/>
    <m/>
    <m/>
    <x v="0"/>
    <s v="Project"/>
    <x v="1666"/>
    <x v="0"/>
    <x v="0"/>
    <s v="Exclude in HGB Group allocation"/>
  </r>
  <r>
    <s v="30403428"/>
    <m/>
    <x v="0"/>
    <x v="0"/>
    <m/>
    <m/>
    <m/>
    <n v="3040"/>
    <n v="34"/>
    <n v="2"/>
    <s v="30403428"/>
    <s v="01_SE"/>
    <x v="0"/>
    <m/>
    <m/>
    <m/>
    <m/>
    <x v="0"/>
    <s v="Project"/>
    <x v="1667"/>
    <x v="0"/>
    <x v="0"/>
    <s v="Exclude in HGB Group allocation"/>
  </r>
  <r>
    <s v="30403528"/>
    <m/>
    <x v="0"/>
    <x v="0"/>
    <m/>
    <m/>
    <m/>
    <n v="3040"/>
    <n v="35"/>
    <n v="2"/>
    <s v="30403528"/>
    <s v="01_SE"/>
    <x v="0"/>
    <m/>
    <m/>
    <m/>
    <m/>
    <x v="0"/>
    <s v="Project"/>
    <x v="1668"/>
    <x v="0"/>
    <x v="0"/>
    <s v="Exclude in HGB Group allocation"/>
  </r>
  <r>
    <s v="78121116"/>
    <m/>
    <x v="0"/>
    <x v="0"/>
    <m/>
    <m/>
    <m/>
    <n v="7812"/>
    <n v="11"/>
    <n v="1"/>
    <s v="78121116"/>
    <s v="01_SE"/>
    <x v="4"/>
    <m/>
    <m/>
    <m/>
    <m/>
    <x v="0"/>
    <s v="Project"/>
    <x v="1669"/>
    <x v="0"/>
    <x v="19"/>
    <s v="Exclude in HGB Group allocation"/>
  </r>
  <r>
    <s v="76480328"/>
    <m/>
    <x v="0"/>
    <x v="0"/>
    <m/>
    <m/>
    <m/>
    <n v="7648"/>
    <n v="3"/>
    <n v="2"/>
    <s v="76480328"/>
    <s v="01_SE"/>
    <x v="0"/>
    <m/>
    <m/>
    <m/>
    <m/>
    <x v="0"/>
    <s v="Project"/>
    <x v="1670"/>
    <x v="0"/>
    <x v="0"/>
    <s v="Exclude in HGB Group allocation"/>
  </r>
  <r>
    <s v="66461628"/>
    <m/>
    <x v="0"/>
    <x v="0"/>
    <m/>
    <m/>
    <m/>
    <n v="6646"/>
    <n v="16"/>
    <n v="2"/>
    <s v="66461628"/>
    <s v="05_Shg"/>
    <x v="0"/>
    <m/>
    <m/>
    <m/>
    <m/>
    <x v="0"/>
    <s v="Project"/>
    <x v="1671"/>
    <x v="0"/>
    <x v="21"/>
    <s v="Exclude in HGB Group allocation"/>
  </r>
  <r>
    <s v="0"/>
    <m/>
    <x v="0"/>
    <x v="0"/>
    <m/>
    <m/>
    <m/>
    <n v="3071"/>
    <n v="3"/>
    <n v="2"/>
    <m/>
    <s v="01_SE"/>
    <x v="0"/>
    <m/>
    <m/>
    <m/>
    <m/>
    <x v="0"/>
    <s v="Project"/>
    <x v="1672"/>
    <x v="0"/>
    <x v="0"/>
    <s v="Exclude in HGB Group allocation"/>
  </r>
  <r>
    <s v="30710228"/>
    <m/>
    <x v="0"/>
    <x v="0"/>
    <m/>
    <m/>
    <m/>
    <n v="3071"/>
    <n v="2"/>
    <n v="2"/>
    <s v="30710228"/>
    <s v="01_SE"/>
    <x v="0"/>
    <m/>
    <m/>
    <m/>
    <m/>
    <x v="0"/>
    <s v="Project"/>
    <x v="1673"/>
    <x v="0"/>
    <x v="0"/>
    <s v="Exclude in HGB Group allocation"/>
  </r>
  <r>
    <s v="0"/>
    <m/>
    <x v="0"/>
    <x v="0"/>
    <m/>
    <m/>
    <m/>
    <n v="3155"/>
    <n v="1"/>
    <n v="2"/>
    <m/>
    <s v="01_SE"/>
    <x v="0"/>
    <m/>
    <m/>
    <m/>
    <m/>
    <x v="0"/>
    <s v="Project"/>
    <x v="1674"/>
    <x v="0"/>
    <x v="0"/>
    <s v="Exclude in HGB Group allocation"/>
  </r>
  <r>
    <s v="0"/>
    <m/>
    <x v="0"/>
    <x v="0"/>
    <m/>
    <m/>
    <m/>
    <n v="3155"/>
    <n v="2"/>
    <n v="2"/>
    <m/>
    <s v="01_SE"/>
    <x v="0"/>
    <m/>
    <m/>
    <m/>
    <m/>
    <x v="0"/>
    <s v="Project"/>
    <x v="1675"/>
    <x v="0"/>
    <x v="0"/>
    <s v="Exclude in HGB Group allocation"/>
  </r>
  <r>
    <s v="31340128"/>
    <m/>
    <x v="0"/>
    <x v="0"/>
    <m/>
    <m/>
    <m/>
    <n v="3134"/>
    <n v="1"/>
    <n v="2"/>
    <s v="31340128"/>
    <s v="01_SE"/>
    <x v="0"/>
    <m/>
    <m/>
    <m/>
    <m/>
    <x v="0"/>
    <s v="Project"/>
    <x v="1676"/>
    <x v="0"/>
    <x v="0"/>
    <s v="Exclude in HGB Group allocation"/>
  </r>
  <r>
    <s v="31340328"/>
    <m/>
    <x v="0"/>
    <x v="0"/>
    <m/>
    <m/>
    <m/>
    <n v="3134"/>
    <n v="3"/>
    <n v="2"/>
    <s v="31340328"/>
    <s v="01_SE"/>
    <x v="0"/>
    <m/>
    <m/>
    <m/>
    <m/>
    <x v="0"/>
    <s v="Project"/>
    <x v="1677"/>
    <x v="0"/>
    <x v="0"/>
    <s v="Exclude in HGB Group allocation"/>
  </r>
  <r>
    <s v="0"/>
    <m/>
    <x v="0"/>
    <x v="0"/>
    <m/>
    <m/>
    <m/>
    <n v="6109"/>
    <n v="2"/>
    <n v="2"/>
    <m/>
    <s v="01_SE"/>
    <x v="0"/>
    <m/>
    <m/>
    <m/>
    <m/>
    <x v="0"/>
    <s v="Project"/>
    <x v="1678"/>
    <x v="0"/>
    <x v="0"/>
    <m/>
  </r>
  <r>
    <s v="0"/>
    <m/>
    <x v="0"/>
    <x v="0"/>
    <m/>
    <m/>
    <m/>
    <n v="7691"/>
    <n v="2"/>
    <n v="2"/>
    <m/>
    <s v="01_SE"/>
    <x v="0"/>
    <m/>
    <m/>
    <m/>
    <m/>
    <x v="0"/>
    <s v="Project"/>
    <x v="1679"/>
    <x v="0"/>
    <x v="0"/>
    <s v="Exclude in HGB Group allocation"/>
  </r>
  <r>
    <s v="0"/>
    <m/>
    <x v="0"/>
    <x v="0"/>
    <m/>
    <m/>
    <m/>
    <n v="6118"/>
    <n v="2"/>
    <n v="1"/>
    <m/>
    <s v="01_SE"/>
    <x v="4"/>
    <m/>
    <m/>
    <m/>
    <m/>
    <x v="0"/>
    <s v="Project"/>
    <x v="1680"/>
    <x v="0"/>
    <x v="18"/>
    <s v="Exclude in HGB Group allocation"/>
  </r>
  <r>
    <s v="0"/>
    <m/>
    <x v="0"/>
    <x v="0"/>
    <m/>
    <m/>
    <m/>
    <n v="6118"/>
    <n v="2"/>
    <n v="1"/>
    <m/>
    <s v="01_SE"/>
    <x v="4"/>
    <m/>
    <m/>
    <m/>
    <m/>
    <x v="0"/>
    <s v="Project"/>
    <x v="1680"/>
    <x v="0"/>
    <x v="19"/>
    <s v="Exclude in HGB Group allocation"/>
  </r>
  <r>
    <s v="0"/>
    <m/>
    <x v="0"/>
    <x v="0"/>
    <m/>
    <m/>
    <m/>
    <n v="8012"/>
    <n v="2"/>
    <n v="2"/>
    <m/>
    <s v="01_SE"/>
    <x v="0"/>
    <m/>
    <m/>
    <m/>
    <m/>
    <x v="0"/>
    <s v="Project"/>
    <x v="1681"/>
    <x v="0"/>
    <x v="0"/>
    <s v="Exclude in HGB Group allocation"/>
  </r>
  <r>
    <s v="0"/>
    <m/>
    <x v="0"/>
    <x v="0"/>
    <m/>
    <m/>
    <m/>
    <n v="6138"/>
    <n v="2"/>
    <n v="2"/>
    <m/>
    <s v="01_SE"/>
    <x v="0"/>
    <m/>
    <m/>
    <m/>
    <m/>
    <x v="0"/>
    <s v="Project"/>
    <x v="1682"/>
    <x v="0"/>
    <x v="0"/>
    <s v="Exclude in HGB Group allocation"/>
  </r>
  <r>
    <s v="66461726"/>
    <m/>
    <x v="0"/>
    <x v="0"/>
    <m/>
    <m/>
    <m/>
    <n v="6646"/>
    <n v="17"/>
    <n v="2"/>
    <s v="66461726"/>
    <s v="05_Shg"/>
    <x v="0"/>
    <m/>
    <m/>
    <m/>
    <m/>
    <x v="0"/>
    <s v="Project"/>
    <x v="1683"/>
    <x v="0"/>
    <x v="21"/>
    <s v="Exclude in HGB Group allocation"/>
  </r>
  <r>
    <s v="0"/>
    <m/>
    <x v="0"/>
    <x v="0"/>
    <m/>
    <m/>
    <m/>
    <n v="6126"/>
    <n v="3"/>
    <n v="2"/>
    <m/>
    <s v="01_SE"/>
    <x v="0"/>
    <m/>
    <m/>
    <m/>
    <m/>
    <x v="0"/>
    <s v="Project"/>
    <x v="1684"/>
    <x v="0"/>
    <x v="0"/>
    <s v="Exclude in HGB Group allocation"/>
  </r>
  <r>
    <s v="0"/>
    <m/>
    <x v="0"/>
    <x v="0"/>
    <m/>
    <m/>
    <m/>
    <n v="6126"/>
    <n v="2"/>
    <n v="2"/>
    <m/>
    <s v="01_SE"/>
    <x v="0"/>
    <m/>
    <m/>
    <m/>
    <m/>
    <x v="0"/>
    <s v="Project"/>
    <x v="1685"/>
    <x v="0"/>
    <x v="25"/>
    <s v="Exclude in HGB Group allocation"/>
  </r>
  <r>
    <s v="0"/>
    <m/>
    <x v="0"/>
    <x v="0"/>
    <m/>
    <m/>
    <m/>
    <n v="6126"/>
    <n v="4"/>
    <n v="2"/>
    <m/>
    <s v="01_SE"/>
    <x v="0"/>
    <m/>
    <m/>
    <m/>
    <m/>
    <x v="0"/>
    <s v="Project"/>
    <x v="1686"/>
    <x v="0"/>
    <x v="25"/>
    <s v="Exclude in HGB Group allocation"/>
  </r>
  <r>
    <s v="76100228"/>
    <m/>
    <x v="0"/>
    <x v="0"/>
    <m/>
    <m/>
    <m/>
    <n v="7610"/>
    <n v="2"/>
    <n v="2"/>
    <s v="76100228"/>
    <s v="01_SE"/>
    <x v="0"/>
    <m/>
    <m/>
    <m/>
    <m/>
    <x v="0"/>
    <s v="Project"/>
    <x v="1687"/>
    <x v="0"/>
    <x v="0"/>
    <s v="Exclude in HGB Group allocation"/>
  </r>
  <r>
    <s v="0"/>
    <m/>
    <x v="0"/>
    <x v="0"/>
    <m/>
    <m/>
    <m/>
    <n v="4123"/>
    <n v="2"/>
    <n v="1"/>
    <m/>
    <s v="01_SE"/>
    <x v="4"/>
    <m/>
    <m/>
    <m/>
    <m/>
    <x v="0"/>
    <s v="Project"/>
    <x v="1688"/>
    <x v="0"/>
    <x v="18"/>
    <s v="Exclude in HGB Group allocation"/>
  </r>
  <r>
    <s v="0"/>
    <m/>
    <x v="0"/>
    <x v="0"/>
    <m/>
    <m/>
    <m/>
    <n v="4123"/>
    <n v="2"/>
    <n v="1"/>
    <m/>
    <s v="01_SE"/>
    <x v="4"/>
    <m/>
    <m/>
    <m/>
    <m/>
    <x v="0"/>
    <s v="Project"/>
    <x v="1688"/>
    <x v="0"/>
    <x v="19"/>
    <s v="Exclude in HGB Group allocation"/>
  </r>
  <r>
    <s v="0"/>
    <m/>
    <x v="0"/>
    <x v="0"/>
    <m/>
    <m/>
    <m/>
    <n v="3163"/>
    <n v="2"/>
    <n v="2"/>
    <m/>
    <s v="07_Inc"/>
    <x v="0"/>
    <m/>
    <m/>
    <m/>
    <m/>
    <x v="0"/>
    <s v="Project"/>
    <x v="1689"/>
    <x v="0"/>
    <x v="0"/>
    <s v="Exclude in HGB Group allocation"/>
  </r>
  <r>
    <s v="0"/>
    <m/>
    <x v="0"/>
    <x v="0"/>
    <m/>
    <m/>
    <m/>
    <n v="6104"/>
    <n v="2"/>
    <n v="4"/>
    <m/>
    <s v="02_GmbH"/>
    <x v="1"/>
    <m/>
    <m/>
    <m/>
    <m/>
    <x v="0"/>
    <s v="Project"/>
    <x v="1690"/>
    <x v="0"/>
    <x v="23"/>
    <s v="Exclude in HGB Group allocation"/>
  </r>
  <r>
    <s v="0"/>
    <m/>
    <x v="0"/>
    <x v="0"/>
    <m/>
    <m/>
    <m/>
    <n v="6104"/>
    <n v="3"/>
    <n v="2"/>
    <m/>
    <s v="01_SE"/>
    <x v="0"/>
    <m/>
    <m/>
    <m/>
    <m/>
    <x v="0"/>
    <s v="Project"/>
    <x v="1691"/>
    <x v="0"/>
    <x v="0"/>
    <s v="Exclude in HGB Group allocation"/>
  </r>
  <r>
    <s v="0"/>
    <m/>
    <x v="0"/>
    <x v="0"/>
    <m/>
    <m/>
    <m/>
    <n v="6104"/>
    <n v="4"/>
    <n v="2"/>
    <m/>
    <s v="01_SE"/>
    <x v="0"/>
    <m/>
    <m/>
    <m/>
    <m/>
    <x v="0"/>
    <s v="Project"/>
    <x v="1692"/>
    <x v="0"/>
    <x v="0"/>
    <s v="Exclude in HGB Group allocation"/>
  </r>
  <r>
    <s v="0"/>
    <m/>
    <x v="0"/>
    <x v="0"/>
    <m/>
    <m/>
    <m/>
    <n v="9963"/>
    <n v="84"/>
    <n v="1"/>
    <m/>
    <s v="01_SE"/>
    <x v="4"/>
    <m/>
    <m/>
    <m/>
    <m/>
    <x v="0"/>
    <s v="Project"/>
    <x v="1664"/>
    <x v="0"/>
    <x v="17"/>
    <s v="Exclude in HGB Group allocation"/>
  </r>
  <r>
    <s v="41150428"/>
    <m/>
    <x v="0"/>
    <x v="0"/>
    <m/>
    <m/>
    <m/>
    <n v="4115"/>
    <n v="4"/>
    <n v="2"/>
    <s v="41150428"/>
    <s v="01_SE"/>
    <x v="0"/>
    <m/>
    <m/>
    <m/>
    <m/>
    <x v="0"/>
    <s v="Project"/>
    <x v="1693"/>
    <x v="0"/>
    <x v="0"/>
    <s v="Exclude in HGB Group allocation"/>
  </r>
  <r>
    <s v="41150528"/>
    <m/>
    <x v="0"/>
    <x v="0"/>
    <m/>
    <m/>
    <m/>
    <n v="4115"/>
    <n v="5"/>
    <n v="2"/>
    <s v="41150528"/>
    <s v="01_SE"/>
    <x v="0"/>
    <m/>
    <m/>
    <m/>
    <m/>
    <x v="0"/>
    <s v="Project"/>
    <x v="1694"/>
    <x v="0"/>
    <x v="0"/>
    <s v="Exclude in HGB Group allocation"/>
  </r>
  <r>
    <s v="0"/>
    <m/>
    <x v="0"/>
    <x v="0"/>
    <m/>
    <m/>
    <m/>
    <n v="2102"/>
    <n v="2"/>
    <n v="1"/>
    <m/>
    <s v="01_SE"/>
    <x v="4"/>
    <m/>
    <m/>
    <m/>
    <m/>
    <x v="0"/>
    <s v="Project"/>
    <x v="1695"/>
    <x v="0"/>
    <x v="19"/>
    <s v="Exclude in HGB Group allocation"/>
  </r>
  <r>
    <s v="0"/>
    <m/>
    <x v="0"/>
    <x v="0"/>
    <m/>
    <m/>
    <m/>
    <n v="2102"/>
    <n v="3"/>
    <n v="1"/>
    <m/>
    <s v="01_SE"/>
    <x v="4"/>
    <m/>
    <m/>
    <m/>
    <m/>
    <x v="0"/>
    <s v="Project"/>
    <x v="1696"/>
    <x v="0"/>
    <x v="19"/>
    <s v="Exclude in HGB Group allocation"/>
  </r>
  <r>
    <s v="0"/>
    <m/>
    <x v="0"/>
    <x v="0"/>
    <m/>
    <m/>
    <m/>
    <n v="2102"/>
    <n v="4"/>
    <n v="1"/>
    <m/>
    <s v="01_SE"/>
    <x v="4"/>
    <m/>
    <m/>
    <m/>
    <m/>
    <x v="0"/>
    <s v="Project"/>
    <x v="1697"/>
    <x v="0"/>
    <x v="19"/>
    <s v="Exclude in HGB Group allocation"/>
  </r>
  <r>
    <s v="0"/>
    <m/>
    <x v="0"/>
    <x v="0"/>
    <m/>
    <m/>
    <m/>
    <n v="2102"/>
    <n v="4"/>
    <n v="1"/>
    <m/>
    <s v="01_SE"/>
    <x v="4"/>
    <m/>
    <m/>
    <m/>
    <m/>
    <x v="0"/>
    <s v="Project"/>
    <x v="1697"/>
    <x v="0"/>
    <x v="17"/>
    <s v="Exclude in HGB Group allocation"/>
  </r>
  <r>
    <s v="0"/>
    <m/>
    <x v="0"/>
    <x v="0"/>
    <m/>
    <m/>
    <m/>
    <n v="2102"/>
    <n v="5"/>
    <n v="1"/>
    <m/>
    <s v="01_SE"/>
    <x v="4"/>
    <m/>
    <m/>
    <m/>
    <m/>
    <x v="0"/>
    <s v="Project"/>
    <x v="1698"/>
    <x v="0"/>
    <x v="19"/>
    <s v="Exclude in HGB Group allocation"/>
  </r>
  <r>
    <s v="0"/>
    <m/>
    <x v="0"/>
    <x v="0"/>
    <m/>
    <m/>
    <m/>
    <n v="2102"/>
    <n v="5"/>
    <n v="1"/>
    <m/>
    <s v="01_SE"/>
    <x v="4"/>
    <m/>
    <m/>
    <m/>
    <m/>
    <x v="0"/>
    <s v="Project"/>
    <x v="1698"/>
    <x v="0"/>
    <x v="17"/>
    <s v="Exclude in HGB Group allocation"/>
  </r>
  <r>
    <s v="0"/>
    <m/>
    <x v="0"/>
    <x v="0"/>
    <m/>
    <m/>
    <m/>
    <n v="2102"/>
    <n v="5"/>
    <n v="1"/>
    <m/>
    <s v="01_SE"/>
    <x v="4"/>
    <m/>
    <m/>
    <m/>
    <m/>
    <x v="0"/>
    <s v="Project"/>
    <x v="1698"/>
    <x v="0"/>
    <x v="18"/>
    <s v="Exclude in HGB Group allocation"/>
  </r>
  <r>
    <s v="0"/>
    <m/>
    <x v="0"/>
    <x v="0"/>
    <m/>
    <m/>
    <m/>
    <n v="2102"/>
    <n v="6"/>
    <n v="1"/>
    <m/>
    <s v="01_SE"/>
    <x v="4"/>
    <m/>
    <m/>
    <m/>
    <m/>
    <x v="0"/>
    <s v="Project"/>
    <x v="1699"/>
    <x v="0"/>
    <x v="19"/>
    <s v="Exclude in HGB Group allocation"/>
  </r>
  <r>
    <s v="0"/>
    <m/>
    <x v="0"/>
    <x v="0"/>
    <m/>
    <m/>
    <m/>
    <n v="2102"/>
    <n v="6"/>
    <n v="1"/>
    <m/>
    <s v="01_SE"/>
    <x v="4"/>
    <m/>
    <m/>
    <m/>
    <m/>
    <x v="0"/>
    <s v="Project"/>
    <x v="1699"/>
    <x v="0"/>
    <x v="18"/>
    <s v="Exclude in HGB Group allocation"/>
  </r>
  <r>
    <s v="0"/>
    <m/>
    <x v="0"/>
    <x v="0"/>
    <m/>
    <m/>
    <m/>
    <n v="2102"/>
    <n v="7"/>
    <n v="1"/>
    <m/>
    <s v="01_SE"/>
    <x v="4"/>
    <m/>
    <m/>
    <m/>
    <m/>
    <x v="0"/>
    <s v="Project"/>
    <x v="1700"/>
    <x v="0"/>
    <x v="18"/>
    <s v="Exclude in HGB Group allocation"/>
  </r>
  <r>
    <s v="0"/>
    <m/>
    <x v="0"/>
    <x v="0"/>
    <m/>
    <m/>
    <m/>
    <n v="9996"/>
    <n v="91"/>
    <n v="2"/>
    <m/>
    <s v="16_digital"/>
    <x v="0"/>
    <m/>
    <m/>
    <m/>
    <m/>
    <x v="0"/>
    <s v="Project"/>
    <x v="1701"/>
    <x v="0"/>
    <x v="0"/>
    <s v="Exclude in HGB Group allocation"/>
  </r>
  <r>
    <s v="0"/>
    <m/>
    <x v="0"/>
    <x v="0"/>
    <m/>
    <m/>
    <m/>
    <n v="2927"/>
    <n v="11"/>
    <n v="4"/>
    <m/>
    <s v="02_GmbH"/>
    <x v="1"/>
    <m/>
    <m/>
    <m/>
    <m/>
    <x v="0"/>
    <s v="Project"/>
    <x v="1702"/>
    <x v="0"/>
    <x v="21"/>
    <s v="Exclude in HGB Group allocation"/>
  </r>
  <r>
    <s v="0"/>
    <m/>
    <x v="0"/>
    <x v="0"/>
    <m/>
    <m/>
    <m/>
    <n v="8001"/>
    <n v="6"/>
    <n v="2"/>
    <m/>
    <s v="01_SE"/>
    <x v="0"/>
    <m/>
    <m/>
    <m/>
    <m/>
    <x v="0"/>
    <s v="Project"/>
    <x v="1703"/>
    <x v="0"/>
    <x v="0"/>
    <s v="Exclude in HGB Group allocation"/>
  </r>
  <r>
    <s v="0"/>
    <m/>
    <x v="0"/>
    <x v="0"/>
    <m/>
    <m/>
    <m/>
    <n v="8001"/>
    <n v="7"/>
    <n v="2"/>
    <m/>
    <s v="01_SE"/>
    <x v="0"/>
    <m/>
    <m/>
    <m/>
    <m/>
    <x v="0"/>
    <s v="Project"/>
    <x v="1704"/>
    <x v="0"/>
    <x v="0"/>
    <s v="Exclude in HGB Group allocation"/>
  </r>
  <r>
    <s v="0"/>
    <m/>
    <x v="0"/>
    <x v="0"/>
    <m/>
    <m/>
    <m/>
    <n v="8001"/>
    <n v="8"/>
    <n v="2"/>
    <m/>
    <s v="01_SE"/>
    <x v="0"/>
    <m/>
    <m/>
    <m/>
    <m/>
    <x v="0"/>
    <s v="Project"/>
    <x v="1705"/>
    <x v="0"/>
    <x v="0"/>
    <s v="Exclude in HGB Group allocation"/>
  </r>
  <r>
    <s v="80010128"/>
    <m/>
    <x v="0"/>
    <x v="0"/>
    <m/>
    <m/>
    <m/>
    <n v="8001"/>
    <n v="1"/>
    <n v="2"/>
    <s v="80010128"/>
    <s v="01_SE"/>
    <x v="0"/>
    <m/>
    <m/>
    <m/>
    <m/>
    <x v="0"/>
    <s v="Project"/>
    <x v="1706"/>
    <x v="0"/>
    <x v="0"/>
    <s v="Exclude in HGB Group allocation"/>
  </r>
  <r>
    <s v="80010228"/>
    <m/>
    <x v="0"/>
    <x v="0"/>
    <m/>
    <m/>
    <m/>
    <n v="8001"/>
    <n v="2"/>
    <n v="2"/>
    <s v="80010228"/>
    <s v="01_SE"/>
    <x v="0"/>
    <m/>
    <m/>
    <m/>
    <m/>
    <x v="0"/>
    <s v="Project"/>
    <x v="1707"/>
    <x v="0"/>
    <x v="0"/>
    <s v="Exclude in HGB Group allocation"/>
  </r>
  <r>
    <s v="80010328"/>
    <m/>
    <x v="0"/>
    <x v="0"/>
    <m/>
    <m/>
    <m/>
    <n v="8001"/>
    <n v="3"/>
    <n v="2"/>
    <s v="80010328"/>
    <s v="01_SE"/>
    <x v="0"/>
    <m/>
    <m/>
    <m/>
    <m/>
    <x v="0"/>
    <s v="Project"/>
    <x v="1708"/>
    <x v="0"/>
    <x v="0"/>
    <s v="Exclude in HGB Group allocation"/>
  </r>
  <r>
    <s v="80010428"/>
    <m/>
    <x v="0"/>
    <x v="0"/>
    <m/>
    <m/>
    <m/>
    <n v="8001"/>
    <n v="4"/>
    <n v="2"/>
    <s v="80010428"/>
    <s v="01_SE"/>
    <x v="0"/>
    <m/>
    <m/>
    <m/>
    <m/>
    <x v="0"/>
    <s v="Project"/>
    <x v="1709"/>
    <x v="0"/>
    <x v="0"/>
    <s v="Exclude in HGB Group allocation"/>
  </r>
  <r>
    <s v="80010528"/>
    <m/>
    <x v="0"/>
    <x v="0"/>
    <m/>
    <m/>
    <m/>
    <n v="8001"/>
    <n v="5"/>
    <n v="2"/>
    <s v="80010528"/>
    <s v="16_digital"/>
    <x v="0"/>
    <m/>
    <m/>
    <m/>
    <m/>
    <x v="0"/>
    <s v="Project"/>
    <x v="1710"/>
    <x v="0"/>
    <x v="21"/>
    <s v="Exclude in HGB Group allocation"/>
  </r>
  <r>
    <s v="99966728"/>
    <m/>
    <x v="0"/>
    <x v="0"/>
    <m/>
    <m/>
    <m/>
    <n v="8001"/>
    <n v="4"/>
    <n v="2"/>
    <s v="99966728"/>
    <s v="01_SE"/>
    <x v="0"/>
    <m/>
    <m/>
    <m/>
    <m/>
    <x v="0"/>
    <s v="Project"/>
    <x v="1709"/>
    <x v="0"/>
    <x v="0"/>
    <s v="Exclude in HGB Group allocation"/>
  </r>
  <r>
    <s v="70310211"/>
    <m/>
    <x v="0"/>
    <x v="0"/>
    <m/>
    <m/>
    <m/>
    <n v="7031"/>
    <n v="2"/>
    <n v="1"/>
    <s v="70310211"/>
    <s v="01_SE"/>
    <x v="4"/>
    <m/>
    <m/>
    <m/>
    <m/>
    <x v="0"/>
    <s v="Project"/>
    <x v="1711"/>
    <x v="0"/>
    <x v="18"/>
    <s v="Exclude in HGB Group allocation"/>
  </r>
  <r>
    <s v="70310216"/>
    <m/>
    <x v="0"/>
    <x v="0"/>
    <m/>
    <m/>
    <m/>
    <n v="7031"/>
    <n v="2"/>
    <n v="1"/>
    <s v="70310216"/>
    <s v="01_SE"/>
    <x v="4"/>
    <m/>
    <m/>
    <m/>
    <m/>
    <x v="0"/>
    <s v="Project"/>
    <x v="1711"/>
    <x v="0"/>
    <x v="19"/>
    <s v="Exclude in HGB Group allocation"/>
  </r>
  <r>
    <s v="70310326"/>
    <m/>
    <x v="0"/>
    <x v="0"/>
    <m/>
    <m/>
    <m/>
    <n v="7031"/>
    <n v="3"/>
    <n v="2"/>
    <s v="70310326"/>
    <s v="01_SE"/>
    <x v="0"/>
    <m/>
    <m/>
    <m/>
    <m/>
    <x v="0"/>
    <s v="Project"/>
    <x v="1712"/>
    <x v="0"/>
    <x v="0"/>
    <s v="Exclude in HGB Group allocation"/>
  </r>
  <r>
    <s v="70310428"/>
    <m/>
    <x v="0"/>
    <x v="0"/>
    <m/>
    <m/>
    <m/>
    <n v="7031"/>
    <n v="4"/>
    <n v="2"/>
    <s v="70310428"/>
    <s v="01_SE"/>
    <x v="0"/>
    <m/>
    <m/>
    <m/>
    <m/>
    <x v="0"/>
    <s v="Project"/>
    <x v="1713"/>
    <x v="0"/>
    <x v="0"/>
    <s v="Exclude in HGB Group allocation"/>
  </r>
  <r>
    <s v="66461826"/>
    <m/>
    <x v="0"/>
    <x v="0"/>
    <m/>
    <m/>
    <m/>
    <n v="6646"/>
    <n v="18"/>
    <n v="2"/>
    <s v="66461826"/>
    <s v="05_Shg"/>
    <x v="0"/>
    <m/>
    <m/>
    <m/>
    <m/>
    <x v="0"/>
    <s v="Project"/>
    <x v="1714"/>
    <x v="0"/>
    <x v="0"/>
    <s v="Exclude in HGB Group allocation"/>
  </r>
  <r>
    <s v="31170326"/>
    <m/>
    <x v="0"/>
    <x v="0"/>
    <m/>
    <m/>
    <m/>
    <n v="3117"/>
    <n v="3"/>
    <n v="2"/>
    <s v="31170326"/>
    <s v="09_Ltda"/>
    <x v="0"/>
    <m/>
    <m/>
    <m/>
    <m/>
    <x v="0"/>
    <s v="Project"/>
    <x v="1715"/>
    <x v="0"/>
    <x v="21"/>
    <s v="Exclude in HGB Group allocation"/>
  </r>
  <r>
    <s v="0"/>
    <m/>
    <x v="0"/>
    <x v="0"/>
    <m/>
    <m/>
    <m/>
    <n v="7707"/>
    <n v="21"/>
    <n v="2"/>
    <m/>
    <s v="01_SE"/>
    <x v="0"/>
    <m/>
    <m/>
    <m/>
    <m/>
    <x v="0"/>
    <s v="Project"/>
    <x v="1716"/>
    <x v="0"/>
    <x v="0"/>
    <s v="Exclude in HGB Group allocation"/>
  </r>
  <r>
    <s v="0"/>
    <m/>
    <x v="0"/>
    <x v="0"/>
    <m/>
    <m/>
    <m/>
    <n v="7707"/>
    <n v="23"/>
    <n v="2"/>
    <m/>
    <s v="01_SE"/>
    <x v="0"/>
    <m/>
    <m/>
    <m/>
    <m/>
    <x v="0"/>
    <s v="Project"/>
    <x v="1717"/>
    <x v="0"/>
    <x v="0"/>
    <s v="Exclude in HGB Group allocation"/>
  </r>
  <r>
    <s v="0"/>
    <m/>
    <x v="0"/>
    <x v="0"/>
    <m/>
    <m/>
    <m/>
    <n v="7707"/>
    <n v="29"/>
    <n v="2"/>
    <m/>
    <s v="01_SE"/>
    <x v="0"/>
    <m/>
    <m/>
    <m/>
    <m/>
    <x v="0"/>
    <s v="Project"/>
    <x v="1718"/>
    <x v="0"/>
    <x v="0"/>
    <s v="Exclude in HGB Group allocation"/>
  </r>
  <r>
    <s v="77071728"/>
    <m/>
    <x v="0"/>
    <x v="0"/>
    <m/>
    <m/>
    <m/>
    <n v="7707"/>
    <n v="17"/>
    <n v="2"/>
    <s v="77071728"/>
    <s v="01_SE"/>
    <x v="0"/>
    <m/>
    <m/>
    <m/>
    <m/>
    <x v="0"/>
    <s v="Project"/>
    <x v="1719"/>
    <x v="0"/>
    <x v="0"/>
    <s v="Exclude in HGB Group allocation"/>
  </r>
  <r>
    <s v="77071828"/>
    <m/>
    <x v="0"/>
    <x v="0"/>
    <m/>
    <m/>
    <m/>
    <n v="7707"/>
    <n v="18"/>
    <n v="2"/>
    <s v="77071828"/>
    <s v="01_SE"/>
    <x v="0"/>
    <m/>
    <m/>
    <m/>
    <m/>
    <x v="0"/>
    <s v="Project"/>
    <x v="1720"/>
    <x v="0"/>
    <x v="0"/>
    <s v="Exclude in HGB Group allocation"/>
  </r>
  <r>
    <s v="0"/>
    <m/>
    <x v="0"/>
    <x v="0"/>
    <m/>
    <m/>
    <m/>
    <n v="7707"/>
    <n v="19"/>
    <n v="2"/>
    <m/>
    <s v="01_SE"/>
    <x v="0"/>
    <m/>
    <m/>
    <m/>
    <m/>
    <x v="0"/>
    <s v="Project"/>
    <x v="1721"/>
    <x v="0"/>
    <x v="0"/>
    <s v="Exclude in HGB Group allocation"/>
  </r>
  <r>
    <s v="0"/>
    <m/>
    <x v="0"/>
    <x v="0"/>
    <m/>
    <m/>
    <m/>
    <n v="7707"/>
    <n v="20"/>
    <n v="2"/>
    <m/>
    <s v="01_SE"/>
    <x v="0"/>
    <m/>
    <m/>
    <m/>
    <m/>
    <x v="0"/>
    <s v="Project"/>
    <x v="1722"/>
    <x v="0"/>
    <x v="0"/>
    <s v="Exclude in HGB Group allocation"/>
  </r>
  <r>
    <s v="0"/>
    <m/>
    <x v="0"/>
    <x v="0"/>
    <m/>
    <m/>
    <m/>
    <n v="7707"/>
    <n v="22"/>
    <n v="2"/>
    <m/>
    <s v="01_SE"/>
    <x v="0"/>
    <m/>
    <m/>
    <m/>
    <m/>
    <x v="0"/>
    <s v="Project"/>
    <x v="1723"/>
    <x v="0"/>
    <x v="0"/>
    <s v="Exclude in HGB Group allocation"/>
  </r>
  <r>
    <s v="0"/>
    <m/>
    <x v="0"/>
    <x v="0"/>
    <m/>
    <m/>
    <m/>
    <n v="7707"/>
    <n v="24"/>
    <n v="2"/>
    <m/>
    <s v="01_SE"/>
    <x v="0"/>
    <m/>
    <m/>
    <m/>
    <m/>
    <x v="0"/>
    <s v="Project"/>
    <x v="1724"/>
    <x v="0"/>
    <x v="0"/>
    <s v="Exclude in HGB Group allocation"/>
  </r>
  <r>
    <s v="0"/>
    <m/>
    <x v="0"/>
    <x v="0"/>
    <m/>
    <m/>
    <m/>
    <n v="7707"/>
    <n v="25"/>
    <n v="2"/>
    <m/>
    <s v="01_SE"/>
    <x v="0"/>
    <m/>
    <m/>
    <m/>
    <m/>
    <x v="0"/>
    <s v="Project"/>
    <x v="1725"/>
    <x v="0"/>
    <x v="0"/>
    <s v="Exclude in HGB Group allocation"/>
  </r>
  <r>
    <s v="0"/>
    <m/>
    <x v="0"/>
    <x v="0"/>
    <m/>
    <m/>
    <m/>
    <n v="7707"/>
    <n v="26"/>
    <n v="2"/>
    <m/>
    <s v="01_SE"/>
    <x v="0"/>
    <m/>
    <m/>
    <m/>
    <m/>
    <x v="0"/>
    <s v="Project"/>
    <x v="1726"/>
    <x v="0"/>
    <x v="0"/>
    <s v="Exclude in HGB Group allocation"/>
  </r>
  <r>
    <s v="0"/>
    <m/>
    <x v="0"/>
    <x v="0"/>
    <m/>
    <m/>
    <m/>
    <n v="7707"/>
    <n v="27"/>
    <n v="2"/>
    <m/>
    <s v="01_SE"/>
    <x v="0"/>
    <m/>
    <m/>
    <m/>
    <m/>
    <x v="0"/>
    <s v="Project"/>
    <x v="1727"/>
    <x v="0"/>
    <x v="0"/>
    <s v="Exclude in HGB Group allocation"/>
  </r>
  <r>
    <s v="0"/>
    <m/>
    <x v="0"/>
    <x v="0"/>
    <m/>
    <m/>
    <m/>
    <n v="7707"/>
    <n v="28"/>
    <n v="2"/>
    <m/>
    <s v="01_SE"/>
    <x v="0"/>
    <m/>
    <m/>
    <m/>
    <m/>
    <x v="0"/>
    <s v="Project"/>
    <x v="1728"/>
    <x v="0"/>
    <x v="0"/>
    <s v="Exclude in HGB Group allocation"/>
  </r>
  <r>
    <s v="0"/>
    <m/>
    <x v="0"/>
    <x v="0"/>
    <m/>
    <m/>
    <m/>
    <n v="7707"/>
    <n v="30"/>
    <n v="2"/>
    <m/>
    <s v="01_SE"/>
    <x v="0"/>
    <m/>
    <m/>
    <m/>
    <m/>
    <x v="0"/>
    <s v="Project"/>
    <x v="1729"/>
    <x v="0"/>
    <x v="0"/>
    <s v="Exclude in HGB Group allocation"/>
  </r>
  <r>
    <s v="0"/>
    <m/>
    <x v="0"/>
    <x v="0"/>
    <m/>
    <m/>
    <m/>
    <n v="7707"/>
    <n v="31"/>
    <n v="2"/>
    <m/>
    <s v="01_SE"/>
    <x v="0"/>
    <m/>
    <m/>
    <m/>
    <m/>
    <x v="0"/>
    <s v="Project"/>
    <x v="1730"/>
    <x v="0"/>
    <x v="0"/>
    <s v="Exclude in HGB Group allocation"/>
  </r>
  <r>
    <s v="88270328"/>
    <m/>
    <x v="0"/>
    <x v="0"/>
    <m/>
    <m/>
    <m/>
    <n v="8827"/>
    <n v="3"/>
    <n v="2"/>
    <s v="88270328"/>
    <s v="01_SE"/>
    <x v="0"/>
    <m/>
    <m/>
    <m/>
    <m/>
    <x v="0"/>
    <s v="Project"/>
    <x v="1731"/>
    <x v="0"/>
    <x v="0"/>
    <s v="Exclude in HGB Group allocation"/>
  </r>
  <r>
    <s v="0"/>
    <m/>
    <x v="0"/>
    <x v="0"/>
    <m/>
    <m/>
    <m/>
    <n v="3151"/>
    <n v="2"/>
    <n v="2"/>
    <m/>
    <s v="07_Inc"/>
    <x v="0"/>
    <m/>
    <m/>
    <m/>
    <m/>
    <x v="0"/>
    <s v="Project"/>
    <x v="1732"/>
    <x v="0"/>
    <x v="21"/>
    <s v="Exclude in HGB Group allocation"/>
  </r>
  <r>
    <s v="0"/>
    <m/>
    <x v="0"/>
    <x v="0"/>
    <m/>
    <m/>
    <m/>
    <n v="7686"/>
    <n v="2"/>
    <n v="2"/>
    <m/>
    <s v="05_Shg"/>
    <x v="0"/>
    <m/>
    <m/>
    <m/>
    <m/>
    <x v="0"/>
    <s v="Project"/>
    <x v="1733"/>
    <x v="0"/>
    <x v="0"/>
    <s v="Exclude in HGB Group allocation"/>
  </r>
  <r>
    <s v="0"/>
    <m/>
    <x v="0"/>
    <x v="0"/>
    <m/>
    <m/>
    <m/>
    <n v="7686"/>
    <n v="3"/>
    <n v="2"/>
    <m/>
    <s v="05_Shg"/>
    <x v="0"/>
    <m/>
    <m/>
    <m/>
    <m/>
    <x v="0"/>
    <s v="Project"/>
    <x v="1734"/>
    <x v="0"/>
    <x v="0"/>
    <s v="Exclude in HGB Group allocation"/>
  </r>
  <r>
    <s v="0"/>
    <m/>
    <x v="0"/>
    <x v="0"/>
    <m/>
    <m/>
    <m/>
    <n v="3003"/>
    <n v="3"/>
    <n v="2"/>
    <m/>
    <s v="09_Ltda"/>
    <x v="0"/>
    <m/>
    <m/>
    <m/>
    <m/>
    <x v="0"/>
    <s v="Project"/>
    <x v="1735"/>
    <x v="0"/>
    <x v="0"/>
    <s v="Exclude in HGB Group allocation"/>
  </r>
  <r>
    <s v="0"/>
    <m/>
    <x v="0"/>
    <x v="0"/>
    <m/>
    <m/>
    <m/>
    <n v="8027"/>
    <n v="4"/>
    <n v="2"/>
    <m/>
    <s v="01_SE"/>
    <x v="0"/>
    <m/>
    <m/>
    <m/>
    <m/>
    <x v="0"/>
    <s v="Project"/>
    <x v="1736"/>
    <x v="0"/>
    <x v="0"/>
    <s v="Exclude in HGB Group allocation"/>
  </r>
  <r>
    <s v="0"/>
    <m/>
    <x v="0"/>
    <x v="0"/>
    <m/>
    <m/>
    <m/>
    <n v="7022"/>
    <n v="22"/>
    <n v="2"/>
    <m/>
    <s v="01_SE"/>
    <x v="0"/>
    <m/>
    <m/>
    <m/>
    <m/>
    <x v="0"/>
    <s v="Project"/>
    <x v="1737"/>
    <x v="0"/>
    <x v="0"/>
    <s v="Exclude in HGB Group allocation"/>
  </r>
  <r>
    <s v="0"/>
    <m/>
    <x v="0"/>
    <x v="0"/>
    <m/>
    <m/>
    <m/>
    <n v="7022"/>
    <n v="23"/>
    <n v="2"/>
    <m/>
    <s v="01_SE"/>
    <x v="0"/>
    <m/>
    <m/>
    <m/>
    <m/>
    <x v="0"/>
    <s v="Project"/>
    <x v="1738"/>
    <x v="0"/>
    <x v="0"/>
    <m/>
  </r>
  <r>
    <s v="70221328"/>
    <m/>
    <x v="0"/>
    <x v="0"/>
    <m/>
    <m/>
    <m/>
    <n v="7022"/>
    <n v="13"/>
    <n v="2"/>
    <s v="70221328"/>
    <s v="01_SE"/>
    <x v="0"/>
    <m/>
    <m/>
    <m/>
    <m/>
    <x v="0"/>
    <s v="Project"/>
    <x v="1621"/>
    <x v="0"/>
    <x v="0"/>
    <s v="Exclude in HGB Group allocation"/>
  </r>
  <r>
    <s v="70221528"/>
    <m/>
    <x v="0"/>
    <x v="0"/>
    <m/>
    <m/>
    <m/>
    <n v="7022"/>
    <n v="15"/>
    <n v="2"/>
    <s v="70221528"/>
    <s v="01_SE"/>
    <x v="0"/>
    <m/>
    <m/>
    <m/>
    <m/>
    <x v="0"/>
    <s v="Project"/>
    <x v="1622"/>
    <x v="0"/>
    <x v="0"/>
    <s v="Exclude in HGB Group allocation"/>
  </r>
  <r>
    <s v="70221828"/>
    <m/>
    <x v="0"/>
    <x v="0"/>
    <m/>
    <m/>
    <m/>
    <n v="7022"/>
    <n v="18"/>
    <n v="2"/>
    <s v="70221828"/>
    <s v="01_SE"/>
    <x v="0"/>
    <m/>
    <m/>
    <m/>
    <m/>
    <x v="0"/>
    <s v="Project"/>
    <x v="1739"/>
    <x v="0"/>
    <x v="0"/>
    <s v="Exclude in HGB Group allocation"/>
  </r>
  <r>
    <s v="70221928"/>
    <m/>
    <x v="0"/>
    <x v="0"/>
    <m/>
    <m/>
    <m/>
    <n v="7022"/>
    <n v="19"/>
    <n v="2"/>
    <s v="70221928"/>
    <s v="01_SE"/>
    <x v="0"/>
    <m/>
    <m/>
    <m/>
    <m/>
    <x v="0"/>
    <s v="Project"/>
    <x v="1740"/>
    <x v="0"/>
    <x v="0"/>
    <s v="Exclude in HGB Group allocation"/>
  </r>
  <r>
    <s v="70222028"/>
    <m/>
    <x v="0"/>
    <x v="0"/>
    <m/>
    <m/>
    <m/>
    <n v="7022"/>
    <n v="20"/>
    <n v="2"/>
    <s v="70222028"/>
    <s v="01_SE"/>
    <x v="0"/>
    <m/>
    <m/>
    <m/>
    <m/>
    <x v="0"/>
    <s v="Project"/>
    <x v="1741"/>
    <x v="0"/>
    <x v="0"/>
    <s v="Exclude in HGB Group allocation"/>
  </r>
  <r>
    <s v="70222128"/>
    <m/>
    <x v="0"/>
    <x v="0"/>
    <m/>
    <m/>
    <m/>
    <n v="7022"/>
    <n v="21"/>
    <n v="2"/>
    <s v="70222128"/>
    <s v="01_SE"/>
    <x v="0"/>
    <m/>
    <m/>
    <m/>
    <m/>
    <x v="0"/>
    <s v="Project"/>
    <x v="1742"/>
    <x v="0"/>
    <x v="0"/>
    <s v="Exclude in HGB Group allocation"/>
  </r>
  <r>
    <s v="99962028"/>
    <m/>
    <x v="0"/>
    <x v="0"/>
    <m/>
    <m/>
    <m/>
    <n v="7022"/>
    <n v="18"/>
    <n v="2"/>
    <s v="99962028"/>
    <s v="01_SE"/>
    <x v="0"/>
    <m/>
    <m/>
    <m/>
    <m/>
    <x v="0"/>
    <s v="Project"/>
    <x v="1739"/>
    <x v="0"/>
    <x v="0"/>
    <s v="Exclude in HGB Group allocation"/>
  </r>
  <r>
    <s v="70360228"/>
    <m/>
    <x v="0"/>
    <x v="0"/>
    <m/>
    <m/>
    <m/>
    <n v="7036"/>
    <n v="2"/>
    <n v="2"/>
    <s v="70360228"/>
    <s v="01_SE"/>
    <x v="0"/>
    <m/>
    <m/>
    <m/>
    <m/>
    <x v="0"/>
    <s v="Project"/>
    <x v="1743"/>
    <x v="0"/>
    <x v="0"/>
    <s v="Exclude in HGB Group allocation"/>
  </r>
  <r>
    <s v="75100216"/>
    <m/>
    <x v="0"/>
    <x v="0"/>
    <m/>
    <m/>
    <m/>
    <n v="7510"/>
    <n v="2"/>
    <n v="1"/>
    <s v="75100216"/>
    <s v="07_Inc"/>
    <x v="4"/>
    <m/>
    <m/>
    <m/>
    <m/>
    <x v="0"/>
    <s v="Project"/>
    <x v="1744"/>
    <x v="0"/>
    <x v="19"/>
    <s v="Exclude in HGB Group allocation"/>
  </r>
  <r>
    <s v="99867516"/>
    <m/>
    <x v="0"/>
    <x v="0"/>
    <m/>
    <m/>
    <m/>
    <n v="7510"/>
    <n v="2"/>
    <n v="1"/>
    <s v="99867516"/>
    <s v="07_Inc"/>
    <x v="4"/>
    <m/>
    <m/>
    <m/>
    <m/>
    <x v="0"/>
    <s v="Project"/>
    <x v="1744"/>
    <x v="0"/>
    <x v="19"/>
    <s v="Exclude in HGB Group allocation"/>
  </r>
  <r>
    <s v="78023011"/>
    <m/>
    <x v="0"/>
    <x v="0"/>
    <m/>
    <m/>
    <m/>
    <n v="7802"/>
    <n v="30"/>
    <n v="1"/>
    <s v="78023011"/>
    <s v="01_SE"/>
    <x v="4"/>
    <m/>
    <m/>
    <m/>
    <m/>
    <x v="0"/>
    <s v="Project"/>
    <x v="1745"/>
    <x v="0"/>
    <x v="18"/>
    <s v="Exclude in HGB Group allocation"/>
  </r>
  <r>
    <s v="99949911"/>
    <m/>
    <x v="0"/>
    <x v="0"/>
    <m/>
    <m/>
    <m/>
    <n v="7802"/>
    <n v="30"/>
    <n v="1"/>
    <s v="99949911"/>
    <s v="01_SE"/>
    <x v="4"/>
    <m/>
    <m/>
    <m/>
    <m/>
    <x v="0"/>
    <s v="Project"/>
    <x v="1745"/>
    <x v="0"/>
    <x v="18"/>
    <s v="Exclude in HGB Group allocation"/>
  </r>
  <r>
    <s v="0"/>
    <m/>
    <x v="0"/>
    <x v="0"/>
    <m/>
    <m/>
    <m/>
    <n v="6646"/>
    <n v="23"/>
    <n v="2"/>
    <m/>
    <s v="01_SE"/>
    <x v="0"/>
    <m/>
    <m/>
    <m/>
    <m/>
    <x v="0"/>
    <s v="Project"/>
    <x v="1746"/>
    <x v="0"/>
    <x v="0"/>
    <s v="Exclude in HGB Group allocation"/>
  </r>
  <r>
    <s v="0"/>
    <m/>
    <x v="0"/>
    <x v="0"/>
    <m/>
    <m/>
    <m/>
    <n v="6120"/>
    <n v="2"/>
    <n v="2"/>
    <m/>
    <s v="07_Inc"/>
    <x v="0"/>
    <m/>
    <m/>
    <m/>
    <m/>
    <x v="0"/>
    <s v="Project"/>
    <x v="1747"/>
    <x v="0"/>
    <x v="0"/>
    <s v="Exclude in HGB Group allocation"/>
  </r>
  <r>
    <s v="0"/>
    <m/>
    <x v="0"/>
    <x v="0"/>
    <m/>
    <m/>
    <m/>
    <n v="8000"/>
    <n v="2"/>
    <n v="1"/>
    <m/>
    <s v="01_SE"/>
    <x v="4"/>
    <m/>
    <m/>
    <m/>
    <m/>
    <x v="0"/>
    <s v="Project"/>
    <x v="1748"/>
    <x v="0"/>
    <x v="18"/>
    <s v="Exclude in HGB Group allocation"/>
  </r>
  <r>
    <s v="21150242"/>
    <m/>
    <x v="0"/>
    <x v="0"/>
    <m/>
    <m/>
    <m/>
    <n v="2115"/>
    <n v="2"/>
    <n v="4"/>
    <s v="21150242"/>
    <s v="02_GmbH"/>
    <x v="1"/>
    <m/>
    <m/>
    <m/>
    <m/>
    <x v="0"/>
    <s v="Project"/>
    <x v="1749"/>
    <x v="0"/>
    <x v="23"/>
    <s v="Exclude in HGB Group allocation"/>
  </r>
  <r>
    <s v="21150243"/>
    <m/>
    <x v="0"/>
    <x v="0"/>
    <m/>
    <m/>
    <m/>
    <n v="2115"/>
    <n v="2"/>
    <n v="4"/>
    <s v="21150243"/>
    <s v="02_GmbH"/>
    <x v="1"/>
    <m/>
    <m/>
    <m/>
    <m/>
    <x v="0"/>
    <s v="Project"/>
    <x v="1749"/>
    <x v="0"/>
    <x v="1"/>
    <s v="Exclude in HGB Group allocation"/>
  </r>
  <r>
    <s v="21150244"/>
    <m/>
    <x v="0"/>
    <x v="0"/>
    <m/>
    <m/>
    <m/>
    <n v="2115"/>
    <n v="2"/>
    <n v="4"/>
    <s v="21150244"/>
    <s v="02_GmbH"/>
    <x v="1"/>
    <m/>
    <m/>
    <m/>
    <m/>
    <x v="0"/>
    <s v="Project"/>
    <x v="1749"/>
    <x v="0"/>
    <x v="2"/>
    <s v="Exclude in HGB Group allocation"/>
  </r>
  <r>
    <s v="21150247"/>
    <m/>
    <x v="0"/>
    <x v="0"/>
    <m/>
    <m/>
    <m/>
    <n v="2115"/>
    <n v="2"/>
    <n v="4"/>
    <s v="21150247"/>
    <s v="02_GmbH"/>
    <x v="1"/>
    <m/>
    <m/>
    <m/>
    <m/>
    <x v="0"/>
    <s v="Project"/>
    <x v="1749"/>
    <x v="0"/>
    <x v="20"/>
    <s v="Exclude in HGB Group allocation"/>
  </r>
  <r>
    <s v="21150343"/>
    <m/>
    <x v="0"/>
    <x v="0"/>
    <m/>
    <m/>
    <m/>
    <n v="2115"/>
    <n v="3"/>
    <n v="4"/>
    <s v="21150343"/>
    <s v="02_GmbH"/>
    <x v="1"/>
    <m/>
    <m/>
    <m/>
    <m/>
    <x v="0"/>
    <s v="Project"/>
    <x v="1750"/>
    <x v="0"/>
    <x v="21"/>
    <s v="Exclude in HGB Group allocation"/>
  </r>
  <r>
    <s v="21150344"/>
    <m/>
    <x v="0"/>
    <x v="0"/>
    <m/>
    <m/>
    <m/>
    <n v="2115"/>
    <n v="3"/>
    <n v="4"/>
    <s v="21150344"/>
    <s v="02_GmbH"/>
    <x v="1"/>
    <m/>
    <m/>
    <m/>
    <m/>
    <x v="0"/>
    <s v="Project"/>
    <x v="1750"/>
    <x v="0"/>
    <x v="21"/>
    <s v="Exclude in HGB Group allocation"/>
  </r>
  <r>
    <s v="21150444"/>
    <m/>
    <x v="0"/>
    <x v="0"/>
    <m/>
    <m/>
    <m/>
    <n v="2115"/>
    <n v="4"/>
    <n v="4"/>
    <s v="21150444"/>
    <s v="02_GmbH"/>
    <x v="1"/>
    <m/>
    <m/>
    <m/>
    <m/>
    <x v="0"/>
    <s v="Project"/>
    <x v="1751"/>
    <x v="0"/>
    <x v="21"/>
    <s v="Exclude in HGB Group allocation"/>
  </r>
  <r>
    <s v="21150544"/>
    <m/>
    <x v="0"/>
    <x v="0"/>
    <m/>
    <m/>
    <m/>
    <n v="2115"/>
    <n v="5"/>
    <n v="4"/>
    <n v="21150544"/>
    <s v="02_GmbH"/>
    <x v="1"/>
    <m/>
    <m/>
    <m/>
    <m/>
    <x v="0"/>
    <s v="Project"/>
    <x v="1752"/>
    <x v="0"/>
    <x v="1"/>
    <s v="Exclude in HGB Group allocation"/>
  </r>
  <r>
    <s v="99952743"/>
    <m/>
    <x v="0"/>
    <x v="0"/>
    <m/>
    <m/>
    <m/>
    <n v="2115"/>
    <n v="2"/>
    <n v="4"/>
    <s v="99952743"/>
    <s v="02_GmbH"/>
    <x v="1"/>
    <m/>
    <m/>
    <m/>
    <m/>
    <x v="0"/>
    <s v="Project"/>
    <x v="1749"/>
    <x v="0"/>
    <x v="1"/>
    <s v="Exclude in HGB Group allocation"/>
  </r>
  <r>
    <s v="99952744"/>
    <m/>
    <x v="0"/>
    <x v="0"/>
    <m/>
    <m/>
    <m/>
    <n v="2115"/>
    <n v="2"/>
    <n v="4"/>
    <s v="99952744"/>
    <s v="02_GmbH"/>
    <x v="1"/>
    <m/>
    <m/>
    <m/>
    <m/>
    <x v="0"/>
    <s v="Project"/>
    <x v="1749"/>
    <x v="0"/>
    <x v="2"/>
    <s v="Exclude in HGB Group allocation"/>
  </r>
  <r>
    <s v="99952711"/>
    <m/>
    <x v="0"/>
    <x v="0"/>
    <m/>
    <m/>
    <m/>
    <n v="9995"/>
    <n v="27"/>
    <n v="1"/>
    <s v="99952711"/>
    <s v="01_SE"/>
    <x v="4"/>
    <m/>
    <m/>
    <m/>
    <m/>
    <x v="0"/>
    <s v="Project"/>
    <x v="1753"/>
    <x v="0"/>
    <x v="18"/>
    <s v="Exclude in HGB Group allocation"/>
  </r>
  <r>
    <s v="99953111"/>
    <m/>
    <x v="0"/>
    <x v="0"/>
    <m/>
    <m/>
    <m/>
    <n v="9995"/>
    <n v="31"/>
    <n v="1"/>
    <s v="99953111"/>
    <s v="01_SE"/>
    <x v="4"/>
    <m/>
    <m/>
    <m/>
    <m/>
    <x v="0"/>
    <s v="Project"/>
    <x v="1754"/>
    <x v="0"/>
    <x v="18"/>
    <s v="Exclude in HGB Group allocation"/>
  </r>
  <r>
    <s v="21031028"/>
    <m/>
    <x v="0"/>
    <x v="0"/>
    <m/>
    <m/>
    <m/>
    <n v="2103"/>
    <n v="10"/>
    <n v="2"/>
    <s v="21031028"/>
    <s v="01_SE"/>
    <x v="0"/>
    <m/>
    <m/>
    <m/>
    <m/>
    <x v="0"/>
    <s v="Project"/>
    <x v="1755"/>
    <x v="0"/>
    <x v="0"/>
    <s v="Exclude in HGB Group allocation"/>
  </r>
  <r>
    <s v="21031428"/>
    <m/>
    <x v="0"/>
    <x v="0"/>
    <m/>
    <m/>
    <m/>
    <n v="2103"/>
    <n v="14"/>
    <n v="2"/>
    <s v="21031428"/>
    <s v="01_SE"/>
    <x v="0"/>
    <m/>
    <m/>
    <m/>
    <m/>
    <x v="0"/>
    <s v="Project"/>
    <x v="1756"/>
    <x v="0"/>
    <x v="0"/>
    <s v="Exclude in HGB Group allocation"/>
  </r>
  <r>
    <s v="0"/>
    <m/>
    <x v="0"/>
    <x v="0"/>
    <m/>
    <m/>
    <m/>
    <n v="2127"/>
    <n v="2"/>
    <n v="2"/>
    <m/>
    <s v="01_SE"/>
    <x v="0"/>
    <m/>
    <m/>
    <m/>
    <m/>
    <x v="0"/>
    <s v="Project"/>
    <x v="1757"/>
    <x v="0"/>
    <x v="0"/>
    <s v="Exclude in HGB Group allocation"/>
  </r>
  <r>
    <s v="0"/>
    <m/>
    <x v="0"/>
    <x v="0"/>
    <m/>
    <m/>
    <m/>
    <n v="6063"/>
    <n v="5"/>
    <n v="2"/>
    <m/>
    <s v="01_SE"/>
    <x v="0"/>
    <m/>
    <m/>
    <m/>
    <m/>
    <x v="0"/>
    <s v="Project"/>
    <x v="1758"/>
    <x v="0"/>
    <x v="0"/>
    <s v="Exclude in HGB Group allocation"/>
  </r>
  <r>
    <s v="76200228"/>
    <m/>
    <x v="0"/>
    <x v="0"/>
    <m/>
    <m/>
    <m/>
    <n v="7620"/>
    <n v="2"/>
    <n v="2"/>
    <s v="76200228"/>
    <s v="01_SE"/>
    <x v="0"/>
    <m/>
    <m/>
    <m/>
    <m/>
    <x v="0"/>
    <s v="Project"/>
    <x v="1759"/>
    <x v="0"/>
    <x v="0"/>
    <s v="Exclude in HGB Group allocation"/>
  </r>
  <r>
    <s v="0"/>
    <m/>
    <x v="0"/>
    <x v="0"/>
    <m/>
    <m/>
    <m/>
    <n v="7620"/>
    <n v="3"/>
    <n v="2"/>
    <m/>
    <s v="01_SE"/>
    <x v="0"/>
    <m/>
    <m/>
    <m/>
    <m/>
    <x v="0"/>
    <s v="Project"/>
    <x v="1760"/>
    <x v="0"/>
    <x v="0"/>
    <s v="Exclude in HGB Group allocation"/>
  </r>
  <r>
    <s v="0"/>
    <m/>
    <x v="0"/>
    <x v="0"/>
    <m/>
    <m/>
    <m/>
    <n v="3184"/>
    <n v="2"/>
    <n v="2"/>
    <m/>
    <s v="01_SE"/>
    <x v="0"/>
    <m/>
    <m/>
    <m/>
    <m/>
    <x v="0"/>
    <s v="Project"/>
    <x v="1761"/>
    <x v="0"/>
    <x v="0"/>
    <s v="Exclude in HGB Group allocation"/>
  </r>
  <r>
    <s v="0"/>
    <m/>
    <x v="0"/>
    <x v="0"/>
    <m/>
    <m/>
    <m/>
    <n v="1282"/>
    <n v="12"/>
    <n v="2"/>
    <m/>
    <s v="01_SE"/>
    <x v="0"/>
    <m/>
    <m/>
    <m/>
    <m/>
    <x v="0"/>
    <s v="Project"/>
    <x v="1762"/>
    <x v="0"/>
    <x v="0"/>
    <s v="Exclude in HGB Group allocation"/>
  </r>
  <r>
    <s v="0"/>
    <m/>
    <x v="0"/>
    <x v="0"/>
    <m/>
    <m/>
    <m/>
    <n v="3171"/>
    <n v="2"/>
    <n v="2"/>
    <m/>
    <s v="01_SE"/>
    <x v="0"/>
    <m/>
    <m/>
    <m/>
    <m/>
    <x v="0"/>
    <s v="Project"/>
    <x v="1763"/>
    <x v="0"/>
    <x v="0"/>
    <s v="Exclude in HGB Group allocation"/>
  </r>
  <r>
    <s v="0"/>
    <m/>
    <x v="0"/>
    <x v="0"/>
    <m/>
    <m/>
    <m/>
    <n v="3048"/>
    <n v="7"/>
    <n v="2"/>
    <m/>
    <s v="01_SE"/>
    <x v="0"/>
    <m/>
    <m/>
    <m/>
    <m/>
    <x v="0"/>
    <s v="Project"/>
    <x v="1764"/>
    <x v="0"/>
    <x v="0"/>
    <s v="Exclude in HGB Group allocation"/>
  </r>
  <r>
    <s v="0"/>
    <m/>
    <x v="0"/>
    <x v="0"/>
    <m/>
    <m/>
    <m/>
    <n v="3048"/>
    <n v="8"/>
    <n v="2"/>
    <m/>
    <s v="01_SE"/>
    <x v="0"/>
    <m/>
    <m/>
    <m/>
    <m/>
    <x v="0"/>
    <s v="Project"/>
    <x v="1765"/>
    <x v="0"/>
    <x v="0"/>
    <s v="Exclude in HGB Group allocation"/>
  </r>
  <r>
    <s v="29270928"/>
    <m/>
    <x v="0"/>
    <x v="0"/>
    <m/>
    <m/>
    <m/>
    <n v="2927"/>
    <n v="9"/>
    <n v="2"/>
    <s v="29270928"/>
    <s v="01_SE"/>
    <x v="0"/>
    <m/>
    <m/>
    <m/>
    <m/>
    <x v="0"/>
    <s v="Project"/>
    <x v="1766"/>
    <x v="0"/>
    <x v="0"/>
    <s v="Exclude in HGB Group allocation"/>
  </r>
  <r>
    <s v="0"/>
    <m/>
    <x v="0"/>
    <x v="0"/>
    <m/>
    <m/>
    <m/>
    <n v="2927"/>
    <n v="10"/>
    <n v="1"/>
    <m/>
    <s v="01_SE"/>
    <x v="4"/>
    <m/>
    <m/>
    <m/>
    <m/>
    <x v="0"/>
    <s v="Project"/>
    <x v="1767"/>
    <x v="0"/>
    <x v="18"/>
    <s v="Exclude in HGB Group allocation"/>
  </r>
  <r>
    <s v="0"/>
    <m/>
    <x v="0"/>
    <x v="0"/>
    <m/>
    <m/>
    <m/>
    <n v="2927"/>
    <n v="10"/>
    <n v="1"/>
    <m/>
    <s v="01_SE"/>
    <x v="4"/>
    <m/>
    <m/>
    <m/>
    <m/>
    <x v="0"/>
    <s v="Project"/>
    <x v="1767"/>
    <x v="0"/>
    <x v="19"/>
    <s v="Exclude in HGB Group allocation"/>
  </r>
  <r>
    <s v="0"/>
    <m/>
    <x v="0"/>
    <x v="0"/>
    <m/>
    <m/>
    <m/>
    <n v="2927"/>
    <n v="10"/>
    <n v="1"/>
    <m/>
    <s v="01_SE"/>
    <x v="4"/>
    <m/>
    <m/>
    <m/>
    <m/>
    <x v="0"/>
    <s v="Project"/>
    <x v="1767"/>
    <x v="0"/>
    <x v="17"/>
    <s v="Exclude in HGB Group allocation"/>
  </r>
  <r>
    <s v="13710628"/>
    <m/>
    <x v="0"/>
    <x v="0"/>
    <m/>
    <m/>
    <m/>
    <n v="1371"/>
    <n v="6"/>
    <n v="2"/>
    <s v="13710628"/>
    <s v="05_Shg"/>
    <x v="0"/>
    <m/>
    <m/>
    <m/>
    <m/>
    <x v="0"/>
    <s v="Project"/>
    <x v="1768"/>
    <x v="0"/>
    <x v="0"/>
    <s v="Exclude in HGB Group allocation"/>
  </r>
  <r>
    <s v="13710928"/>
    <m/>
    <x v="0"/>
    <x v="0"/>
    <m/>
    <m/>
    <m/>
    <n v="1371"/>
    <n v="9"/>
    <n v="2"/>
    <s v="13710928"/>
    <s v="05_Shg"/>
    <x v="0"/>
    <m/>
    <m/>
    <m/>
    <m/>
    <x v="0"/>
    <s v="Project"/>
    <x v="1769"/>
    <x v="0"/>
    <x v="0"/>
    <s v="Exclude in HGB Group allocation"/>
  </r>
  <r>
    <s v="30800226"/>
    <m/>
    <x v="0"/>
    <x v="0"/>
    <m/>
    <m/>
    <m/>
    <n v="3080"/>
    <n v="2"/>
    <n v="2"/>
    <s v="30800226"/>
    <s v="05_Shg"/>
    <x v="0"/>
    <m/>
    <m/>
    <m/>
    <m/>
    <x v="0"/>
    <s v="Project"/>
    <x v="1770"/>
    <x v="0"/>
    <x v="21"/>
    <s v="Exclude in HGB Group allocation"/>
  </r>
  <r>
    <s v="70410228"/>
    <m/>
    <x v="0"/>
    <x v="0"/>
    <m/>
    <m/>
    <m/>
    <n v="7041"/>
    <n v="2"/>
    <n v="2"/>
    <s v="70410228"/>
    <s v="01_SE"/>
    <x v="0"/>
    <m/>
    <m/>
    <m/>
    <m/>
    <x v="0"/>
    <s v="Project"/>
    <x v="1771"/>
    <x v="0"/>
    <x v="0"/>
    <s v="Exclude in HGB Group allocation"/>
  </r>
  <r>
    <s v="0"/>
    <m/>
    <x v="0"/>
    <x v="0"/>
    <m/>
    <m/>
    <m/>
    <n v="8808"/>
    <n v="2"/>
    <n v="4"/>
    <m/>
    <s v="02_GmbH"/>
    <x v="1"/>
    <m/>
    <m/>
    <m/>
    <m/>
    <x v="0"/>
    <s v="Project"/>
    <x v="1772"/>
    <x v="0"/>
    <x v="21"/>
    <s v="Exclude in HGB Group allocation"/>
  </r>
  <r>
    <s v="0"/>
    <m/>
    <x v="0"/>
    <x v="0"/>
    <m/>
    <m/>
    <m/>
    <n v="3153"/>
    <n v="2"/>
    <n v="2"/>
    <m/>
    <s v="01_SE"/>
    <x v="0"/>
    <m/>
    <m/>
    <m/>
    <m/>
    <x v="0"/>
    <s v="Project"/>
    <x v="1773"/>
    <x v="0"/>
    <x v="0"/>
    <s v="Exclude in HGB Group allocation"/>
  </r>
  <r>
    <s v="0"/>
    <m/>
    <x v="0"/>
    <x v="0"/>
    <m/>
    <m/>
    <m/>
    <n v="3170"/>
    <n v="2"/>
    <n v="2"/>
    <m/>
    <s v="01_SE"/>
    <x v="0"/>
    <m/>
    <m/>
    <m/>
    <m/>
    <x v="0"/>
    <s v="Project"/>
    <x v="1774"/>
    <x v="0"/>
    <x v="0"/>
    <s v="Exclude in HGB Group allocation"/>
  </r>
  <r>
    <s v="0"/>
    <m/>
    <x v="0"/>
    <x v="0"/>
    <m/>
    <m/>
    <m/>
    <n v="7664"/>
    <n v="2"/>
    <n v="2"/>
    <m/>
    <s v="01_SE"/>
    <x v="0"/>
    <m/>
    <m/>
    <m/>
    <m/>
    <x v="0"/>
    <s v="Project"/>
    <x v="1775"/>
    <x v="0"/>
    <x v="0"/>
    <s v="Exclude in HGB Group allocation"/>
  </r>
  <r>
    <s v="0"/>
    <m/>
    <x v="0"/>
    <x v="0"/>
    <m/>
    <m/>
    <m/>
    <n v="7631"/>
    <n v="6"/>
    <n v="2"/>
    <m/>
    <s v="01_SE"/>
    <x v="0"/>
    <m/>
    <m/>
    <m/>
    <m/>
    <x v="0"/>
    <s v="Project"/>
    <x v="1776"/>
    <x v="0"/>
    <x v="0"/>
    <s v="Exclude in HGB Group allocation"/>
  </r>
  <r>
    <s v="61020226"/>
    <m/>
    <x v="0"/>
    <x v="0"/>
    <m/>
    <m/>
    <m/>
    <n v="6102"/>
    <n v="2"/>
    <n v="2"/>
    <s v="61020226"/>
    <s v="05_Shg"/>
    <x v="0"/>
    <m/>
    <m/>
    <m/>
    <m/>
    <x v="0"/>
    <s v="Project"/>
    <x v="1777"/>
    <x v="0"/>
    <x v="21"/>
    <s v="Exclude in HGB Group allocation"/>
  </r>
  <r>
    <s v="20320228"/>
    <m/>
    <x v="0"/>
    <x v="0"/>
    <m/>
    <m/>
    <m/>
    <n v="2032"/>
    <n v="2"/>
    <n v="2"/>
    <s v="20320228"/>
    <s v="01_SE"/>
    <x v="0"/>
    <m/>
    <m/>
    <m/>
    <m/>
    <x v="0"/>
    <s v="Project"/>
    <x v="1778"/>
    <x v="0"/>
    <x v="0"/>
    <s v="Exclude in HGB Group allocation"/>
  </r>
  <r>
    <s v="99966628"/>
    <m/>
    <x v="0"/>
    <x v="0"/>
    <m/>
    <m/>
    <m/>
    <n v="2032"/>
    <n v="2"/>
    <n v="2"/>
    <s v="99966628"/>
    <s v="01_SE"/>
    <x v="0"/>
    <m/>
    <m/>
    <m/>
    <m/>
    <x v="0"/>
    <s v="Project"/>
    <x v="1778"/>
    <x v="0"/>
    <x v="21"/>
    <s v="Exclude in HGB Group allocation"/>
  </r>
  <r>
    <s v="0"/>
    <m/>
    <x v="0"/>
    <x v="0"/>
    <m/>
    <m/>
    <m/>
    <n v="3043"/>
    <n v="3"/>
    <n v="2"/>
    <m/>
    <s v="01_SE"/>
    <x v="0"/>
    <m/>
    <m/>
    <m/>
    <m/>
    <x v="0"/>
    <s v="Project"/>
    <x v="1779"/>
    <x v="0"/>
    <x v="0"/>
    <s v="Exclude in HGB Group allocation"/>
  </r>
  <r>
    <s v="30430228"/>
    <m/>
    <x v="0"/>
    <x v="0"/>
    <m/>
    <m/>
    <m/>
    <n v="3043"/>
    <n v="2"/>
    <n v="2"/>
    <s v="30430228"/>
    <s v="01_SE"/>
    <x v="0"/>
    <m/>
    <m/>
    <m/>
    <m/>
    <x v="0"/>
    <s v="Project"/>
    <x v="1780"/>
    <x v="0"/>
    <x v="0"/>
    <s v="Exclude in HGB Group allocation"/>
  </r>
  <r>
    <s v="70440228"/>
    <m/>
    <x v="0"/>
    <x v="0"/>
    <m/>
    <m/>
    <m/>
    <n v="7044"/>
    <n v="2"/>
    <n v="2"/>
    <s v="70440228"/>
    <s v="01_SE"/>
    <x v="0"/>
    <m/>
    <m/>
    <m/>
    <m/>
    <x v="0"/>
    <s v="Project"/>
    <x v="1781"/>
    <x v="0"/>
    <x v="0"/>
    <s v="Exclude in HGB Group allocation"/>
  </r>
  <r>
    <s v="0"/>
    <m/>
    <x v="0"/>
    <x v="0"/>
    <m/>
    <m/>
    <m/>
    <n v="6139"/>
    <n v="2"/>
    <n v="2"/>
    <m/>
    <s v="09_Ltda"/>
    <x v="0"/>
    <m/>
    <m/>
    <m/>
    <m/>
    <x v="0"/>
    <s v="Project"/>
    <x v="1782"/>
    <x v="0"/>
    <x v="0"/>
    <s v="Exclude in HGB Group allocation"/>
  </r>
  <r>
    <s v="76450216"/>
    <m/>
    <x v="0"/>
    <x v="0"/>
    <m/>
    <m/>
    <m/>
    <n v="7645"/>
    <n v="2"/>
    <n v="1"/>
    <s v="76450216"/>
    <s v="07_Inc"/>
    <x v="4"/>
    <m/>
    <m/>
    <m/>
    <m/>
    <x v="0"/>
    <s v="Project"/>
    <x v="1783"/>
    <x v="0"/>
    <x v="19"/>
    <s v="Exclude in HGB Group allocation"/>
  </r>
  <r>
    <s v="0"/>
    <m/>
    <x v="0"/>
    <x v="0"/>
    <m/>
    <m/>
    <m/>
    <n v="7657"/>
    <n v="2"/>
    <n v="2"/>
    <m/>
    <s v="01_SE"/>
    <x v="0"/>
    <m/>
    <m/>
    <m/>
    <m/>
    <x v="0"/>
    <s v="Project"/>
    <x v="1784"/>
    <x v="0"/>
    <x v="0"/>
    <s v="Exclude in HGB Group allocation"/>
  </r>
  <r>
    <s v="0"/>
    <m/>
    <x v="0"/>
    <x v="0"/>
    <m/>
    <m/>
    <m/>
    <n v="7569"/>
    <n v="4"/>
    <n v="2"/>
    <m/>
    <s v="01_SE"/>
    <x v="0"/>
    <m/>
    <m/>
    <m/>
    <m/>
    <x v="0"/>
    <s v="Project"/>
    <x v="1785"/>
    <x v="0"/>
    <x v="0"/>
    <s v="Exclude in HGB Group allocation"/>
  </r>
  <r>
    <s v="64240428"/>
    <m/>
    <x v="0"/>
    <x v="0"/>
    <m/>
    <m/>
    <m/>
    <n v="6424"/>
    <n v="4"/>
    <n v="2"/>
    <s v="64240428"/>
    <s v="01_SE"/>
    <x v="0"/>
    <m/>
    <m/>
    <m/>
    <m/>
    <x v="0"/>
    <s v="Project"/>
    <x v="1786"/>
    <x v="0"/>
    <x v="0"/>
    <s v="Exclude in HGB Group allocation"/>
  </r>
  <r>
    <s v="0"/>
    <m/>
    <x v="0"/>
    <x v="0"/>
    <m/>
    <m/>
    <m/>
    <n v="6127"/>
    <n v="2"/>
    <n v="2"/>
    <m/>
    <s v="09_Ltda"/>
    <x v="0"/>
    <m/>
    <m/>
    <m/>
    <m/>
    <x v="0"/>
    <s v="Project"/>
    <x v="1787"/>
    <x v="0"/>
    <x v="0"/>
    <s v="Exclude in HGB Group allocation"/>
  </r>
  <r>
    <s v="0"/>
    <m/>
    <x v="0"/>
    <x v="0"/>
    <m/>
    <m/>
    <m/>
    <n v="6127"/>
    <n v="3"/>
    <n v="2"/>
    <m/>
    <s v="05_Shg"/>
    <x v="0"/>
    <m/>
    <m/>
    <m/>
    <m/>
    <x v="0"/>
    <s v="Project"/>
    <x v="1788"/>
    <x v="0"/>
    <x v="0"/>
    <s v="Exclude in HGB Group allocation"/>
  </r>
  <r>
    <s v="70140228"/>
    <m/>
    <x v="0"/>
    <x v="0"/>
    <m/>
    <m/>
    <m/>
    <n v="7014"/>
    <n v="2"/>
    <n v="2"/>
    <s v="70140228"/>
    <s v="01_SE"/>
    <x v="0"/>
    <m/>
    <m/>
    <m/>
    <m/>
    <x v="0"/>
    <s v="Project"/>
    <x v="1789"/>
    <x v="0"/>
    <x v="0"/>
    <s v="Exclude in HGB Group allocation"/>
  </r>
  <r>
    <s v="99965028"/>
    <m/>
    <x v="0"/>
    <x v="0"/>
    <m/>
    <m/>
    <m/>
    <n v="7014"/>
    <n v="2"/>
    <n v="2"/>
    <s v="99965028"/>
    <s v="01_SE"/>
    <x v="0"/>
    <m/>
    <m/>
    <m/>
    <m/>
    <x v="0"/>
    <s v="Project"/>
    <x v="1789"/>
    <x v="0"/>
    <x v="21"/>
    <s v="Exclude in HGB Group allocation"/>
  </r>
  <r>
    <s v="0"/>
    <m/>
    <x v="0"/>
    <x v="0"/>
    <m/>
    <m/>
    <m/>
    <n v="6312"/>
    <n v="2"/>
    <n v="2"/>
    <m/>
    <s v="01_SE"/>
    <x v="0"/>
    <m/>
    <m/>
    <m/>
    <m/>
    <x v="0"/>
    <s v="Project"/>
    <x v="1790"/>
    <x v="0"/>
    <x v="0"/>
    <s v="Exclude in HGB Group allocation"/>
  </r>
  <r>
    <s v="0"/>
    <m/>
    <x v="0"/>
    <x v="0"/>
    <m/>
    <m/>
    <m/>
    <n v="6312"/>
    <n v="3"/>
    <n v="2"/>
    <m/>
    <s v="01_SE"/>
    <x v="0"/>
    <m/>
    <m/>
    <m/>
    <m/>
    <x v="0"/>
    <s v="Project"/>
    <x v="1791"/>
    <x v="0"/>
    <x v="0"/>
    <s v="Exclude in HGB Group allocation"/>
  </r>
  <r>
    <s v="0"/>
    <m/>
    <x v="0"/>
    <x v="0"/>
    <m/>
    <m/>
    <m/>
    <n v="6312"/>
    <n v="4"/>
    <n v="2"/>
    <m/>
    <s v="01_SE"/>
    <x v="0"/>
    <m/>
    <m/>
    <m/>
    <m/>
    <x v="0"/>
    <s v="Project"/>
    <x v="1792"/>
    <x v="0"/>
    <x v="0"/>
    <s v="Exclude in HGB Group allocation"/>
  </r>
  <r>
    <s v="75180328"/>
    <m/>
    <x v="0"/>
    <x v="0"/>
    <m/>
    <m/>
    <m/>
    <n v="7518"/>
    <n v="3"/>
    <n v="2"/>
    <s v="75180328"/>
    <s v="01_SE"/>
    <x v="0"/>
    <m/>
    <m/>
    <m/>
    <m/>
    <x v="0"/>
    <s v="Project"/>
    <x v="1793"/>
    <x v="0"/>
    <x v="0"/>
    <s v="Exclude in HGB Group allocation"/>
  </r>
  <r>
    <s v="0"/>
    <m/>
    <x v="0"/>
    <x v="0"/>
    <m/>
    <m/>
    <m/>
    <n v="1995"/>
    <n v="13"/>
    <n v="2"/>
    <m/>
    <s v="01_SE"/>
    <x v="0"/>
    <m/>
    <m/>
    <m/>
    <m/>
    <x v="0"/>
    <s v="Project"/>
    <x v="1794"/>
    <x v="0"/>
    <x v="0"/>
    <s v="Exclude in HGB Group allocation"/>
  </r>
  <r>
    <s v="0"/>
    <m/>
    <x v="0"/>
    <x v="0"/>
    <m/>
    <m/>
    <m/>
    <n v="1995"/>
    <n v="14"/>
    <n v="2"/>
    <m/>
    <s v="01_SE"/>
    <x v="0"/>
    <m/>
    <m/>
    <m/>
    <m/>
    <x v="0"/>
    <s v="Project"/>
    <x v="1795"/>
    <x v="0"/>
    <x v="0"/>
    <s v="Exclude in HGB Group allocation"/>
  </r>
  <r>
    <s v="19950944"/>
    <m/>
    <x v="0"/>
    <x v="0"/>
    <m/>
    <m/>
    <m/>
    <n v="1995"/>
    <n v="9"/>
    <n v="4"/>
    <s v="19950944"/>
    <s v="02_GmbH"/>
    <x v="1"/>
    <m/>
    <m/>
    <m/>
    <m/>
    <x v="0"/>
    <s v="Project"/>
    <x v="1796"/>
    <x v="0"/>
    <x v="21"/>
    <s v="Exclude in HGB Group allocation"/>
  </r>
  <r>
    <s v="19951011"/>
    <m/>
    <x v="0"/>
    <x v="0"/>
    <m/>
    <m/>
    <m/>
    <n v="1995"/>
    <n v="10"/>
    <n v="1"/>
    <s v="19951011"/>
    <s v="01_SE"/>
    <x v="4"/>
    <m/>
    <m/>
    <m/>
    <m/>
    <x v="0"/>
    <s v="Project"/>
    <x v="1797"/>
    <x v="0"/>
    <x v="18"/>
    <s v="Exclude in HGB Group allocation"/>
  </r>
  <r>
    <s v="19951126"/>
    <m/>
    <x v="0"/>
    <x v="0"/>
    <m/>
    <m/>
    <m/>
    <n v="1995"/>
    <n v="11"/>
    <n v="2"/>
    <s v="19951126"/>
    <s v="01_SE"/>
    <x v="0"/>
    <m/>
    <m/>
    <m/>
    <m/>
    <x v="0"/>
    <s v="Project"/>
    <x v="1798"/>
    <x v="0"/>
    <x v="0"/>
    <s v="Exclude in HGB Group allocation"/>
  </r>
  <r>
    <s v="19951228"/>
    <m/>
    <x v="0"/>
    <x v="0"/>
    <m/>
    <m/>
    <m/>
    <n v="1995"/>
    <n v="12"/>
    <n v="2"/>
    <s v="19951228"/>
    <s v="01_SE"/>
    <x v="0"/>
    <m/>
    <m/>
    <m/>
    <m/>
    <x v="0"/>
    <s v="Project"/>
    <x v="1799"/>
    <x v="0"/>
    <x v="0"/>
    <s v="Exclude in HGB Group allocation"/>
  </r>
  <r>
    <s v="0"/>
    <m/>
    <x v="0"/>
    <x v="0"/>
    <m/>
    <m/>
    <m/>
    <n v="1995"/>
    <n v="1"/>
    <n v="2"/>
    <m/>
    <s v="01_SE"/>
    <x v="0"/>
    <m/>
    <m/>
    <m/>
    <m/>
    <x v="0"/>
    <s v="Project"/>
    <x v="1800"/>
    <x v="0"/>
    <x v="0"/>
    <s v="Exclude in HGB Group allocation"/>
  </r>
  <r>
    <s v="0"/>
    <m/>
    <x v="0"/>
    <x v="0"/>
    <m/>
    <m/>
    <m/>
    <n v="3029"/>
    <n v="5"/>
    <n v="2"/>
    <m/>
    <s v="01_SE"/>
    <x v="0"/>
    <m/>
    <m/>
    <m/>
    <m/>
    <x v="0"/>
    <s v="Project"/>
    <x v="1801"/>
    <x v="0"/>
    <x v="0"/>
    <s v="Exclude in HGB Group allocation"/>
  </r>
  <r>
    <s v="30250241"/>
    <m/>
    <x v="0"/>
    <x v="0"/>
    <m/>
    <m/>
    <m/>
    <n v="3025"/>
    <n v="2"/>
    <n v="4"/>
    <s v="30250241"/>
    <s v="02_GmbH"/>
    <x v="1"/>
    <m/>
    <m/>
    <m/>
    <m/>
    <x v="0"/>
    <s v="Project"/>
    <x v="1802"/>
    <x v="0"/>
    <x v="22"/>
    <s v="Exclude in HGB Group allocation"/>
  </r>
  <r>
    <s v="30250244"/>
    <m/>
    <x v="0"/>
    <x v="0"/>
    <m/>
    <m/>
    <m/>
    <n v="3025"/>
    <n v="2"/>
    <n v="4"/>
    <s v="30250244"/>
    <s v="02_GmbH"/>
    <x v="1"/>
    <m/>
    <m/>
    <m/>
    <m/>
    <x v="0"/>
    <s v="Project"/>
    <x v="1802"/>
    <x v="0"/>
    <x v="2"/>
    <s v="Exclude in HGB Group allocation"/>
  </r>
  <r>
    <s v="30250247"/>
    <m/>
    <x v="0"/>
    <x v="0"/>
    <m/>
    <m/>
    <m/>
    <n v="3025"/>
    <n v="2"/>
    <n v="4"/>
    <s v="30250247"/>
    <s v="02_GmbH"/>
    <x v="1"/>
    <m/>
    <m/>
    <m/>
    <m/>
    <x v="0"/>
    <s v="Project"/>
    <x v="1802"/>
    <x v="0"/>
    <x v="20"/>
    <s v="Exclude in HGB Group allocation"/>
  </r>
  <r>
    <s v="99912541"/>
    <m/>
    <x v="0"/>
    <x v="0"/>
    <m/>
    <m/>
    <m/>
    <n v="3025"/>
    <n v="2"/>
    <n v="4"/>
    <s v="99912541"/>
    <s v="02_GmbH"/>
    <x v="1"/>
    <m/>
    <m/>
    <m/>
    <m/>
    <x v="0"/>
    <s v="Project"/>
    <x v="1802"/>
    <x v="0"/>
    <x v="22"/>
    <s v="Exclude in HGB Group allocation"/>
  </r>
  <r>
    <s v="99912544"/>
    <m/>
    <x v="0"/>
    <x v="0"/>
    <m/>
    <m/>
    <m/>
    <n v="3025"/>
    <n v="2"/>
    <n v="4"/>
    <s v="99912544"/>
    <s v="02_GmbH"/>
    <x v="1"/>
    <m/>
    <m/>
    <m/>
    <m/>
    <x v="0"/>
    <s v="Project"/>
    <x v="1802"/>
    <x v="0"/>
    <x v="2"/>
    <s v="Exclude in HGB Group allocation"/>
  </r>
  <r>
    <s v="30250744"/>
    <m/>
    <x v="0"/>
    <x v="0"/>
    <m/>
    <m/>
    <m/>
    <n v="3025"/>
    <n v="7"/>
    <n v="4"/>
    <s v="30250744"/>
    <s v="02_GmbH"/>
    <x v="1"/>
    <m/>
    <m/>
    <m/>
    <m/>
    <x v="0"/>
    <s v="Project"/>
    <x v="1803"/>
    <x v="0"/>
    <x v="2"/>
    <s v="Exclude in HGB Group allocation"/>
  </r>
  <r>
    <s v="30251042"/>
    <m/>
    <x v="0"/>
    <x v="0"/>
    <m/>
    <m/>
    <m/>
    <n v="3025"/>
    <n v="10"/>
    <n v="4"/>
    <n v="30251042"/>
    <s v="02_GmbH"/>
    <x v="1"/>
    <m/>
    <m/>
    <m/>
    <m/>
    <x v="0"/>
    <s v="Project"/>
    <x v="1804"/>
    <x v="0"/>
    <x v="23"/>
    <s v="Exclude in HGB Group allocation"/>
  </r>
  <r>
    <s v="0"/>
    <m/>
    <x v="0"/>
    <x v="0"/>
    <m/>
    <m/>
    <m/>
    <n v="3025"/>
    <n v="9"/>
    <n v="2"/>
    <m/>
    <s v="01_SE"/>
    <x v="0"/>
    <m/>
    <m/>
    <m/>
    <m/>
    <x v="0"/>
    <s v="Project"/>
    <x v="1805"/>
    <x v="0"/>
    <x v="0"/>
    <s v="Exclude in HGB Group allocation"/>
  </r>
  <r>
    <s v="99956316"/>
    <m/>
    <x v="0"/>
    <x v="0"/>
    <m/>
    <m/>
    <m/>
    <n v="9995"/>
    <n v="63"/>
    <n v="1"/>
    <s v="99956316"/>
    <s v="01_SE"/>
    <x v="4"/>
    <m/>
    <m/>
    <m/>
    <m/>
    <x v="0"/>
    <s v="Project"/>
    <x v="1806"/>
    <x v="0"/>
    <x v="19"/>
    <s v="Exclude in HGB Group allocation"/>
  </r>
  <r>
    <s v="0"/>
    <m/>
    <x v="0"/>
    <x v="0"/>
    <m/>
    <m/>
    <m/>
    <n v="7669"/>
    <n v="4"/>
    <n v="2"/>
    <m/>
    <s v="01_SE"/>
    <x v="0"/>
    <m/>
    <m/>
    <m/>
    <m/>
    <x v="0"/>
    <s v="Project"/>
    <x v="1807"/>
    <x v="0"/>
    <x v="0"/>
    <s v="Exclude in HGB Group allocation"/>
  </r>
  <r>
    <s v="76690211"/>
    <m/>
    <x v="0"/>
    <x v="0"/>
    <m/>
    <m/>
    <m/>
    <n v="7669"/>
    <n v="2"/>
    <n v="1"/>
    <n v="76690211"/>
    <s v="01_SE"/>
    <x v="4"/>
    <m/>
    <m/>
    <m/>
    <m/>
    <x v="0"/>
    <s v="Project"/>
    <x v="1808"/>
    <x v="0"/>
    <x v="18"/>
    <s v="Exclude in HGB Group allocation"/>
  </r>
  <r>
    <s v="76690216"/>
    <m/>
    <x v="0"/>
    <x v="0"/>
    <m/>
    <m/>
    <m/>
    <n v="7669"/>
    <n v="2"/>
    <n v="1"/>
    <n v="76690216"/>
    <s v="01_SE"/>
    <x v="4"/>
    <m/>
    <m/>
    <m/>
    <m/>
    <x v="0"/>
    <s v="Project"/>
    <x v="1808"/>
    <x v="0"/>
    <x v="19"/>
    <s v="Exclude in HGB Group allocation"/>
  </r>
  <r>
    <s v="76690311"/>
    <m/>
    <x v="0"/>
    <x v="0"/>
    <m/>
    <m/>
    <m/>
    <n v="7669"/>
    <n v="3"/>
    <n v="1"/>
    <n v="76690311"/>
    <s v="01_SE"/>
    <x v="4"/>
    <m/>
    <m/>
    <m/>
    <m/>
    <x v="0"/>
    <s v="Project"/>
    <x v="1809"/>
    <x v="0"/>
    <x v="18"/>
    <s v="Exclude in HGB Group allocation"/>
  </r>
  <r>
    <s v="76690316"/>
    <m/>
    <x v="0"/>
    <x v="0"/>
    <m/>
    <m/>
    <m/>
    <n v="7669"/>
    <n v="3"/>
    <n v="1"/>
    <n v="76690316"/>
    <s v="01_SE"/>
    <x v="4"/>
    <m/>
    <m/>
    <m/>
    <m/>
    <x v="0"/>
    <s v="Project"/>
    <x v="1809"/>
    <x v="0"/>
    <x v="19"/>
    <s v="Exclude in HGB Group allocation"/>
  </r>
  <r>
    <s v="0"/>
    <m/>
    <x v="0"/>
    <x v="0"/>
    <m/>
    <m/>
    <m/>
    <n v="7699"/>
    <n v="3"/>
    <n v="2"/>
    <m/>
    <s v="01_SE"/>
    <x v="0"/>
    <m/>
    <m/>
    <m/>
    <m/>
    <x v="0"/>
    <s v="Project"/>
    <x v="1810"/>
    <x v="0"/>
    <x v="0"/>
    <s v="Exclude in HGB Group allocation"/>
  </r>
  <r>
    <s v="0"/>
    <m/>
    <x v="0"/>
    <x v="0"/>
    <m/>
    <m/>
    <m/>
    <n v="3176"/>
    <n v="2"/>
    <n v="2"/>
    <m/>
    <s v="01_SE"/>
    <x v="0"/>
    <m/>
    <m/>
    <m/>
    <m/>
    <x v="0"/>
    <s v="Project"/>
    <x v="1811"/>
    <x v="0"/>
    <x v="0"/>
    <s v="Exclude in HGB Group allocation"/>
  </r>
  <r>
    <s v="0"/>
    <m/>
    <x v="0"/>
    <x v="0"/>
    <m/>
    <m/>
    <m/>
    <n v="3176"/>
    <n v="3"/>
    <n v="2"/>
    <m/>
    <s v="01_SE"/>
    <x v="0"/>
    <m/>
    <m/>
    <m/>
    <m/>
    <x v="0"/>
    <s v="Project"/>
    <x v="1812"/>
    <x v="0"/>
    <x v="0"/>
    <s v="Exclude in HGB Group allocation"/>
  </r>
  <r>
    <s v="0"/>
    <m/>
    <x v="0"/>
    <x v="0"/>
    <m/>
    <m/>
    <m/>
    <n v="4124"/>
    <n v="1"/>
    <n v="2"/>
    <m/>
    <s v="01_SE"/>
    <x v="0"/>
    <m/>
    <m/>
    <m/>
    <m/>
    <x v="0"/>
    <s v="Project"/>
    <x v="1813"/>
    <x v="0"/>
    <x v="0"/>
    <s v="Exclude in HGB Group allocation"/>
  </r>
  <r>
    <s v="0"/>
    <m/>
    <x v="0"/>
    <x v="0"/>
    <m/>
    <m/>
    <m/>
    <n v="4124"/>
    <n v="2"/>
    <n v="2"/>
    <m/>
    <s v="01_SE"/>
    <x v="0"/>
    <m/>
    <m/>
    <m/>
    <m/>
    <x v="0"/>
    <s v="Project"/>
    <x v="1814"/>
    <x v="0"/>
    <x v="0"/>
    <s v="Exclude in HGB Group allocation"/>
  </r>
  <r>
    <s v="0"/>
    <m/>
    <x v="0"/>
    <x v="0"/>
    <m/>
    <m/>
    <m/>
    <n v="1976"/>
    <n v="2"/>
    <n v="1"/>
    <m/>
    <s v="01_SE"/>
    <x v="4"/>
    <m/>
    <m/>
    <m/>
    <m/>
    <x v="0"/>
    <s v="Project"/>
    <x v="1815"/>
    <x v="0"/>
    <x v="18"/>
    <s v="Exclude in HGB Group allocation"/>
  </r>
  <r>
    <s v="0"/>
    <m/>
    <x v="0"/>
    <x v="0"/>
    <m/>
    <m/>
    <m/>
    <n v="1976"/>
    <n v="2"/>
    <n v="1"/>
    <m/>
    <s v="01_SE"/>
    <x v="4"/>
    <m/>
    <m/>
    <m/>
    <m/>
    <x v="0"/>
    <s v="Project"/>
    <x v="1815"/>
    <x v="0"/>
    <x v="19"/>
    <s v="Exclude in HGB Group allocation"/>
  </r>
  <r>
    <s v="0"/>
    <m/>
    <x v="0"/>
    <x v="0"/>
    <m/>
    <m/>
    <m/>
    <n v="1977"/>
    <n v="2"/>
    <n v="2"/>
    <m/>
    <s v="05_Shg"/>
    <x v="0"/>
    <m/>
    <m/>
    <m/>
    <m/>
    <x v="0"/>
    <s v="Project"/>
    <x v="1816"/>
    <x v="0"/>
    <x v="0"/>
    <s v="Exclude in HGB Group allocation"/>
  </r>
  <r>
    <s v="73980226"/>
    <m/>
    <x v="0"/>
    <x v="0"/>
    <m/>
    <m/>
    <m/>
    <n v="7398"/>
    <n v="2"/>
    <n v="2"/>
    <s v="73980226"/>
    <s v="01_SE"/>
    <x v="0"/>
    <m/>
    <m/>
    <m/>
    <m/>
    <x v="0"/>
    <s v="Project"/>
    <x v="1817"/>
    <x v="0"/>
    <x v="0"/>
    <s v="Exclude in HGB Group allocation"/>
  </r>
  <r>
    <s v="73990626"/>
    <m/>
    <x v="0"/>
    <x v="0"/>
    <m/>
    <m/>
    <m/>
    <n v="7399"/>
    <n v="6"/>
    <n v="2"/>
    <s v="73990626"/>
    <s v="01_SE"/>
    <x v="0"/>
    <m/>
    <m/>
    <m/>
    <m/>
    <x v="0"/>
    <s v="Project"/>
    <x v="1818"/>
    <x v="0"/>
    <x v="0"/>
    <s v="Exclude in HGB Group allocation"/>
  </r>
  <r>
    <s v="74000212"/>
    <m/>
    <x v="0"/>
    <x v="0"/>
    <m/>
    <m/>
    <m/>
    <n v="7400"/>
    <n v="2"/>
    <n v="1"/>
    <s v="74000212"/>
    <s v="01_SE"/>
    <x v="4"/>
    <m/>
    <m/>
    <m/>
    <m/>
    <x v="0"/>
    <s v="Project"/>
    <x v="1819"/>
    <x v="0"/>
    <x v="18"/>
    <s v="Exclude in HGB Group allocation"/>
  </r>
  <r>
    <s v="0"/>
    <m/>
    <x v="0"/>
    <x v="0"/>
    <m/>
    <m/>
    <m/>
    <n v="7628"/>
    <n v="3"/>
    <n v="2"/>
    <m/>
    <s v="05_Shg"/>
    <x v="0"/>
    <m/>
    <m/>
    <m/>
    <m/>
    <x v="0"/>
    <s v="Project"/>
    <x v="1820"/>
    <x v="0"/>
    <x v="0"/>
    <s v="Exclude in HGB Group allocation"/>
  </r>
  <r>
    <s v="76280228"/>
    <m/>
    <x v="0"/>
    <x v="0"/>
    <m/>
    <m/>
    <m/>
    <n v="7628"/>
    <n v="2"/>
    <n v="2"/>
    <s v="76280228"/>
    <s v="05_Shg"/>
    <x v="0"/>
    <m/>
    <m/>
    <m/>
    <m/>
    <x v="0"/>
    <s v="Project"/>
    <x v="1821"/>
    <x v="0"/>
    <x v="0"/>
    <s v="Exclude in HGB Group allocation"/>
  </r>
  <r>
    <s v="0"/>
    <m/>
    <x v="0"/>
    <x v="0"/>
    <m/>
    <m/>
    <m/>
    <n v="8809"/>
    <n v="1"/>
    <n v="2"/>
    <m/>
    <s v="10_AT"/>
    <x v="0"/>
    <m/>
    <m/>
    <m/>
    <m/>
    <x v="0"/>
    <s v="Project"/>
    <x v="1822"/>
    <x v="0"/>
    <x v="0"/>
    <s v="Exclude in HGB Group allocation"/>
  </r>
  <r>
    <s v="0"/>
    <m/>
    <x v="0"/>
    <x v="0"/>
    <m/>
    <m/>
    <m/>
    <n v="8809"/>
    <n v="2"/>
    <n v="2"/>
    <m/>
    <s v="01_SE"/>
    <x v="0"/>
    <m/>
    <m/>
    <m/>
    <m/>
    <x v="0"/>
    <s v="Project"/>
    <x v="1823"/>
    <x v="0"/>
    <x v="0"/>
    <s v="Exclude in HGB Group allocation"/>
  </r>
  <r>
    <s v="0"/>
    <m/>
    <x v="0"/>
    <x v="0"/>
    <m/>
    <m/>
    <m/>
    <n v="8809"/>
    <n v="3"/>
    <n v="2"/>
    <m/>
    <s v="01_SE"/>
    <x v="0"/>
    <m/>
    <m/>
    <m/>
    <m/>
    <x v="0"/>
    <s v="Project"/>
    <x v="1824"/>
    <x v="0"/>
    <x v="0"/>
    <s v="Exclude in HGB Group allocation"/>
  </r>
  <r>
    <s v="30860328"/>
    <m/>
    <x v="0"/>
    <x v="0"/>
    <m/>
    <m/>
    <m/>
    <n v="3086"/>
    <n v="3"/>
    <n v="2"/>
    <s v="30860328"/>
    <s v="05_Shg"/>
    <x v="0"/>
    <m/>
    <m/>
    <m/>
    <m/>
    <x v="0"/>
    <s v="Project"/>
    <x v="1825"/>
    <x v="0"/>
    <x v="0"/>
    <s v="Exclude in HGB Group allocation"/>
  </r>
  <r>
    <s v="30861149"/>
    <m/>
    <x v="0"/>
    <x v="0"/>
    <m/>
    <m/>
    <m/>
    <n v="3086"/>
    <n v="11"/>
    <n v="4"/>
    <s v="30861149"/>
    <s v="02_GmbH"/>
    <x v="1"/>
    <m/>
    <m/>
    <m/>
    <m/>
    <x v="0"/>
    <s v="Project"/>
    <x v="1826"/>
    <x v="0"/>
    <x v="21"/>
    <s v="Exclude in HGB Group allocation"/>
  </r>
  <r>
    <s v="30861228"/>
    <m/>
    <x v="0"/>
    <x v="0"/>
    <m/>
    <m/>
    <m/>
    <n v="3086"/>
    <n v="12"/>
    <n v="2"/>
    <s v="30861228"/>
    <s v="05_Shg"/>
    <x v="0"/>
    <m/>
    <m/>
    <m/>
    <m/>
    <x v="0"/>
    <s v="Project"/>
    <x v="1827"/>
    <x v="0"/>
    <x v="21"/>
    <s v="Exclude in HGB Group allocation"/>
  </r>
  <r>
    <s v="30861328"/>
    <m/>
    <x v="0"/>
    <x v="0"/>
    <m/>
    <m/>
    <m/>
    <n v="3086"/>
    <n v="13"/>
    <n v="2"/>
    <s v="30861328"/>
    <s v="05_Shg"/>
    <x v="0"/>
    <m/>
    <m/>
    <m/>
    <m/>
    <x v="0"/>
    <s v="Project"/>
    <x v="1828"/>
    <x v="0"/>
    <x v="21"/>
    <s v="Exclude in HGB Group allocation"/>
  </r>
  <r>
    <s v="30861428"/>
    <m/>
    <x v="0"/>
    <x v="0"/>
    <m/>
    <m/>
    <m/>
    <n v="3086"/>
    <n v="14"/>
    <n v="2"/>
    <n v="30861428"/>
    <s v="05_Shg"/>
    <x v="0"/>
    <m/>
    <m/>
    <m/>
    <m/>
    <x v="0"/>
    <s v="Project"/>
    <x v="1829"/>
    <x v="0"/>
    <x v="21"/>
    <s v="Exclude in HGB Group allocation"/>
  </r>
  <r>
    <s v="0"/>
    <m/>
    <x v="0"/>
    <x v="0"/>
    <m/>
    <m/>
    <m/>
    <n v="1016"/>
    <n v="17"/>
    <n v="2"/>
    <m/>
    <s v="07_Inc"/>
    <x v="0"/>
    <m/>
    <m/>
    <m/>
    <m/>
    <x v="0"/>
    <s v="Project"/>
    <x v="1830"/>
    <x v="0"/>
    <x v="25"/>
    <s v="Exclude in HGB Group allocation"/>
  </r>
  <r>
    <s v="10161628"/>
    <m/>
    <x v="0"/>
    <x v="0"/>
    <m/>
    <m/>
    <m/>
    <n v="1016"/>
    <n v="17"/>
    <n v="2"/>
    <s v="10161628"/>
    <s v="07_Inc"/>
    <x v="0"/>
    <m/>
    <m/>
    <m/>
    <m/>
    <x v="0"/>
    <s v="Project"/>
    <x v="1830"/>
    <x v="0"/>
    <x v="25"/>
    <s v="Exclude in HGB Group allocation"/>
  </r>
  <r>
    <s v="0"/>
    <m/>
    <x v="0"/>
    <x v="0"/>
    <m/>
    <m/>
    <m/>
    <n v="1016"/>
    <n v="18"/>
    <n v="2"/>
    <m/>
    <s v="07_Inc"/>
    <x v="0"/>
    <m/>
    <m/>
    <m/>
    <m/>
    <x v="0"/>
    <s v="Project"/>
    <x v="1831"/>
    <x v="0"/>
    <x v="0"/>
    <s v="Exclude in HGB Group allocation"/>
  </r>
  <r>
    <s v="0"/>
    <m/>
    <x v="0"/>
    <x v="0"/>
    <m/>
    <m/>
    <m/>
    <n v="1016"/>
    <n v="19"/>
    <n v="2"/>
    <m/>
    <s v="07_Inc"/>
    <x v="0"/>
    <m/>
    <m/>
    <m/>
    <m/>
    <x v="0"/>
    <s v="Project"/>
    <x v="1832"/>
    <x v="0"/>
    <x v="0"/>
    <s v="Exclude in HGB Group allocation"/>
  </r>
  <r>
    <s v="0"/>
    <m/>
    <x v="0"/>
    <x v="0"/>
    <m/>
    <m/>
    <m/>
    <n v="1016"/>
    <n v="20"/>
    <n v="2"/>
    <m/>
    <s v="07_Inc"/>
    <x v="0"/>
    <m/>
    <m/>
    <m/>
    <m/>
    <x v="0"/>
    <s v="Project"/>
    <x v="1833"/>
    <x v="0"/>
    <x v="0"/>
    <s v="Exclude in HGB Group allocation"/>
  </r>
  <r>
    <s v="10160428"/>
    <m/>
    <x v="0"/>
    <x v="0"/>
    <m/>
    <m/>
    <m/>
    <n v="1016"/>
    <n v="4"/>
    <n v="2"/>
    <s v="10160428"/>
    <s v="07_Inc"/>
    <x v="0"/>
    <m/>
    <m/>
    <m/>
    <m/>
    <x v="0"/>
    <s v="Project"/>
    <x v="1834"/>
    <x v="0"/>
    <x v="0"/>
    <s v="Exclude in HGB Group allocation"/>
  </r>
  <r>
    <s v="10160628"/>
    <m/>
    <x v="0"/>
    <x v="0"/>
    <m/>
    <m/>
    <m/>
    <n v="1016"/>
    <n v="6"/>
    <n v="2"/>
    <s v="10160628"/>
    <s v="07_Inc"/>
    <x v="0"/>
    <m/>
    <m/>
    <m/>
    <m/>
    <x v="0"/>
    <s v="Project"/>
    <x v="1835"/>
    <x v="0"/>
    <x v="0"/>
    <s v="Exclude in HGB Group allocation"/>
  </r>
  <r>
    <s v="10160728"/>
    <m/>
    <x v="0"/>
    <x v="0"/>
    <m/>
    <m/>
    <m/>
    <n v="1016"/>
    <n v="7"/>
    <n v="2"/>
    <s v="10160728"/>
    <s v="07_Inc"/>
    <x v="0"/>
    <m/>
    <m/>
    <m/>
    <m/>
    <x v="0"/>
    <s v="Project"/>
    <x v="1836"/>
    <x v="0"/>
    <x v="0"/>
    <s v="Exclude in HGB Group allocation"/>
  </r>
  <r>
    <s v="10161128"/>
    <m/>
    <x v="0"/>
    <x v="0"/>
    <m/>
    <m/>
    <m/>
    <n v="1016"/>
    <n v="11"/>
    <n v="2"/>
    <s v="10161128"/>
    <s v="07_Inc"/>
    <x v="0"/>
    <m/>
    <m/>
    <m/>
    <m/>
    <x v="0"/>
    <s v="Project"/>
    <x v="1837"/>
    <x v="0"/>
    <x v="0"/>
    <s v="Exclude in HGB Group allocation"/>
  </r>
  <r>
    <s v="10161328"/>
    <m/>
    <x v="0"/>
    <x v="0"/>
    <m/>
    <m/>
    <m/>
    <n v="1016"/>
    <n v="13"/>
    <n v="2"/>
    <s v="10161328"/>
    <s v="07_Inc"/>
    <x v="0"/>
    <m/>
    <m/>
    <m/>
    <m/>
    <x v="0"/>
    <s v="Project"/>
    <x v="1838"/>
    <x v="0"/>
    <x v="0"/>
    <s v="Exclude in HGB Group allocation"/>
  </r>
  <r>
    <s v="10161428"/>
    <m/>
    <x v="0"/>
    <x v="0"/>
    <m/>
    <m/>
    <m/>
    <n v="1016"/>
    <n v="14"/>
    <n v="2"/>
    <s v="10161428"/>
    <s v="07_Inc"/>
    <x v="0"/>
    <m/>
    <m/>
    <m/>
    <m/>
    <x v="0"/>
    <s v="Project"/>
    <x v="1839"/>
    <x v="0"/>
    <x v="27"/>
    <s v="Exclude in HGB Group allocation"/>
  </r>
  <r>
    <s v="10161528"/>
    <m/>
    <x v="0"/>
    <x v="0"/>
    <m/>
    <m/>
    <m/>
    <n v="1016"/>
    <n v="15"/>
    <n v="2"/>
    <s v="10161528"/>
    <s v="07_Inc"/>
    <x v="0"/>
    <m/>
    <m/>
    <m/>
    <m/>
    <x v="0"/>
    <s v="Project"/>
    <x v="1840"/>
    <x v="0"/>
    <x v="27"/>
    <s v="Exclude in HGB Group allocation"/>
  </r>
  <r>
    <s v="10161628"/>
    <m/>
    <x v="0"/>
    <x v="0"/>
    <m/>
    <m/>
    <m/>
    <n v="1016"/>
    <n v="16"/>
    <n v="2"/>
    <s v="10161628"/>
    <s v="07_Inc"/>
    <x v="0"/>
    <m/>
    <m/>
    <m/>
    <m/>
    <x v="0"/>
    <s v="Project"/>
    <x v="1841"/>
    <x v="0"/>
    <x v="27"/>
    <s v="Exclude in HGB Group allocation"/>
  </r>
  <r>
    <s v="99860928"/>
    <m/>
    <x v="0"/>
    <x v="0"/>
    <m/>
    <m/>
    <m/>
    <n v="1016"/>
    <n v="6"/>
    <n v="2"/>
    <s v="99860928"/>
    <s v="07_Inc"/>
    <x v="0"/>
    <m/>
    <m/>
    <m/>
    <m/>
    <x v="0"/>
    <s v="Project"/>
    <x v="1835"/>
    <x v="0"/>
    <x v="0"/>
    <s v="Exclude in HGB Group allocation"/>
  </r>
  <r>
    <s v="99867328"/>
    <m/>
    <x v="0"/>
    <x v="0"/>
    <m/>
    <m/>
    <m/>
    <n v="1016"/>
    <n v="11"/>
    <n v="2"/>
    <s v="99867328"/>
    <s v="07_Inc"/>
    <x v="0"/>
    <m/>
    <m/>
    <m/>
    <m/>
    <x v="0"/>
    <s v="Project"/>
    <x v="1837"/>
    <x v="0"/>
    <x v="0"/>
    <s v="Exclude in HGB Group allocation"/>
  </r>
  <r>
    <s v="99868028"/>
    <m/>
    <x v="0"/>
    <x v="0"/>
    <m/>
    <m/>
    <m/>
    <n v="1016"/>
    <n v="13"/>
    <n v="2"/>
    <s v="99868028"/>
    <s v="07_Inc"/>
    <x v="0"/>
    <m/>
    <m/>
    <m/>
    <m/>
    <x v="0"/>
    <s v="Project"/>
    <x v="1838"/>
    <x v="0"/>
    <x v="0"/>
    <s v="Exclude in HGB Group allocation"/>
  </r>
  <r>
    <s v="99868228"/>
    <m/>
    <x v="0"/>
    <x v="0"/>
    <m/>
    <m/>
    <m/>
    <n v="1016"/>
    <n v="13"/>
    <n v="2"/>
    <s v="99868228"/>
    <s v="07_Inc"/>
    <x v="0"/>
    <m/>
    <m/>
    <m/>
    <m/>
    <x v="0"/>
    <s v="Project"/>
    <x v="1838"/>
    <x v="0"/>
    <x v="0"/>
    <s v="Exclude in HGB Group allocation"/>
  </r>
  <r>
    <s v="99868828"/>
    <m/>
    <x v="0"/>
    <x v="0"/>
    <m/>
    <m/>
    <m/>
    <n v="1016"/>
    <n v="14"/>
    <n v="2"/>
    <s v="99868828"/>
    <s v="07_Inc"/>
    <x v="0"/>
    <m/>
    <m/>
    <m/>
    <m/>
    <x v="0"/>
    <s v="Project"/>
    <x v="1839"/>
    <x v="0"/>
    <x v="0"/>
    <s v="Exclude in HGB Group allocation"/>
  </r>
  <r>
    <s v="0"/>
    <m/>
    <x v="0"/>
    <x v="0"/>
    <m/>
    <m/>
    <m/>
    <n v="7057"/>
    <n v="2"/>
    <n v="2"/>
    <m/>
    <s v="07_Inc"/>
    <x v="0"/>
    <m/>
    <m/>
    <m/>
    <m/>
    <x v="0"/>
    <s v="Project"/>
    <x v="1842"/>
    <x v="0"/>
    <x v="0"/>
    <s v="Exclude in HGB Group allocation"/>
  </r>
  <r>
    <s v="88210243"/>
    <m/>
    <x v="0"/>
    <x v="0"/>
    <m/>
    <m/>
    <m/>
    <n v="8821"/>
    <n v="2"/>
    <n v="4"/>
    <n v="88210243"/>
    <s v="05_Shg"/>
    <x v="1"/>
    <m/>
    <m/>
    <m/>
    <m/>
    <x v="0"/>
    <s v="Project"/>
    <x v="1843"/>
    <x v="0"/>
    <x v="1"/>
    <s v="Exclude in HGB Group allocation"/>
  </r>
  <r>
    <s v="31350228"/>
    <m/>
    <x v="0"/>
    <x v="0"/>
    <m/>
    <m/>
    <m/>
    <n v="3135"/>
    <n v="2"/>
    <n v="2"/>
    <s v="31350228"/>
    <s v="01_SE"/>
    <x v="0"/>
    <m/>
    <m/>
    <m/>
    <m/>
    <x v="0"/>
    <s v="Project"/>
    <x v="1844"/>
    <x v="0"/>
    <x v="0"/>
    <s v="Exclude in HGB Group allocation"/>
  </r>
  <r>
    <s v="99947528"/>
    <m/>
    <x v="0"/>
    <x v="0"/>
    <m/>
    <m/>
    <m/>
    <n v="3135"/>
    <n v="2"/>
    <n v="2"/>
    <s v="99947528"/>
    <s v="01_SE"/>
    <x v="0"/>
    <m/>
    <m/>
    <m/>
    <m/>
    <x v="0"/>
    <s v="Project"/>
    <x v="1844"/>
    <x v="0"/>
    <x v="0"/>
    <s v="Exclude in HGB Group allocation"/>
  </r>
  <r>
    <s v="20690544"/>
    <m/>
    <x v="0"/>
    <x v="0"/>
    <m/>
    <m/>
    <m/>
    <n v="2069"/>
    <n v="5"/>
    <n v="4"/>
    <s v="20690544"/>
    <s v="02_GmbH"/>
    <x v="1"/>
    <m/>
    <m/>
    <m/>
    <m/>
    <x v="0"/>
    <s v="Project"/>
    <x v="1845"/>
    <x v="0"/>
    <x v="21"/>
    <s v="Exclude in HGB Group allocation"/>
  </r>
  <r>
    <s v="20706543"/>
    <m/>
    <x v="0"/>
    <x v="0"/>
    <m/>
    <m/>
    <m/>
    <n v="2070"/>
    <n v="65"/>
    <n v="4"/>
    <s v="20706543"/>
    <s v="02_GmbH"/>
    <x v="1"/>
    <m/>
    <m/>
    <m/>
    <m/>
    <x v="0"/>
    <s v="Project"/>
    <x v="1846"/>
    <x v="0"/>
    <x v="21"/>
    <s v="Exclude in HGB Group allocation"/>
  </r>
  <r>
    <s v="20733211"/>
    <m/>
    <x v="0"/>
    <x v="0"/>
    <m/>
    <m/>
    <m/>
    <n v="2073"/>
    <n v="32"/>
    <n v="1"/>
    <s v="20733211"/>
    <s v="02_GmbH"/>
    <x v="4"/>
    <m/>
    <m/>
    <m/>
    <m/>
    <x v="0"/>
    <s v="Project"/>
    <x v="1847"/>
    <x v="0"/>
    <x v="18"/>
    <s v="Exclude in HGB Group allocation"/>
  </r>
  <r>
    <s v="20733311"/>
    <m/>
    <x v="0"/>
    <x v="0"/>
    <m/>
    <m/>
    <m/>
    <n v="2073"/>
    <n v="33"/>
    <n v="1"/>
    <s v="20733311"/>
    <s v="02_GmbH"/>
    <x v="4"/>
    <m/>
    <m/>
    <m/>
    <m/>
    <x v="0"/>
    <s v="Project"/>
    <x v="1848"/>
    <x v="0"/>
    <x v="18"/>
    <s v="Exclude in HGB Group allocation"/>
  </r>
  <r>
    <s v="20733716"/>
    <m/>
    <x v="0"/>
    <x v="0"/>
    <m/>
    <m/>
    <m/>
    <n v="2073"/>
    <n v="37"/>
    <n v="1"/>
    <s v="20733716"/>
    <s v="01_SE"/>
    <x v="4"/>
    <m/>
    <m/>
    <m/>
    <m/>
    <x v="0"/>
    <s v="Project"/>
    <x v="1849"/>
    <x v="0"/>
    <x v="19"/>
    <s v="Exclude in HGB Group allocation"/>
  </r>
  <r>
    <s v="0"/>
    <m/>
    <x v="0"/>
    <x v="0"/>
    <m/>
    <m/>
    <m/>
    <n v="2073"/>
    <n v="38"/>
    <n v="1"/>
    <m/>
    <s v="01_SE"/>
    <x v="4"/>
    <m/>
    <m/>
    <m/>
    <m/>
    <x v="0"/>
    <s v="Project"/>
    <x v="1850"/>
    <x v="0"/>
    <x v="19"/>
    <s v="Exclude in HGB Group allocation"/>
  </r>
  <r>
    <s v="0"/>
    <m/>
    <x v="0"/>
    <x v="0"/>
    <m/>
    <m/>
    <m/>
    <n v="2073"/>
    <n v="39"/>
    <n v="1"/>
    <m/>
    <s v="02_GmbH"/>
    <x v="4"/>
    <m/>
    <m/>
    <m/>
    <m/>
    <x v="0"/>
    <s v="Project"/>
    <x v="1851"/>
    <x v="0"/>
    <x v="19"/>
    <s v="Exclude in HGB Group allocation"/>
  </r>
  <r>
    <s v="99918216"/>
    <m/>
    <x v="0"/>
    <x v="0"/>
    <m/>
    <m/>
    <m/>
    <n v="2073"/>
    <n v="28"/>
    <n v="1"/>
    <s v="99918216"/>
    <s v="01_SE"/>
    <x v="4"/>
    <m/>
    <m/>
    <m/>
    <m/>
    <x v="0"/>
    <s v="Project"/>
    <x v="1852"/>
    <x v="0"/>
    <x v="19"/>
    <s v="Exclude in HGB Group allocation"/>
  </r>
  <r>
    <s v="99919511"/>
    <m/>
    <x v="0"/>
    <x v="0"/>
    <m/>
    <m/>
    <m/>
    <n v="2073"/>
    <n v="32"/>
    <n v="1"/>
    <s v="99919511"/>
    <s v="02_GmbH"/>
    <x v="4"/>
    <m/>
    <m/>
    <m/>
    <m/>
    <x v="0"/>
    <s v="Project"/>
    <x v="1847"/>
    <x v="0"/>
    <x v="18"/>
    <s v="Exclude in HGB Group allocation"/>
  </r>
  <r>
    <s v="99919611"/>
    <m/>
    <x v="0"/>
    <x v="0"/>
    <m/>
    <m/>
    <m/>
    <n v="2073"/>
    <n v="33"/>
    <n v="1"/>
    <s v="99919611"/>
    <s v="02_GmbH"/>
    <x v="4"/>
    <m/>
    <m/>
    <m/>
    <m/>
    <x v="0"/>
    <s v="Project"/>
    <x v="1848"/>
    <x v="0"/>
    <x v="18"/>
    <s v="Exclude in HGB Group allocation"/>
  </r>
  <r>
    <s v="99919911"/>
    <m/>
    <x v="0"/>
    <x v="0"/>
    <m/>
    <m/>
    <m/>
    <n v="2073"/>
    <n v="35"/>
    <n v="1"/>
    <s v="99919911"/>
    <s v="01_SE"/>
    <x v="4"/>
    <m/>
    <m/>
    <m/>
    <m/>
    <x v="0"/>
    <s v="Project"/>
    <x v="1853"/>
    <x v="0"/>
    <x v="18"/>
    <s v="Exclude in HGB Group allocation"/>
  </r>
  <r>
    <s v="99931511"/>
    <m/>
    <x v="0"/>
    <x v="0"/>
    <m/>
    <m/>
    <m/>
    <n v="2073"/>
    <n v="32"/>
    <n v="1"/>
    <s v="99931511"/>
    <s v="02_GmbH"/>
    <x v="4"/>
    <m/>
    <m/>
    <m/>
    <m/>
    <x v="0"/>
    <s v="Project"/>
    <x v="1847"/>
    <x v="0"/>
    <x v="18"/>
    <s v="Exclude in HGB Group allocation"/>
  </r>
  <r>
    <s v="99960811"/>
    <m/>
    <x v="0"/>
    <x v="0"/>
    <m/>
    <m/>
    <m/>
    <n v="2073"/>
    <n v="32"/>
    <n v="1"/>
    <s v="99960811"/>
    <s v="02_GmbH"/>
    <x v="4"/>
    <m/>
    <m/>
    <m/>
    <m/>
    <x v="0"/>
    <s v="Project"/>
    <x v="1847"/>
    <x v="0"/>
    <x v="18"/>
    <s v="Exclude in HGB Group allocation"/>
  </r>
  <r>
    <s v="99919711"/>
    <m/>
    <x v="0"/>
    <x v="0"/>
    <m/>
    <m/>
    <m/>
    <n v="2077"/>
    <n v="13"/>
    <n v="1"/>
    <s v="99919711"/>
    <s v="01_SE"/>
    <x v="4"/>
    <m/>
    <m/>
    <m/>
    <m/>
    <x v="0"/>
    <s v="Project"/>
    <x v="1854"/>
    <x v="0"/>
    <x v="18"/>
    <s v="Exclude in HGB Group allocation"/>
  </r>
  <r>
    <s v="99941528"/>
    <m/>
    <x v="0"/>
    <x v="0"/>
    <m/>
    <m/>
    <m/>
    <n v="7802"/>
    <n v="18"/>
    <n v="2"/>
    <s v="99941528"/>
    <s v="01_SE"/>
    <x v="0"/>
    <m/>
    <m/>
    <m/>
    <m/>
    <x v="0"/>
    <s v="Project"/>
    <x v="1855"/>
    <x v="0"/>
    <x v="0"/>
    <s v="Exclude in HGB Group allocation"/>
  </r>
  <r>
    <s v="0"/>
    <m/>
    <x v="0"/>
    <x v="0"/>
    <m/>
    <m/>
    <m/>
    <n v="7802"/>
    <n v="43"/>
    <n v="2"/>
    <m/>
    <s v="01_SE"/>
    <x v="0"/>
    <m/>
    <m/>
    <m/>
    <m/>
    <x v="0"/>
    <s v="Project"/>
    <x v="1856"/>
    <x v="0"/>
    <x v="0"/>
    <s v="Exclude in HGB Group allocation"/>
  </r>
  <r>
    <s v="0"/>
    <m/>
    <x v="0"/>
    <x v="0"/>
    <m/>
    <m/>
    <m/>
    <n v="7802"/>
    <n v="54"/>
    <n v="2"/>
    <m/>
    <s v="01_SE"/>
    <x v="0"/>
    <m/>
    <m/>
    <m/>
    <m/>
    <x v="0"/>
    <s v="Project"/>
    <x v="1857"/>
    <x v="0"/>
    <x v="25"/>
    <s v="Exclude in HGB Group allocation"/>
  </r>
  <r>
    <s v="0"/>
    <m/>
    <x v="0"/>
    <x v="0"/>
    <m/>
    <m/>
    <m/>
    <n v="7802"/>
    <n v="55"/>
    <n v="2"/>
    <m/>
    <s v="01_SE"/>
    <x v="0"/>
    <m/>
    <m/>
    <m/>
    <m/>
    <x v="0"/>
    <s v="Project"/>
    <x v="1858"/>
    <x v="0"/>
    <x v="25"/>
    <s v="Exclude in HGB Group allocation"/>
  </r>
  <r>
    <s v="78021628"/>
    <m/>
    <x v="0"/>
    <x v="0"/>
    <m/>
    <m/>
    <m/>
    <n v="7802"/>
    <n v="16"/>
    <n v="2"/>
    <s v="78021628"/>
    <s v="01_SE"/>
    <x v="0"/>
    <m/>
    <m/>
    <m/>
    <m/>
    <x v="0"/>
    <s v="Project"/>
    <x v="1859"/>
    <x v="0"/>
    <x v="0"/>
    <s v="Exclude in HGB Group allocation"/>
  </r>
  <r>
    <s v="78021728"/>
    <m/>
    <x v="0"/>
    <x v="0"/>
    <m/>
    <m/>
    <m/>
    <n v="7802"/>
    <n v="17"/>
    <n v="2"/>
    <s v="78021728"/>
    <s v="01_SE"/>
    <x v="0"/>
    <m/>
    <m/>
    <m/>
    <m/>
    <x v="0"/>
    <s v="Project"/>
    <x v="1860"/>
    <x v="0"/>
    <x v="0"/>
    <s v="Exclude in HGB Group allocation"/>
  </r>
  <r>
    <s v="78021828"/>
    <m/>
    <x v="0"/>
    <x v="0"/>
    <m/>
    <m/>
    <m/>
    <n v="7802"/>
    <n v="18"/>
    <n v="2"/>
    <s v="78021828"/>
    <s v="01_SE"/>
    <x v="0"/>
    <m/>
    <m/>
    <m/>
    <m/>
    <x v="0"/>
    <s v="Project"/>
    <x v="1855"/>
    <x v="0"/>
    <x v="0"/>
    <s v="Exclude in HGB Group allocation"/>
  </r>
  <r>
    <s v="78023211"/>
    <m/>
    <x v="0"/>
    <x v="0"/>
    <m/>
    <m/>
    <m/>
    <n v="7802"/>
    <n v="32"/>
    <n v="1"/>
    <s v="78023211"/>
    <s v="01_SE"/>
    <x v="4"/>
    <m/>
    <m/>
    <m/>
    <m/>
    <x v="0"/>
    <s v="Project"/>
    <x v="1861"/>
    <x v="0"/>
    <x v="18"/>
    <s v="Exclude in HGB Group allocation"/>
  </r>
  <r>
    <s v="78023328"/>
    <m/>
    <x v="0"/>
    <x v="0"/>
    <m/>
    <m/>
    <m/>
    <n v="7802"/>
    <n v="33"/>
    <n v="2"/>
    <s v="78023328"/>
    <s v="01_SE"/>
    <x v="0"/>
    <m/>
    <m/>
    <m/>
    <m/>
    <x v="0"/>
    <s v="Project"/>
    <x v="1862"/>
    <x v="0"/>
    <x v="0"/>
    <s v="Exclude in HGB Group allocation"/>
  </r>
  <r>
    <s v="0"/>
    <m/>
    <x v="0"/>
    <x v="0"/>
    <m/>
    <m/>
    <m/>
    <n v="7802"/>
    <n v="44"/>
    <n v="2"/>
    <m/>
    <s v="01_SE"/>
    <x v="0"/>
    <m/>
    <m/>
    <m/>
    <m/>
    <x v="0"/>
    <s v="Project"/>
    <x v="1863"/>
    <x v="0"/>
    <x v="0"/>
    <s v="Exclude in HGB Group allocation"/>
  </r>
  <r>
    <s v="99963211"/>
    <m/>
    <x v="0"/>
    <x v="0"/>
    <m/>
    <m/>
    <m/>
    <n v="7802"/>
    <n v="32"/>
    <n v="1"/>
    <s v="99963211"/>
    <s v="01_SE"/>
    <x v="4"/>
    <m/>
    <m/>
    <m/>
    <m/>
    <x v="0"/>
    <s v="Project"/>
    <x v="1861"/>
    <x v="0"/>
    <x v="18"/>
    <s v="Exclude in HGB Group allocation"/>
  </r>
  <r>
    <s v="99900411"/>
    <m/>
    <x v="0"/>
    <x v="0"/>
    <m/>
    <m/>
    <m/>
    <n v="9991"/>
    <n v="99"/>
    <n v="1"/>
    <s v="99900411"/>
    <s v="05_Shg"/>
    <x v="4"/>
    <m/>
    <m/>
    <m/>
    <m/>
    <x v="0"/>
    <s v="Project"/>
    <x v="1864"/>
    <x v="0"/>
    <x v="18"/>
    <s v="Exclude in HGB Group allocation"/>
  </r>
  <r>
    <s v="99941628"/>
    <m/>
    <x v="0"/>
    <x v="0"/>
    <m/>
    <m/>
    <m/>
    <n v="9994"/>
    <n v="16"/>
    <n v="2"/>
    <s v="99941628"/>
    <s v="10_AT"/>
    <x v="0"/>
    <m/>
    <m/>
    <m/>
    <m/>
    <x v="0"/>
    <s v="Project"/>
    <x v="1865"/>
    <x v="0"/>
    <x v="21"/>
    <s v="Exclude in HGB Group allocation"/>
  </r>
  <r>
    <s v="0"/>
    <m/>
    <x v="0"/>
    <x v="0"/>
    <m/>
    <m/>
    <m/>
    <n v="1190"/>
    <n v="5"/>
    <n v="2"/>
    <m/>
    <s v="01_SE"/>
    <x v="0"/>
    <m/>
    <m/>
    <m/>
    <m/>
    <x v="0"/>
    <s v="Project"/>
    <x v="1866"/>
    <x v="0"/>
    <x v="0"/>
    <s v="Exclude in HGB Group allocation"/>
  </r>
  <r>
    <s v="0"/>
    <m/>
    <x v="0"/>
    <x v="0"/>
    <m/>
    <m/>
    <m/>
    <n v="1190"/>
    <n v="6"/>
    <n v="2"/>
    <m/>
    <s v="01_SE"/>
    <x v="0"/>
    <m/>
    <m/>
    <m/>
    <m/>
    <x v="0"/>
    <s v="Project"/>
    <x v="1867"/>
    <x v="0"/>
    <x v="25"/>
    <s v="Exclude in HGB Group allocation"/>
  </r>
  <r>
    <s v="0"/>
    <m/>
    <x v="0"/>
    <x v="0"/>
    <m/>
    <m/>
    <m/>
    <n v="1190"/>
    <n v="9"/>
    <n v="2"/>
    <m/>
    <s v="01_SE"/>
    <x v="0"/>
    <m/>
    <m/>
    <m/>
    <m/>
    <x v="0"/>
    <s v="Project"/>
    <x v="1868"/>
    <x v="0"/>
    <x v="0"/>
    <s v="Exclude in HGB Group allocation"/>
  </r>
  <r>
    <s v="0"/>
    <m/>
    <x v="0"/>
    <x v="0"/>
    <m/>
    <m/>
    <m/>
    <n v="1190"/>
    <n v="7"/>
    <n v="2"/>
    <m/>
    <s v="01_SE"/>
    <x v="0"/>
    <m/>
    <m/>
    <m/>
    <m/>
    <x v="0"/>
    <s v="Project"/>
    <x v="1869"/>
    <x v="0"/>
    <x v="0"/>
    <s v="Exclude in HGB Group allocation"/>
  </r>
  <r>
    <s v="0"/>
    <m/>
    <x v="0"/>
    <x v="0"/>
    <m/>
    <m/>
    <m/>
    <n v="1190"/>
    <n v="8"/>
    <n v="2"/>
    <m/>
    <s v="01_SE"/>
    <x v="0"/>
    <m/>
    <m/>
    <m/>
    <m/>
    <x v="0"/>
    <s v="Project"/>
    <x v="1870"/>
    <x v="0"/>
    <x v="0"/>
    <s v="Exclude in HGB Group allocation"/>
  </r>
  <r>
    <s v="76180228"/>
    <m/>
    <x v="0"/>
    <x v="0"/>
    <m/>
    <m/>
    <m/>
    <n v="7618"/>
    <n v="2"/>
    <n v="2"/>
    <s v="76180228"/>
    <s v="09_Ltda"/>
    <x v="0"/>
    <m/>
    <m/>
    <m/>
    <m/>
    <x v="0"/>
    <s v="Project"/>
    <x v="1871"/>
    <x v="0"/>
    <x v="21"/>
    <s v="Exclude in HGB Group allocation"/>
  </r>
  <r>
    <s v="76130228"/>
    <m/>
    <x v="0"/>
    <x v="0"/>
    <m/>
    <m/>
    <m/>
    <n v="7613"/>
    <n v="2"/>
    <n v="2"/>
    <s v="76130228"/>
    <s v="01_SE"/>
    <x v="0"/>
    <m/>
    <m/>
    <m/>
    <m/>
    <x v="0"/>
    <s v="Project"/>
    <x v="1872"/>
    <x v="0"/>
    <x v="0"/>
    <s v="Exclude in HGB Group allocation"/>
  </r>
  <r>
    <s v="0"/>
    <m/>
    <x v="0"/>
    <x v="0"/>
    <m/>
    <m/>
    <m/>
    <n v="6414"/>
    <n v="2"/>
    <n v="2"/>
    <m/>
    <s v="01_SE"/>
    <x v="0"/>
    <m/>
    <m/>
    <m/>
    <m/>
    <x v="0"/>
    <s v="Project"/>
    <x v="1873"/>
    <x v="0"/>
    <x v="0"/>
    <s v="Exclude in HGB Group allocation"/>
  </r>
  <r>
    <s v="0"/>
    <m/>
    <x v="0"/>
    <x v="0"/>
    <m/>
    <m/>
    <m/>
    <n v="8848"/>
    <n v="6"/>
    <n v="2"/>
    <m/>
    <s v="01_SE"/>
    <x v="0"/>
    <m/>
    <m/>
    <m/>
    <m/>
    <x v="0"/>
    <s v="Project"/>
    <x v="1874"/>
    <x v="0"/>
    <x v="0"/>
    <s v="Exclude in HGB Group allocation"/>
  </r>
  <r>
    <s v="0"/>
    <m/>
    <x v="0"/>
    <x v="0"/>
    <m/>
    <m/>
    <m/>
    <n v="8848"/>
    <n v="7"/>
    <n v="2"/>
    <m/>
    <s v="01_SE"/>
    <x v="0"/>
    <m/>
    <m/>
    <m/>
    <m/>
    <x v="0"/>
    <s v="Project"/>
    <x v="1875"/>
    <x v="0"/>
    <x v="0"/>
    <s v="Exclude in HGB Group allocation"/>
  </r>
  <r>
    <s v="0"/>
    <m/>
    <x v="0"/>
    <x v="0"/>
    <m/>
    <m/>
    <m/>
    <n v="8848"/>
    <n v="8"/>
    <n v="2"/>
    <m/>
    <s v="01_SE"/>
    <x v="0"/>
    <m/>
    <m/>
    <m/>
    <m/>
    <x v="0"/>
    <s v="Project"/>
    <x v="1876"/>
    <x v="0"/>
    <x v="0"/>
    <m/>
  </r>
  <r>
    <s v="88480528"/>
    <m/>
    <x v="0"/>
    <x v="0"/>
    <m/>
    <m/>
    <m/>
    <n v="8848"/>
    <n v="5"/>
    <n v="2"/>
    <s v="88480528"/>
    <s v="01_SE"/>
    <x v="0"/>
    <m/>
    <m/>
    <m/>
    <m/>
    <x v="0"/>
    <s v="Project"/>
    <x v="1877"/>
    <x v="0"/>
    <x v="0"/>
    <s v="Exclude in HGB Group allocation"/>
  </r>
  <r>
    <s v="60430228"/>
    <m/>
    <x v="0"/>
    <x v="0"/>
    <m/>
    <m/>
    <m/>
    <n v="6043"/>
    <n v="2"/>
    <n v="2"/>
    <s v="60430228"/>
    <s v="01_SE"/>
    <x v="0"/>
    <m/>
    <m/>
    <m/>
    <m/>
    <x v="0"/>
    <s v="Project"/>
    <x v="1878"/>
    <x v="0"/>
    <x v="0"/>
    <s v="Exclude in HGB Group allocation"/>
  </r>
  <r>
    <s v="30960211"/>
    <m/>
    <x v="0"/>
    <x v="0"/>
    <m/>
    <m/>
    <m/>
    <n v="3096"/>
    <n v="2"/>
    <n v="1"/>
    <s v="30960211"/>
    <s v="05_Shg"/>
    <x v="4"/>
    <m/>
    <m/>
    <m/>
    <m/>
    <x v="0"/>
    <s v="Project"/>
    <x v="1879"/>
    <x v="0"/>
    <x v="18"/>
    <s v="Exclude in HGB Group allocation"/>
  </r>
  <r>
    <s v="30960216"/>
    <m/>
    <x v="0"/>
    <x v="0"/>
    <m/>
    <m/>
    <m/>
    <n v="3096"/>
    <n v="2"/>
    <n v="1"/>
    <s v="30960216"/>
    <s v="05_Shg"/>
    <x v="4"/>
    <m/>
    <m/>
    <m/>
    <m/>
    <x v="0"/>
    <s v="Project"/>
    <x v="1879"/>
    <x v="0"/>
    <x v="19"/>
    <s v="Exclude in HGB Group allocation"/>
  </r>
  <r>
    <s v="30960328"/>
    <m/>
    <x v="0"/>
    <x v="0"/>
    <m/>
    <m/>
    <m/>
    <n v="3096"/>
    <n v="3"/>
    <n v="2"/>
    <s v="30960328"/>
    <s v="05_Shg"/>
    <x v="0"/>
    <m/>
    <m/>
    <m/>
    <m/>
    <x v="0"/>
    <s v="Project"/>
    <x v="1880"/>
    <x v="0"/>
    <x v="21"/>
    <s v="Exclude in HGB Group allocation"/>
  </r>
  <r>
    <s v="0"/>
    <m/>
    <x v="0"/>
    <x v="0"/>
    <m/>
    <m/>
    <m/>
    <n v="6085"/>
    <n v="3"/>
    <n v="4"/>
    <m/>
    <s v="02_GmbH"/>
    <x v="1"/>
    <m/>
    <m/>
    <m/>
    <m/>
    <x v="0"/>
    <s v="Project"/>
    <x v="1881"/>
    <x v="0"/>
    <x v="21"/>
    <s v="Exclude in HGB Group allocation"/>
  </r>
  <r>
    <s v="60850228"/>
    <m/>
    <x v="0"/>
    <x v="0"/>
    <m/>
    <m/>
    <m/>
    <n v="6085"/>
    <n v="2"/>
    <n v="2"/>
    <s v="60850228"/>
    <s v="01_SE"/>
    <x v="0"/>
    <m/>
    <m/>
    <m/>
    <m/>
    <x v="0"/>
    <s v="Project"/>
    <x v="1882"/>
    <x v="0"/>
    <x v="0"/>
    <s v="Exclude in HGB Group allocation"/>
  </r>
  <r>
    <s v="29030443"/>
    <m/>
    <x v="0"/>
    <x v="0"/>
    <m/>
    <m/>
    <m/>
    <n v="2903"/>
    <n v="4"/>
    <n v="4"/>
    <s v="29030443"/>
    <s v="07_Inc"/>
    <x v="1"/>
    <m/>
    <m/>
    <m/>
    <m/>
    <x v="0"/>
    <s v="Project"/>
    <x v="1883"/>
    <x v="0"/>
    <x v="21"/>
    <s v="Exclude in HGB Group allocation"/>
  </r>
  <r>
    <s v="31400228"/>
    <m/>
    <x v="0"/>
    <x v="0"/>
    <m/>
    <m/>
    <m/>
    <n v="3140"/>
    <n v="2"/>
    <n v="2"/>
    <s v="31400228"/>
    <s v="01_SE"/>
    <x v="0"/>
    <m/>
    <m/>
    <m/>
    <m/>
    <x v="0"/>
    <s v="Project"/>
    <x v="1884"/>
    <x v="0"/>
    <x v="0"/>
    <s v="Exclude in HGB Group allocation"/>
  </r>
  <r>
    <s v="78022511"/>
    <m/>
    <x v="0"/>
    <x v="0"/>
    <m/>
    <m/>
    <m/>
    <n v="7802"/>
    <n v="25"/>
    <n v="1"/>
    <s v="78022511"/>
    <s v="01_SE"/>
    <x v="4"/>
    <m/>
    <m/>
    <m/>
    <m/>
    <x v="0"/>
    <s v="Project"/>
    <x v="1885"/>
    <x v="0"/>
    <x v="18"/>
    <s v="Exclude in HGB Group allocation"/>
  </r>
  <r>
    <s v="99945011"/>
    <m/>
    <x v="0"/>
    <x v="0"/>
    <m/>
    <m/>
    <m/>
    <n v="7802"/>
    <n v="25"/>
    <n v="1"/>
    <s v="99945011"/>
    <s v="01_SE"/>
    <x v="4"/>
    <m/>
    <m/>
    <m/>
    <m/>
    <x v="0"/>
    <s v="Project"/>
    <x v="1885"/>
    <x v="0"/>
    <x v="18"/>
    <s v="Exclude in HGB Group allocation"/>
  </r>
  <r>
    <s v="0"/>
    <m/>
    <x v="0"/>
    <x v="0"/>
    <m/>
    <m/>
    <m/>
    <n v="2890"/>
    <n v="11"/>
    <n v="2"/>
    <m/>
    <s v="05_Shg"/>
    <x v="0"/>
    <m/>
    <m/>
    <m/>
    <m/>
    <x v="0"/>
    <s v="Project"/>
    <x v="1886"/>
    <x v="0"/>
    <x v="0"/>
    <s v="Exclude in HGB Group allocation"/>
  </r>
  <r>
    <s v="0"/>
    <m/>
    <x v="0"/>
    <x v="0"/>
    <m/>
    <m/>
    <m/>
    <n v="2890"/>
    <n v="12"/>
    <n v="2"/>
    <m/>
    <s v="05_Shg"/>
    <x v="0"/>
    <m/>
    <m/>
    <m/>
    <m/>
    <x v="0"/>
    <s v="Project"/>
    <x v="1887"/>
    <x v="0"/>
    <x v="0"/>
    <s v="Exclude in HGB Group allocation"/>
  </r>
  <r>
    <s v="28900811"/>
    <m/>
    <x v="0"/>
    <x v="0"/>
    <m/>
    <m/>
    <m/>
    <n v="2890"/>
    <n v="8"/>
    <n v="1"/>
    <s v="28900811"/>
    <s v="05_Shg"/>
    <x v="4"/>
    <m/>
    <m/>
    <m/>
    <m/>
    <x v="0"/>
    <s v="Project"/>
    <x v="1888"/>
    <x v="0"/>
    <x v="18"/>
    <s v="Exclude in HGB Group allocation"/>
  </r>
  <r>
    <s v="28900817"/>
    <m/>
    <x v="0"/>
    <x v="0"/>
    <m/>
    <m/>
    <m/>
    <n v="2890"/>
    <n v="8"/>
    <n v="1"/>
    <s v="28900817"/>
    <s v="05_Shg"/>
    <x v="4"/>
    <m/>
    <m/>
    <m/>
    <m/>
    <x v="0"/>
    <s v="Project"/>
    <x v="1888"/>
    <x v="0"/>
    <x v="19"/>
    <s v="Exclude in HGB Group allocation"/>
  </r>
  <r>
    <s v="0"/>
    <m/>
    <x v="0"/>
    <x v="0"/>
    <m/>
    <m/>
    <m/>
    <n v="2891"/>
    <n v="4"/>
    <n v="1"/>
    <m/>
    <s v="01_SE"/>
    <x v="4"/>
    <m/>
    <m/>
    <m/>
    <m/>
    <x v="0"/>
    <s v="Project"/>
    <x v="1889"/>
    <x v="0"/>
    <x v="19"/>
    <s v="Exclude in HGB Group allocation"/>
  </r>
  <r>
    <s v="28910211"/>
    <m/>
    <x v="0"/>
    <x v="0"/>
    <m/>
    <m/>
    <m/>
    <n v="2891"/>
    <n v="2"/>
    <n v="1"/>
    <s v="28910211"/>
    <s v="01_SE"/>
    <x v="4"/>
    <m/>
    <m/>
    <m/>
    <m/>
    <x v="0"/>
    <s v="Project"/>
    <x v="1890"/>
    <x v="0"/>
    <x v="18"/>
    <s v="Exclude in HGB Group allocation"/>
  </r>
  <r>
    <s v="28910311"/>
    <m/>
    <x v="0"/>
    <x v="0"/>
    <m/>
    <m/>
    <m/>
    <n v="2891"/>
    <n v="3"/>
    <n v="1"/>
    <s v="28910311"/>
    <s v="01_SE"/>
    <x v="4"/>
    <m/>
    <m/>
    <m/>
    <m/>
    <x v="0"/>
    <s v="Project"/>
    <x v="1891"/>
    <x v="0"/>
    <x v="18"/>
    <s v="Exclude in HGB Group allocation"/>
  </r>
  <r>
    <s v="28910316"/>
    <m/>
    <x v="0"/>
    <x v="0"/>
    <m/>
    <m/>
    <m/>
    <n v="2891"/>
    <n v="3"/>
    <n v="1"/>
    <s v="28910316"/>
    <s v="01_SE"/>
    <x v="4"/>
    <m/>
    <m/>
    <m/>
    <m/>
    <x v="0"/>
    <s v="Project"/>
    <x v="1891"/>
    <x v="0"/>
    <x v="19"/>
    <s v="Exclude in HGB Group allocation"/>
  </r>
  <r>
    <s v="0"/>
    <m/>
    <x v="0"/>
    <x v="0"/>
    <m/>
    <m/>
    <m/>
    <n v="8029"/>
    <n v="6"/>
    <n v="2"/>
    <m/>
    <s v="01_SE"/>
    <x v="0"/>
    <m/>
    <m/>
    <m/>
    <m/>
    <x v="0"/>
    <s v="Project"/>
    <x v="1892"/>
    <x v="0"/>
    <x v="0"/>
    <s v="Exclude in HGB Group allocation"/>
  </r>
  <r>
    <s v="0"/>
    <m/>
    <x v="0"/>
    <x v="0"/>
    <m/>
    <m/>
    <m/>
    <n v="8029"/>
    <n v="7"/>
    <n v="2"/>
    <m/>
    <s v="01_SE"/>
    <x v="0"/>
    <m/>
    <m/>
    <m/>
    <m/>
    <x v="0"/>
    <s v="Project"/>
    <x v="1893"/>
    <x v="0"/>
    <x v="0"/>
    <s v="Exclude in HGB Group allocation"/>
  </r>
  <r>
    <s v="0"/>
    <m/>
    <x v="0"/>
    <x v="0"/>
    <m/>
    <m/>
    <m/>
    <n v="8029"/>
    <n v="8"/>
    <n v="2"/>
    <m/>
    <s v="01_SE"/>
    <x v="0"/>
    <m/>
    <m/>
    <m/>
    <m/>
    <x v="0"/>
    <s v="Project"/>
    <x v="1894"/>
    <x v="0"/>
    <x v="0"/>
    <s v="Exclude in HGB Group allocation"/>
  </r>
  <r>
    <s v="0"/>
    <m/>
    <x v="0"/>
    <x v="0"/>
    <m/>
    <m/>
    <m/>
    <n v="8029"/>
    <n v="9"/>
    <n v="1"/>
    <m/>
    <s v="01_SE"/>
    <x v="4"/>
    <m/>
    <m/>
    <m/>
    <m/>
    <x v="0"/>
    <s v="Project"/>
    <x v="1895"/>
    <x v="0"/>
    <x v="19"/>
    <s v="Exclude in HGB Group allocation"/>
  </r>
  <r>
    <s v="31110743"/>
    <m/>
    <x v="0"/>
    <x v="0"/>
    <m/>
    <m/>
    <m/>
    <n v="3111"/>
    <n v="7"/>
    <n v="4"/>
    <n v="31110743"/>
    <s v="02_GmbH"/>
    <x v="1"/>
    <m/>
    <m/>
    <m/>
    <m/>
    <x v="0"/>
    <s v="Project"/>
    <x v="1896"/>
    <x v="0"/>
    <x v="1"/>
    <s v="Exclude in HGB Group allocation"/>
  </r>
  <r>
    <s v="0"/>
    <m/>
    <x v="0"/>
    <x v="0"/>
    <m/>
    <m/>
    <m/>
    <n v="3167"/>
    <n v="2"/>
    <n v="2"/>
    <m/>
    <s v="07_Inc"/>
    <x v="0"/>
    <m/>
    <m/>
    <m/>
    <m/>
    <x v="0"/>
    <s v="Project"/>
    <x v="1897"/>
    <x v="0"/>
    <x v="0"/>
    <s v="Exclude in HGB Group allocation"/>
  </r>
  <r>
    <s v="30560128"/>
    <m/>
    <x v="0"/>
    <x v="0"/>
    <m/>
    <m/>
    <m/>
    <n v="3056"/>
    <n v="1"/>
    <n v="2"/>
    <s v="30560128"/>
    <s v="01_SE"/>
    <x v="0"/>
    <m/>
    <m/>
    <m/>
    <m/>
    <x v="0"/>
    <s v="Project"/>
    <x v="1898"/>
    <x v="0"/>
    <x v="0"/>
    <s v="Exclude in HGB Group allocation"/>
  </r>
  <r>
    <s v="30560228"/>
    <m/>
    <x v="0"/>
    <x v="0"/>
    <m/>
    <m/>
    <m/>
    <n v="3056"/>
    <n v="2"/>
    <n v="2"/>
    <s v="30560228"/>
    <s v="01_SE"/>
    <x v="0"/>
    <m/>
    <m/>
    <m/>
    <m/>
    <x v="0"/>
    <s v="Project"/>
    <x v="1899"/>
    <x v="0"/>
    <x v="0"/>
    <s v="Exclude in HGB Group allocation"/>
  </r>
  <r>
    <s v="0"/>
    <m/>
    <x v="0"/>
    <x v="0"/>
    <m/>
    <m/>
    <m/>
    <n v="6143"/>
    <n v="2"/>
    <n v="2"/>
    <m/>
    <s v="01_SE"/>
    <x v="0"/>
    <m/>
    <m/>
    <m/>
    <m/>
    <x v="0"/>
    <s v="Project"/>
    <x v="1900"/>
    <x v="0"/>
    <x v="0"/>
    <s v="Exclude in HGB Group allocation"/>
  </r>
  <r>
    <s v="75060211"/>
    <m/>
    <x v="0"/>
    <x v="0"/>
    <m/>
    <m/>
    <m/>
    <n v="7506"/>
    <n v="2"/>
    <n v="1"/>
    <s v="75060211"/>
    <s v="01_SE"/>
    <x v="4"/>
    <m/>
    <m/>
    <m/>
    <m/>
    <x v="0"/>
    <s v="Project"/>
    <x v="1901"/>
    <x v="0"/>
    <x v="18"/>
    <s v="Exclude in HGB Group allocation"/>
  </r>
  <r>
    <s v="75060328"/>
    <m/>
    <x v="0"/>
    <x v="0"/>
    <m/>
    <m/>
    <m/>
    <n v="7506"/>
    <n v="3"/>
    <n v="2"/>
    <s v="75060328"/>
    <s v="01_SE"/>
    <x v="0"/>
    <m/>
    <m/>
    <m/>
    <m/>
    <x v="0"/>
    <s v="Project"/>
    <x v="1902"/>
    <x v="0"/>
    <x v="0"/>
    <s v="Exclude in HGB Group allocation"/>
  </r>
  <r>
    <s v="78020411"/>
    <m/>
    <x v="0"/>
    <x v="0"/>
    <m/>
    <m/>
    <m/>
    <n v="7802"/>
    <n v="4"/>
    <n v="1"/>
    <s v="78020411"/>
    <s v="01_SE"/>
    <x v="4"/>
    <m/>
    <m/>
    <m/>
    <m/>
    <x v="0"/>
    <s v="Project"/>
    <x v="1903"/>
    <x v="0"/>
    <x v="18"/>
    <s v="Exclude in HGB Group allocation"/>
  </r>
  <r>
    <s v="99933011"/>
    <m/>
    <x v="0"/>
    <x v="0"/>
    <m/>
    <m/>
    <m/>
    <n v="7802"/>
    <n v="4"/>
    <n v="1"/>
    <s v="99933011"/>
    <s v="01_SE"/>
    <x v="4"/>
    <m/>
    <m/>
    <m/>
    <m/>
    <x v="0"/>
    <s v="Project"/>
    <x v="1903"/>
    <x v="0"/>
    <x v="18"/>
    <s v="Exclude in HGB Group allocation"/>
  </r>
  <r>
    <s v="0"/>
    <m/>
    <x v="0"/>
    <x v="0"/>
    <m/>
    <m/>
    <m/>
    <n v="8014"/>
    <n v="2"/>
    <n v="2"/>
    <m/>
    <s v="01_SE"/>
    <x v="0"/>
    <m/>
    <m/>
    <m/>
    <m/>
    <x v="0"/>
    <s v="Project"/>
    <x v="1904"/>
    <x v="0"/>
    <x v="0"/>
    <s v="Exclude in HGB Group allocation"/>
  </r>
  <r>
    <s v="0"/>
    <m/>
    <x v="0"/>
    <x v="0"/>
    <m/>
    <m/>
    <m/>
    <n v="7054"/>
    <n v="4"/>
    <n v="2"/>
    <m/>
    <s v="01_SE"/>
    <x v="0"/>
    <m/>
    <m/>
    <m/>
    <m/>
    <x v="0"/>
    <s v="Project"/>
    <x v="1905"/>
    <x v="0"/>
    <x v="0"/>
    <s v="Exclude in HGB Group allocation"/>
  </r>
  <r>
    <s v="0"/>
    <m/>
    <x v="0"/>
    <x v="0"/>
    <m/>
    <m/>
    <m/>
    <n v="7054"/>
    <n v="5"/>
    <n v="2"/>
    <m/>
    <s v="01_SE"/>
    <x v="0"/>
    <m/>
    <m/>
    <m/>
    <m/>
    <x v="0"/>
    <s v="Project"/>
    <x v="1906"/>
    <x v="0"/>
    <x v="0"/>
    <s v="Exclude in HGB Group allocation"/>
  </r>
  <r>
    <s v="0"/>
    <m/>
    <x v="0"/>
    <x v="0"/>
    <m/>
    <m/>
    <m/>
    <n v="7054"/>
    <n v="6"/>
    <n v="2"/>
    <m/>
    <s v="01_SE"/>
    <x v="0"/>
    <m/>
    <m/>
    <m/>
    <m/>
    <x v="0"/>
    <s v="Project"/>
    <x v="1907"/>
    <x v="0"/>
    <x v="0"/>
    <s v="Exclude in HGB Group allocation"/>
  </r>
  <r>
    <s v="0"/>
    <m/>
    <x v="0"/>
    <x v="0"/>
    <m/>
    <m/>
    <m/>
    <n v="7054"/>
    <n v="8"/>
    <n v="2"/>
    <m/>
    <s v="01_SE"/>
    <x v="0"/>
    <m/>
    <m/>
    <m/>
    <m/>
    <x v="0"/>
    <s v="Project"/>
    <x v="1908"/>
    <x v="0"/>
    <x v="0"/>
    <s v="Exclude in HGB Group allocation"/>
  </r>
  <r>
    <s v="0"/>
    <m/>
    <x v="0"/>
    <x v="0"/>
    <m/>
    <m/>
    <m/>
    <n v="7054"/>
    <n v="2"/>
    <n v="2"/>
    <m/>
    <s v="01_SE"/>
    <x v="0"/>
    <m/>
    <m/>
    <m/>
    <m/>
    <x v="0"/>
    <s v="Project"/>
    <x v="1909"/>
    <x v="0"/>
    <x v="0"/>
    <s v="Exclude in HGB Group allocation"/>
  </r>
  <r>
    <s v="0"/>
    <m/>
    <x v="0"/>
    <x v="0"/>
    <m/>
    <m/>
    <m/>
    <n v="7054"/>
    <n v="3"/>
    <n v="2"/>
    <m/>
    <s v="01_SE"/>
    <x v="0"/>
    <m/>
    <m/>
    <m/>
    <m/>
    <x v="0"/>
    <s v="Project"/>
    <x v="1910"/>
    <x v="0"/>
    <x v="0"/>
    <s v="Exclude in HGB Group allocation"/>
  </r>
  <r>
    <s v="0"/>
    <m/>
    <x v="0"/>
    <x v="0"/>
    <m/>
    <m/>
    <m/>
    <n v="7054"/>
    <n v="7"/>
    <n v="2"/>
    <m/>
    <s v="01_SE"/>
    <x v="0"/>
    <m/>
    <m/>
    <m/>
    <m/>
    <x v="0"/>
    <s v="Project"/>
    <x v="1911"/>
    <x v="0"/>
    <x v="0"/>
    <s v="Exclude in HGB Group allocation"/>
  </r>
  <r>
    <s v="0"/>
    <m/>
    <x v="0"/>
    <x v="0"/>
    <m/>
    <m/>
    <m/>
    <n v="6144"/>
    <n v="2"/>
    <n v="2"/>
    <m/>
    <s v="01_SE"/>
    <x v="0"/>
    <m/>
    <m/>
    <m/>
    <m/>
    <x v="0"/>
    <s v="Project"/>
    <x v="1912"/>
    <x v="0"/>
    <x v="0"/>
    <s v="Exclude in HGB Group allocation"/>
  </r>
  <r>
    <s v="31380228"/>
    <m/>
    <x v="0"/>
    <x v="0"/>
    <m/>
    <m/>
    <m/>
    <n v="3138"/>
    <n v="2"/>
    <n v="2"/>
    <s v="31380228"/>
    <s v="01_SE"/>
    <x v="0"/>
    <m/>
    <m/>
    <m/>
    <m/>
    <x v="0"/>
    <s v="Project"/>
    <x v="1913"/>
    <x v="0"/>
    <x v="0"/>
    <s v="Exclude in HGB Group allocation"/>
  </r>
  <r>
    <s v="0"/>
    <m/>
    <x v="0"/>
    <x v="0"/>
    <m/>
    <m/>
    <m/>
    <n v="7598"/>
    <n v="3"/>
    <n v="2"/>
    <m/>
    <s v="05_Shg"/>
    <x v="0"/>
    <m/>
    <m/>
    <m/>
    <m/>
    <x v="0"/>
    <s v="Project"/>
    <x v="1914"/>
    <x v="0"/>
    <x v="0"/>
    <s v="Exclude in HGB Group allocation"/>
  </r>
  <r>
    <s v="0"/>
    <m/>
    <x v="0"/>
    <x v="0"/>
    <m/>
    <m/>
    <m/>
    <n v="7062"/>
    <n v="2"/>
    <n v="1"/>
    <m/>
    <s v="05_Shg"/>
    <x v="4"/>
    <m/>
    <m/>
    <m/>
    <m/>
    <x v="0"/>
    <s v="Project"/>
    <x v="1915"/>
    <x v="0"/>
    <x v="18"/>
    <s v="Exclude in HGB Group allocation"/>
  </r>
  <r>
    <s v="79100226"/>
    <m/>
    <x v="0"/>
    <x v="0"/>
    <m/>
    <m/>
    <m/>
    <n v="7910"/>
    <n v="2"/>
    <n v="2"/>
    <s v="79100226"/>
    <s v="05_Shg"/>
    <x v="0"/>
    <m/>
    <m/>
    <m/>
    <m/>
    <x v="0"/>
    <s v="Project"/>
    <x v="1916"/>
    <x v="0"/>
    <x v="21"/>
    <s v="Exclude in HGB Group allocation"/>
  </r>
  <r>
    <s v="0"/>
    <m/>
    <x v="0"/>
    <x v="0"/>
    <m/>
    <m/>
    <m/>
    <n v="7802"/>
    <n v="52"/>
    <n v="2"/>
    <m/>
    <s v="01_SE"/>
    <x v="0"/>
    <m/>
    <m/>
    <m/>
    <m/>
    <x v="0"/>
    <s v="Project"/>
    <x v="1917"/>
    <x v="0"/>
    <x v="25"/>
    <s v="Exclude in HGB Group allocation"/>
  </r>
  <r>
    <s v="0"/>
    <m/>
    <x v="0"/>
    <x v="0"/>
    <m/>
    <m/>
    <m/>
    <n v="7802"/>
    <n v="51"/>
    <n v="2"/>
    <m/>
    <s v="07_Inc"/>
    <x v="0"/>
    <m/>
    <m/>
    <m/>
    <m/>
    <x v="0"/>
    <s v="Project"/>
    <x v="1918"/>
    <x v="0"/>
    <x v="25"/>
    <s v="Exclude in HGB Group allocation"/>
  </r>
  <r>
    <s v="88260243"/>
    <m/>
    <x v="0"/>
    <x v="0"/>
    <m/>
    <m/>
    <m/>
    <n v="8826"/>
    <n v="2"/>
    <n v="4"/>
    <n v="88260243"/>
    <s v="02_GmbH"/>
    <x v="1"/>
    <m/>
    <m/>
    <m/>
    <m/>
    <x v="0"/>
    <s v="Project"/>
    <x v="1919"/>
    <x v="0"/>
    <x v="1"/>
    <s v="Exclude in HGB Group allocation"/>
  </r>
  <r>
    <s v="78023528"/>
    <m/>
    <x v="0"/>
    <x v="0"/>
    <m/>
    <m/>
    <m/>
    <n v="7802"/>
    <n v="35"/>
    <n v="2"/>
    <s v="78023528"/>
    <s v="01_SE"/>
    <x v="0"/>
    <m/>
    <m/>
    <m/>
    <m/>
    <x v="0"/>
    <s v="Project"/>
    <x v="1920"/>
    <x v="0"/>
    <x v="0"/>
    <s v="Exclude in HGB Group allocation"/>
  </r>
  <r>
    <s v="99964928"/>
    <m/>
    <x v="0"/>
    <x v="0"/>
    <m/>
    <m/>
    <m/>
    <n v="7802"/>
    <n v="35"/>
    <n v="2"/>
    <s v="99964928"/>
    <s v="01_SE"/>
    <x v="0"/>
    <m/>
    <m/>
    <m/>
    <m/>
    <x v="0"/>
    <s v="Project"/>
    <x v="1920"/>
    <x v="0"/>
    <x v="21"/>
    <s v="Exclude in HGB Group allocation"/>
  </r>
  <r>
    <s v="0"/>
    <m/>
    <x v="0"/>
    <x v="0"/>
    <m/>
    <m/>
    <m/>
    <n v="7802"/>
    <n v="48"/>
    <n v="2"/>
    <m/>
    <s v="01_SE"/>
    <x v="0"/>
    <m/>
    <m/>
    <m/>
    <m/>
    <x v="0"/>
    <s v="Project"/>
    <x v="1921"/>
    <x v="0"/>
    <x v="25"/>
    <s v="Exclude in HGB Group allocation"/>
  </r>
  <r>
    <s v="0"/>
    <m/>
    <x v="0"/>
    <x v="0"/>
    <m/>
    <m/>
    <m/>
    <n v="7802"/>
    <n v="50"/>
    <n v="2"/>
    <m/>
    <s v="01_SE"/>
    <x v="0"/>
    <m/>
    <m/>
    <m/>
    <m/>
    <x v="0"/>
    <s v="Project"/>
    <x v="1922"/>
    <x v="0"/>
    <x v="25"/>
    <s v="Exclude in HGB Group allocation"/>
  </r>
  <r>
    <s v="0"/>
    <m/>
    <x v="0"/>
    <x v="0"/>
    <m/>
    <m/>
    <m/>
    <n v="3180"/>
    <n v="2"/>
    <n v="1"/>
    <m/>
    <s v="05_Shg"/>
    <x v="4"/>
    <m/>
    <m/>
    <m/>
    <m/>
    <x v="0"/>
    <s v="Project"/>
    <x v="1923"/>
    <x v="0"/>
    <x v="18"/>
    <s v="Exclude in HGB Group allocation"/>
  </r>
  <r>
    <s v="60950211"/>
    <m/>
    <x v="0"/>
    <x v="0"/>
    <m/>
    <m/>
    <m/>
    <n v="6095"/>
    <n v="2"/>
    <n v="1"/>
    <s v="60950211"/>
    <s v="01_SE"/>
    <x v="4"/>
    <m/>
    <m/>
    <m/>
    <m/>
    <x v="0"/>
    <s v="Project"/>
    <x v="1924"/>
    <x v="0"/>
    <x v="18"/>
    <s v="Exclude in HGB Group allocation"/>
  </r>
  <r>
    <s v="0"/>
    <m/>
    <x v="0"/>
    <x v="0"/>
    <m/>
    <m/>
    <m/>
    <n v="6095"/>
    <n v="3"/>
    <n v="1"/>
    <m/>
    <s v="01_SE"/>
    <x v="4"/>
    <m/>
    <m/>
    <m/>
    <m/>
    <x v="0"/>
    <s v="Project"/>
    <x v="1925"/>
    <x v="0"/>
    <x v="18"/>
    <s v="Exclude in HGB Group allocation"/>
  </r>
  <r>
    <s v="0"/>
    <m/>
    <x v="0"/>
    <x v="0"/>
    <m/>
    <m/>
    <m/>
    <n v="8039"/>
    <n v="2"/>
    <n v="2"/>
    <m/>
    <s v="05_Shg"/>
    <x v="0"/>
    <m/>
    <m/>
    <m/>
    <m/>
    <x v="0"/>
    <s v="Project"/>
    <x v="1926"/>
    <x v="0"/>
    <x v="0"/>
    <s v="Exclude in HGB Group allocation"/>
  </r>
  <r>
    <s v="60260228"/>
    <m/>
    <x v="0"/>
    <x v="0"/>
    <m/>
    <m/>
    <m/>
    <n v="6026"/>
    <n v="2"/>
    <n v="2"/>
    <s v="60260228"/>
    <s v="01_SE"/>
    <x v="0"/>
    <m/>
    <m/>
    <m/>
    <m/>
    <x v="0"/>
    <s v="Project"/>
    <x v="1927"/>
    <x v="0"/>
    <x v="0"/>
    <s v="Exclude in HGB Group allocation"/>
  </r>
  <r>
    <s v="70250417"/>
    <m/>
    <x v="0"/>
    <x v="0"/>
    <m/>
    <m/>
    <m/>
    <n v="7025"/>
    <n v="4"/>
    <n v="1"/>
    <s v="70250417"/>
    <s v="05_Shg"/>
    <x v="4"/>
    <m/>
    <m/>
    <m/>
    <m/>
    <x v="0"/>
    <s v="Project"/>
    <x v="1928"/>
    <x v="0"/>
    <x v="19"/>
    <s v="Exclude in HGB Group allocation"/>
  </r>
  <r>
    <s v="60250228"/>
    <m/>
    <x v="0"/>
    <x v="0"/>
    <m/>
    <m/>
    <m/>
    <n v="6025"/>
    <n v="2"/>
    <n v="2"/>
    <s v="60250228"/>
    <s v="01_SE"/>
    <x v="0"/>
    <m/>
    <m/>
    <m/>
    <m/>
    <x v="0"/>
    <s v="Project"/>
    <x v="1929"/>
    <x v="0"/>
    <x v="0"/>
    <s v="Exclude in HGB Group allocation"/>
  </r>
  <r>
    <s v="0"/>
    <m/>
    <x v="0"/>
    <x v="0"/>
    <m/>
    <m/>
    <m/>
    <n v="6025"/>
    <n v="3"/>
    <n v="2"/>
    <m/>
    <s v="01_SE"/>
    <x v="0"/>
    <m/>
    <m/>
    <m/>
    <m/>
    <x v="0"/>
    <s v="Project"/>
    <x v="1930"/>
    <x v="0"/>
    <x v="0"/>
    <s v="Exclude in HGB Group allocation"/>
  </r>
  <r>
    <s v="88340328"/>
    <m/>
    <x v="0"/>
    <x v="0"/>
    <m/>
    <m/>
    <m/>
    <n v="8834"/>
    <n v="3"/>
    <n v="2"/>
    <s v="88340328"/>
    <s v="01_SE"/>
    <x v="0"/>
    <m/>
    <m/>
    <m/>
    <m/>
    <x v="0"/>
    <s v="Project"/>
    <x v="1931"/>
    <x v="0"/>
    <x v="0"/>
    <s v="Exclude in HGB Group allocation"/>
  </r>
  <r>
    <s v="88340428"/>
    <m/>
    <x v="0"/>
    <x v="0"/>
    <m/>
    <m/>
    <m/>
    <n v="8834"/>
    <n v="4"/>
    <n v="2"/>
    <s v="88340428"/>
    <s v="01_SE"/>
    <x v="0"/>
    <m/>
    <m/>
    <m/>
    <m/>
    <x v="0"/>
    <s v="Project"/>
    <x v="1932"/>
    <x v="0"/>
    <x v="0"/>
    <s v="Exclude in HGB Group allocation"/>
  </r>
  <r>
    <s v="88351228"/>
    <m/>
    <x v="0"/>
    <x v="0"/>
    <m/>
    <m/>
    <m/>
    <n v="8835"/>
    <n v="12"/>
    <n v="2"/>
    <s v="88351228"/>
    <s v="01_SE"/>
    <x v="0"/>
    <m/>
    <m/>
    <m/>
    <m/>
    <x v="0"/>
    <s v="Project"/>
    <x v="1933"/>
    <x v="0"/>
    <x v="0"/>
    <s v="Exclude in HGB Group allocation"/>
  </r>
  <r>
    <s v="0"/>
    <m/>
    <x v="0"/>
    <x v="0"/>
    <m/>
    <m/>
    <m/>
    <n v="8841"/>
    <n v="3"/>
    <n v="2"/>
    <m/>
    <s v="01_SE"/>
    <x v="0"/>
    <m/>
    <m/>
    <m/>
    <m/>
    <x v="0"/>
    <s v="Project"/>
    <x v="1934"/>
    <x v="0"/>
    <x v="0"/>
    <s v="Exclude in HGB Group allocation"/>
  </r>
  <r>
    <s v="0"/>
    <m/>
    <x v="0"/>
    <x v="0"/>
    <m/>
    <m/>
    <m/>
    <n v="8838"/>
    <n v="4"/>
    <n v="2"/>
    <m/>
    <s v="05_Shg"/>
    <x v="0"/>
    <m/>
    <m/>
    <m/>
    <m/>
    <x v="0"/>
    <s v="Project"/>
    <x v="1935"/>
    <x v="0"/>
    <x v="0"/>
    <s v="Exclude in HGB Group allocation"/>
  </r>
  <r>
    <s v="0"/>
    <m/>
    <x v="0"/>
    <x v="0"/>
    <m/>
    <m/>
    <m/>
    <n v="8841"/>
    <n v="2"/>
    <n v="2"/>
    <m/>
    <s v="01_SE"/>
    <x v="0"/>
    <m/>
    <m/>
    <m/>
    <m/>
    <x v="0"/>
    <s v="Project"/>
    <x v="1936"/>
    <x v="0"/>
    <x v="0"/>
    <s v="Exclude in HGB Group allocation"/>
  </r>
  <r>
    <s v="0"/>
    <m/>
    <x v="0"/>
    <x v="0"/>
    <m/>
    <m/>
    <m/>
    <n v="8852"/>
    <n v="2"/>
    <n v="2"/>
    <m/>
    <s v="01_SE"/>
    <x v="0"/>
    <m/>
    <m/>
    <m/>
    <m/>
    <x v="0"/>
    <s v="Project"/>
    <x v="1937"/>
    <x v="0"/>
    <x v="0"/>
    <s v="Exclude in HGB Group allocation"/>
  </r>
  <r>
    <s v="80070311"/>
    <m/>
    <x v="0"/>
    <x v="0"/>
    <m/>
    <m/>
    <m/>
    <n v="8007"/>
    <n v="3"/>
    <n v="1"/>
    <s v="80070311"/>
    <s v="01_SE"/>
    <x v="4"/>
    <m/>
    <m/>
    <m/>
    <m/>
    <x v="0"/>
    <s v="Project"/>
    <x v="1938"/>
    <x v="0"/>
    <x v="18"/>
    <s v="Exclude in HGB Group allocation"/>
  </r>
  <r>
    <s v="80070316"/>
    <m/>
    <x v="0"/>
    <x v="0"/>
    <m/>
    <m/>
    <m/>
    <n v="8007"/>
    <n v="3"/>
    <n v="1"/>
    <s v="80070316"/>
    <s v="01_SE"/>
    <x v="4"/>
    <m/>
    <m/>
    <m/>
    <m/>
    <x v="0"/>
    <s v="Project"/>
    <x v="1938"/>
    <x v="0"/>
    <x v="19"/>
    <s v="Exclude in HGB Group allocation"/>
  </r>
  <r>
    <s v="81170228"/>
    <m/>
    <x v="0"/>
    <x v="0"/>
    <m/>
    <m/>
    <m/>
    <n v="8117"/>
    <n v="2"/>
    <n v="2"/>
    <s v="81170228"/>
    <s v="05_Shg"/>
    <x v="0"/>
    <m/>
    <m/>
    <m/>
    <m/>
    <x v="0"/>
    <s v="Project"/>
    <x v="1939"/>
    <x v="0"/>
    <x v="0"/>
    <s v="Exclude in HGB Group allocation"/>
  </r>
  <r>
    <s v="81170328"/>
    <m/>
    <x v="0"/>
    <x v="0"/>
    <m/>
    <m/>
    <m/>
    <n v="8117"/>
    <n v="3"/>
    <n v="2"/>
    <s v="81170328"/>
    <s v="05_Shg"/>
    <x v="0"/>
    <m/>
    <m/>
    <m/>
    <m/>
    <x v="0"/>
    <s v="Project"/>
    <x v="1940"/>
    <x v="0"/>
    <x v="0"/>
    <s v="Exclude in HGB Group allocation"/>
  </r>
  <r>
    <s v="81170628"/>
    <m/>
    <x v="0"/>
    <x v="0"/>
    <m/>
    <m/>
    <m/>
    <n v="8117"/>
    <n v="6"/>
    <n v="2"/>
    <s v="81170628"/>
    <s v="05_Shg"/>
    <x v="0"/>
    <m/>
    <m/>
    <m/>
    <m/>
    <x v="0"/>
    <s v="Project"/>
    <x v="1941"/>
    <x v="0"/>
    <x v="0"/>
    <s v="Exclude in HGB Group allocation"/>
  </r>
  <r>
    <s v="81280228"/>
    <m/>
    <x v="0"/>
    <x v="0"/>
    <m/>
    <m/>
    <m/>
    <n v="8128"/>
    <n v="2"/>
    <n v="2"/>
    <s v="81280228"/>
    <s v="05_Shg"/>
    <x v="0"/>
    <m/>
    <m/>
    <m/>
    <m/>
    <x v="0"/>
    <s v="Project"/>
    <x v="1942"/>
    <x v="0"/>
    <x v="21"/>
    <s v="Exclude in HGB Group allocation"/>
  </r>
  <r>
    <s v="0"/>
    <m/>
    <x v="0"/>
    <x v="0"/>
    <m/>
    <m/>
    <m/>
    <n v="8129"/>
    <n v="4"/>
    <n v="2"/>
    <m/>
    <s v="05_Shg"/>
    <x v="0"/>
    <m/>
    <m/>
    <m/>
    <m/>
    <x v="0"/>
    <s v="Project"/>
    <x v="1943"/>
    <x v="0"/>
    <x v="0"/>
    <s v="Exclude in HGB Group allocation"/>
  </r>
  <r>
    <s v="81290228"/>
    <m/>
    <x v="0"/>
    <x v="0"/>
    <m/>
    <m/>
    <m/>
    <n v="8129"/>
    <n v="2"/>
    <n v="2"/>
    <s v="81290228"/>
    <s v="05_Shg"/>
    <x v="0"/>
    <m/>
    <m/>
    <m/>
    <m/>
    <x v="0"/>
    <s v="Project"/>
    <x v="1944"/>
    <x v="0"/>
    <x v="0"/>
    <s v="Exclude in HGB Group allocation"/>
  </r>
  <r>
    <s v="81290328"/>
    <m/>
    <x v="0"/>
    <x v="0"/>
    <m/>
    <m/>
    <m/>
    <n v="8129"/>
    <n v="3"/>
    <n v="2"/>
    <s v="81290328"/>
    <s v="05_Shg"/>
    <x v="0"/>
    <m/>
    <m/>
    <m/>
    <m/>
    <x v="0"/>
    <s v="Project"/>
    <x v="1945"/>
    <x v="0"/>
    <x v="0"/>
    <s v="Exclude in HGB Group allocation"/>
  </r>
  <r>
    <s v="0"/>
    <m/>
    <x v="0"/>
    <x v="0"/>
    <m/>
    <m/>
    <m/>
    <n v="8130"/>
    <n v="2"/>
    <n v="2"/>
    <m/>
    <s v="05_Shg"/>
    <x v="0"/>
    <m/>
    <m/>
    <m/>
    <m/>
    <x v="0"/>
    <s v="Project"/>
    <x v="1946"/>
    <x v="0"/>
    <x v="21"/>
    <s v="Exclude in HGB Group allocation"/>
  </r>
  <r>
    <s v="0"/>
    <m/>
    <x v="0"/>
    <x v="0"/>
    <m/>
    <m/>
    <m/>
    <n v="6114"/>
    <n v="2"/>
    <n v="2"/>
    <m/>
    <s v="07_Inc"/>
    <x v="0"/>
    <m/>
    <m/>
    <m/>
    <m/>
    <x v="0"/>
    <s v="Project"/>
    <x v="1947"/>
    <x v="0"/>
    <x v="0"/>
    <s v="Exclude in HGB Group allocation"/>
  </r>
  <r>
    <s v="0"/>
    <m/>
    <x v="0"/>
    <x v="0"/>
    <m/>
    <m/>
    <m/>
    <n v="3076"/>
    <n v="5"/>
    <n v="2"/>
    <m/>
    <s v="05_Shg"/>
    <x v="0"/>
    <m/>
    <m/>
    <m/>
    <m/>
    <x v="0"/>
    <s v="Project"/>
    <x v="1948"/>
    <x v="0"/>
    <x v="0"/>
    <s v="Exclude in HGB Group allocation"/>
  </r>
  <r>
    <s v="30760328"/>
    <m/>
    <x v="0"/>
    <x v="0"/>
    <m/>
    <m/>
    <m/>
    <n v="3076"/>
    <n v="3"/>
    <n v="2"/>
    <s v="30760328"/>
    <s v="05_Shg"/>
    <x v="0"/>
    <m/>
    <m/>
    <m/>
    <m/>
    <x v="0"/>
    <s v="Project"/>
    <x v="1949"/>
    <x v="0"/>
    <x v="0"/>
    <s v="Exclude in HGB Group allocation"/>
  </r>
  <r>
    <s v="30760428"/>
    <m/>
    <x v="0"/>
    <x v="0"/>
    <m/>
    <m/>
    <m/>
    <n v="3076"/>
    <n v="4"/>
    <n v="2"/>
    <s v="30760428"/>
    <s v="01_SE"/>
    <x v="0"/>
    <m/>
    <m/>
    <m/>
    <m/>
    <x v="0"/>
    <s v="Project"/>
    <x v="1950"/>
    <x v="0"/>
    <x v="0"/>
    <s v="Exclude in HGB Group allocation"/>
  </r>
  <r>
    <s v="0"/>
    <m/>
    <x v="0"/>
    <x v="0"/>
    <m/>
    <m/>
    <m/>
    <n v="3064"/>
    <n v="3"/>
    <n v="2"/>
    <m/>
    <s v="01_SE"/>
    <x v="0"/>
    <m/>
    <m/>
    <m/>
    <m/>
    <x v="0"/>
    <s v="Project"/>
    <x v="1951"/>
    <x v="0"/>
    <x v="0"/>
    <s v="Exclude in HGB Group allocation"/>
  </r>
  <r>
    <s v="30640228"/>
    <m/>
    <x v="0"/>
    <x v="0"/>
    <m/>
    <m/>
    <m/>
    <n v="3064"/>
    <n v="2"/>
    <n v="2"/>
    <s v="30640228"/>
    <s v="01_SE"/>
    <x v="0"/>
    <m/>
    <m/>
    <m/>
    <m/>
    <x v="0"/>
    <s v="Project"/>
    <x v="1952"/>
    <x v="0"/>
    <x v="0"/>
    <s v="Exclude in HGB Group allocation"/>
  </r>
  <r>
    <s v="99966828"/>
    <m/>
    <x v="0"/>
    <x v="0"/>
    <m/>
    <m/>
    <m/>
    <n v="3064"/>
    <n v="2"/>
    <n v="2"/>
    <s v="99966828"/>
    <s v="01_SE"/>
    <x v="0"/>
    <m/>
    <m/>
    <m/>
    <m/>
    <x v="0"/>
    <s v="Project"/>
    <x v="1952"/>
    <x v="0"/>
    <x v="21"/>
    <s v="Exclude in HGB Group allocation"/>
  </r>
  <r>
    <s v="10030228"/>
    <m/>
    <x v="0"/>
    <x v="0"/>
    <m/>
    <m/>
    <m/>
    <n v="1003"/>
    <n v="2"/>
    <n v="2"/>
    <s v="10030228"/>
    <s v="01_SE"/>
    <x v="0"/>
    <m/>
    <m/>
    <m/>
    <m/>
    <x v="0"/>
    <s v="Project"/>
    <x v="1953"/>
    <x v="0"/>
    <x v="0"/>
    <s v="Exclude in HGB Group allocation"/>
  </r>
  <r>
    <s v="10030328"/>
    <m/>
    <x v="0"/>
    <x v="0"/>
    <m/>
    <m/>
    <m/>
    <n v="1003"/>
    <n v="3"/>
    <n v="2"/>
    <s v="10030328"/>
    <s v="01_SE"/>
    <x v="0"/>
    <m/>
    <m/>
    <m/>
    <m/>
    <x v="0"/>
    <s v="Project"/>
    <x v="1954"/>
    <x v="0"/>
    <x v="0"/>
    <s v="Exclude in HGB Group allocation"/>
  </r>
  <r>
    <s v="76150228"/>
    <m/>
    <x v="0"/>
    <x v="0"/>
    <m/>
    <m/>
    <m/>
    <n v="7615"/>
    <n v="2"/>
    <n v="2"/>
    <s v="76150228"/>
    <s v="09_Ltda"/>
    <x v="0"/>
    <m/>
    <m/>
    <m/>
    <m/>
    <x v="0"/>
    <s v="Project"/>
    <x v="1955"/>
    <x v="0"/>
    <x v="21"/>
    <s v="Exclude in HGB Group allocation"/>
  </r>
  <r>
    <s v="0"/>
    <m/>
    <x v="0"/>
    <x v="0"/>
    <m/>
    <m/>
    <m/>
    <n v="6117"/>
    <n v="2"/>
    <n v="2"/>
    <m/>
    <s v="09_Ltda"/>
    <x v="0"/>
    <m/>
    <m/>
    <m/>
    <m/>
    <x v="0"/>
    <s v="Project"/>
    <x v="1956"/>
    <x v="0"/>
    <x v="0"/>
    <s v="Exclude in HGB Group allocation"/>
  </r>
  <r>
    <s v="0"/>
    <m/>
    <x v="0"/>
    <x v="0"/>
    <m/>
    <m/>
    <m/>
    <n v="6010"/>
    <n v="3"/>
    <n v="2"/>
    <m/>
    <s v="01_SE"/>
    <x v="0"/>
    <m/>
    <m/>
    <m/>
    <m/>
    <x v="0"/>
    <s v="Project"/>
    <x v="1957"/>
    <x v="0"/>
    <x v="0"/>
    <s v="Exclude in HGB Group allocation"/>
  </r>
  <r>
    <s v="60100228"/>
    <m/>
    <x v="0"/>
    <x v="0"/>
    <m/>
    <m/>
    <m/>
    <n v="6010"/>
    <n v="2"/>
    <n v="2"/>
    <s v="60100228"/>
    <s v="01_SE"/>
    <x v="0"/>
    <m/>
    <m/>
    <m/>
    <m/>
    <x v="0"/>
    <s v="Project"/>
    <x v="1958"/>
    <x v="0"/>
    <x v="0"/>
    <s v="Exclude in HGB Group allocation"/>
  </r>
  <r>
    <s v="0"/>
    <m/>
    <x v="0"/>
    <x v="0"/>
    <m/>
    <m/>
    <m/>
    <n v="7696"/>
    <n v="2"/>
    <n v="2"/>
    <m/>
    <s v="01_SE"/>
    <x v="0"/>
    <m/>
    <m/>
    <m/>
    <m/>
    <x v="0"/>
    <s v="Project"/>
    <x v="1959"/>
    <x v="0"/>
    <x v="14"/>
    <s v="Exclude in HGB Group allocation"/>
  </r>
  <r>
    <s v="0"/>
    <m/>
    <x v="0"/>
    <x v="0"/>
    <m/>
    <m/>
    <m/>
    <n v="2050"/>
    <n v="2"/>
    <n v="2"/>
    <m/>
    <s v="01_SE"/>
    <x v="0"/>
    <m/>
    <m/>
    <m/>
    <m/>
    <x v="0"/>
    <s v="Project"/>
    <x v="1960"/>
    <x v="0"/>
    <x v="0"/>
    <s v="Exclude in HGB Group allocation"/>
  </r>
  <r>
    <s v="0"/>
    <m/>
    <x v="0"/>
    <x v="0"/>
    <m/>
    <m/>
    <m/>
    <n v="2136"/>
    <n v="2"/>
    <n v="2"/>
    <m/>
    <s v="05_Shg"/>
    <x v="0"/>
    <m/>
    <m/>
    <m/>
    <m/>
    <x v="0"/>
    <s v="Project"/>
    <x v="1961"/>
    <x v="0"/>
    <x v="0"/>
    <s v="Exclude in HGB Group allocation"/>
  </r>
  <r>
    <s v="0"/>
    <m/>
    <x v="0"/>
    <x v="0"/>
    <m/>
    <m/>
    <m/>
    <n v="2136"/>
    <n v="3"/>
    <n v="2"/>
    <m/>
    <s v="07_Inc"/>
    <x v="0"/>
    <m/>
    <m/>
    <m/>
    <m/>
    <x v="0"/>
    <s v="Project"/>
    <x v="1962"/>
    <x v="0"/>
    <x v="0"/>
    <s v="Exclude in HGB Group allocation"/>
  </r>
  <r>
    <s v="66490228"/>
    <m/>
    <x v="0"/>
    <x v="0"/>
    <m/>
    <m/>
    <m/>
    <n v="6649"/>
    <n v="2"/>
    <n v="2"/>
    <s v="66490228"/>
    <s v="16_digital"/>
    <x v="0"/>
    <m/>
    <m/>
    <m/>
    <m/>
    <x v="0"/>
    <s v="Project"/>
    <x v="1963"/>
    <x v="0"/>
    <x v="0"/>
    <s v="Exclude in HGB Group allocation"/>
  </r>
  <r>
    <s v="66490428"/>
    <m/>
    <x v="0"/>
    <x v="0"/>
    <m/>
    <m/>
    <m/>
    <n v="6649"/>
    <n v="4"/>
    <n v="2"/>
    <s v="66490428"/>
    <s v="16_digital"/>
    <x v="0"/>
    <m/>
    <m/>
    <m/>
    <m/>
    <x v="0"/>
    <s v="Project"/>
    <x v="1964"/>
    <x v="0"/>
    <x v="21"/>
    <s v="Exclude in HGB Group allocation"/>
  </r>
  <r>
    <s v="66490528"/>
    <m/>
    <x v="0"/>
    <x v="0"/>
    <m/>
    <m/>
    <m/>
    <n v="6649"/>
    <n v="5"/>
    <n v="2"/>
    <s v="66490528"/>
    <s v="16_digital"/>
    <x v="0"/>
    <m/>
    <m/>
    <m/>
    <m/>
    <x v="0"/>
    <s v="Project"/>
    <x v="1965"/>
    <x v="0"/>
    <x v="25"/>
    <s v="Exclude in HGB Group allocation"/>
  </r>
  <r>
    <s v="66490628"/>
    <m/>
    <x v="0"/>
    <x v="0"/>
    <m/>
    <m/>
    <m/>
    <n v="6649"/>
    <n v="6"/>
    <n v="2"/>
    <s v="66490628"/>
    <s v="16_digital"/>
    <x v="0"/>
    <m/>
    <m/>
    <m/>
    <m/>
    <x v="0"/>
    <s v="Project"/>
    <x v="1966"/>
    <x v="0"/>
    <x v="21"/>
    <s v="Exclude in HGB Group allocation"/>
  </r>
  <r>
    <s v="0"/>
    <m/>
    <x v="0"/>
    <x v="0"/>
    <m/>
    <m/>
    <m/>
    <n v="6654"/>
    <n v="2"/>
    <n v="2"/>
    <m/>
    <s v="01_SE"/>
    <x v="0"/>
    <m/>
    <m/>
    <m/>
    <m/>
    <x v="0"/>
    <s v="Project"/>
    <x v="1967"/>
    <x v="0"/>
    <x v="0"/>
    <s v="Exclude in HGB Group allocation"/>
  </r>
  <r>
    <s v="66560328"/>
    <m/>
    <x v="0"/>
    <x v="0"/>
    <m/>
    <m/>
    <m/>
    <n v="6656"/>
    <n v="3"/>
    <n v="2"/>
    <s v="66560328"/>
    <s v="05_Shg"/>
    <x v="0"/>
    <m/>
    <m/>
    <m/>
    <m/>
    <x v="0"/>
    <s v="Project"/>
    <x v="1968"/>
    <x v="0"/>
    <x v="21"/>
    <s v="Exclude in HGB Group allocation"/>
  </r>
  <r>
    <s v="66570228"/>
    <m/>
    <x v="0"/>
    <x v="0"/>
    <m/>
    <m/>
    <m/>
    <n v="6657"/>
    <n v="2"/>
    <n v="2"/>
    <s v="66570228"/>
    <s v="05_Shg"/>
    <x v="0"/>
    <m/>
    <m/>
    <m/>
    <m/>
    <x v="0"/>
    <s v="Project"/>
    <x v="1969"/>
    <x v="0"/>
    <x v="21"/>
    <s v="Exclude in HGB Group allocation"/>
  </r>
  <r>
    <s v="66590328"/>
    <m/>
    <x v="0"/>
    <x v="0"/>
    <m/>
    <m/>
    <m/>
    <n v="6659"/>
    <n v="3"/>
    <n v="2"/>
    <s v="66590328"/>
    <s v="05_Shg"/>
    <x v="0"/>
    <m/>
    <m/>
    <m/>
    <m/>
    <x v="0"/>
    <s v="Project"/>
    <x v="1970"/>
    <x v="0"/>
    <x v="0"/>
    <s v="Exclude in HGB Group allocation"/>
  </r>
  <r>
    <s v="66600343"/>
    <m/>
    <x v="0"/>
    <x v="0"/>
    <m/>
    <m/>
    <m/>
    <n v="6660"/>
    <n v="3"/>
    <n v="4"/>
    <s v="66600343"/>
    <s v="05_Shg"/>
    <x v="1"/>
    <m/>
    <m/>
    <m/>
    <m/>
    <x v="0"/>
    <s v="Project"/>
    <x v="1971"/>
    <x v="0"/>
    <x v="21"/>
    <s v="Exclude in HGB Group allocation"/>
  </r>
  <r>
    <s v="66600426"/>
    <m/>
    <x v="0"/>
    <x v="0"/>
    <m/>
    <m/>
    <m/>
    <n v="6660"/>
    <n v="4"/>
    <n v="2"/>
    <s v="66600426"/>
    <s v="05_Shg"/>
    <x v="0"/>
    <m/>
    <m/>
    <m/>
    <m/>
    <x v="0"/>
    <s v="Project"/>
    <x v="1972"/>
    <x v="0"/>
    <x v="21"/>
    <s v="Exclude in HGB Group allocation"/>
  </r>
  <r>
    <s v="0"/>
    <m/>
    <x v="0"/>
    <x v="0"/>
    <m/>
    <m/>
    <m/>
    <n v="3182"/>
    <n v="2"/>
    <n v="2"/>
    <m/>
    <s v="01_SE"/>
    <x v="0"/>
    <m/>
    <m/>
    <m/>
    <m/>
    <x v="0"/>
    <s v="Project"/>
    <x v="1973"/>
    <x v="0"/>
    <x v="0"/>
    <s v="Exclude in HGB Group allocation"/>
  </r>
  <r>
    <s v="0"/>
    <m/>
    <x v="0"/>
    <x v="0"/>
    <m/>
    <m/>
    <m/>
    <n v="1770"/>
    <n v="45"/>
    <n v="2"/>
    <m/>
    <s v="01_SE"/>
    <x v="0"/>
    <m/>
    <m/>
    <m/>
    <m/>
    <x v="0"/>
    <s v="Project"/>
    <x v="1974"/>
    <x v="0"/>
    <x v="0"/>
    <s v="Exclude in HGB Group allocation"/>
  </r>
  <r>
    <s v="17700244"/>
    <m/>
    <x v="0"/>
    <x v="0"/>
    <m/>
    <m/>
    <m/>
    <n v="1770"/>
    <n v="2"/>
    <n v="4"/>
    <s v="17700244"/>
    <s v="02_GmbH"/>
    <x v="1"/>
    <m/>
    <m/>
    <m/>
    <m/>
    <x v="0"/>
    <s v="Project"/>
    <x v="1975"/>
    <x v="0"/>
    <x v="2"/>
    <s v="Exclude in HGB Group allocation"/>
  </r>
  <r>
    <s v="17700247"/>
    <m/>
    <x v="0"/>
    <x v="0"/>
    <m/>
    <m/>
    <m/>
    <n v="1770"/>
    <n v="2"/>
    <n v="4"/>
    <s v="17700247"/>
    <s v="02_GmbH"/>
    <x v="1"/>
    <m/>
    <m/>
    <m/>
    <m/>
    <x v="0"/>
    <s v="Project"/>
    <x v="1975"/>
    <x v="0"/>
    <x v="20"/>
    <s v="Exclude in HGB Group allocation"/>
  </r>
  <r>
    <s v="17700444"/>
    <m/>
    <x v="0"/>
    <x v="0"/>
    <m/>
    <m/>
    <m/>
    <n v="1770"/>
    <n v="4"/>
    <n v="4"/>
    <s v="17700444"/>
    <s v="02_GmbH"/>
    <x v="1"/>
    <m/>
    <m/>
    <m/>
    <m/>
    <x v="0"/>
    <s v="Project"/>
    <x v="1976"/>
    <x v="0"/>
    <x v="2"/>
    <s v="Exclude in HGB Group allocation"/>
  </r>
  <r>
    <s v="17700544"/>
    <m/>
    <x v="0"/>
    <x v="0"/>
    <m/>
    <m/>
    <m/>
    <n v="1770"/>
    <n v="5"/>
    <n v="4"/>
    <s v="17700544"/>
    <s v="02_GmbH"/>
    <x v="1"/>
    <m/>
    <m/>
    <m/>
    <m/>
    <x v="0"/>
    <s v="Project"/>
    <x v="1977"/>
    <x v="0"/>
    <x v="2"/>
    <s v="Exclude in HGB Group allocation"/>
  </r>
  <r>
    <s v="17700744"/>
    <m/>
    <x v="0"/>
    <x v="0"/>
    <m/>
    <m/>
    <m/>
    <n v="1770"/>
    <n v="7"/>
    <n v="4"/>
    <s v="17700744"/>
    <s v="02_GmbH"/>
    <x v="1"/>
    <m/>
    <m/>
    <m/>
    <m/>
    <x v="0"/>
    <s v="Project"/>
    <x v="1978"/>
    <x v="0"/>
    <x v="2"/>
    <s v="Exclude in HGB Group allocation"/>
  </r>
  <r>
    <s v="17700843"/>
    <m/>
    <x v="0"/>
    <x v="0"/>
    <m/>
    <m/>
    <m/>
    <n v="1770"/>
    <n v="8"/>
    <n v="4"/>
    <s v="17700843"/>
    <s v="02_GmbH"/>
    <x v="1"/>
    <m/>
    <m/>
    <m/>
    <m/>
    <x v="0"/>
    <s v="Project"/>
    <x v="1979"/>
    <x v="0"/>
    <x v="1"/>
    <s v="Exclude in HGB Group allocation"/>
  </r>
  <r>
    <s v="17701143"/>
    <m/>
    <x v="0"/>
    <x v="0"/>
    <m/>
    <m/>
    <m/>
    <n v="1770"/>
    <n v="11"/>
    <n v="4"/>
    <s v="17701143"/>
    <s v="02_GmbH"/>
    <x v="1"/>
    <m/>
    <m/>
    <m/>
    <m/>
    <x v="0"/>
    <s v="Project"/>
    <x v="1980"/>
    <x v="0"/>
    <x v="1"/>
    <s v="Exclude in HGB Group allocation"/>
  </r>
  <r>
    <s v="17702342"/>
    <m/>
    <x v="0"/>
    <x v="0"/>
    <m/>
    <m/>
    <m/>
    <n v="1770"/>
    <n v="23"/>
    <n v="4"/>
    <s v="17702342"/>
    <s v="02_GmbH"/>
    <x v="1"/>
    <m/>
    <m/>
    <m/>
    <m/>
    <x v="0"/>
    <s v="Project"/>
    <x v="1981"/>
    <x v="0"/>
    <x v="23"/>
    <s v="Exclude in HGB Group allocation"/>
  </r>
  <r>
    <s v="17702343"/>
    <m/>
    <x v="0"/>
    <x v="0"/>
    <m/>
    <m/>
    <m/>
    <n v="1770"/>
    <n v="23"/>
    <n v="4"/>
    <s v="17702343"/>
    <s v="02_GmbH"/>
    <x v="1"/>
    <m/>
    <m/>
    <m/>
    <m/>
    <x v="0"/>
    <s v="Project"/>
    <x v="1981"/>
    <x v="0"/>
    <x v="1"/>
    <s v="Exclude in HGB Group allocation"/>
  </r>
  <r>
    <s v="17702344"/>
    <m/>
    <x v="0"/>
    <x v="0"/>
    <m/>
    <m/>
    <m/>
    <n v="1770"/>
    <n v="23"/>
    <n v="4"/>
    <s v="17702344"/>
    <s v="02_GmbH"/>
    <x v="1"/>
    <m/>
    <m/>
    <m/>
    <m/>
    <x v="0"/>
    <s v="Project"/>
    <x v="1981"/>
    <x v="0"/>
    <x v="2"/>
    <s v="Exclude in HGB Group allocation"/>
  </r>
  <r>
    <s v="17702544"/>
    <m/>
    <x v="0"/>
    <x v="0"/>
    <m/>
    <m/>
    <m/>
    <n v="1770"/>
    <n v="25"/>
    <n v="4"/>
    <s v="17702544"/>
    <s v="02_GmbH"/>
    <x v="1"/>
    <m/>
    <m/>
    <m/>
    <m/>
    <x v="0"/>
    <s v="Project"/>
    <x v="1982"/>
    <x v="0"/>
    <x v="2"/>
    <s v="Exclude in HGB Group allocation"/>
  </r>
  <r>
    <s v="17702644"/>
    <m/>
    <x v="0"/>
    <x v="0"/>
    <m/>
    <m/>
    <m/>
    <n v="1770"/>
    <n v="26"/>
    <n v="4"/>
    <s v="17702644"/>
    <s v="02_GmbH"/>
    <x v="1"/>
    <m/>
    <m/>
    <m/>
    <m/>
    <x v="0"/>
    <s v="Project"/>
    <x v="1983"/>
    <x v="0"/>
    <x v="2"/>
    <s v="Exclude in HGB Group allocation"/>
  </r>
  <r>
    <s v="17702744"/>
    <m/>
    <x v="0"/>
    <x v="0"/>
    <m/>
    <m/>
    <m/>
    <n v="1770"/>
    <n v="27"/>
    <n v="4"/>
    <s v="17702744"/>
    <s v="02_GmbH"/>
    <x v="1"/>
    <m/>
    <m/>
    <m/>
    <m/>
    <x v="0"/>
    <s v="Project"/>
    <x v="1984"/>
    <x v="0"/>
    <x v="2"/>
    <s v="Exclude in HGB Group allocation"/>
  </r>
  <r>
    <s v="17702843"/>
    <m/>
    <x v="0"/>
    <x v="0"/>
    <m/>
    <m/>
    <m/>
    <n v="1770"/>
    <n v="28"/>
    <n v="4"/>
    <s v="17702843"/>
    <s v="02_GmbH"/>
    <x v="1"/>
    <m/>
    <m/>
    <m/>
    <m/>
    <x v="0"/>
    <s v="Project"/>
    <x v="1985"/>
    <x v="0"/>
    <x v="1"/>
    <s v="Exclude in HGB Group allocation"/>
  </r>
  <r>
    <s v="17702844"/>
    <m/>
    <x v="0"/>
    <x v="0"/>
    <m/>
    <m/>
    <m/>
    <n v="1770"/>
    <n v="28"/>
    <n v="4"/>
    <s v="17702844"/>
    <s v="02_GmbH"/>
    <x v="1"/>
    <m/>
    <m/>
    <m/>
    <m/>
    <x v="0"/>
    <s v="Project"/>
    <x v="1985"/>
    <x v="0"/>
    <x v="2"/>
    <s v="Exclude in HGB Group allocation"/>
  </r>
  <r>
    <s v="17702944"/>
    <m/>
    <x v="0"/>
    <x v="0"/>
    <m/>
    <m/>
    <m/>
    <n v="1770"/>
    <n v="29"/>
    <n v="4"/>
    <s v="17702944"/>
    <s v="02_GmbH"/>
    <x v="1"/>
    <m/>
    <m/>
    <m/>
    <m/>
    <x v="0"/>
    <s v="Project"/>
    <x v="1986"/>
    <x v="0"/>
    <x v="2"/>
    <s v="Exclude in HGB Group allocation"/>
  </r>
  <r>
    <s v="17703044"/>
    <m/>
    <x v="0"/>
    <x v="0"/>
    <m/>
    <m/>
    <m/>
    <n v="1770"/>
    <n v="30"/>
    <n v="4"/>
    <s v="17703044"/>
    <s v="02_GmbH"/>
    <x v="1"/>
    <m/>
    <m/>
    <m/>
    <m/>
    <x v="0"/>
    <s v="Project"/>
    <x v="1987"/>
    <x v="0"/>
    <x v="2"/>
    <s v="Exclude in HGB Group allocation"/>
  </r>
  <r>
    <s v="17703144"/>
    <m/>
    <x v="0"/>
    <x v="0"/>
    <m/>
    <m/>
    <m/>
    <n v="1770"/>
    <n v="31"/>
    <n v="4"/>
    <s v="17703144"/>
    <s v="02_GmbH"/>
    <x v="1"/>
    <m/>
    <m/>
    <m/>
    <m/>
    <x v="0"/>
    <s v="Project"/>
    <x v="1988"/>
    <x v="0"/>
    <x v="2"/>
    <s v="Exclude in HGB Group allocation"/>
  </r>
  <r>
    <s v="17703242"/>
    <m/>
    <x v="0"/>
    <x v="0"/>
    <m/>
    <m/>
    <m/>
    <n v="1770"/>
    <n v="32"/>
    <n v="4"/>
    <s v="17703242"/>
    <s v="02_GmbH"/>
    <x v="1"/>
    <m/>
    <m/>
    <m/>
    <m/>
    <x v="0"/>
    <s v="Project"/>
    <x v="1989"/>
    <x v="0"/>
    <x v="23"/>
    <s v="Exclude in HGB Group allocation"/>
  </r>
  <r>
    <s v="17703243"/>
    <m/>
    <x v="0"/>
    <x v="0"/>
    <m/>
    <m/>
    <m/>
    <n v="1770"/>
    <n v="32"/>
    <n v="4"/>
    <s v="17703243"/>
    <s v="02_GmbH"/>
    <x v="1"/>
    <m/>
    <m/>
    <m/>
    <m/>
    <x v="0"/>
    <s v="Project"/>
    <x v="1989"/>
    <x v="0"/>
    <x v="1"/>
    <s v="Exclude in HGB Group allocation"/>
  </r>
  <r>
    <s v="17703244"/>
    <m/>
    <x v="0"/>
    <x v="0"/>
    <m/>
    <m/>
    <m/>
    <n v="1770"/>
    <n v="32"/>
    <n v="4"/>
    <s v="17703244"/>
    <s v="02_GmbH"/>
    <x v="1"/>
    <m/>
    <m/>
    <m/>
    <m/>
    <x v="0"/>
    <s v="Project"/>
    <x v="1989"/>
    <x v="0"/>
    <x v="2"/>
    <s v="Exclude in HGB Group allocation"/>
  </r>
  <r>
    <s v="17703247"/>
    <m/>
    <x v="0"/>
    <x v="0"/>
    <m/>
    <m/>
    <m/>
    <n v="1770"/>
    <n v="32"/>
    <n v="4"/>
    <s v="17703247"/>
    <s v="02_GmbH"/>
    <x v="1"/>
    <m/>
    <m/>
    <m/>
    <m/>
    <x v="0"/>
    <s v="Project"/>
    <x v="1989"/>
    <x v="0"/>
    <x v="20"/>
    <s v="Exclude in HGB Group allocation"/>
  </r>
  <r>
    <s v="17703343"/>
    <m/>
    <x v="0"/>
    <x v="0"/>
    <m/>
    <m/>
    <m/>
    <n v="1770"/>
    <n v="33"/>
    <n v="4"/>
    <s v="17703343"/>
    <s v="02_GmbH"/>
    <x v="1"/>
    <m/>
    <m/>
    <m/>
    <m/>
    <x v="0"/>
    <s v="Project"/>
    <x v="1990"/>
    <x v="0"/>
    <x v="1"/>
    <s v="Exclude in HGB Group allocation"/>
  </r>
  <r>
    <s v="17703842"/>
    <m/>
    <x v="0"/>
    <x v="0"/>
    <m/>
    <m/>
    <m/>
    <n v="1770"/>
    <n v="38"/>
    <n v="4"/>
    <s v="17703842"/>
    <s v="02_GmbH"/>
    <x v="1"/>
    <m/>
    <m/>
    <m/>
    <m/>
    <x v="0"/>
    <s v="Project"/>
    <x v="1991"/>
    <x v="0"/>
    <x v="23"/>
    <s v="Exclude in HGB Group allocation"/>
  </r>
  <r>
    <s v="17703844"/>
    <m/>
    <x v="0"/>
    <x v="0"/>
    <m/>
    <m/>
    <m/>
    <n v="1770"/>
    <n v="38"/>
    <n v="4"/>
    <s v="17703844"/>
    <s v="02_GmbH"/>
    <x v="1"/>
    <m/>
    <m/>
    <m/>
    <m/>
    <x v="0"/>
    <s v="Project"/>
    <x v="1991"/>
    <x v="0"/>
    <x v="2"/>
    <s v="Exclude in HGB Group allocation"/>
  </r>
  <r>
    <s v="17703944"/>
    <m/>
    <x v="0"/>
    <x v="0"/>
    <m/>
    <m/>
    <m/>
    <n v="1770"/>
    <n v="39"/>
    <n v="4"/>
    <s v="17703944"/>
    <s v="02_GmbH"/>
    <x v="1"/>
    <m/>
    <m/>
    <m/>
    <m/>
    <x v="0"/>
    <s v="Project"/>
    <x v="1992"/>
    <x v="0"/>
    <x v="2"/>
    <s v="Exclude in HGB Group allocation"/>
  </r>
  <r>
    <s v="17704044"/>
    <m/>
    <x v="0"/>
    <x v="0"/>
    <m/>
    <m/>
    <m/>
    <n v="1770"/>
    <n v="40"/>
    <n v="4"/>
    <s v="17704044"/>
    <s v="02_GmbH"/>
    <x v="1"/>
    <m/>
    <m/>
    <m/>
    <m/>
    <x v="0"/>
    <s v="Project"/>
    <x v="1993"/>
    <x v="0"/>
    <x v="2"/>
    <s v="Exclude in HGB Group allocation"/>
  </r>
  <r>
    <s v="17704144"/>
    <m/>
    <x v="0"/>
    <x v="0"/>
    <m/>
    <m/>
    <m/>
    <n v="1770"/>
    <n v="41"/>
    <n v="4"/>
    <s v="17704144"/>
    <s v="02_GmbH"/>
    <x v="1"/>
    <m/>
    <m/>
    <m/>
    <m/>
    <x v="0"/>
    <s v="Project"/>
    <x v="1994"/>
    <x v="0"/>
    <x v="2"/>
    <s v="Exclude in HGB Group allocation"/>
  </r>
  <r>
    <s v="17704244"/>
    <m/>
    <x v="0"/>
    <x v="0"/>
    <m/>
    <m/>
    <m/>
    <n v="1770"/>
    <n v="42"/>
    <n v="4"/>
    <s v="17704244"/>
    <s v="02_GmbH"/>
    <x v="1"/>
    <m/>
    <m/>
    <m/>
    <m/>
    <x v="0"/>
    <s v="Project"/>
    <x v="1995"/>
    <x v="0"/>
    <x v="2"/>
    <s v="Exclude in HGB Group allocation"/>
  </r>
  <r>
    <s v="17704342"/>
    <m/>
    <x v="0"/>
    <x v="0"/>
    <m/>
    <m/>
    <m/>
    <n v="1770"/>
    <n v="43"/>
    <n v="4"/>
    <n v="17704342"/>
    <s v="02_GmbH"/>
    <x v="1"/>
    <m/>
    <m/>
    <m/>
    <m/>
    <x v="0"/>
    <s v="Project"/>
    <x v="1996"/>
    <x v="0"/>
    <x v="23"/>
    <s v="Exclude in HGB Group allocation"/>
  </r>
  <r>
    <s v="17704444"/>
    <m/>
    <x v="0"/>
    <x v="0"/>
    <m/>
    <m/>
    <m/>
    <n v="1770"/>
    <n v="44"/>
    <n v="4"/>
    <n v="17704444"/>
    <s v="02_GmbH"/>
    <x v="1"/>
    <m/>
    <m/>
    <m/>
    <m/>
    <x v="0"/>
    <s v="Project"/>
    <x v="1997"/>
    <x v="0"/>
    <x v="2"/>
    <s v="Exclude in HGB Group allocation"/>
  </r>
  <r>
    <s v="99920344"/>
    <m/>
    <x v="0"/>
    <x v="0"/>
    <m/>
    <m/>
    <m/>
    <n v="1770"/>
    <n v="4"/>
    <n v="4"/>
    <s v="99920344"/>
    <s v="02_GmbH"/>
    <x v="1"/>
    <m/>
    <m/>
    <m/>
    <m/>
    <x v="0"/>
    <s v="Project"/>
    <x v="1976"/>
    <x v="0"/>
    <x v="2"/>
    <s v="Exclude in HGB Group allocation"/>
  </r>
  <r>
    <s v="99920444"/>
    <m/>
    <x v="0"/>
    <x v="0"/>
    <m/>
    <m/>
    <m/>
    <n v="1770"/>
    <n v="5"/>
    <n v="4"/>
    <s v="99920444"/>
    <s v="02_GmbH"/>
    <x v="1"/>
    <m/>
    <m/>
    <m/>
    <m/>
    <x v="0"/>
    <s v="Project"/>
    <x v="1977"/>
    <x v="0"/>
    <x v="2"/>
    <s v="Exclude in HGB Group allocation"/>
  </r>
  <r>
    <s v="99920644"/>
    <m/>
    <x v="0"/>
    <x v="0"/>
    <m/>
    <m/>
    <m/>
    <n v="1770"/>
    <n v="7"/>
    <n v="4"/>
    <s v="99920644"/>
    <s v="02_GmbH"/>
    <x v="1"/>
    <m/>
    <m/>
    <m/>
    <m/>
    <x v="0"/>
    <s v="Project"/>
    <x v="1978"/>
    <x v="0"/>
    <x v="2"/>
    <s v="Exclude in HGB Group allocation"/>
  </r>
  <r>
    <s v="99920743"/>
    <m/>
    <x v="0"/>
    <x v="0"/>
    <m/>
    <m/>
    <m/>
    <n v="1770"/>
    <n v="8"/>
    <n v="4"/>
    <s v="99920743"/>
    <s v="02_GmbH"/>
    <x v="1"/>
    <m/>
    <m/>
    <m/>
    <m/>
    <x v="0"/>
    <s v="Project"/>
    <x v="1979"/>
    <x v="0"/>
    <x v="1"/>
    <s v="Exclude in HGB Group allocation"/>
  </r>
  <r>
    <s v="99921043"/>
    <m/>
    <x v="0"/>
    <x v="0"/>
    <m/>
    <m/>
    <m/>
    <n v="1770"/>
    <n v="11"/>
    <n v="4"/>
    <s v="99921043"/>
    <s v="02_GmbH"/>
    <x v="1"/>
    <m/>
    <m/>
    <m/>
    <m/>
    <x v="0"/>
    <s v="Project"/>
    <x v="1980"/>
    <x v="0"/>
    <x v="1"/>
    <s v="Exclude in HGB Group allocation"/>
  </r>
  <r>
    <s v="99922142"/>
    <m/>
    <x v="0"/>
    <x v="0"/>
    <m/>
    <m/>
    <m/>
    <n v="1770"/>
    <n v="23"/>
    <n v="4"/>
    <s v="99922142"/>
    <s v="02_GmbH"/>
    <x v="1"/>
    <m/>
    <m/>
    <m/>
    <m/>
    <x v="0"/>
    <s v="Project"/>
    <x v="1981"/>
    <x v="0"/>
    <x v="23"/>
    <s v="Exclude in HGB Group allocation"/>
  </r>
  <r>
    <s v="99922144"/>
    <m/>
    <x v="0"/>
    <x v="0"/>
    <m/>
    <m/>
    <m/>
    <n v="1770"/>
    <n v="23"/>
    <n v="4"/>
    <s v="99922144"/>
    <s v="02_GmbH"/>
    <x v="1"/>
    <m/>
    <m/>
    <m/>
    <m/>
    <x v="0"/>
    <s v="Project"/>
    <x v="1981"/>
    <x v="0"/>
    <x v="2"/>
    <s v="Exclude in HGB Group allocation"/>
  </r>
  <r>
    <s v="99922444"/>
    <m/>
    <x v="0"/>
    <x v="0"/>
    <m/>
    <m/>
    <m/>
    <n v="1770"/>
    <n v="25"/>
    <n v="4"/>
    <s v="99922444"/>
    <s v="02_GmbH"/>
    <x v="1"/>
    <m/>
    <m/>
    <m/>
    <m/>
    <x v="0"/>
    <s v="Project"/>
    <x v="1982"/>
    <x v="0"/>
    <x v="2"/>
    <s v="Exclude in HGB Group allocation"/>
  </r>
  <r>
    <s v="99922544"/>
    <m/>
    <x v="0"/>
    <x v="0"/>
    <m/>
    <m/>
    <m/>
    <n v="1770"/>
    <n v="26"/>
    <n v="4"/>
    <s v="99922544"/>
    <s v="02_GmbH"/>
    <x v="1"/>
    <m/>
    <m/>
    <m/>
    <m/>
    <x v="0"/>
    <s v="Project"/>
    <x v="1983"/>
    <x v="0"/>
    <x v="2"/>
    <s v="Exclude in HGB Group allocation"/>
  </r>
  <r>
    <s v="99922644"/>
    <m/>
    <x v="0"/>
    <x v="0"/>
    <m/>
    <m/>
    <m/>
    <n v="1770"/>
    <n v="27"/>
    <n v="4"/>
    <s v="99922644"/>
    <s v="02_GmbH"/>
    <x v="1"/>
    <m/>
    <m/>
    <m/>
    <m/>
    <x v="0"/>
    <s v="Project"/>
    <x v="1984"/>
    <x v="0"/>
    <x v="2"/>
    <s v="Exclude in HGB Group allocation"/>
  </r>
  <r>
    <s v="99922843"/>
    <m/>
    <x v="0"/>
    <x v="0"/>
    <m/>
    <m/>
    <m/>
    <n v="1770"/>
    <n v="23"/>
    <n v="4"/>
    <s v="99922843"/>
    <s v="02_GmbH"/>
    <x v="1"/>
    <m/>
    <m/>
    <m/>
    <m/>
    <x v="0"/>
    <s v="Project"/>
    <x v="1981"/>
    <x v="0"/>
    <x v="1"/>
    <s v="Exclude in HGB Group allocation"/>
  </r>
  <r>
    <s v="99922944"/>
    <m/>
    <x v="0"/>
    <x v="0"/>
    <m/>
    <m/>
    <m/>
    <n v="1770"/>
    <n v="31"/>
    <n v="4"/>
    <s v="99922944"/>
    <s v="02_GmbH"/>
    <x v="1"/>
    <m/>
    <m/>
    <m/>
    <m/>
    <x v="0"/>
    <s v="Project"/>
    <x v="1988"/>
    <x v="0"/>
    <x v="2"/>
    <s v="Exclude in HGB Group allocation"/>
  </r>
  <r>
    <s v="99923242"/>
    <m/>
    <x v="0"/>
    <x v="0"/>
    <m/>
    <m/>
    <m/>
    <n v="1770"/>
    <n v="32"/>
    <n v="4"/>
    <s v="99923242"/>
    <s v="02_GmbH"/>
    <x v="1"/>
    <m/>
    <m/>
    <m/>
    <m/>
    <x v="0"/>
    <s v="Project"/>
    <x v="1989"/>
    <x v="0"/>
    <x v="23"/>
    <s v="Exclude in HGB Group allocation"/>
  </r>
  <r>
    <s v="99923243"/>
    <m/>
    <x v="0"/>
    <x v="0"/>
    <m/>
    <m/>
    <m/>
    <n v="1770"/>
    <n v="32"/>
    <n v="4"/>
    <s v="99923243"/>
    <s v="02_GmbH"/>
    <x v="1"/>
    <m/>
    <m/>
    <m/>
    <m/>
    <x v="0"/>
    <s v="Project"/>
    <x v="1989"/>
    <x v="0"/>
    <x v="1"/>
    <s v="Exclude in HGB Group allocation"/>
  </r>
  <r>
    <s v="99923244"/>
    <m/>
    <x v="0"/>
    <x v="0"/>
    <m/>
    <m/>
    <m/>
    <n v="1770"/>
    <n v="32"/>
    <n v="4"/>
    <s v="99923244"/>
    <s v="02_GmbH"/>
    <x v="1"/>
    <m/>
    <m/>
    <m/>
    <m/>
    <x v="0"/>
    <s v="Project"/>
    <x v="1989"/>
    <x v="0"/>
    <x v="2"/>
    <s v="Exclude in HGB Group allocation"/>
  </r>
  <r>
    <s v="99923247"/>
    <m/>
    <x v="0"/>
    <x v="0"/>
    <m/>
    <m/>
    <m/>
    <n v="1770"/>
    <n v="32"/>
    <n v="4"/>
    <s v="99923247"/>
    <s v="02_GmbH"/>
    <x v="1"/>
    <m/>
    <m/>
    <m/>
    <m/>
    <x v="0"/>
    <s v="Project"/>
    <x v="1989"/>
    <x v="0"/>
    <x v="20"/>
    <s v="Exclude in HGB Group allocation"/>
  </r>
  <r>
    <s v="99923443"/>
    <m/>
    <x v="0"/>
    <x v="0"/>
    <m/>
    <m/>
    <m/>
    <n v="1770"/>
    <n v="32"/>
    <n v="4"/>
    <s v="99923443"/>
    <s v="02_GmbH"/>
    <x v="1"/>
    <m/>
    <m/>
    <m/>
    <m/>
    <x v="0"/>
    <s v="Project"/>
    <x v="1989"/>
    <x v="0"/>
    <x v="1"/>
    <s v="Exclude in HGB Group allocation"/>
  </r>
  <r>
    <s v="99924043"/>
    <m/>
    <x v="0"/>
    <x v="0"/>
    <m/>
    <m/>
    <m/>
    <n v="1770"/>
    <n v="33"/>
    <n v="4"/>
    <s v="99924043"/>
    <s v="02_GmbH"/>
    <x v="1"/>
    <m/>
    <m/>
    <m/>
    <m/>
    <x v="0"/>
    <s v="Project"/>
    <x v="1990"/>
    <x v="0"/>
    <x v="1"/>
    <s v="Exclude in HGB Group allocation"/>
  </r>
  <r>
    <s v="99924142"/>
    <m/>
    <x v="0"/>
    <x v="0"/>
    <m/>
    <m/>
    <m/>
    <n v="1770"/>
    <n v="38"/>
    <n v="4"/>
    <s v="99924142"/>
    <s v="02_GmbH"/>
    <x v="1"/>
    <m/>
    <m/>
    <m/>
    <m/>
    <x v="0"/>
    <s v="Project"/>
    <x v="1991"/>
    <x v="0"/>
    <x v="23"/>
    <s v="Exclude in HGB Group allocation"/>
  </r>
  <r>
    <s v="0"/>
    <m/>
    <x v="0"/>
    <x v="0"/>
    <m/>
    <m/>
    <m/>
    <n v="1988"/>
    <n v="40"/>
    <n v="2"/>
    <m/>
    <s v="01_SE"/>
    <x v="0"/>
    <m/>
    <m/>
    <m/>
    <m/>
    <x v="0"/>
    <s v="Project"/>
    <x v="1998"/>
    <x v="0"/>
    <x v="0"/>
    <s v="Exclude in HGB Group allocation"/>
  </r>
  <r>
    <s v="0"/>
    <m/>
    <x v="0"/>
    <x v="0"/>
    <m/>
    <m/>
    <m/>
    <n v="1988"/>
    <n v="43"/>
    <n v="1"/>
    <m/>
    <s v="02_GmbH"/>
    <x v="4"/>
    <m/>
    <m/>
    <m/>
    <m/>
    <x v="0"/>
    <s v="Project"/>
    <x v="1999"/>
    <x v="0"/>
    <x v="17"/>
    <s v="Exclude in HGB Group allocation"/>
  </r>
  <r>
    <s v="0"/>
    <m/>
    <x v="0"/>
    <x v="0"/>
    <m/>
    <m/>
    <m/>
    <n v="1988"/>
    <n v="44"/>
    <n v="1"/>
    <m/>
    <s v="02_GmbH"/>
    <x v="4"/>
    <m/>
    <m/>
    <m/>
    <m/>
    <x v="0"/>
    <s v="Project"/>
    <x v="2000"/>
    <x v="0"/>
    <x v="18"/>
    <s v="Exclude in HGB Group allocation"/>
  </r>
  <r>
    <s v="0"/>
    <m/>
    <x v="0"/>
    <x v="0"/>
    <m/>
    <m/>
    <m/>
    <n v="1988"/>
    <n v="45"/>
    <n v="2"/>
    <m/>
    <s v="01_SE"/>
    <x v="0"/>
    <m/>
    <m/>
    <m/>
    <m/>
    <x v="0"/>
    <s v="Project"/>
    <x v="2001"/>
    <x v="0"/>
    <x v="0"/>
    <s v="Exclude in HGB Group allocation"/>
  </r>
  <r>
    <s v="0"/>
    <m/>
    <x v="0"/>
    <x v="0"/>
    <m/>
    <m/>
    <m/>
    <n v="1988"/>
    <n v="46"/>
    <n v="1"/>
    <m/>
    <s v="02_GmbH"/>
    <x v="4"/>
    <m/>
    <m/>
    <m/>
    <m/>
    <x v="0"/>
    <s v="Project"/>
    <x v="2002"/>
    <x v="0"/>
    <x v="17"/>
    <s v="Exclude in HGB Group allocation"/>
  </r>
  <r>
    <s v="19880128"/>
    <m/>
    <x v="0"/>
    <x v="0"/>
    <m/>
    <m/>
    <m/>
    <n v="1988"/>
    <n v="1"/>
    <n v="2"/>
    <s v="19880128"/>
    <s v="01_SE"/>
    <x v="0"/>
    <m/>
    <m/>
    <m/>
    <m/>
    <x v="0"/>
    <s v="Project"/>
    <x v="2003"/>
    <x v="0"/>
    <x v="0"/>
    <s v="Exclude in HGB Group allocation"/>
  </r>
  <r>
    <s v="19880628"/>
    <m/>
    <x v="0"/>
    <x v="0"/>
    <m/>
    <m/>
    <m/>
    <n v="1988"/>
    <n v="6"/>
    <n v="2"/>
    <s v="19880628"/>
    <s v="01_SE"/>
    <x v="0"/>
    <m/>
    <m/>
    <m/>
    <m/>
    <x v="0"/>
    <s v="Project"/>
    <x v="2004"/>
    <x v="0"/>
    <x v="0"/>
    <s v="Exclude in HGB Group allocation"/>
  </r>
  <r>
    <s v="19881811"/>
    <m/>
    <x v="0"/>
    <x v="0"/>
    <m/>
    <m/>
    <m/>
    <n v="1988"/>
    <n v="18"/>
    <n v="1"/>
    <s v="19881811"/>
    <s v="02_GmbH"/>
    <x v="4"/>
    <m/>
    <m/>
    <m/>
    <m/>
    <x v="0"/>
    <s v="Project"/>
    <x v="2005"/>
    <x v="0"/>
    <x v="18"/>
    <s v="Exclude in HGB Group allocation"/>
  </r>
  <r>
    <s v="19881812"/>
    <m/>
    <x v="0"/>
    <x v="0"/>
    <m/>
    <m/>
    <m/>
    <n v="1988"/>
    <n v="18"/>
    <n v="1"/>
    <s v="19881812"/>
    <s v="02_GmbH"/>
    <x v="4"/>
    <m/>
    <m/>
    <m/>
    <m/>
    <x v="0"/>
    <s v="Project"/>
    <x v="2005"/>
    <x v="0"/>
    <x v="18"/>
    <s v="Exclude in HGB Group allocation"/>
  </r>
  <r>
    <s v="19881813"/>
    <m/>
    <x v="0"/>
    <x v="0"/>
    <m/>
    <m/>
    <m/>
    <n v="1988"/>
    <n v="18"/>
    <n v="1"/>
    <s v="19881813"/>
    <s v="02_GmbH"/>
    <x v="4"/>
    <m/>
    <m/>
    <m/>
    <m/>
    <x v="0"/>
    <s v="Project"/>
    <x v="2005"/>
    <x v="0"/>
    <x v="17"/>
    <s v="Exclude in HGB Group allocation"/>
  </r>
  <r>
    <s v="19882043"/>
    <m/>
    <x v="0"/>
    <x v="0"/>
    <m/>
    <m/>
    <m/>
    <n v="1988"/>
    <n v="20"/>
    <n v="4"/>
    <s v="19882043"/>
    <s v="02_GmbH"/>
    <x v="1"/>
    <m/>
    <m/>
    <m/>
    <m/>
    <x v="0"/>
    <s v="Project"/>
    <x v="2006"/>
    <x v="0"/>
    <x v="1"/>
    <s v="Exclude in HGB Group allocation"/>
  </r>
  <r>
    <s v="19882111"/>
    <m/>
    <x v="0"/>
    <x v="0"/>
    <m/>
    <m/>
    <m/>
    <n v="1988"/>
    <n v="21"/>
    <n v="1"/>
    <s v="19882111"/>
    <s v="02_GmbH"/>
    <x v="4"/>
    <m/>
    <m/>
    <m/>
    <m/>
    <x v="0"/>
    <s v="Project"/>
    <x v="2007"/>
    <x v="0"/>
    <x v="18"/>
    <s v="Exclude in HGB Group allocation"/>
  </r>
  <r>
    <s v="19883311"/>
    <m/>
    <x v="0"/>
    <x v="0"/>
    <m/>
    <m/>
    <m/>
    <n v="1988"/>
    <n v="33"/>
    <n v="1"/>
    <s v="19883311"/>
    <s v="02_GmbH"/>
    <x v="4"/>
    <m/>
    <m/>
    <m/>
    <m/>
    <x v="0"/>
    <s v="Project"/>
    <x v="2008"/>
    <x v="0"/>
    <x v="18"/>
    <s v="Exclude in HGB Group allocation"/>
  </r>
  <r>
    <s v="19883313"/>
    <m/>
    <x v="0"/>
    <x v="0"/>
    <m/>
    <m/>
    <m/>
    <n v="1988"/>
    <n v="33"/>
    <n v="1"/>
    <s v="19883313"/>
    <s v="02_GmbH"/>
    <x v="4"/>
    <m/>
    <m/>
    <m/>
    <m/>
    <x v="0"/>
    <s v="Project"/>
    <x v="2008"/>
    <x v="0"/>
    <x v="17"/>
    <s v="Exclude in HGB Group allocation"/>
  </r>
  <r>
    <s v="19883316"/>
    <m/>
    <x v="0"/>
    <x v="0"/>
    <m/>
    <m/>
    <m/>
    <n v="1988"/>
    <n v="33"/>
    <n v="1"/>
    <s v="19883316"/>
    <s v="02_GmbH"/>
    <x v="4"/>
    <m/>
    <m/>
    <m/>
    <m/>
    <x v="0"/>
    <s v="Project"/>
    <x v="2008"/>
    <x v="0"/>
    <x v="19"/>
    <s v="Exclude in HGB Group allocation"/>
  </r>
  <r>
    <s v="19883413"/>
    <m/>
    <x v="0"/>
    <x v="0"/>
    <m/>
    <m/>
    <m/>
    <n v="1988"/>
    <n v="34"/>
    <n v="1"/>
    <s v="19883413"/>
    <s v="02_GmbH"/>
    <x v="4"/>
    <m/>
    <m/>
    <m/>
    <m/>
    <x v="0"/>
    <s v="Project"/>
    <x v="2009"/>
    <x v="0"/>
    <x v="17"/>
    <s v="Exclude in HGB Group allocation"/>
  </r>
  <r>
    <s v="19883416"/>
    <m/>
    <x v="0"/>
    <x v="0"/>
    <m/>
    <m/>
    <m/>
    <n v="1988"/>
    <n v="34"/>
    <n v="1"/>
    <s v="19883416"/>
    <s v="02_GmbH"/>
    <x v="4"/>
    <m/>
    <m/>
    <m/>
    <m/>
    <x v="0"/>
    <s v="Project"/>
    <x v="2009"/>
    <x v="0"/>
    <x v="19"/>
    <s v="Exclude in HGB Group allocation"/>
  </r>
  <r>
    <s v="19883911"/>
    <m/>
    <x v="0"/>
    <x v="0"/>
    <m/>
    <m/>
    <m/>
    <n v="1988"/>
    <n v="39"/>
    <n v="1"/>
    <s v="19883911"/>
    <s v="02_GmbH"/>
    <x v="4"/>
    <m/>
    <m/>
    <m/>
    <m/>
    <x v="0"/>
    <s v="Project"/>
    <x v="2010"/>
    <x v="0"/>
    <x v="18"/>
    <s v="Exclude in HGB Group allocation"/>
  </r>
  <r>
    <s v="19883916"/>
    <m/>
    <x v="0"/>
    <x v="0"/>
    <m/>
    <m/>
    <m/>
    <n v="1988"/>
    <n v="39"/>
    <n v="1"/>
    <s v="19883916"/>
    <s v="02_GmbH"/>
    <x v="4"/>
    <m/>
    <m/>
    <m/>
    <m/>
    <x v="0"/>
    <s v="Project"/>
    <x v="2010"/>
    <x v="0"/>
    <x v="19"/>
    <s v="Exclude in HGB Group allocation"/>
  </r>
  <r>
    <s v="19884026"/>
    <m/>
    <x v="0"/>
    <x v="0"/>
    <m/>
    <m/>
    <m/>
    <n v="1988"/>
    <n v="40"/>
    <n v="2"/>
    <s v="19884026"/>
    <s v="01_SE"/>
    <x v="0"/>
    <m/>
    <m/>
    <m/>
    <m/>
    <x v="0"/>
    <s v="Project"/>
    <x v="1998"/>
    <x v="0"/>
    <x v="0"/>
    <s v="Exclude in HGB Group allocation"/>
  </r>
  <r>
    <s v="19884144"/>
    <m/>
    <x v="0"/>
    <x v="0"/>
    <m/>
    <m/>
    <m/>
    <n v="1988"/>
    <n v="41"/>
    <n v="4"/>
    <s v="19884144"/>
    <s v="02_GmbH"/>
    <x v="1"/>
    <m/>
    <m/>
    <m/>
    <m/>
    <x v="0"/>
    <s v="Project"/>
    <x v="2011"/>
    <x v="0"/>
    <x v="21"/>
    <s v="Exclude in HGB Group allocation"/>
  </r>
  <r>
    <s v="99630511"/>
    <m/>
    <x v="0"/>
    <x v="0"/>
    <m/>
    <m/>
    <m/>
    <n v="1988"/>
    <n v="39"/>
    <n v="1"/>
    <s v="99630511"/>
    <s v="02_GmbH"/>
    <x v="4"/>
    <m/>
    <m/>
    <m/>
    <m/>
    <x v="0"/>
    <s v="Project"/>
    <x v="2010"/>
    <x v="0"/>
    <x v="18"/>
    <s v="Exclude in HGB Group allocation"/>
  </r>
  <r>
    <s v="99630516"/>
    <m/>
    <x v="0"/>
    <x v="0"/>
    <m/>
    <m/>
    <m/>
    <n v="1988"/>
    <n v="39"/>
    <n v="1"/>
    <s v="99630516"/>
    <s v="02_GmbH"/>
    <x v="4"/>
    <m/>
    <m/>
    <m/>
    <m/>
    <x v="0"/>
    <s v="Project"/>
    <x v="2010"/>
    <x v="0"/>
    <x v="19"/>
    <s v="Exclude in HGB Group allocation"/>
  </r>
  <r>
    <s v="99910711"/>
    <m/>
    <x v="0"/>
    <x v="0"/>
    <m/>
    <m/>
    <m/>
    <n v="1988"/>
    <n v="18"/>
    <n v="1"/>
    <s v="99910711"/>
    <s v="02_GmbH"/>
    <x v="4"/>
    <m/>
    <m/>
    <m/>
    <m/>
    <x v="0"/>
    <s v="Project"/>
    <x v="2005"/>
    <x v="0"/>
    <x v="18"/>
    <s v="Exclude in HGB Group allocation"/>
  </r>
  <r>
    <s v="99910712"/>
    <m/>
    <x v="0"/>
    <x v="0"/>
    <m/>
    <m/>
    <m/>
    <n v="1988"/>
    <n v="18"/>
    <n v="1"/>
    <s v="99910712"/>
    <s v="02_GmbH"/>
    <x v="4"/>
    <m/>
    <m/>
    <m/>
    <m/>
    <x v="0"/>
    <s v="Project"/>
    <x v="2005"/>
    <x v="0"/>
    <x v="18"/>
    <s v="Exclude in HGB Group allocation"/>
  </r>
  <r>
    <s v="99910713"/>
    <m/>
    <x v="0"/>
    <x v="0"/>
    <m/>
    <m/>
    <m/>
    <n v="1988"/>
    <n v="18"/>
    <n v="1"/>
    <s v="99910713"/>
    <s v="02_GmbH"/>
    <x v="4"/>
    <m/>
    <m/>
    <m/>
    <m/>
    <x v="0"/>
    <s v="Project"/>
    <x v="2005"/>
    <x v="0"/>
    <x v="17"/>
    <s v="Exclude in HGB Group allocation"/>
  </r>
  <r>
    <s v="99910716"/>
    <m/>
    <x v="0"/>
    <x v="0"/>
    <m/>
    <m/>
    <m/>
    <n v="1988"/>
    <n v="18"/>
    <n v="1"/>
    <s v="99910716"/>
    <s v="02_GmbH"/>
    <x v="4"/>
    <m/>
    <m/>
    <m/>
    <m/>
    <x v="0"/>
    <s v="Project"/>
    <x v="2005"/>
    <x v="0"/>
    <x v="19"/>
    <s v="Exclude in HGB Group allocation"/>
  </r>
  <r>
    <s v="99910717"/>
    <m/>
    <x v="0"/>
    <x v="0"/>
    <m/>
    <m/>
    <m/>
    <n v="1988"/>
    <n v="18"/>
    <n v="1"/>
    <s v="99910717"/>
    <s v="02_GmbH"/>
    <x v="4"/>
    <m/>
    <m/>
    <m/>
    <m/>
    <x v="0"/>
    <s v="Project"/>
    <x v="2005"/>
    <x v="0"/>
    <x v="19"/>
    <s v="Exclude in HGB Group allocation"/>
  </r>
  <r>
    <s v="99914711"/>
    <m/>
    <x v="0"/>
    <x v="0"/>
    <m/>
    <m/>
    <m/>
    <n v="1988"/>
    <n v="21"/>
    <n v="1"/>
    <s v="99914711"/>
    <s v="02_GmbH"/>
    <x v="4"/>
    <m/>
    <m/>
    <m/>
    <m/>
    <x v="0"/>
    <s v="Project"/>
    <x v="2007"/>
    <x v="0"/>
    <x v="18"/>
    <s v="Exclude in HGB Group allocation"/>
  </r>
  <r>
    <s v="99918311"/>
    <m/>
    <x v="0"/>
    <x v="0"/>
    <m/>
    <m/>
    <m/>
    <n v="1988"/>
    <n v="33"/>
    <n v="1"/>
    <s v="99918311"/>
    <s v="02_GmbH"/>
    <x v="4"/>
    <m/>
    <m/>
    <m/>
    <m/>
    <x v="0"/>
    <s v="Project"/>
    <x v="2008"/>
    <x v="0"/>
    <x v="18"/>
    <s v="Exclude in HGB Group allocation"/>
  </r>
  <r>
    <s v="99918313"/>
    <m/>
    <x v="0"/>
    <x v="0"/>
    <m/>
    <m/>
    <m/>
    <n v="1988"/>
    <n v="33"/>
    <n v="1"/>
    <s v="99918313"/>
    <s v="02_GmbH"/>
    <x v="4"/>
    <m/>
    <m/>
    <m/>
    <m/>
    <x v="0"/>
    <s v="Project"/>
    <x v="2008"/>
    <x v="0"/>
    <x v="17"/>
    <s v="Exclude in HGB Group allocation"/>
  </r>
  <r>
    <s v="99918316"/>
    <m/>
    <x v="0"/>
    <x v="0"/>
    <m/>
    <m/>
    <m/>
    <n v="1988"/>
    <n v="33"/>
    <n v="1"/>
    <s v="99918316"/>
    <s v="02_GmbH"/>
    <x v="4"/>
    <m/>
    <m/>
    <m/>
    <m/>
    <x v="0"/>
    <s v="Project"/>
    <x v="2008"/>
    <x v="0"/>
    <x v="19"/>
    <s v="Exclude in HGB Group allocation"/>
  </r>
  <r>
    <s v="99951513"/>
    <m/>
    <x v="0"/>
    <x v="0"/>
    <m/>
    <m/>
    <m/>
    <n v="1988"/>
    <n v="34"/>
    <n v="1"/>
    <s v="99951513"/>
    <s v="02_GmbH"/>
    <x v="4"/>
    <m/>
    <m/>
    <m/>
    <m/>
    <x v="0"/>
    <s v="Project"/>
    <x v="2009"/>
    <x v="0"/>
    <x v="17"/>
    <s v="Exclude in HGB Group allocation"/>
  </r>
  <r>
    <s v="99951516"/>
    <m/>
    <x v="0"/>
    <x v="0"/>
    <m/>
    <m/>
    <m/>
    <n v="1988"/>
    <n v="34"/>
    <n v="1"/>
    <s v="99951516"/>
    <s v="02_GmbH"/>
    <x v="4"/>
    <m/>
    <m/>
    <m/>
    <m/>
    <x v="0"/>
    <s v="Project"/>
    <x v="2009"/>
    <x v="0"/>
    <x v="19"/>
    <s v="Exclude in HGB Group allocation"/>
  </r>
  <r>
    <s v="99951517"/>
    <m/>
    <x v="0"/>
    <x v="0"/>
    <m/>
    <m/>
    <m/>
    <n v="1988"/>
    <n v="34"/>
    <n v="1"/>
    <s v="99951517"/>
    <s v="02_GmbH"/>
    <x v="4"/>
    <m/>
    <m/>
    <m/>
    <m/>
    <x v="0"/>
    <s v="Project"/>
    <x v="2009"/>
    <x v="0"/>
    <x v="19"/>
    <s v="Exclude in HGB Group allocation"/>
  </r>
  <r>
    <s v="99955611"/>
    <m/>
    <x v="0"/>
    <x v="0"/>
    <m/>
    <m/>
    <m/>
    <n v="1988"/>
    <n v="38"/>
    <n v="1"/>
    <s v="99955611"/>
    <s v="01_SE"/>
    <x v="4"/>
    <m/>
    <m/>
    <m/>
    <m/>
    <x v="0"/>
    <s v="Project"/>
    <x v="2012"/>
    <x v="0"/>
    <x v="18"/>
    <s v="Exclude in HGB Group allocation"/>
  </r>
  <r>
    <s v="0"/>
    <m/>
    <x v="0"/>
    <x v="0"/>
    <m/>
    <m/>
    <m/>
    <n v="9963"/>
    <n v="85"/>
    <n v="1"/>
    <m/>
    <s v="01_SE"/>
    <x v="4"/>
    <m/>
    <m/>
    <m/>
    <m/>
    <x v="0"/>
    <s v="Project"/>
    <x v="2013"/>
    <x v="0"/>
    <x v="18"/>
    <s v="Exclude in HGB Group allocation"/>
  </r>
  <r>
    <s v="0"/>
    <m/>
    <x v="0"/>
    <x v="0"/>
    <m/>
    <m/>
    <m/>
    <n v="9963"/>
    <n v="85"/>
    <n v="1"/>
    <m/>
    <s v="01_SE"/>
    <x v="4"/>
    <m/>
    <m/>
    <m/>
    <m/>
    <x v="0"/>
    <s v="Project"/>
    <x v="2013"/>
    <x v="0"/>
    <x v="17"/>
    <s v="Exclude in HGB Group allocation"/>
  </r>
  <r>
    <s v="0"/>
    <m/>
    <x v="0"/>
    <x v="0"/>
    <m/>
    <m/>
    <m/>
    <n v="9963"/>
    <n v="85"/>
    <n v="1"/>
    <m/>
    <s v="01_SE"/>
    <x v="4"/>
    <m/>
    <m/>
    <m/>
    <m/>
    <x v="0"/>
    <s v="Project"/>
    <x v="2013"/>
    <x v="0"/>
    <x v="19"/>
    <s v="Exclude in HGB Group allocation"/>
  </r>
  <r>
    <s v="0"/>
    <m/>
    <x v="0"/>
    <x v="0"/>
    <m/>
    <m/>
    <m/>
    <n v="9963"/>
    <n v="85"/>
    <n v="2"/>
    <m/>
    <s v="02_GmbH"/>
    <x v="0"/>
    <m/>
    <m/>
    <m/>
    <m/>
    <x v="0"/>
    <s v="Project"/>
    <x v="2014"/>
    <x v="0"/>
    <x v="0"/>
    <s v="Exclude in HGB Group allocation"/>
  </r>
  <r>
    <s v="0"/>
    <m/>
    <x v="0"/>
    <x v="0"/>
    <m/>
    <m/>
    <m/>
    <n v="9963"/>
    <n v="86"/>
    <n v="5"/>
    <m/>
    <s v="01_SE"/>
    <x v="3"/>
    <m/>
    <m/>
    <m/>
    <m/>
    <x v="0"/>
    <s v="Project"/>
    <x v="2015"/>
    <x v="0"/>
    <x v="26"/>
    <s v="Exclude in HGB Group allocation"/>
  </r>
  <r>
    <s v="0"/>
    <m/>
    <x v="0"/>
    <x v="0"/>
    <m/>
    <m/>
    <m/>
    <n v="9963"/>
    <n v="87"/>
    <n v="1"/>
    <m/>
    <s v="01_SE"/>
    <x v="4"/>
    <m/>
    <m/>
    <m/>
    <m/>
    <x v="0"/>
    <s v="Project"/>
    <x v="2016"/>
    <x v="0"/>
    <x v="17"/>
    <s v="Exclude in HGB Group allocation"/>
  </r>
  <r>
    <s v="0"/>
    <m/>
    <x v="0"/>
    <x v="0"/>
    <m/>
    <m/>
    <m/>
    <n v="9963"/>
    <n v="88"/>
    <n v="1"/>
    <m/>
    <s v="01_SE"/>
    <x v="4"/>
    <m/>
    <m/>
    <m/>
    <m/>
    <x v="0"/>
    <s v="Project"/>
    <x v="2017"/>
    <x v="0"/>
    <x v="18"/>
    <s v="Exclude in HGB Group allocation"/>
  </r>
  <r>
    <s v="0"/>
    <m/>
    <x v="0"/>
    <x v="0"/>
    <m/>
    <m/>
    <m/>
    <n v="9981"/>
    <n v="52"/>
    <n v="1"/>
    <m/>
    <s v="01_SE"/>
    <x v="4"/>
    <m/>
    <m/>
    <m/>
    <m/>
    <x v="0"/>
    <s v="Project"/>
    <x v="2018"/>
    <x v="0"/>
    <x v="18"/>
    <s v="Exclude in HGB Group allocation"/>
  </r>
  <r>
    <s v="0"/>
    <m/>
    <x v="0"/>
    <x v="0"/>
    <m/>
    <m/>
    <m/>
    <n v="9981"/>
    <n v="52"/>
    <n v="1"/>
    <m/>
    <s v="01_SE"/>
    <x v="4"/>
    <m/>
    <m/>
    <m/>
    <m/>
    <x v="0"/>
    <s v="Project"/>
    <x v="2018"/>
    <x v="0"/>
    <x v="19"/>
    <s v="Exclude in HGB Group allocation"/>
  </r>
  <r>
    <s v="99931811"/>
    <m/>
    <x v="0"/>
    <x v="0"/>
    <m/>
    <m/>
    <m/>
    <n v="9991"/>
    <n v="7"/>
    <n v="1"/>
    <s v="99931811"/>
    <s v="01_SE"/>
    <x v="4"/>
    <m/>
    <m/>
    <m/>
    <m/>
    <x v="0"/>
    <s v="Project"/>
    <x v="2019"/>
    <x v="0"/>
    <x v="18"/>
    <s v="Exclude in HGB Group allocation"/>
  </r>
  <r>
    <s v="99931817"/>
    <m/>
    <x v="0"/>
    <x v="0"/>
    <m/>
    <m/>
    <m/>
    <n v="9991"/>
    <n v="7"/>
    <n v="1"/>
    <s v="99931817"/>
    <s v="01_SE"/>
    <x v="4"/>
    <m/>
    <m/>
    <m/>
    <m/>
    <x v="0"/>
    <s v="Project"/>
    <x v="2019"/>
    <x v="0"/>
    <x v="19"/>
    <s v="Exclude in HGB Group allocation"/>
  </r>
  <r>
    <s v="99966113"/>
    <m/>
    <x v="0"/>
    <x v="0"/>
    <m/>
    <m/>
    <m/>
    <n v="9991"/>
    <n v="7"/>
    <n v="1"/>
    <s v="99966113"/>
    <s v="01_SE"/>
    <x v="4"/>
    <m/>
    <m/>
    <m/>
    <m/>
    <x v="0"/>
    <s v="Project"/>
    <x v="2019"/>
    <x v="0"/>
    <x v="17"/>
    <s v="Exclude in HGB Group allocation"/>
  </r>
  <r>
    <s v="99920227"/>
    <m/>
    <x v="0"/>
    <x v="0"/>
    <m/>
    <m/>
    <m/>
    <n v="9992"/>
    <n v="2"/>
    <n v="2"/>
    <s v="99920227"/>
    <s v="12_CT"/>
    <x v="0"/>
    <m/>
    <m/>
    <m/>
    <m/>
    <x v="0"/>
    <s v="Project"/>
    <x v="2020"/>
    <x v="0"/>
    <x v="21"/>
    <s v="Exclude in HGB Group allocation"/>
  </r>
  <r>
    <s v="99920511"/>
    <m/>
    <x v="0"/>
    <x v="0"/>
    <m/>
    <m/>
    <m/>
    <n v="9992"/>
    <n v="5"/>
    <n v="1"/>
    <s v="99920511"/>
    <s v="01_SE"/>
    <x v="4"/>
    <m/>
    <m/>
    <m/>
    <m/>
    <x v="0"/>
    <s v="Project"/>
    <x v="2021"/>
    <x v="0"/>
    <x v="18"/>
    <s v="Exclude in HGB Group allocation"/>
  </r>
  <r>
    <s v="99920513"/>
    <m/>
    <x v="0"/>
    <x v="0"/>
    <m/>
    <m/>
    <m/>
    <n v="9992"/>
    <n v="5"/>
    <n v="1"/>
    <s v="99920513"/>
    <s v="01_SE"/>
    <x v="4"/>
    <m/>
    <m/>
    <m/>
    <m/>
    <x v="0"/>
    <s v="Project"/>
    <x v="2021"/>
    <x v="0"/>
    <x v="17"/>
    <s v="Exclude in HGB Group allocation"/>
  </r>
  <r>
    <s v="99921016"/>
    <m/>
    <x v="0"/>
    <x v="0"/>
    <m/>
    <m/>
    <m/>
    <n v="9992"/>
    <n v="10"/>
    <n v="1"/>
    <s v="99921016"/>
    <s v="01_SE"/>
    <x v="4"/>
    <m/>
    <m/>
    <m/>
    <m/>
    <x v="0"/>
    <s v="Project"/>
    <x v="2022"/>
    <x v="0"/>
    <x v="19"/>
    <s v="Exclude in HGB Group allocation"/>
  </r>
  <r>
    <s v="99923211"/>
    <m/>
    <x v="0"/>
    <x v="0"/>
    <m/>
    <m/>
    <m/>
    <n v="9992"/>
    <n v="32"/>
    <n v="1"/>
    <s v="99923211"/>
    <s v="01_SE"/>
    <x v="4"/>
    <m/>
    <m/>
    <m/>
    <m/>
    <x v="0"/>
    <s v="Project"/>
    <x v="2023"/>
    <x v="0"/>
    <x v="18"/>
    <s v="Exclude in HGB Group allocation"/>
  </r>
  <r>
    <s v="99923213"/>
    <m/>
    <x v="0"/>
    <x v="0"/>
    <m/>
    <m/>
    <m/>
    <n v="9992"/>
    <n v="32"/>
    <n v="1"/>
    <s v="99923213"/>
    <s v="01_SE"/>
    <x v="4"/>
    <m/>
    <m/>
    <m/>
    <m/>
    <x v="0"/>
    <s v="Project"/>
    <x v="2023"/>
    <x v="0"/>
    <x v="17"/>
    <s v="Exclude in HGB Group allocation"/>
  </r>
  <r>
    <s v="99923216"/>
    <m/>
    <x v="0"/>
    <x v="0"/>
    <m/>
    <m/>
    <m/>
    <n v="9992"/>
    <n v="32"/>
    <n v="1"/>
    <s v="99923216"/>
    <s v="01_SE"/>
    <x v="4"/>
    <m/>
    <m/>
    <m/>
    <m/>
    <x v="0"/>
    <s v="Project"/>
    <x v="2023"/>
    <x v="0"/>
    <x v="19"/>
    <s v="Exclude in HGB Group allocation"/>
  </r>
  <r>
    <s v="99924228"/>
    <m/>
    <x v="0"/>
    <x v="0"/>
    <m/>
    <m/>
    <m/>
    <n v="9992"/>
    <n v="42"/>
    <n v="2"/>
    <s v="99924228"/>
    <s v="01_SE"/>
    <x v="0"/>
    <m/>
    <m/>
    <m/>
    <m/>
    <x v="0"/>
    <s v="Project"/>
    <x v="2024"/>
    <x v="0"/>
    <x v="0"/>
    <s v="Exclude in HGB Group allocation"/>
  </r>
  <r>
    <s v="99959928"/>
    <m/>
    <x v="0"/>
    <x v="0"/>
    <m/>
    <m/>
    <m/>
    <n v="9995"/>
    <n v="99"/>
    <n v="2"/>
    <s v="99959928"/>
    <s v="01_SE"/>
    <x v="0"/>
    <m/>
    <m/>
    <m/>
    <m/>
    <x v="0"/>
    <s v="Project"/>
    <x v="2025"/>
    <x v="0"/>
    <x v="0"/>
    <s v="Exclude in HGB Group allocation"/>
  </r>
  <r>
    <s v="99966948"/>
    <m/>
    <x v="0"/>
    <x v="0"/>
    <m/>
    <m/>
    <m/>
    <n v="9996"/>
    <n v="69"/>
    <n v="4"/>
    <s v="99966948"/>
    <s v="02_GmbH"/>
    <x v="1"/>
    <m/>
    <m/>
    <m/>
    <m/>
    <x v="0"/>
    <s v="Project"/>
    <x v="2026"/>
    <x v="0"/>
    <x v="21"/>
    <s v="Exclude in HGB Group allocation"/>
  </r>
  <r>
    <s v="0"/>
    <m/>
    <x v="0"/>
    <x v="0"/>
    <m/>
    <m/>
    <m/>
    <n v="7803"/>
    <n v="2"/>
    <n v="2"/>
    <m/>
    <s v="07_Inc"/>
    <x v="0"/>
    <m/>
    <m/>
    <m/>
    <m/>
    <x v="0"/>
    <s v="Project"/>
    <x v="2027"/>
    <x v="0"/>
    <x v="25"/>
    <s v="Exclude in HGB Group allocation"/>
  </r>
  <r>
    <s v="30670228"/>
    <m/>
    <x v="0"/>
    <x v="0"/>
    <m/>
    <m/>
    <m/>
    <n v="3067"/>
    <n v="2"/>
    <n v="2"/>
    <s v="30670228"/>
    <s v="01_SE"/>
    <x v="0"/>
    <m/>
    <m/>
    <m/>
    <m/>
    <x v="0"/>
    <s v="Project"/>
    <x v="2028"/>
    <x v="0"/>
    <x v="0"/>
    <s v="Exclude in HGB Group allocation"/>
  </r>
  <r>
    <s v="30670347"/>
    <m/>
    <x v="0"/>
    <x v="0"/>
    <m/>
    <m/>
    <m/>
    <n v="3067"/>
    <n v="3"/>
    <n v="4"/>
    <n v="30670347"/>
    <s v="02_GmbH"/>
    <x v="1"/>
    <m/>
    <m/>
    <m/>
    <m/>
    <x v="0"/>
    <s v="Project"/>
    <x v="2029"/>
    <x v="0"/>
    <x v="20"/>
    <s v="Exclude in HGB Group allocation"/>
  </r>
  <r>
    <s v="30670443"/>
    <m/>
    <x v="0"/>
    <x v="0"/>
    <m/>
    <m/>
    <m/>
    <n v="3067"/>
    <n v="4"/>
    <n v="4"/>
    <n v="30670443"/>
    <s v="02_GmbH"/>
    <x v="1"/>
    <m/>
    <m/>
    <m/>
    <m/>
    <x v="0"/>
    <s v="Project"/>
    <x v="2030"/>
    <x v="0"/>
    <x v="1"/>
    <s v="Exclude in HGB Group allocation"/>
  </r>
  <r>
    <s v="0"/>
    <m/>
    <x v="0"/>
    <x v="0"/>
    <m/>
    <m/>
    <m/>
    <n v="8884"/>
    <n v="8"/>
    <n v="2"/>
    <m/>
    <s v="05_Shg"/>
    <x v="0"/>
    <m/>
    <m/>
    <m/>
    <m/>
    <x v="0"/>
    <s v="Project"/>
    <x v="2031"/>
    <x v="0"/>
    <x v="0"/>
    <s v="Exclude in HGB Group allocation"/>
  </r>
  <r>
    <s v="0"/>
    <m/>
    <x v="0"/>
    <x v="0"/>
    <m/>
    <m/>
    <m/>
    <n v="8984"/>
    <n v="9"/>
    <n v="2"/>
    <m/>
    <s v="01_SE"/>
    <x v="0"/>
    <m/>
    <m/>
    <m/>
    <m/>
    <x v="0"/>
    <s v="Project"/>
    <x v="2032"/>
    <x v="0"/>
    <x v="0"/>
    <s v="Exclude in HGB Group allocation"/>
  </r>
  <r>
    <s v="0"/>
    <m/>
    <x v="0"/>
    <x v="0"/>
    <m/>
    <m/>
    <m/>
    <n v="7656"/>
    <n v="2"/>
    <n v="2"/>
    <m/>
    <s v="01_SE"/>
    <x v="0"/>
    <m/>
    <m/>
    <m/>
    <m/>
    <x v="0"/>
    <s v="Project"/>
    <x v="2033"/>
    <x v="0"/>
    <x v="0"/>
    <s v="Exclude in HGB Group allocation"/>
  </r>
  <r>
    <s v="0"/>
    <m/>
    <x v="0"/>
    <x v="0"/>
    <m/>
    <m/>
    <m/>
    <n v="6142"/>
    <n v="2"/>
    <n v="2"/>
    <m/>
    <s v="07_Inc"/>
    <x v="0"/>
    <m/>
    <m/>
    <m/>
    <m/>
    <x v="0"/>
    <s v="Project"/>
    <x v="2034"/>
    <x v="0"/>
    <x v="15"/>
    <s v="Exclude in HGB Group allocation"/>
  </r>
  <r>
    <s v="0"/>
    <m/>
    <x v="0"/>
    <x v="0"/>
    <m/>
    <m/>
    <m/>
    <n v="7671"/>
    <n v="2"/>
    <n v="2"/>
    <m/>
    <s v="01_SE"/>
    <x v="0"/>
    <m/>
    <m/>
    <m/>
    <m/>
    <x v="0"/>
    <s v="Project"/>
    <x v="2035"/>
    <x v="0"/>
    <x v="0"/>
    <s v="Exclude in HGB Group allocation"/>
  </r>
  <r>
    <s v="0"/>
    <m/>
    <x v="0"/>
    <x v="0"/>
    <m/>
    <m/>
    <m/>
    <n v="7671"/>
    <n v="3"/>
    <n v="2"/>
    <m/>
    <s v="01_SE"/>
    <x v="0"/>
    <m/>
    <m/>
    <m/>
    <m/>
    <x v="0"/>
    <s v="Project"/>
    <x v="2036"/>
    <x v="0"/>
    <x v="0"/>
    <s v="Exclude in HGB Group allocation"/>
  </r>
  <r>
    <s v="0"/>
    <m/>
    <x v="0"/>
    <x v="0"/>
    <m/>
    <m/>
    <m/>
    <n v="7671"/>
    <n v="4"/>
    <n v="2"/>
    <m/>
    <s v="01_SE"/>
    <x v="0"/>
    <m/>
    <m/>
    <m/>
    <m/>
    <x v="0"/>
    <s v="Project"/>
    <x v="2037"/>
    <x v="0"/>
    <x v="0"/>
    <s v="Exclude in HGB Group allocation"/>
  </r>
  <r>
    <s v="0"/>
    <m/>
    <x v="0"/>
    <x v="0"/>
    <m/>
    <m/>
    <m/>
    <n v="2071"/>
    <n v="2"/>
    <n v="2"/>
    <m/>
    <s v="01_SE"/>
    <x v="0"/>
    <m/>
    <m/>
    <m/>
    <m/>
    <x v="0"/>
    <s v="Project"/>
    <x v="2038"/>
    <x v="0"/>
    <x v="0"/>
    <s v="Exclude in HGB Group allocation"/>
  </r>
  <r>
    <s v="0"/>
    <m/>
    <x v="0"/>
    <x v="0"/>
    <m/>
    <m/>
    <m/>
    <n v="7010"/>
    <n v="8"/>
    <n v="2"/>
    <m/>
    <s v="01_SE"/>
    <x v="0"/>
    <m/>
    <m/>
    <m/>
    <m/>
    <x v="0"/>
    <s v="Project"/>
    <x v="2039"/>
    <x v="0"/>
    <x v="0"/>
    <s v="Exclude in HGB Group allocation"/>
  </r>
  <r>
    <s v="81220328"/>
    <m/>
    <x v="0"/>
    <x v="0"/>
    <m/>
    <m/>
    <m/>
    <n v="8122"/>
    <n v="3"/>
    <n v="2"/>
    <s v="81220328"/>
    <s v="09_Ltda"/>
    <x v="0"/>
    <m/>
    <m/>
    <m/>
    <m/>
    <x v="0"/>
    <s v="Project"/>
    <x v="2040"/>
    <x v="0"/>
    <x v="21"/>
    <s v="Exclude in HGB Group allocation"/>
  </r>
  <r>
    <s v="0"/>
    <m/>
    <x v="0"/>
    <x v="0"/>
    <m/>
    <m/>
    <m/>
    <n v="1600"/>
    <n v="3"/>
    <n v="2"/>
    <m/>
    <s v="01_SE"/>
    <x v="0"/>
    <m/>
    <m/>
    <m/>
    <m/>
    <x v="0"/>
    <s v="Project"/>
    <x v="2041"/>
    <x v="0"/>
    <x v="0"/>
    <s v="Exclude in HGB Group allocation"/>
  </r>
  <r>
    <s v="76040328"/>
    <m/>
    <x v="0"/>
    <x v="0"/>
    <m/>
    <m/>
    <m/>
    <n v="7604"/>
    <n v="3"/>
    <n v="2"/>
    <s v="76040328"/>
    <s v="01_SE"/>
    <x v="0"/>
    <m/>
    <m/>
    <m/>
    <m/>
    <x v="0"/>
    <s v="Project"/>
    <x v="2042"/>
    <x v="0"/>
    <x v="0"/>
    <s v="Exclude in HGB Group allocation"/>
  </r>
  <r>
    <s v="76040228"/>
    <m/>
    <x v="0"/>
    <x v="0"/>
    <m/>
    <m/>
    <m/>
    <n v="7604"/>
    <n v="2"/>
    <n v="2"/>
    <s v="76040228"/>
    <s v="01_SE"/>
    <x v="0"/>
    <m/>
    <m/>
    <m/>
    <m/>
    <x v="0"/>
    <s v="Project"/>
    <x v="2043"/>
    <x v="0"/>
    <x v="0"/>
    <s v="Exclude in HGB Group allocation"/>
  </r>
  <r>
    <s v="0"/>
    <m/>
    <x v="0"/>
    <x v="0"/>
    <m/>
    <m/>
    <m/>
    <n v="7604"/>
    <n v="4"/>
    <n v="2"/>
    <m/>
    <s v="01_SE"/>
    <x v="0"/>
    <m/>
    <m/>
    <m/>
    <m/>
    <x v="0"/>
    <s v="Project"/>
    <x v="2044"/>
    <x v="0"/>
    <x v="0"/>
    <s v="Exclude in HGB Group allocation"/>
  </r>
  <r>
    <s v="75370228"/>
    <m/>
    <x v="0"/>
    <x v="0"/>
    <m/>
    <m/>
    <m/>
    <n v="7537"/>
    <n v="2"/>
    <n v="2"/>
    <s v="75370228"/>
    <s v="01_SE"/>
    <x v="0"/>
    <m/>
    <m/>
    <m/>
    <m/>
    <x v="0"/>
    <s v="Project"/>
    <x v="2045"/>
    <x v="0"/>
    <x v="0"/>
    <s v="Exclude in HGB Group allocation"/>
  </r>
  <r>
    <s v="0"/>
    <m/>
    <x v="0"/>
    <x v="0"/>
    <m/>
    <m/>
    <m/>
    <n v="6412"/>
    <n v="2"/>
    <n v="2"/>
    <m/>
    <s v="01_SE"/>
    <x v="0"/>
    <m/>
    <m/>
    <m/>
    <m/>
    <x v="0"/>
    <s v="Project"/>
    <x v="2046"/>
    <x v="0"/>
    <x v="0"/>
    <s v="Exclude in HGB Group allocation"/>
  </r>
  <r>
    <s v="0"/>
    <m/>
    <x v="0"/>
    <x v="0"/>
    <m/>
    <m/>
    <m/>
    <n v="6128"/>
    <n v="2"/>
    <n v="2"/>
    <m/>
    <s v="01_SE"/>
    <x v="0"/>
    <m/>
    <m/>
    <m/>
    <m/>
    <x v="0"/>
    <s v="Project"/>
    <x v="2047"/>
    <x v="0"/>
    <x v="0"/>
    <s v="Exclude in HGB Group allocation"/>
  </r>
  <r>
    <s v="81180328"/>
    <m/>
    <x v="0"/>
    <x v="0"/>
    <m/>
    <m/>
    <m/>
    <n v="8118"/>
    <n v="3"/>
    <n v="2"/>
    <s v="81180328"/>
    <s v="01_SE"/>
    <x v="0"/>
    <m/>
    <m/>
    <m/>
    <m/>
    <x v="0"/>
    <s v="Project"/>
    <x v="2048"/>
    <x v="0"/>
    <x v="0"/>
    <s v="Exclude in HGB Group allocation"/>
  </r>
  <r>
    <s v="0"/>
    <m/>
    <x v="0"/>
    <x v="0"/>
    <m/>
    <m/>
    <m/>
    <n v="6060"/>
    <n v="4"/>
    <n v="2"/>
    <m/>
    <s v="01_SE"/>
    <x v="0"/>
    <m/>
    <m/>
    <m/>
    <m/>
    <x v="0"/>
    <s v="Project"/>
    <x v="2049"/>
    <x v="0"/>
    <x v="0"/>
    <s v="Exclude in HGB Group allocation"/>
  </r>
  <r>
    <s v="0"/>
    <m/>
    <x v="0"/>
    <x v="0"/>
    <m/>
    <m/>
    <m/>
    <n v="7632"/>
    <n v="2"/>
    <n v="2"/>
    <m/>
    <s v="01_SE"/>
    <x v="0"/>
    <m/>
    <m/>
    <m/>
    <m/>
    <x v="0"/>
    <s v="Project"/>
    <x v="2050"/>
    <x v="0"/>
    <x v="0"/>
    <s v="Exclude in HGB Group allocation"/>
  </r>
  <r>
    <s v="0"/>
    <m/>
    <x v="0"/>
    <x v="0"/>
    <m/>
    <m/>
    <m/>
    <n v="7632"/>
    <n v="3"/>
    <n v="4"/>
    <m/>
    <s v="07_Inc"/>
    <x v="1"/>
    <m/>
    <m/>
    <m/>
    <m/>
    <x v="0"/>
    <s v="Project"/>
    <x v="2051"/>
    <x v="0"/>
    <x v="2"/>
    <s v="Exclude in HGB Group allocation"/>
  </r>
  <r>
    <s v="0"/>
    <m/>
    <x v="0"/>
    <x v="0"/>
    <m/>
    <m/>
    <m/>
    <n v="4011"/>
    <n v="1"/>
    <n v="2"/>
    <m/>
    <s v="01_SE"/>
    <x v="0"/>
    <m/>
    <m/>
    <m/>
    <m/>
    <x v="0"/>
    <s v="Project"/>
    <x v="2052"/>
    <x v="0"/>
    <x v="0"/>
    <s v="Exclude in HGB Group allocation"/>
  </r>
  <r>
    <s v="0"/>
    <m/>
    <x v="0"/>
    <x v="0"/>
    <m/>
    <m/>
    <m/>
    <n v="4011"/>
    <n v="2"/>
    <n v="2"/>
    <m/>
    <s v="01_SE"/>
    <x v="0"/>
    <m/>
    <m/>
    <m/>
    <m/>
    <x v="0"/>
    <s v="Project"/>
    <x v="2053"/>
    <x v="0"/>
    <x v="0"/>
    <s v="Exclude in HGB Group allocation"/>
  </r>
  <r>
    <s v="76010128"/>
    <m/>
    <x v="0"/>
    <x v="0"/>
    <m/>
    <m/>
    <m/>
    <n v="7601"/>
    <n v="1"/>
    <n v="2"/>
    <s v="76010128"/>
    <s v="01_SE"/>
    <x v="0"/>
    <m/>
    <m/>
    <m/>
    <m/>
    <x v="0"/>
    <s v="Project"/>
    <x v="2054"/>
    <x v="0"/>
    <x v="0"/>
    <s v="Exclude in HGB Group allocation"/>
  </r>
  <r>
    <s v="76010528"/>
    <m/>
    <x v="0"/>
    <x v="0"/>
    <m/>
    <m/>
    <m/>
    <n v="7601"/>
    <n v="5"/>
    <n v="2"/>
    <s v="76010528"/>
    <s v="01_SE"/>
    <x v="0"/>
    <m/>
    <m/>
    <m/>
    <m/>
    <x v="0"/>
    <s v="Project"/>
    <x v="2055"/>
    <x v="0"/>
    <x v="0"/>
    <s v="Exclude in HGB Group allocation"/>
  </r>
  <r>
    <s v="30620211"/>
    <m/>
    <x v="0"/>
    <x v="0"/>
    <m/>
    <m/>
    <m/>
    <n v="3062"/>
    <n v="2"/>
    <n v="1"/>
    <s v="30620211"/>
    <s v="05_Shg"/>
    <x v="4"/>
    <m/>
    <m/>
    <m/>
    <m/>
    <x v="0"/>
    <s v="Project"/>
    <x v="2056"/>
    <x v="0"/>
    <x v="18"/>
    <s v="Exclude in HGB Group allocation"/>
  </r>
  <r>
    <s v="30620216"/>
    <m/>
    <x v="0"/>
    <x v="0"/>
    <m/>
    <m/>
    <m/>
    <n v="3062"/>
    <n v="2"/>
    <n v="1"/>
    <s v="30620216"/>
    <s v="05_Shg"/>
    <x v="4"/>
    <m/>
    <m/>
    <m/>
    <m/>
    <x v="0"/>
    <s v="Project"/>
    <x v="2056"/>
    <x v="0"/>
    <x v="19"/>
    <s v="Exclude in HGB Group allocation"/>
  </r>
  <r>
    <s v="0"/>
    <m/>
    <x v="0"/>
    <x v="0"/>
    <m/>
    <m/>
    <m/>
    <n v="6311"/>
    <n v="2"/>
    <n v="2"/>
    <m/>
    <s v="01_SE"/>
    <x v="0"/>
    <m/>
    <m/>
    <m/>
    <m/>
    <x v="0"/>
    <s v="Project"/>
    <x v="2057"/>
    <x v="0"/>
    <x v="0"/>
    <s v="Exclude in HGB Group allocation"/>
  </r>
  <r>
    <s v="75080228"/>
    <m/>
    <x v="0"/>
    <x v="0"/>
    <m/>
    <m/>
    <m/>
    <n v="7508"/>
    <n v="2"/>
    <n v="2"/>
    <s v="75080228"/>
    <s v="01_SE"/>
    <x v="0"/>
    <m/>
    <m/>
    <m/>
    <m/>
    <x v="0"/>
    <s v="Project"/>
    <x v="2058"/>
    <x v="0"/>
    <x v="0"/>
    <s v="Exclude in HGB Group allocation"/>
  </r>
  <r>
    <s v="80260128"/>
    <m/>
    <x v="0"/>
    <x v="0"/>
    <m/>
    <m/>
    <m/>
    <n v="8026"/>
    <n v="1"/>
    <n v="2"/>
    <s v="80260128"/>
    <s v="01_SE"/>
    <x v="0"/>
    <m/>
    <m/>
    <m/>
    <m/>
    <x v="0"/>
    <s v="Project"/>
    <x v="2059"/>
    <x v="0"/>
    <x v="0"/>
    <s v="Exclude in HGB Group allocation"/>
  </r>
  <r>
    <s v="0"/>
    <m/>
    <x v="0"/>
    <x v="0"/>
    <m/>
    <m/>
    <m/>
    <n v="3166"/>
    <n v="2"/>
    <n v="2"/>
    <m/>
    <s v="05_Shg"/>
    <x v="0"/>
    <m/>
    <m/>
    <m/>
    <m/>
    <x v="0"/>
    <s v="Project"/>
    <x v="2060"/>
    <x v="0"/>
    <x v="0"/>
    <s v="Exclude in HGB Group allocation"/>
  </r>
  <r>
    <s v="0"/>
    <m/>
    <x v="0"/>
    <x v="0"/>
    <m/>
    <m/>
    <m/>
    <n v="8018"/>
    <n v="13"/>
    <n v="2"/>
    <m/>
    <s v="01_SE"/>
    <x v="0"/>
    <m/>
    <m/>
    <m/>
    <m/>
    <x v="0"/>
    <s v="Project"/>
    <x v="2061"/>
    <x v="0"/>
    <x v="0"/>
    <s v="Exclude in HGB Group allocation"/>
  </r>
  <r>
    <s v="80180128"/>
    <m/>
    <x v="0"/>
    <x v="0"/>
    <m/>
    <m/>
    <m/>
    <n v="8018"/>
    <n v="1"/>
    <n v="2"/>
    <s v="80180128"/>
    <s v="01_SE"/>
    <x v="0"/>
    <m/>
    <m/>
    <m/>
    <m/>
    <x v="0"/>
    <s v="Project"/>
    <x v="2062"/>
    <x v="0"/>
    <x v="0"/>
    <s v="Exclude in HGB Group allocation"/>
  </r>
  <r>
    <s v="80180741"/>
    <m/>
    <x v="0"/>
    <x v="0"/>
    <m/>
    <m/>
    <m/>
    <n v="8018"/>
    <n v="7"/>
    <n v="4"/>
    <s v="80180741"/>
    <s v="02_GmbH"/>
    <x v="1"/>
    <m/>
    <m/>
    <m/>
    <m/>
    <x v="0"/>
    <s v="Project"/>
    <x v="2063"/>
    <x v="0"/>
    <x v="22"/>
    <s v="Exclude in HGB Group allocation"/>
  </r>
  <r>
    <s v="80180742"/>
    <m/>
    <x v="0"/>
    <x v="0"/>
    <m/>
    <m/>
    <m/>
    <n v="8018"/>
    <n v="7"/>
    <n v="4"/>
    <s v="80180742"/>
    <s v="02_GmbH"/>
    <x v="1"/>
    <m/>
    <m/>
    <m/>
    <m/>
    <x v="0"/>
    <s v="Project"/>
    <x v="2063"/>
    <x v="0"/>
    <x v="23"/>
    <s v="Exclude in HGB Group allocation"/>
  </r>
  <r>
    <s v="80180743"/>
    <m/>
    <x v="0"/>
    <x v="0"/>
    <m/>
    <m/>
    <m/>
    <n v="8018"/>
    <n v="7"/>
    <n v="4"/>
    <s v="80180743"/>
    <s v="02_GmbH"/>
    <x v="1"/>
    <m/>
    <m/>
    <m/>
    <m/>
    <x v="0"/>
    <s v="Project"/>
    <x v="2063"/>
    <x v="0"/>
    <x v="1"/>
    <s v="Exclude in HGB Group allocation"/>
  </r>
  <r>
    <s v="80180744"/>
    <m/>
    <x v="0"/>
    <x v="0"/>
    <m/>
    <m/>
    <m/>
    <n v="8018"/>
    <n v="7"/>
    <n v="4"/>
    <s v="80180744"/>
    <s v="02_GmbH"/>
    <x v="1"/>
    <m/>
    <m/>
    <m/>
    <m/>
    <x v="0"/>
    <s v="Project"/>
    <x v="2063"/>
    <x v="0"/>
    <x v="2"/>
    <s v="Exclude in HGB Group allocation"/>
  </r>
  <r>
    <s v="80180747"/>
    <m/>
    <x v="0"/>
    <x v="0"/>
    <m/>
    <m/>
    <m/>
    <n v="8018"/>
    <n v="7"/>
    <n v="4"/>
    <s v="80180747"/>
    <s v="02_GmbH"/>
    <x v="1"/>
    <m/>
    <m/>
    <m/>
    <m/>
    <x v="0"/>
    <s v="Project"/>
    <x v="2063"/>
    <x v="0"/>
    <x v="20"/>
    <s v="Exclude in HGB Group allocation"/>
  </r>
  <r>
    <s v="80180843"/>
    <m/>
    <x v="0"/>
    <x v="0"/>
    <m/>
    <m/>
    <m/>
    <n v="8018"/>
    <n v="8"/>
    <n v="4"/>
    <s v="80180843"/>
    <s v="02_GmbH"/>
    <x v="1"/>
    <m/>
    <m/>
    <m/>
    <m/>
    <x v="0"/>
    <s v="Project"/>
    <x v="2064"/>
    <x v="0"/>
    <x v="1"/>
    <s v="Exclude in HGB Group allocation"/>
  </r>
  <r>
    <s v="80180928"/>
    <m/>
    <x v="0"/>
    <x v="0"/>
    <m/>
    <m/>
    <m/>
    <n v="8018"/>
    <n v="9"/>
    <n v="2"/>
    <s v="80180928"/>
    <s v="07_Inc"/>
    <x v="0"/>
    <m/>
    <m/>
    <m/>
    <m/>
    <x v="0"/>
    <s v="Project"/>
    <x v="2065"/>
    <x v="0"/>
    <x v="0"/>
    <s v="Exclude in HGB Group allocation"/>
  </r>
  <r>
    <s v="80181028"/>
    <m/>
    <x v="0"/>
    <x v="0"/>
    <m/>
    <m/>
    <m/>
    <n v="8018"/>
    <n v="10"/>
    <n v="2"/>
    <s v="80181028"/>
    <s v="01_SE"/>
    <x v="0"/>
    <m/>
    <m/>
    <m/>
    <m/>
    <x v="0"/>
    <s v="Project"/>
    <x v="2066"/>
    <x v="0"/>
    <x v="0"/>
    <s v="Exclude in HGB Group allocation"/>
  </r>
  <r>
    <s v="80181143"/>
    <m/>
    <x v="0"/>
    <x v="0"/>
    <m/>
    <m/>
    <m/>
    <n v="8018"/>
    <n v="11"/>
    <n v="4"/>
    <s v="80181143"/>
    <s v="02_GmbH"/>
    <x v="1"/>
    <m/>
    <m/>
    <m/>
    <m/>
    <x v="0"/>
    <s v="Project"/>
    <x v="2067"/>
    <x v="0"/>
    <x v="21"/>
    <s v="Exclude in HGB Group allocation"/>
  </r>
  <r>
    <s v="80181228"/>
    <m/>
    <x v="0"/>
    <x v="0"/>
    <m/>
    <m/>
    <m/>
    <n v="8018"/>
    <n v="12"/>
    <n v="2"/>
    <s v="80181228"/>
    <s v="01_SE"/>
    <x v="0"/>
    <m/>
    <m/>
    <m/>
    <m/>
    <x v="0"/>
    <s v="Project"/>
    <x v="2068"/>
    <x v="0"/>
    <x v="0"/>
    <s v="Exclude in HGB Group allocation"/>
  </r>
  <r>
    <s v="0"/>
    <m/>
    <x v="0"/>
    <x v="0"/>
    <m/>
    <m/>
    <m/>
    <n v="8018"/>
    <n v="14"/>
    <n v="2"/>
    <m/>
    <s v="01_SE"/>
    <x v="0"/>
    <m/>
    <m/>
    <m/>
    <m/>
    <x v="0"/>
    <s v="Project"/>
    <x v="2069"/>
    <x v="0"/>
    <x v="0"/>
    <s v="Exclude in HGB Group allocation"/>
  </r>
  <r>
    <s v="99890443"/>
    <m/>
    <x v="0"/>
    <x v="0"/>
    <m/>
    <m/>
    <m/>
    <n v="8018"/>
    <n v="8"/>
    <n v="4"/>
    <s v="99890443"/>
    <s v="02_GmbH"/>
    <x v="1"/>
    <m/>
    <m/>
    <m/>
    <m/>
    <x v="0"/>
    <s v="Project"/>
    <x v="2064"/>
    <x v="0"/>
    <x v="1"/>
    <s v="Exclude in HGB Group allocation"/>
  </r>
  <r>
    <s v="99919444"/>
    <m/>
    <x v="0"/>
    <x v="0"/>
    <m/>
    <m/>
    <m/>
    <n v="8018"/>
    <n v="7"/>
    <n v="4"/>
    <s v="99919444"/>
    <s v="02_GmbH"/>
    <x v="1"/>
    <m/>
    <m/>
    <m/>
    <m/>
    <x v="0"/>
    <s v="Project"/>
    <x v="2063"/>
    <x v="0"/>
    <x v="2"/>
    <s v="Exclude in HGB Group allocation"/>
  </r>
  <r>
    <s v="99950211"/>
    <m/>
    <x v="0"/>
    <x v="0"/>
    <m/>
    <m/>
    <m/>
    <n v="9995"/>
    <n v="2"/>
    <n v="1"/>
    <s v="99950211"/>
    <s v="01_SE"/>
    <x v="4"/>
    <m/>
    <m/>
    <m/>
    <m/>
    <x v="0"/>
    <s v="Project"/>
    <x v="2070"/>
    <x v="0"/>
    <x v="18"/>
    <s v="Exclude in HGB Group allocation"/>
  </r>
  <r>
    <s v="99950216"/>
    <m/>
    <x v="0"/>
    <x v="0"/>
    <m/>
    <m/>
    <m/>
    <n v="9995"/>
    <n v="2"/>
    <n v="1"/>
    <s v="99950216"/>
    <s v="01_SE"/>
    <x v="4"/>
    <m/>
    <m/>
    <m/>
    <m/>
    <x v="0"/>
    <s v="Project"/>
    <x v="2070"/>
    <x v="0"/>
    <x v="19"/>
    <s v="Exclude in HGB Group allocation"/>
  </r>
  <r>
    <s v="99950311"/>
    <m/>
    <x v="0"/>
    <x v="0"/>
    <m/>
    <m/>
    <m/>
    <n v="9995"/>
    <n v="3"/>
    <n v="1"/>
    <s v="99950311"/>
    <s v="01_SE"/>
    <x v="4"/>
    <m/>
    <m/>
    <m/>
    <m/>
    <x v="0"/>
    <s v="Project"/>
    <x v="2071"/>
    <x v="0"/>
    <x v="18"/>
    <s v="Exclude in HGB Group allocation"/>
  </r>
  <r>
    <s v="0"/>
    <m/>
    <x v="0"/>
    <x v="0"/>
    <m/>
    <m/>
    <m/>
    <n v="6303"/>
    <n v="3"/>
    <n v="2"/>
    <m/>
    <s v="01_SE"/>
    <x v="0"/>
    <m/>
    <m/>
    <m/>
    <m/>
    <x v="0"/>
    <s v="Project"/>
    <x v="2072"/>
    <x v="0"/>
    <x v="0"/>
    <s v="Exclude in HGB Group allocation"/>
  </r>
  <r>
    <s v="63030244"/>
    <m/>
    <x v="0"/>
    <x v="0"/>
    <m/>
    <m/>
    <m/>
    <n v="6303"/>
    <n v="2"/>
    <n v="4"/>
    <s v="63030244"/>
    <s v="07_Inc"/>
    <x v="1"/>
    <m/>
    <m/>
    <m/>
    <m/>
    <x v="0"/>
    <s v="Project"/>
    <x v="2073"/>
    <x v="0"/>
    <x v="21"/>
    <s v="Exclude in HGB Group allocation"/>
  </r>
  <r>
    <s v="0"/>
    <m/>
    <x v="0"/>
    <x v="0"/>
    <m/>
    <m/>
    <m/>
    <n v="7513"/>
    <n v="10"/>
    <n v="2"/>
    <m/>
    <s v="01_SE"/>
    <x v="0"/>
    <m/>
    <m/>
    <m/>
    <m/>
    <x v="0"/>
    <s v="Project"/>
    <x v="2074"/>
    <x v="0"/>
    <x v="0"/>
    <s v="Exclude in HGB Group allocation"/>
  </r>
  <r>
    <s v="0"/>
    <m/>
    <x v="0"/>
    <x v="0"/>
    <m/>
    <m/>
    <m/>
    <n v="7513"/>
    <n v="11"/>
    <n v="2"/>
    <m/>
    <s v="01_SE"/>
    <x v="0"/>
    <m/>
    <m/>
    <m/>
    <m/>
    <x v="0"/>
    <s v="Project"/>
    <x v="2075"/>
    <x v="0"/>
    <x v="0"/>
    <s v="Exclude in HGB Group allocation"/>
  </r>
  <r>
    <s v="0"/>
    <m/>
    <x v="0"/>
    <x v="0"/>
    <m/>
    <m/>
    <m/>
    <n v="7513"/>
    <n v="12"/>
    <n v="2"/>
    <m/>
    <s v="01_SE"/>
    <x v="0"/>
    <m/>
    <m/>
    <m/>
    <m/>
    <x v="0"/>
    <s v="Project"/>
    <x v="2076"/>
    <x v="0"/>
    <x v="0"/>
    <m/>
  </r>
  <r>
    <s v="0"/>
    <m/>
    <x v="0"/>
    <x v="0"/>
    <m/>
    <m/>
    <m/>
    <n v="7513"/>
    <n v="13"/>
    <n v="2"/>
    <m/>
    <s v="01_SE"/>
    <x v="0"/>
    <m/>
    <m/>
    <m/>
    <m/>
    <x v="0"/>
    <s v="Project"/>
    <x v="2077"/>
    <x v="0"/>
    <x v="0"/>
    <s v="Exclude in HGB Group allocation"/>
  </r>
  <r>
    <s v="0"/>
    <m/>
    <x v="0"/>
    <x v="0"/>
    <m/>
    <m/>
    <m/>
    <n v="7513"/>
    <n v="14"/>
    <n v="2"/>
    <m/>
    <s v="01_SE"/>
    <x v="0"/>
    <m/>
    <m/>
    <m/>
    <m/>
    <x v="0"/>
    <s v="Project"/>
    <x v="2078"/>
    <x v="0"/>
    <x v="0"/>
    <s v="Exclude in HGB Group allocation"/>
  </r>
  <r>
    <s v="0"/>
    <m/>
    <x v="0"/>
    <x v="0"/>
    <m/>
    <m/>
    <m/>
    <n v="7513"/>
    <n v="15"/>
    <n v="2"/>
    <m/>
    <s v="01_SE"/>
    <x v="0"/>
    <m/>
    <m/>
    <m/>
    <m/>
    <x v="0"/>
    <s v="Project"/>
    <x v="2079"/>
    <x v="0"/>
    <x v="0"/>
    <s v="Exclude in HGB Group allocation"/>
  </r>
  <r>
    <s v="0"/>
    <m/>
    <x v="0"/>
    <x v="0"/>
    <m/>
    <m/>
    <m/>
    <n v="7513"/>
    <n v="16"/>
    <n v="2"/>
    <m/>
    <s v="01_SE"/>
    <x v="0"/>
    <m/>
    <m/>
    <m/>
    <m/>
    <x v="0"/>
    <s v="Project"/>
    <x v="2080"/>
    <x v="0"/>
    <x v="25"/>
    <s v="Exclude in HGB Group allocation"/>
  </r>
  <r>
    <s v="0"/>
    <m/>
    <x v="0"/>
    <x v="0"/>
    <m/>
    <m/>
    <m/>
    <n v="7513"/>
    <n v="17"/>
    <n v="2"/>
    <m/>
    <s v="01_SE"/>
    <x v="0"/>
    <m/>
    <m/>
    <m/>
    <m/>
    <x v="0"/>
    <s v="Project"/>
    <x v="2081"/>
    <x v="0"/>
    <x v="0"/>
    <s v="Exclude in HGB Group allocation"/>
  </r>
  <r>
    <s v="0"/>
    <m/>
    <x v="0"/>
    <x v="0"/>
    <m/>
    <m/>
    <m/>
    <n v="7513"/>
    <n v="18"/>
    <n v="2"/>
    <m/>
    <s v="01_SE"/>
    <x v="0"/>
    <m/>
    <m/>
    <m/>
    <m/>
    <x v="0"/>
    <s v="Project"/>
    <x v="2082"/>
    <x v="0"/>
    <x v="25"/>
    <s v="Exclude in HGB Group allocation"/>
  </r>
  <r>
    <s v="75130128"/>
    <m/>
    <x v="0"/>
    <x v="0"/>
    <m/>
    <m/>
    <m/>
    <n v="7513"/>
    <n v="1"/>
    <n v="2"/>
    <s v="75130128"/>
    <s v="01_SE"/>
    <x v="0"/>
    <m/>
    <m/>
    <m/>
    <m/>
    <x v="0"/>
    <s v="Project"/>
    <x v="2083"/>
    <x v="0"/>
    <x v="0"/>
    <s v="Exclude in HGB Group allocation"/>
  </r>
  <r>
    <s v="75130328"/>
    <m/>
    <x v="0"/>
    <x v="0"/>
    <m/>
    <m/>
    <m/>
    <n v="7513"/>
    <n v="3"/>
    <n v="2"/>
    <s v="75130328"/>
    <s v="01_SE"/>
    <x v="0"/>
    <m/>
    <m/>
    <m/>
    <m/>
    <x v="0"/>
    <s v="Project"/>
    <x v="2084"/>
    <x v="0"/>
    <x v="25"/>
    <s v="Exclude in HGB Group allocation"/>
  </r>
  <r>
    <s v="75130428"/>
    <m/>
    <x v="0"/>
    <x v="0"/>
    <m/>
    <m/>
    <m/>
    <n v="7513"/>
    <n v="4"/>
    <n v="2"/>
    <s v="75130428"/>
    <s v="01_SE"/>
    <x v="0"/>
    <m/>
    <m/>
    <m/>
    <m/>
    <x v="0"/>
    <s v="Project"/>
    <x v="2085"/>
    <x v="0"/>
    <x v="0"/>
    <s v="Exclude in HGB Group allocation"/>
  </r>
  <r>
    <s v="75130528"/>
    <m/>
    <x v="0"/>
    <x v="0"/>
    <m/>
    <m/>
    <m/>
    <n v="7513"/>
    <n v="5"/>
    <n v="2"/>
    <s v="75130528"/>
    <s v="01_SE"/>
    <x v="0"/>
    <m/>
    <m/>
    <m/>
    <m/>
    <x v="0"/>
    <s v="Project"/>
    <x v="2086"/>
    <x v="0"/>
    <x v="0"/>
    <s v="Exclude in HGB Group allocation"/>
  </r>
  <r>
    <s v="75130628"/>
    <m/>
    <x v="0"/>
    <x v="0"/>
    <m/>
    <m/>
    <m/>
    <n v="7513"/>
    <n v="6"/>
    <n v="2"/>
    <s v="75130628"/>
    <s v="01_SE"/>
    <x v="0"/>
    <m/>
    <m/>
    <m/>
    <m/>
    <x v="0"/>
    <s v="Project"/>
    <x v="2087"/>
    <x v="0"/>
    <x v="0"/>
    <s v="Exclude in HGB Group allocation"/>
  </r>
  <r>
    <s v="75130728"/>
    <m/>
    <x v="0"/>
    <x v="0"/>
    <m/>
    <m/>
    <m/>
    <n v="7513"/>
    <n v="7"/>
    <n v="2"/>
    <s v="75130728"/>
    <s v="01_SE"/>
    <x v="0"/>
    <m/>
    <m/>
    <m/>
    <m/>
    <x v="0"/>
    <s v="Project"/>
    <x v="2088"/>
    <x v="0"/>
    <x v="0"/>
    <s v="Exclude in HGB Group allocation"/>
  </r>
  <r>
    <s v="75130828"/>
    <m/>
    <x v="0"/>
    <x v="0"/>
    <m/>
    <m/>
    <m/>
    <n v="7513"/>
    <n v="8"/>
    <n v="2"/>
    <s v="75130828"/>
    <s v="01_SE"/>
    <x v="0"/>
    <m/>
    <m/>
    <m/>
    <m/>
    <x v="0"/>
    <s v="Project"/>
    <x v="2089"/>
    <x v="0"/>
    <x v="0"/>
    <s v="Exclude in HGB Group allocation"/>
  </r>
  <r>
    <s v="75130928"/>
    <m/>
    <x v="0"/>
    <x v="0"/>
    <m/>
    <m/>
    <m/>
    <n v="7513"/>
    <n v="9"/>
    <n v="2"/>
    <s v="75130928"/>
    <s v="01_SE"/>
    <x v="0"/>
    <m/>
    <m/>
    <m/>
    <m/>
    <x v="0"/>
    <s v="Project"/>
    <x v="2090"/>
    <x v="0"/>
    <x v="0"/>
    <s v="Exclude in HGB Group allocation"/>
  </r>
  <r>
    <s v="99961828"/>
    <m/>
    <x v="0"/>
    <x v="0"/>
    <m/>
    <m/>
    <m/>
    <n v="7513"/>
    <n v="5"/>
    <n v="2"/>
    <s v="99961828"/>
    <s v="01_SE"/>
    <x v="0"/>
    <m/>
    <m/>
    <m/>
    <m/>
    <x v="0"/>
    <s v="Project"/>
    <x v="2086"/>
    <x v="0"/>
    <x v="21"/>
    <s v="Exclude in HGB Group allocation"/>
  </r>
  <r>
    <s v="99962328"/>
    <m/>
    <x v="0"/>
    <x v="0"/>
    <m/>
    <m/>
    <m/>
    <n v="7513"/>
    <n v="3"/>
    <n v="2"/>
    <s v="99962328"/>
    <s v="01_SE"/>
    <x v="0"/>
    <m/>
    <m/>
    <m/>
    <m/>
    <x v="0"/>
    <s v="Project"/>
    <x v="2084"/>
    <x v="0"/>
    <x v="25"/>
    <s v="Exclude in HGB Group allocation"/>
  </r>
  <r>
    <s v="99963328"/>
    <m/>
    <x v="0"/>
    <x v="0"/>
    <m/>
    <m/>
    <m/>
    <n v="7513"/>
    <n v="6"/>
    <n v="2"/>
    <s v="99963328"/>
    <s v="01_SE"/>
    <x v="0"/>
    <m/>
    <m/>
    <m/>
    <m/>
    <x v="0"/>
    <s v="Project"/>
    <x v="2087"/>
    <x v="0"/>
    <x v="21"/>
    <s v="Exclude in HGB Group allocation"/>
  </r>
  <r>
    <s v="99967528"/>
    <m/>
    <x v="0"/>
    <x v="0"/>
    <m/>
    <m/>
    <m/>
    <n v="7513"/>
    <n v="7"/>
    <n v="2"/>
    <s v="99967528"/>
    <s v="01_SE"/>
    <x v="0"/>
    <m/>
    <m/>
    <m/>
    <m/>
    <x v="0"/>
    <s v="Project"/>
    <x v="2088"/>
    <x v="0"/>
    <x v="0"/>
    <s v="Exclude in HGB Group allocation"/>
  </r>
  <r>
    <s v="0"/>
    <m/>
    <x v="0"/>
    <x v="0"/>
    <m/>
    <m/>
    <m/>
    <n v="6131"/>
    <n v="2"/>
    <n v="1"/>
    <m/>
    <s v="01_SE"/>
    <x v="4"/>
    <m/>
    <m/>
    <m/>
    <m/>
    <x v="0"/>
    <s v="Project"/>
    <x v="2091"/>
    <x v="0"/>
    <x v="18"/>
    <s v="Exclude in HGB Group allocation"/>
  </r>
  <r>
    <s v="0"/>
    <m/>
    <x v="0"/>
    <x v="0"/>
    <m/>
    <m/>
    <m/>
    <n v="6131"/>
    <n v="3"/>
    <n v="1"/>
    <m/>
    <s v="07_Inc"/>
    <x v="4"/>
    <m/>
    <m/>
    <m/>
    <m/>
    <x v="0"/>
    <s v="Project"/>
    <x v="2092"/>
    <x v="0"/>
    <x v="2"/>
    <s v="Exclude in HGB Group allocation"/>
  </r>
  <r>
    <s v="0"/>
    <m/>
    <x v="0"/>
    <x v="0"/>
    <m/>
    <m/>
    <m/>
    <n v="6015"/>
    <n v="8"/>
    <n v="2"/>
    <m/>
    <s v="07_Inc"/>
    <x v="0"/>
    <m/>
    <m/>
    <m/>
    <m/>
    <x v="0"/>
    <s v="Project"/>
    <x v="2093"/>
    <x v="0"/>
    <x v="0"/>
    <s v="Exclude in HGB Group allocation"/>
  </r>
  <r>
    <s v="99949228"/>
    <m/>
    <x v="0"/>
    <x v="0"/>
    <m/>
    <m/>
    <m/>
    <n v="8909"/>
    <n v="2"/>
    <n v="2"/>
    <s v="99949228"/>
    <s v="09_Ltda"/>
    <x v="0"/>
    <m/>
    <m/>
    <m/>
    <m/>
    <x v="0"/>
    <s v="Project"/>
    <x v="2094"/>
    <x v="0"/>
    <x v="0"/>
    <s v="Exclude in HGB Group allocation"/>
  </r>
  <r>
    <s v="30570128"/>
    <m/>
    <x v="0"/>
    <x v="0"/>
    <m/>
    <m/>
    <m/>
    <n v="3057"/>
    <n v="1"/>
    <n v="2"/>
    <s v="30570128"/>
    <s v="01_SE"/>
    <x v="0"/>
    <m/>
    <m/>
    <m/>
    <m/>
    <x v="0"/>
    <s v="Project"/>
    <x v="2095"/>
    <x v="0"/>
    <x v="0"/>
    <s v="Exclude in HGB Group allocation"/>
  </r>
  <r>
    <s v="30570228"/>
    <m/>
    <x v="0"/>
    <x v="0"/>
    <m/>
    <m/>
    <m/>
    <n v="3057"/>
    <n v="2"/>
    <n v="2"/>
    <s v="30570228"/>
    <s v="01_SE"/>
    <x v="0"/>
    <m/>
    <m/>
    <m/>
    <m/>
    <x v="0"/>
    <s v="Project"/>
    <x v="2096"/>
    <x v="0"/>
    <x v="0"/>
    <s v="Exclude in HGB Group allocation"/>
  </r>
  <r>
    <s v="20370228"/>
    <m/>
    <x v="0"/>
    <x v="0"/>
    <m/>
    <m/>
    <m/>
    <n v="2037"/>
    <n v="2"/>
    <n v="2"/>
    <s v="20370228"/>
    <s v="09_Ltda"/>
    <x v="0"/>
    <m/>
    <m/>
    <m/>
    <m/>
    <x v="0"/>
    <s v="Project"/>
    <x v="2097"/>
    <x v="0"/>
    <x v="21"/>
    <s v="Exclude in HGB Group allocation"/>
  </r>
  <r>
    <s v="19820316"/>
    <m/>
    <x v="0"/>
    <x v="0"/>
    <m/>
    <m/>
    <m/>
    <n v="1982"/>
    <n v="3"/>
    <n v="1"/>
    <s v="19820316"/>
    <s v="01_SE"/>
    <x v="4"/>
    <m/>
    <m/>
    <m/>
    <m/>
    <x v="0"/>
    <s v="Project"/>
    <x v="2098"/>
    <x v="0"/>
    <x v="18"/>
    <s v="Exclude in HGB Group allocation"/>
  </r>
  <r>
    <s v="19820411"/>
    <m/>
    <x v="0"/>
    <x v="0"/>
    <m/>
    <m/>
    <m/>
    <n v="1982"/>
    <n v="4"/>
    <n v="1"/>
    <s v="19820411"/>
    <s v="01_SE"/>
    <x v="4"/>
    <m/>
    <m/>
    <m/>
    <m/>
    <x v="0"/>
    <s v="Project"/>
    <x v="2099"/>
    <x v="0"/>
    <x v="18"/>
    <s v="Exclude in HGB Group allocation"/>
  </r>
  <r>
    <s v="60940128"/>
    <m/>
    <x v="0"/>
    <x v="0"/>
    <m/>
    <m/>
    <m/>
    <n v="6094"/>
    <n v="1"/>
    <n v="2"/>
    <s v="60940128"/>
    <s v="01_SE"/>
    <x v="0"/>
    <m/>
    <m/>
    <m/>
    <m/>
    <x v="0"/>
    <s v="Project"/>
    <x v="2100"/>
    <x v="0"/>
    <x v="0"/>
    <s v="Exclude in HGB Group allocation"/>
  </r>
  <r>
    <s v="60940228"/>
    <m/>
    <x v="0"/>
    <x v="0"/>
    <m/>
    <m/>
    <m/>
    <n v="6094"/>
    <n v="2"/>
    <n v="2"/>
    <s v="60940228"/>
    <s v="01_SE"/>
    <x v="0"/>
    <m/>
    <m/>
    <m/>
    <m/>
    <x v="0"/>
    <s v="Project"/>
    <x v="2101"/>
    <x v="0"/>
    <x v="0"/>
    <s v="Exclude in HGB Group allocation"/>
  </r>
  <r>
    <s v="0"/>
    <m/>
    <x v="0"/>
    <x v="0"/>
    <m/>
    <m/>
    <m/>
    <n v="1004"/>
    <n v="4"/>
    <n v="2"/>
    <m/>
    <s v="01_SE"/>
    <x v="0"/>
    <m/>
    <m/>
    <m/>
    <m/>
    <x v="0"/>
    <s v="Project"/>
    <x v="2102"/>
    <x v="0"/>
    <x v="0"/>
    <s v="Exclude in HGB Group allocation"/>
  </r>
  <r>
    <s v="19509628"/>
    <m/>
    <x v="0"/>
    <x v="0"/>
    <m/>
    <m/>
    <m/>
    <n v="1950"/>
    <n v="96"/>
    <n v="2"/>
    <s v="19509628"/>
    <s v="01_SE"/>
    <x v="0"/>
    <m/>
    <m/>
    <m/>
    <m/>
    <x v="0"/>
    <s v="Project"/>
    <x v="2103"/>
    <x v="0"/>
    <x v="0"/>
    <s v="Exclude in HGB Group allocation"/>
  </r>
  <r>
    <s v="19509728"/>
    <m/>
    <x v="0"/>
    <x v="0"/>
    <m/>
    <m/>
    <m/>
    <n v="1950"/>
    <n v="97"/>
    <n v="2"/>
    <s v="19509728"/>
    <s v="01_SE"/>
    <x v="0"/>
    <m/>
    <m/>
    <m/>
    <m/>
    <x v="0"/>
    <s v="Project"/>
    <x v="2104"/>
    <x v="0"/>
    <x v="0"/>
    <s v="Exclude in HGB Group allocation"/>
  </r>
  <r>
    <s v="19509828"/>
    <m/>
    <x v="0"/>
    <x v="0"/>
    <m/>
    <m/>
    <m/>
    <n v="1950"/>
    <n v="98"/>
    <n v="2"/>
    <s v="19509828"/>
    <s v="01_SE"/>
    <x v="0"/>
    <m/>
    <m/>
    <m/>
    <m/>
    <x v="0"/>
    <s v="Project"/>
    <x v="2105"/>
    <x v="0"/>
    <x v="25"/>
    <s v="Exclude in HGB Group allocation"/>
  </r>
  <r>
    <s v="19509928"/>
    <m/>
    <x v="0"/>
    <x v="0"/>
    <m/>
    <m/>
    <m/>
    <n v="1950"/>
    <n v="99"/>
    <n v="2"/>
    <s v="19509928"/>
    <s v="01_SE"/>
    <x v="0"/>
    <m/>
    <m/>
    <m/>
    <m/>
    <x v="0"/>
    <s v="Project"/>
    <x v="2106"/>
    <x v="0"/>
    <x v="25"/>
    <s v="Exclude in HGB Group allocation"/>
  </r>
  <r>
    <s v="99962728"/>
    <m/>
    <x v="0"/>
    <x v="0"/>
    <m/>
    <m/>
    <m/>
    <n v="1950"/>
    <n v="98"/>
    <n v="2"/>
    <s v="99962728"/>
    <s v="01_SE"/>
    <x v="0"/>
    <m/>
    <m/>
    <m/>
    <m/>
    <x v="0"/>
    <s v="Project"/>
    <x v="2105"/>
    <x v="0"/>
    <x v="21"/>
    <s v="Exclude in HGB Group allocation"/>
  </r>
  <r>
    <s v="99948128"/>
    <m/>
    <x v="0"/>
    <x v="0"/>
    <m/>
    <m/>
    <m/>
    <n v="1950"/>
    <n v="99"/>
    <n v="2"/>
    <s v="99948128"/>
    <s v="01_SE"/>
    <x v="0"/>
    <m/>
    <m/>
    <m/>
    <m/>
    <x v="0"/>
    <s v="Project"/>
    <x v="2106"/>
    <x v="0"/>
    <x v="25"/>
    <s v="Exclude in HGB Group allocation"/>
  </r>
  <r>
    <s v="0"/>
    <m/>
    <x v="0"/>
    <x v="0"/>
    <m/>
    <m/>
    <m/>
    <n v="1951"/>
    <n v="9"/>
    <n v="2"/>
    <m/>
    <s v="01_SE"/>
    <x v="0"/>
    <m/>
    <m/>
    <m/>
    <m/>
    <x v="0"/>
    <s v="Project"/>
    <x v="2107"/>
    <x v="0"/>
    <x v="0"/>
    <s v="Exclude in HGB Group allocation"/>
  </r>
  <r>
    <s v="19510549"/>
    <m/>
    <x v="0"/>
    <x v="0"/>
    <m/>
    <m/>
    <m/>
    <n v="1951"/>
    <n v="5"/>
    <n v="4"/>
    <s v="19510549"/>
    <s v="02_GmbH"/>
    <x v="1"/>
    <m/>
    <m/>
    <m/>
    <m/>
    <x v="0"/>
    <s v="Project"/>
    <x v="2108"/>
    <x v="0"/>
    <x v="21"/>
    <s v="Exclude in HGB Group allocation"/>
  </r>
  <r>
    <s v="0"/>
    <m/>
    <x v="0"/>
    <x v="0"/>
    <m/>
    <m/>
    <m/>
    <n v="1951"/>
    <n v="6"/>
    <n v="2"/>
    <m/>
    <s v="01_SE"/>
    <x v="0"/>
    <m/>
    <m/>
    <m/>
    <m/>
    <x v="0"/>
    <s v="Project"/>
    <x v="2109"/>
    <x v="0"/>
    <x v="0"/>
    <s v="Exclude in HGB Group allocation"/>
  </r>
  <r>
    <s v="0"/>
    <m/>
    <x v="0"/>
    <x v="0"/>
    <m/>
    <m/>
    <m/>
    <n v="1951"/>
    <n v="7"/>
    <n v="2"/>
    <m/>
    <s v="01_SE"/>
    <x v="0"/>
    <m/>
    <m/>
    <m/>
    <m/>
    <x v="0"/>
    <s v="Project"/>
    <x v="2110"/>
    <x v="0"/>
    <x v="0"/>
    <s v="Exclude in HGB Group allocation"/>
  </r>
  <r>
    <s v="0"/>
    <m/>
    <x v="0"/>
    <x v="0"/>
    <m/>
    <m/>
    <m/>
    <n v="1951"/>
    <n v="8"/>
    <n v="2"/>
    <m/>
    <s v="01_SE"/>
    <x v="0"/>
    <m/>
    <m/>
    <m/>
    <m/>
    <x v="0"/>
    <s v="Project"/>
    <x v="2111"/>
    <x v="0"/>
    <x v="0"/>
    <s v="Exclude in HGB Group allocation"/>
  </r>
  <r>
    <s v="0"/>
    <m/>
    <x v="0"/>
    <x v="0"/>
    <m/>
    <m/>
    <m/>
    <n v="1953"/>
    <n v="1"/>
    <n v="2"/>
    <m/>
    <s v="01_SE"/>
    <x v="0"/>
    <m/>
    <m/>
    <m/>
    <m/>
    <x v="0"/>
    <s v="Project"/>
    <x v="2112"/>
    <x v="0"/>
    <x v="0"/>
    <s v="Exclude in HGB Group allocation"/>
  </r>
  <r>
    <s v="19650226"/>
    <m/>
    <x v="0"/>
    <x v="0"/>
    <m/>
    <m/>
    <m/>
    <n v="1965"/>
    <n v="2"/>
    <n v="2"/>
    <s v="19650226"/>
    <s v="07_Inc"/>
    <x v="0"/>
    <m/>
    <m/>
    <m/>
    <m/>
    <x v="0"/>
    <s v="Project"/>
    <x v="2113"/>
    <x v="0"/>
    <x v="21"/>
    <s v="Exclude in HGB Group allocation"/>
  </r>
  <r>
    <s v="30160128"/>
    <m/>
    <x v="0"/>
    <x v="0"/>
    <m/>
    <m/>
    <m/>
    <n v="3016"/>
    <n v="1"/>
    <n v="2"/>
    <s v="30160128"/>
    <s v="01_SE"/>
    <x v="0"/>
    <m/>
    <m/>
    <m/>
    <m/>
    <x v="0"/>
    <s v="Project"/>
    <x v="2114"/>
    <x v="0"/>
    <x v="0"/>
    <s v="Exclude in HGB Group allocation"/>
  </r>
  <r>
    <s v="30160428"/>
    <m/>
    <x v="0"/>
    <x v="0"/>
    <m/>
    <m/>
    <m/>
    <n v="3016"/>
    <n v="4"/>
    <n v="2"/>
    <s v="30160428"/>
    <s v="01_SE"/>
    <x v="0"/>
    <m/>
    <m/>
    <m/>
    <m/>
    <x v="0"/>
    <s v="Project"/>
    <x v="2115"/>
    <x v="0"/>
    <x v="0"/>
    <s v="Exclude in HGB Group allocation"/>
  </r>
  <r>
    <s v="30160628"/>
    <m/>
    <x v="0"/>
    <x v="0"/>
    <m/>
    <m/>
    <m/>
    <n v="3016"/>
    <n v="6"/>
    <n v="2"/>
    <s v="30160628"/>
    <s v="01_SE"/>
    <x v="0"/>
    <m/>
    <m/>
    <m/>
    <m/>
    <x v="0"/>
    <s v="Project"/>
    <x v="2116"/>
    <x v="0"/>
    <x v="0"/>
    <s v="Exclude in HGB Group allocation"/>
  </r>
  <r>
    <s v="30160728"/>
    <m/>
    <x v="0"/>
    <x v="0"/>
    <m/>
    <m/>
    <m/>
    <n v="3016"/>
    <n v="7"/>
    <n v="2"/>
    <s v="30160728"/>
    <s v="01_SE"/>
    <x v="0"/>
    <m/>
    <m/>
    <m/>
    <m/>
    <x v="0"/>
    <s v="Project"/>
    <x v="2117"/>
    <x v="0"/>
    <x v="0"/>
    <s v="Exclude in HGB Group allocation"/>
  </r>
  <r>
    <s v="30160928"/>
    <m/>
    <x v="0"/>
    <x v="0"/>
    <m/>
    <m/>
    <m/>
    <n v="3016"/>
    <n v="9"/>
    <n v="2"/>
    <s v="30160928"/>
    <s v="01_SE"/>
    <x v="0"/>
    <m/>
    <m/>
    <m/>
    <m/>
    <x v="0"/>
    <s v="Project"/>
    <x v="2118"/>
    <x v="0"/>
    <x v="0"/>
    <s v="Exclude in HGB Group allocation"/>
  </r>
  <r>
    <s v="30161028"/>
    <m/>
    <x v="0"/>
    <x v="0"/>
    <m/>
    <m/>
    <m/>
    <n v="3016"/>
    <n v="10"/>
    <n v="2"/>
    <s v="30161028"/>
    <s v="01_SE"/>
    <x v="0"/>
    <m/>
    <m/>
    <m/>
    <m/>
    <x v="0"/>
    <s v="Project"/>
    <x v="2119"/>
    <x v="0"/>
    <x v="0"/>
    <s v="Exclude in HGB Group allocation"/>
  </r>
  <r>
    <s v="30161128"/>
    <m/>
    <x v="0"/>
    <x v="0"/>
    <m/>
    <m/>
    <m/>
    <n v="3016"/>
    <n v="11"/>
    <n v="2"/>
    <s v="30161128"/>
    <s v="01_SE"/>
    <x v="0"/>
    <m/>
    <m/>
    <m/>
    <m/>
    <x v="0"/>
    <s v="Project"/>
    <x v="2120"/>
    <x v="0"/>
    <x v="0"/>
    <s v="Exclude in HGB Group allocation"/>
  </r>
  <r>
    <s v="99960328"/>
    <m/>
    <x v="0"/>
    <x v="0"/>
    <m/>
    <m/>
    <m/>
    <n v="3016"/>
    <n v="7"/>
    <n v="2"/>
    <s v="99960328"/>
    <s v="01_SE"/>
    <x v="0"/>
    <m/>
    <m/>
    <m/>
    <m/>
    <x v="0"/>
    <s v="Project"/>
    <x v="2117"/>
    <x v="0"/>
    <x v="21"/>
    <s v="Exclude in HGB Group allocation"/>
  </r>
  <r>
    <s v="0"/>
    <m/>
    <x v="0"/>
    <x v="0"/>
    <m/>
    <m/>
    <m/>
    <n v="1004"/>
    <n v="3"/>
    <n v="2"/>
    <m/>
    <s v="01_SE"/>
    <x v="0"/>
    <m/>
    <m/>
    <m/>
    <m/>
    <x v="0"/>
    <s v="Project"/>
    <x v="2121"/>
    <x v="0"/>
    <x v="0"/>
    <s v="Exclude in HGB Group allocation"/>
  </r>
  <r>
    <s v="10040228"/>
    <m/>
    <x v="0"/>
    <x v="0"/>
    <m/>
    <m/>
    <m/>
    <n v="1004"/>
    <n v="2"/>
    <n v="2"/>
    <s v="10040228"/>
    <s v="01_SE"/>
    <x v="0"/>
    <m/>
    <m/>
    <m/>
    <m/>
    <x v="0"/>
    <s v="Project"/>
    <x v="2122"/>
    <x v="0"/>
    <x v="0"/>
    <s v="Exclude in HGB Group allocation"/>
  </r>
  <r>
    <s v="20360211"/>
    <m/>
    <x v="0"/>
    <x v="0"/>
    <m/>
    <m/>
    <m/>
    <n v="2036"/>
    <n v="2"/>
    <n v="1"/>
    <s v="20360211"/>
    <s v="01_SE"/>
    <x v="4"/>
    <m/>
    <m/>
    <m/>
    <m/>
    <x v="0"/>
    <s v="Project"/>
    <x v="2123"/>
    <x v="0"/>
    <x v="18"/>
    <s v="Exclude in HGB Group allocation"/>
  </r>
  <r>
    <s v="20360216"/>
    <m/>
    <x v="0"/>
    <x v="0"/>
    <m/>
    <m/>
    <m/>
    <n v="2036"/>
    <n v="2"/>
    <n v="1"/>
    <s v="20360216"/>
    <s v="01_SE"/>
    <x v="4"/>
    <m/>
    <m/>
    <m/>
    <m/>
    <x v="0"/>
    <s v="Project"/>
    <x v="2123"/>
    <x v="0"/>
    <x v="19"/>
    <s v="Exclude in HGB Group allocation"/>
  </r>
  <r>
    <s v="0"/>
    <m/>
    <x v="0"/>
    <x v="0"/>
    <m/>
    <m/>
    <m/>
    <n v="7677"/>
    <n v="2"/>
    <n v="2"/>
    <m/>
    <s v="01_SE"/>
    <x v="0"/>
    <m/>
    <m/>
    <m/>
    <m/>
    <x v="0"/>
    <s v="Project"/>
    <x v="2124"/>
    <x v="0"/>
    <x v="0"/>
    <s v="Exclude in HGB Group allocation"/>
  </r>
  <r>
    <s v="30460543"/>
    <m/>
    <x v="0"/>
    <x v="0"/>
    <m/>
    <m/>
    <m/>
    <n v="3046"/>
    <n v="5"/>
    <n v="4"/>
    <s v="30460543"/>
    <s v="02_GmbH"/>
    <x v="1"/>
    <m/>
    <m/>
    <m/>
    <m/>
    <x v="0"/>
    <s v="Project"/>
    <x v="2125"/>
    <x v="0"/>
    <x v="1"/>
    <s v="Exclude in HGB Group allocation"/>
  </r>
  <r>
    <s v="30460544"/>
    <m/>
    <x v="0"/>
    <x v="0"/>
    <m/>
    <m/>
    <m/>
    <n v="3046"/>
    <n v="5"/>
    <n v="4"/>
    <s v="30460544"/>
    <s v="02_GmbH"/>
    <x v="1"/>
    <m/>
    <m/>
    <m/>
    <m/>
    <x v="0"/>
    <s v="Project"/>
    <x v="2125"/>
    <x v="0"/>
    <x v="2"/>
    <s v="Exclude in HGB Group allocation"/>
  </r>
  <r>
    <s v="30460547"/>
    <m/>
    <x v="0"/>
    <x v="0"/>
    <m/>
    <m/>
    <m/>
    <n v="3046"/>
    <n v="5"/>
    <n v="4"/>
    <s v="30460547"/>
    <s v="02_GmbH"/>
    <x v="1"/>
    <m/>
    <m/>
    <m/>
    <m/>
    <x v="0"/>
    <s v="Project"/>
    <x v="2125"/>
    <x v="0"/>
    <x v="20"/>
    <s v="Exclude in HGB Group allocation"/>
  </r>
  <r>
    <s v="30461247"/>
    <m/>
    <x v="0"/>
    <x v="0"/>
    <m/>
    <m/>
    <m/>
    <n v="3046"/>
    <n v="12"/>
    <n v="4"/>
    <s v="30461247"/>
    <s v="02_GmbH"/>
    <x v="1"/>
    <m/>
    <m/>
    <m/>
    <m/>
    <x v="0"/>
    <s v="Project"/>
    <x v="2126"/>
    <x v="0"/>
    <x v="20"/>
    <s v="Exclude in HGB Group allocation"/>
  </r>
  <r>
    <s v="30461344"/>
    <m/>
    <x v="0"/>
    <x v="0"/>
    <m/>
    <m/>
    <m/>
    <n v="3046"/>
    <n v="13"/>
    <n v="4"/>
    <s v="30461344"/>
    <s v="02_GmbH"/>
    <x v="1"/>
    <m/>
    <m/>
    <m/>
    <m/>
    <x v="0"/>
    <s v="Project"/>
    <x v="2127"/>
    <x v="0"/>
    <x v="21"/>
    <s v="Exclude in HGB Group allocation"/>
  </r>
  <r>
    <s v="30461444"/>
    <m/>
    <x v="0"/>
    <x v="0"/>
    <m/>
    <m/>
    <m/>
    <n v="3046"/>
    <n v="14"/>
    <n v="4"/>
    <s v="30461444"/>
    <s v="02_GmbH"/>
    <x v="1"/>
    <m/>
    <m/>
    <m/>
    <m/>
    <x v="0"/>
    <s v="Project"/>
    <x v="2128"/>
    <x v="0"/>
    <x v="21"/>
    <s v="Exclude in HGB Group allocation"/>
  </r>
  <r>
    <s v="99910843"/>
    <m/>
    <x v="0"/>
    <x v="0"/>
    <m/>
    <m/>
    <m/>
    <n v="3046"/>
    <n v="5"/>
    <n v="4"/>
    <s v="99910843"/>
    <s v="02_GmbH"/>
    <x v="1"/>
    <m/>
    <m/>
    <m/>
    <m/>
    <x v="0"/>
    <s v="Project"/>
    <x v="2125"/>
    <x v="0"/>
    <x v="1"/>
    <s v="Exclude in HGB Group allocation"/>
  </r>
  <r>
    <s v="99910844"/>
    <m/>
    <x v="0"/>
    <x v="0"/>
    <m/>
    <m/>
    <m/>
    <n v="3046"/>
    <n v="5"/>
    <n v="4"/>
    <s v="99910844"/>
    <s v="02_GmbH"/>
    <x v="1"/>
    <m/>
    <m/>
    <m/>
    <m/>
    <x v="0"/>
    <s v="Project"/>
    <x v="2125"/>
    <x v="0"/>
    <x v="2"/>
    <s v="Exclude in HGB Group allocation"/>
  </r>
  <r>
    <s v="0"/>
    <m/>
    <x v="0"/>
    <x v="0"/>
    <m/>
    <m/>
    <m/>
    <n v="9963"/>
    <n v="88"/>
    <n v="1"/>
    <m/>
    <s v="01_SE"/>
    <x v="4"/>
    <m/>
    <m/>
    <m/>
    <m/>
    <x v="0"/>
    <s v="Project"/>
    <x v="2017"/>
    <x v="0"/>
    <x v="17"/>
    <s v="Exclude in HGB Group allocation"/>
  </r>
  <r>
    <s v="99898311"/>
    <m/>
    <x v="0"/>
    <x v="0"/>
    <m/>
    <m/>
    <m/>
    <n v="9989"/>
    <n v="83"/>
    <n v="1"/>
    <s v="99898311"/>
    <s v="01_SE"/>
    <x v="4"/>
    <m/>
    <m/>
    <m/>
    <m/>
    <x v="0"/>
    <s v="Project"/>
    <x v="2129"/>
    <x v="0"/>
    <x v="18"/>
    <s v="Exclude in HGB Group allocation"/>
  </r>
  <r>
    <s v="99967111"/>
    <m/>
    <x v="0"/>
    <x v="0"/>
    <m/>
    <m/>
    <m/>
    <n v="9989"/>
    <n v="83"/>
    <n v="1"/>
    <s v="99967111"/>
    <s v="01_SE"/>
    <x v="4"/>
    <m/>
    <m/>
    <m/>
    <m/>
    <x v="0"/>
    <s v="Project"/>
    <x v="2129"/>
    <x v="0"/>
    <x v="18"/>
    <s v="Exclude in HGB Group allocation"/>
  </r>
  <r>
    <s v="99910511"/>
    <m/>
    <x v="0"/>
    <x v="0"/>
    <m/>
    <m/>
    <m/>
    <n v="9991"/>
    <n v="5"/>
    <n v="1"/>
    <s v="99910511"/>
    <s v="01_SE"/>
    <x v="4"/>
    <m/>
    <m/>
    <m/>
    <m/>
    <x v="0"/>
    <s v="Project"/>
    <x v="2130"/>
    <x v="0"/>
    <x v="18"/>
    <s v="Exclude in HGB Group allocation"/>
  </r>
  <r>
    <s v="99954911"/>
    <m/>
    <x v="0"/>
    <x v="0"/>
    <m/>
    <m/>
    <m/>
    <n v="9995"/>
    <n v="49"/>
    <n v="1"/>
    <s v="99954911"/>
    <s v="01_SE"/>
    <x v="4"/>
    <m/>
    <m/>
    <m/>
    <m/>
    <x v="0"/>
    <s v="Project"/>
    <x v="2131"/>
    <x v="0"/>
    <x v="18"/>
    <s v="Exclude in HGB Group allocation"/>
  </r>
  <r>
    <s v="99954916"/>
    <m/>
    <x v="0"/>
    <x v="0"/>
    <m/>
    <m/>
    <m/>
    <n v="9995"/>
    <n v="49"/>
    <n v="1"/>
    <s v="99954916"/>
    <s v="01_SE"/>
    <x v="4"/>
    <m/>
    <m/>
    <m/>
    <m/>
    <x v="0"/>
    <s v="Project"/>
    <x v="2131"/>
    <x v="0"/>
    <x v="19"/>
    <s v="Exclude in HGB Group allocation"/>
  </r>
  <r>
    <s v="99959313"/>
    <m/>
    <x v="0"/>
    <x v="0"/>
    <m/>
    <m/>
    <m/>
    <n v="9995"/>
    <n v="93"/>
    <n v="1"/>
    <s v="99959313"/>
    <s v="01_SE"/>
    <x v="4"/>
    <m/>
    <m/>
    <m/>
    <m/>
    <x v="0"/>
    <s v="Project"/>
    <x v="2132"/>
    <x v="0"/>
    <x v="17"/>
    <s v="Exclude in HGB Group allocation"/>
  </r>
  <r>
    <s v="30530228"/>
    <m/>
    <x v="0"/>
    <x v="0"/>
    <m/>
    <m/>
    <m/>
    <n v="3053"/>
    <n v="2"/>
    <n v="2"/>
    <s v="30530228"/>
    <s v="01_SE"/>
    <x v="0"/>
    <m/>
    <m/>
    <m/>
    <m/>
    <x v="0"/>
    <s v="Project"/>
    <x v="2133"/>
    <x v="0"/>
    <x v="0"/>
    <s v="Exclude in HGB Group allocation"/>
  </r>
  <r>
    <s v="0"/>
    <m/>
    <x v="0"/>
    <x v="0"/>
    <m/>
    <m/>
    <m/>
    <n v="2078"/>
    <n v="2"/>
    <n v="2"/>
    <m/>
    <s v="01_SE"/>
    <x v="0"/>
    <m/>
    <m/>
    <m/>
    <m/>
    <x v="0"/>
    <s v="Project"/>
    <x v="2134"/>
    <x v="0"/>
    <x v="0"/>
    <s v="Exclude in HGB Group allocation"/>
  </r>
  <r>
    <s v="0"/>
    <m/>
    <x v="0"/>
    <x v="0"/>
    <m/>
    <m/>
    <m/>
    <n v="6055"/>
    <n v="5"/>
    <n v="2"/>
    <m/>
    <s v="07_Inc"/>
    <x v="0"/>
    <m/>
    <m/>
    <m/>
    <m/>
    <x v="0"/>
    <s v="Project"/>
    <x v="2135"/>
    <x v="0"/>
    <x v="0"/>
    <s v="Exclude in HGB Group allocation"/>
  </r>
  <r>
    <s v="0"/>
    <m/>
    <x v="0"/>
    <x v="0"/>
    <m/>
    <m/>
    <m/>
    <n v="6055"/>
    <n v="6"/>
    <n v="2"/>
    <m/>
    <s v="07_Inc"/>
    <x v="0"/>
    <m/>
    <m/>
    <m/>
    <m/>
    <x v="0"/>
    <s v="Project"/>
    <x v="2136"/>
    <x v="0"/>
    <x v="0"/>
    <s v="Exclude in HGB Group allocation"/>
  </r>
  <r>
    <s v="0"/>
    <m/>
    <x v="0"/>
    <x v="0"/>
    <m/>
    <m/>
    <m/>
    <n v="6055"/>
    <n v="7"/>
    <n v="2"/>
    <m/>
    <s v="01_SE"/>
    <x v="0"/>
    <m/>
    <m/>
    <m/>
    <m/>
    <x v="0"/>
    <s v="Project"/>
    <x v="2137"/>
    <x v="0"/>
    <x v="0"/>
    <s v="Exclude in HGB Group allocation"/>
  </r>
  <r>
    <s v="0"/>
    <m/>
    <x v="0"/>
    <x v="0"/>
    <m/>
    <m/>
    <m/>
    <n v="6055"/>
    <n v="8"/>
    <n v="2"/>
    <m/>
    <s v="07_Inc"/>
    <x v="0"/>
    <m/>
    <m/>
    <m/>
    <m/>
    <x v="0"/>
    <s v="Project"/>
    <x v="2138"/>
    <x v="0"/>
    <x v="0"/>
    <s v="Exclude in HGB Group allocation"/>
  </r>
  <r>
    <s v="0"/>
    <m/>
    <x v="0"/>
    <x v="0"/>
    <m/>
    <m/>
    <m/>
    <n v="6055"/>
    <n v="9"/>
    <n v="2"/>
    <m/>
    <s v="07_Inc"/>
    <x v="0"/>
    <m/>
    <m/>
    <m/>
    <m/>
    <x v="0"/>
    <s v="Project"/>
    <x v="2139"/>
    <x v="0"/>
    <x v="0"/>
    <s v="Exclude in HGB Group allocation"/>
  </r>
  <r>
    <s v="0"/>
    <m/>
    <x v="0"/>
    <x v="0"/>
    <m/>
    <m/>
    <m/>
    <n v="6055"/>
    <n v="10"/>
    <n v="2"/>
    <m/>
    <s v="07_Inc"/>
    <x v="0"/>
    <m/>
    <m/>
    <m/>
    <m/>
    <x v="0"/>
    <s v="Project"/>
    <x v="2140"/>
    <x v="0"/>
    <x v="0"/>
    <s v="Exclude in HGB Group allocation"/>
  </r>
  <r>
    <s v="0"/>
    <m/>
    <x v="0"/>
    <x v="0"/>
    <m/>
    <m/>
    <m/>
    <n v="6055"/>
    <n v="13"/>
    <n v="2"/>
    <m/>
    <s v="07_Inc"/>
    <x v="0"/>
    <m/>
    <m/>
    <m/>
    <m/>
    <x v="0"/>
    <s v="Project"/>
    <x v="2141"/>
    <x v="0"/>
    <x v="0"/>
    <s v="Exclude in HGB Group allocation"/>
  </r>
  <r>
    <s v="0"/>
    <m/>
    <x v="0"/>
    <x v="0"/>
    <m/>
    <m/>
    <m/>
    <n v="6055"/>
    <n v="11"/>
    <n v="2"/>
    <m/>
    <s v="07_Inc"/>
    <x v="0"/>
    <m/>
    <m/>
    <m/>
    <m/>
    <x v="0"/>
    <s v="Project"/>
    <x v="2142"/>
    <x v="0"/>
    <x v="0"/>
    <s v="Exclude in HGB Group allocation"/>
  </r>
  <r>
    <s v="60550241"/>
    <m/>
    <x v="0"/>
    <x v="0"/>
    <m/>
    <m/>
    <m/>
    <n v="6055"/>
    <n v="2"/>
    <n v="4"/>
    <s v="60550241"/>
    <s v="02_GmbH"/>
    <x v="1"/>
    <m/>
    <m/>
    <m/>
    <m/>
    <x v="0"/>
    <s v="Project"/>
    <x v="2143"/>
    <x v="0"/>
    <x v="22"/>
    <s v="Exclude in HGB Group allocation"/>
  </r>
  <r>
    <s v="60550242"/>
    <m/>
    <x v="0"/>
    <x v="0"/>
    <m/>
    <m/>
    <m/>
    <n v="6055"/>
    <n v="2"/>
    <n v="4"/>
    <s v="60550242"/>
    <s v="02_GmbH"/>
    <x v="1"/>
    <m/>
    <m/>
    <m/>
    <m/>
    <x v="0"/>
    <s v="Project"/>
    <x v="2143"/>
    <x v="0"/>
    <x v="23"/>
    <s v="Exclude in HGB Group allocation"/>
  </r>
  <r>
    <s v="60550244"/>
    <m/>
    <x v="0"/>
    <x v="0"/>
    <m/>
    <m/>
    <m/>
    <n v="6055"/>
    <n v="2"/>
    <n v="4"/>
    <s v="60550244"/>
    <s v="02_GmbH"/>
    <x v="1"/>
    <m/>
    <m/>
    <m/>
    <m/>
    <x v="0"/>
    <s v="Project"/>
    <x v="2143"/>
    <x v="0"/>
    <x v="2"/>
    <s v="Exclude in HGB Group allocation"/>
  </r>
  <r>
    <s v="60550246"/>
    <m/>
    <x v="0"/>
    <x v="0"/>
    <m/>
    <m/>
    <m/>
    <n v="6055"/>
    <n v="2"/>
    <n v="4"/>
    <s v="60550246"/>
    <s v="02_GmbH"/>
    <x v="1"/>
    <m/>
    <m/>
    <m/>
    <m/>
    <x v="0"/>
    <s v="Project"/>
    <x v="2143"/>
    <x v="0"/>
    <x v="28"/>
    <s v="Exclude in HGB Group allocation"/>
  </r>
  <r>
    <s v="60550247"/>
    <m/>
    <x v="0"/>
    <x v="0"/>
    <m/>
    <m/>
    <m/>
    <n v="6055"/>
    <n v="2"/>
    <n v="4"/>
    <s v="60550247"/>
    <s v="02_GmbH"/>
    <x v="1"/>
    <m/>
    <m/>
    <m/>
    <m/>
    <x v="0"/>
    <s v="Project"/>
    <x v="2143"/>
    <x v="0"/>
    <x v="20"/>
    <s v="Exclude in HGB Group allocation"/>
  </r>
  <r>
    <s v="60550341"/>
    <m/>
    <x v="0"/>
    <x v="0"/>
    <m/>
    <m/>
    <m/>
    <n v="6055"/>
    <n v="3"/>
    <n v="4"/>
    <s v="60550341"/>
    <s v="02_GmbH"/>
    <x v="1"/>
    <m/>
    <m/>
    <m/>
    <m/>
    <x v="0"/>
    <s v="Project"/>
    <x v="2144"/>
    <x v="0"/>
    <x v="22"/>
    <s v="Exclude in HGB Group allocation"/>
  </r>
  <r>
    <s v="60550343"/>
    <m/>
    <x v="0"/>
    <x v="0"/>
    <m/>
    <m/>
    <m/>
    <n v="6055"/>
    <n v="3"/>
    <n v="4"/>
    <s v="60550343"/>
    <s v="02_GmbH"/>
    <x v="1"/>
    <m/>
    <m/>
    <m/>
    <m/>
    <x v="0"/>
    <s v="Project"/>
    <x v="2144"/>
    <x v="0"/>
    <x v="1"/>
    <s v="Exclude in HGB Group allocation"/>
  </r>
  <r>
    <s v="60550344"/>
    <m/>
    <x v="0"/>
    <x v="0"/>
    <m/>
    <m/>
    <m/>
    <n v="6055"/>
    <n v="3"/>
    <n v="4"/>
    <s v="60550344"/>
    <s v="02_GmbH"/>
    <x v="1"/>
    <m/>
    <m/>
    <m/>
    <m/>
    <x v="0"/>
    <s v="Project"/>
    <x v="2144"/>
    <x v="0"/>
    <x v="2"/>
    <s v="Exclude in HGB Group allocation"/>
  </r>
  <r>
    <s v="60550346"/>
    <m/>
    <x v="0"/>
    <x v="0"/>
    <m/>
    <m/>
    <m/>
    <n v="6055"/>
    <n v="3"/>
    <n v="4"/>
    <s v="60550346"/>
    <s v="02_GmbH"/>
    <x v="1"/>
    <m/>
    <m/>
    <m/>
    <m/>
    <x v="0"/>
    <s v="Project"/>
    <x v="2144"/>
    <x v="0"/>
    <x v="28"/>
    <s v="Exclude in HGB Group allocation"/>
  </r>
  <r>
    <s v="60550347"/>
    <m/>
    <x v="0"/>
    <x v="0"/>
    <m/>
    <m/>
    <m/>
    <n v="6055"/>
    <n v="3"/>
    <n v="4"/>
    <s v="60550347"/>
    <s v="02_GmbH"/>
    <x v="1"/>
    <m/>
    <m/>
    <m/>
    <m/>
    <x v="0"/>
    <s v="Project"/>
    <x v="2144"/>
    <x v="0"/>
    <x v="20"/>
    <s v="Exclude in HGB Group allocation"/>
  </r>
  <r>
    <s v="60550447"/>
    <m/>
    <x v="0"/>
    <x v="0"/>
    <m/>
    <m/>
    <m/>
    <n v="6055"/>
    <n v="4"/>
    <n v="4"/>
    <s v="60550447"/>
    <s v="02_GmbH"/>
    <x v="1"/>
    <m/>
    <m/>
    <m/>
    <m/>
    <x v="0"/>
    <s v="Project"/>
    <x v="2145"/>
    <x v="0"/>
    <x v="20"/>
    <s v="Exclude in HGB Group allocation"/>
  </r>
  <r>
    <s v="99957641"/>
    <m/>
    <x v="0"/>
    <x v="0"/>
    <m/>
    <m/>
    <m/>
    <n v="6055"/>
    <n v="3"/>
    <n v="4"/>
    <s v="99957641"/>
    <s v="02_GmbH"/>
    <x v="1"/>
    <m/>
    <m/>
    <m/>
    <m/>
    <x v="0"/>
    <s v="Project"/>
    <x v="2144"/>
    <x v="0"/>
    <x v="22"/>
    <s v="Exclude in HGB Group allocation"/>
  </r>
  <r>
    <s v="99957642"/>
    <m/>
    <x v="0"/>
    <x v="0"/>
    <m/>
    <m/>
    <m/>
    <n v="6055"/>
    <n v="2"/>
    <n v="4"/>
    <s v="99957642"/>
    <s v="02_GmbH"/>
    <x v="1"/>
    <m/>
    <m/>
    <m/>
    <m/>
    <x v="0"/>
    <s v="Project"/>
    <x v="2143"/>
    <x v="0"/>
    <x v="23"/>
    <s v="Exclude in HGB Group allocation"/>
  </r>
  <r>
    <s v="99957643"/>
    <m/>
    <x v="0"/>
    <x v="0"/>
    <m/>
    <m/>
    <m/>
    <n v="6055"/>
    <n v="3"/>
    <n v="4"/>
    <s v="99957643"/>
    <s v="02_GmbH"/>
    <x v="1"/>
    <m/>
    <m/>
    <m/>
    <m/>
    <x v="0"/>
    <s v="Project"/>
    <x v="2144"/>
    <x v="0"/>
    <x v="1"/>
    <s v="Exclude in HGB Group allocation"/>
  </r>
  <r>
    <s v="99957644"/>
    <m/>
    <x v="0"/>
    <x v="0"/>
    <m/>
    <m/>
    <m/>
    <n v="6055"/>
    <n v="3"/>
    <n v="4"/>
    <s v="99957644"/>
    <s v="02_GmbH"/>
    <x v="1"/>
    <m/>
    <m/>
    <m/>
    <m/>
    <x v="0"/>
    <s v="Project"/>
    <x v="2144"/>
    <x v="0"/>
    <x v="2"/>
    <s v="Exclude in HGB Group allocation"/>
  </r>
  <r>
    <s v="0"/>
    <m/>
    <x v="0"/>
    <x v="0"/>
    <m/>
    <m/>
    <m/>
    <n v="9963"/>
    <n v="89"/>
    <n v="1"/>
    <m/>
    <s v="01_SE"/>
    <x v="4"/>
    <m/>
    <m/>
    <m/>
    <m/>
    <x v="0"/>
    <s v="Project"/>
    <x v="2146"/>
    <x v="0"/>
    <x v="18"/>
    <s v="Exclude in HGB Group allocation"/>
  </r>
  <r>
    <s v="0"/>
    <m/>
    <x v="0"/>
    <x v="0"/>
    <m/>
    <m/>
    <m/>
    <n v="9963"/>
    <n v="89"/>
    <n v="1"/>
    <m/>
    <s v="01_SE"/>
    <x v="4"/>
    <m/>
    <m/>
    <m/>
    <m/>
    <x v="0"/>
    <s v="Project"/>
    <x v="2146"/>
    <x v="0"/>
    <x v="17"/>
    <s v="Exclude in HGB Group allocation"/>
  </r>
  <r>
    <s v="0"/>
    <m/>
    <x v="0"/>
    <x v="0"/>
    <m/>
    <m/>
    <m/>
    <n v="9963"/>
    <n v="89"/>
    <n v="1"/>
    <m/>
    <s v="01_SE"/>
    <x v="4"/>
    <m/>
    <m/>
    <m/>
    <m/>
    <x v="0"/>
    <s v="Project"/>
    <x v="2146"/>
    <x v="0"/>
    <x v="19"/>
    <s v="Exclude in HGB Group allocation"/>
  </r>
  <r>
    <s v="0"/>
    <m/>
    <x v="0"/>
    <x v="0"/>
    <m/>
    <m/>
    <m/>
    <n v="9963"/>
    <n v="90"/>
    <n v="1"/>
    <m/>
    <s v="01_SE"/>
    <x v="4"/>
    <m/>
    <m/>
    <m/>
    <m/>
    <x v="0"/>
    <s v="Project"/>
    <x v="2147"/>
    <x v="0"/>
    <x v="18"/>
    <s v="Exclude in HGB Group allocation"/>
  </r>
  <r>
    <s v="0"/>
    <m/>
    <x v="0"/>
    <x v="0"/>
    <m/>
    <m/>
    <m/>
    <n v="9963"/>
    <n v="90"/>
    <n v="1"/>
    <m/>
    <s v="01_SE"/>
    <x v="4"/>
    <m/>
    <m/>
    <m/>
    <m/>
    <x v="0"/>
    <s v="Project"/>
    <x v="2147"/>
    <x v="0"/>
    <x v="17"/>
    <s v="Exclude in HGB Group allocation"/>
  </r>
  <r>
    <s v="0"/>
    <m/>
    <x v="0"/>
    <x v="0"/>
    <m/>
    <m/>
    <m/>
    <n v="9963"/>
    <n v="90"/>
    <n v="1"/>
    <m/>
    <s v="01_SE"/>
    <x v="4"/>
    <m/>
    <m/>
    <m/>
    <m/>
    <x v="0"/>
    <s v="Project"/>
    <x v="2147"/>
    <x v="0"/>
    <x v="19"/>
    <s v="Exclude in HGB Group allocation"/>
  </r>
  <r>
    <s v="0"/>
    <m/>
    <x v="0"/>
    <x v="0"/>
    <m/>
    <m/>
    <m/>
    <n v="9963"/>
    <n v="91"/>
    <n v="1"/>
    <m/>
    <s v="01_SE"/>
    <x v="4"/>
    <m/>
    <m/>
    <m/>
    <m/>
    <x v="0"/>
    <s v="Project"/>
    <x v="2148"/>
    <x v="0"/>
    <x v="19"/>
    <s v="Exclude in HGB Group allocation"/>
  </r>
  <r>
    <s v="0"/>
    <m/>
    <x v="0"/>
    <x v="0"/>
    <m/>
    <m/>
    <m/>
    <n v="9963"/>
    <n v="92"/>
    <n v="1"/>
    <m/>
    <s v="01_SE"/>
    <x v="4"/>
    <m/>
    <m/>
    <m/>
    <m/>
    <x v="0"/>
    <s v="Project"/>
    <x v="2149"/>
    <x v="0"/>
    <x v="21"/>
    <s v="Exclude in HGB Group allocation"/>
  </r>
  <r>
    <s v="0"/>
    <m/>
    <x v="0"/>
    <x v="0"/>
    <m/>
    <m/>
    <m/>
    <n v="9963"/>
    <n v="93"/>
    <n v="1"/>
    <m/>
    <s v="01_SE"/>
    <x v="4"/>
    <m/>
    <m/>
    <m/>
    <m/>
    <x v="0"/>
    <s v="Project"/>
    <x v="2150"/>
    <x v="0"/>
    <x v="17"/>
    <s v="Exclude in HGB Group allocation"/>
  </r>
  <r>
    <s v="0"/>
    <m/>
    <x v="0"/>
    <x v="0"/>
    <m/>
    <m/>
    <m/>
    <n v="9963"/>
    <n v="94"/>
    <n v="1"/>
    <m/>
    <s v="01_SE"/>
    <x v="4"/>
    <m/>
    <m/>
    <m/>
    <m/>
    <x v="0"/>
    <s v="Project"/>
    <x v="2151"/>
    <x v="0"/>
    <x v="18"/>
    <s v="Exclude in HGB Group allocation"/>
  </r>
  <r>
    <s v="0"/>
    <m/>
    <x v="0"/>
    <x v="0"/>
    <m/>
    <m/>
    <m/>
    <n v="9963"/>
    <n v="94"/>
    <n v="1"/>
    <m/>
    <s v="01_SE"/>
    <x v="4"/>
    <m/>
    <m/>
    <m/>
    <m/>
    <x v="0"/>
    <s v="Project"/>
    <x v="2151"/>
    <x v="0"/>
    <x v="17"/>
    <s v="Exclude in HGB Group allocation"/>
  </r>
  <r>
    <s v="0"/>
    <m/>
    <x v="0"/>
    <x v="0"/>
    <m/>
    <m/>
    <m/>
    <n v="9963"/>
    <n v="95"/>
    <n v="1"/>
    <m/>
    <s v="01_SE"/>
    <x v="4"/>
    <m/>
    <m/>
    <m/>
    <m/>
    <x v="0"/>
    <s v="Project"/>
    <x v="2152"/>
    <x v="0"/>
    <x v="19"/>
    <s v="Exclude in HGB Group allocation"/>
  </r>
  <r>
    <s v="0"/>
    <m/>
    <x v="0"/>
    <x v="0"/>
    <m/>
    <m/>
    <m/>
    <n v="9963"/>
    <n v="96"/>
    <n v="1"/>
    <m/>
    <s v="01_SE"/>
    <x v="4"/>
    <m/>
    <m/>
    <m/>
    <m/>
    <x v="0"/>
    <s v="Project"/>
    <x v="2153"/>
    <x v="0"/>
    <x v="17"/>
    <s v="Exclude in HGB Group allocation"/>
  </r>
  <r>
    <s v="0"/>
    <m/>
    <x v="0"/>
    <x v="0"/>
    <m/>
    <m/>
    <m/>
    <n v="9981"/>
    <n v="53"/>
    <n v="2"/>
    <m/>
    <s v="01_SE"/>
    <x v="0"/>
    <m/>
    <m/>
    <m/>
    <m/>
    <x v="0"/>
    <s v="Project"/>
    <x v="2154"/>
    <x v="0"/>
    <x v="0"/>
    <s v="Exclude in HGB Group allocation"/>
  </r>
  <r>
    <s v="0"/>
    <m/>
    <x v="0"/>
    <x v="0"/>
    <m/>
    <m/>
    <m/>
    <n v="9981"/>
    <n v="54"/>
    <n v="1"/>
    <m/>
    <s v="01_SE"/>
    <x v="4"/>
    <m/>
    <m/>
    <m/>
    <m/>
    <x v="0"/>
    <s v="Project"/>
    <x v="2155"/>
    <x v="0"/>
    <x v="17"/>
    <s v="Exclude in HGB Group allocation"/>
  </r>
  <r>
    <s v="99957811"/>
    <m/>
    <x v="0"/>
    <x v="0"/>
    <m/>
    <m/>
    <m/>
    <n v="9995"/>
    <n v="78"/>
    <n v="1"/>
    <s v="99957811"/>
    <s v="01_SE"/>
    <x v="4"/>
    <m/>
    <m/>
    <m/>
    <m/>
    <x v="0"/>
    <s v="Project"/>
    <x v="2156"/>
    <x v="0"/>
    <x v="18"/>
    <s v="Exclude in HGB Group allocation"/>
  </r>
  <r>
    <s v="99957813"/>
    <m/>
    <x v="0"/>
    <x v="0"/>
    <m/>
    <m/>
    <m/>
    <n v="9995"/>
    <n v="78"/>
    <n v="1"/>
    <s v="99957813"/>
    <s v="01_SE"/>
    <x v="4"/>
    <m/>
    <m/>
    <m/>
    <m/>
    <x v="0"/>
    <s v="Project"/>
    <x v="2156"/>
    <x v="0"/>
    <x v="17"/>
    <s v="Exclude in HGB Group allocation"/>
  </r>
  <r>
    <s v="99957816"/>
    <m/>
    <x v="0"/>
    <x v="0"/>
    <m/>
    <m/>
    <m/>
    <n v="9995"/>
    <n v="78"/>
    <n v="1"/>
    <s v="99957816"/>
    <s v="01_SE"/>
    <x v="4"/>
    <m/>
    <m/>
    <m/>
    <m/>
    <x v="0"/>
    <s v="Project"/>
    <x v="2156"/>
    <x v="0"/>
    <x v="19"/>
    <s v="Exclude in HGB Group allocation"/>
  </r>
  <r>
    <s v="99966213"/>
    <m/>
    <x v="0"/>
    <x v="0"/>
    <m/>
    <m/>
    <m/>
    <n v="9995"/>
    <n v="78"/>
    <n v="1"/>
    <s v="99966213"/>
    <s v="01_SE"/>
    <x v="4"/>
    <m/>
    <m/>
    <m/>
    <m/>
    <x v="0"/>
    <s v="Project"/>
    <x v="2156"/>
    <x v="0"/>
    <x v="17"/>
    <s v="Exclude in HGB Group allocation"/>
  </r>
  <r>
    <s v="0"/>
    <m/>
    <x v="0"/>
    <x v="0"/>
    <m/>
    <m/>
    <m/>
    <n v="3181"/>
    <n v="2"/>
    <n v="2"/>
    <m/>
    <s v="01_SE"/>
    <x v="0"/>
    <m/>
    <m/>
    <m/>
    <m/>
    <x v="0"/>
    <s v="Project"/>
    <x v="2157"/>
    <x v="0"/>
    <x v="0"/>
    <s v="Exclude in HGB Group allocation"/>
  </r>
  <r>
    <s v="66640228"/>
    <m/>
    <x v="0"/>
    <x v="0"/>
    <m/>
    <m/>
    <m/>
    <n v="6664"/>
    <n v="2"/>
    <n v="2"/>
    <s v="66640228"/>
    <s v="01_SE"/>
    <x v="0"/>
    <m/>
    <m/>
    <m/>
    <m/>
    <x v="0"/>
    <s v="Project"/>
    <x v="2158"/>
    <x v="0"/>
    <x v="0"/>
    <s v="Exclude in HGB Group allocation"/>
  </r>
  <r>
    <s v="0"/>
    <m/>
    <x v="0"/>
    <x v="0"/>
    <m/>
    <m/>
    <m/>
    <n v="6666"/>
    <n v="2"/>
    <n v="2"/>
    <m/>
    <s v="05_Shg"/>
    <x v="0"/>
    <m/>
    <m/>
    <m/>
    <m/>
    <x v="0"/>
    <s v="Project"/>
    <x v="2159"/>
    <x v="0"/>
    <x v="0"/>
    <s v="Exclude in HGB Group allocation"/>
  </r>
  <r>
    <s v="0"/>
    <m/>
    <x v="0"/>
    <x v="0"/>
    <m/>
    <m/>
    <m/>
    <n v="6667"/>
    <n v="2"/>
    <n v="2"/>
    <m/>
    <s v="01_SE"/>
    <x v="0"/>
    <m/>
    <m/>
    <m/>
    <m/>
    <x v="0"/>
    <s v="Project"/>
    <x v="2160"/>
    <x v="0"/>
    <x v="0"/>
    <s v="Exclude in HGB Group allocation"/>
  </r>
  <r>
    <s v="0"/>
    <m/>
    <x v="0"/>
    <x v="0"/>
    <m/>
    <m/>
    <m/>
    <n v="6668"/>
    <n v="2"/>
    <n v="2"/>
    <m/>
    <s v="01_SE"/>
    <x v="0"/>
    <m/>
    <m/>
    <m/>
    <m/>
    <x v="0"/>
    <s v="Project"/>
    <x v="2161"/>
    <x v="0"/>
    <x v="0"/>
    <s v="Exclude in HGB Group allocation"/>
  </r>
  <r>
    <s v="0"/>
    <m/>
    <x v="0"/>
    <x v="0"/>
    <m/>
    <m/>
    <m/>
    <n v="6669"/>
    <n v="2"/>
    <n v="2"/>
    <m/>
    <s v="01_SE"/>
    <x v="0"/>
    <m/>
    <m/>
    <m/>
    <m/>
    <x v="0"/>
    <s v="Project"/>
    <x v="2162"/>
    <x v="0"/>
    <x v="0"/>
    <s v="Exclude in HGB Group allocation"/>
  </r>
  <r>
    <s v="0"/>
    <m/>
    <x v="0"/>
    <x v="0"/>
    <m/>
    <m/>
    <m/>
    <n v="6675"/>
    <n v="2"/>
    <n v="1"/>
    <m/>
    <s v="01_SE"/>
    <x v="4"/>
    <m/>
    <m/>
    <m/>
    <m/>
    <x v="0"/>
    <s v="Project"/>
    <x v="2163"/>
    <x v="0"/>
    <x v="19"/>
    <s v="Exclude in HGB Group allocation"/>
  </r>
  <r>
    <s v="99633943"/>
    <m/>
    <x v="0"/>
    <x v="0"/>
    <m/>
    <m/>
    <m/>
    <n v="6615"/>
    <n v="2"/>
    <n v="4"/>
    <s v="99633943"/>
    <s v="02_GmbH"/>
    <x v="1"/>
    <m/>
    <m/>
    <m/>
    <m/>
    <x v="0"/>
    <s v="Project"/>
    <x v="1132"/>
    <x v="0"/>
    <x v="1"/>
    <s v="Exclude in HGB Group allocation"/>
  </r>
  <r>
    <s v="99633944"/>
    <m/>
    <x v="0"/>
    <x v="0"/>
    <m/>
    <m/>
    <m/>
    <n v="6615"/>
    <n v="2"/>
    <n v="4"/>
    <s v="99633944"/>
    <s v="02_GmbH"/>
    <x v="1"/>
    <m/>
    <m/>
    <m/>
    <m/>
    <x v="0"/>
    <s v="Project"/>
    <x v="1132"/>
    <x v="0"/>
    <x v="2"/>
    <s v="Exclude in HGB Group allocation"/>
  </r>
  <r>
    <s v="99885643"/>
    <m/>
    <x v="0"/>
    <x v="0"/>
    <m/>
    <m/>
    <m/>
    <n v="6607"/>
    <n v="3"/>
    <n v="4"/>
    <s v="99885643"/>
    <s v="02_GmbH"/>
    <x v="1"/>
    <m/>
    <m/>
    <m/>
    <m/>
    <x v="0"/>
    <s v="Project"/>
    <x v="1016"/>
    <x v="0"/>
    <x v="1"/>
    <s v="Exclude in HGB Group allocation"/>
  </r>
  <r>
    <s v="99885644"/>
    <m/>
    <x v="0"/>
    <x v="0"/>
    <m/>
    <m/>
    <m/>
    <n v="6607"/>
    <n v="3"/>
    <n v="4"/>
    <s v="99885644"/>
    <s v="02_GmbH"/>
    <x v="1"/>
    <m/>
    <m/>
    <m/>
    <m/>
    <x v="0"/>
    <s v="Project"/>
    <x v="1016"/>
    <x v="0"/>
    <x v="2"/>
    <s v="Exclude in HGB Group allocation"/>
  </r>
  <r>
    <s v="99895043"/>
    <m/>
    <x v="0"/>
    <x v="0"/>
    <m/>
    <m/>
    <m/>
    <n v="6619"/>
    <n v="5"/>
    <n v="4"/>
    <s v="99895043"/>
    <s v="02_GmbH"/>
    <x v="1"/>
    <m/>
    <m/>
    <m/>
    <m/>
    <x v="0"/>
    <s v="Project"/>
    <x v="1136"/>
    <x v="0"/>
    <x v="1"/>
    <s v="Exclude in HGB Group allocation"/>
  </r>
  <r>
    <s v="99895044"/>
    <m/>
    <x v="0"/>
    <x v="0"/>
    <m/>
    <m/>
    <m/>
    <n v="6619"/>
    <n v="5"/>
    <n v="4"/>
    <s v="99895044"/>
    <s v="02_GmbH"/>
    <x v="1"/>
    <m/>
    <m/>
    <m/>
    <m/>
    <x v="0"/>
    <s v="Project"/>
    <x v="1136"/>
    <x v="0"/>
    <x v="2"/>
    <s v="Exclude in HGB Group allocation"/>
  </r>
  <r>
    <s v="79560712"/>
    <m/>
    <x v="0"/>
    <x v="0"/>
    <m/>
    <m/>
    <m/>
    <n v="7956"/>
    <n v="7"/>
    <n v="1"/>
    <s v="79560712"/>
    <s v="01_SE"/>
    <x v="4"/>
    <m/>
    <m/>
    <m/>
    <m/>
    <x v="0"/>
    <s v="Project"/>
    <x v="2164"/>
    <x v="0"/>
    <x v="18"/>
    <s v="Exclude in HGB Group allocation"/>
  </r>
  <r>
    <s v="79680327"/>
    <m/>
    <x v="0"/>
    <x v="0"/>
    <m/>
    <m/>
    <m/>
    <n v="7968"/>
    <n v="3"/>
    <n v="2"/>
    <s v="79680327"/>
    <s v="01_SE"/>
    <x v="0"/>
    <m/>
    <m/>
    <m/>
    <m/>
    <x v="0"/>
    <s v="Project"/>
    <x v="2165"/>
    <x v="0"/>
    <x v="0"/>
    <s v="Exclude in HGB Group allocation"/>
  </r>
  <r>
    <s v="0"/>
    <m/>
    <x v="0"/>
    <x v="0"/>
    <m/>
    <m/>
    <m/>
    <n v="7954"/>
    <n v="3"/>
    <n v="2"/>
    <m/>
    <s v="01_SE"/>
    <x v="0"/>
    <m/>
    <m/>
    <m/>
    <m/>
    <x v="0"/>
    <s v="Project"/>
    <x v="2166"/>
    <x v="0"/>
    <x v="0"/>
    <s v="Exclude in HGB Group allocation"/>
  </r>
  <r>
    <s v="0"/>
    <m/>
    <x v="0"/>
    <x v="0"/>
    <m/>
    <m/>
    <m/>
    <n v="7954"/>
    <n v="2"/>
    <n v="2"/>
    <m/>
    <s v="01_SE"/>
    <x v="0"/>
    <m/>
    <m/>
    <m/>
    <m/>
    <x v="0"/>
    <s v="Project"/>
    <x v="2167"/>
    <x v="0"/>
    <x v="0"/>
    <s v="Exclude in HGB Group allocation"/>
  </r>
  <r>
    <s v="74063328"/>
    <m/>
    <x v="0"/>
    <x v="0"/>
    <m/>
    <m/>
    <m/>
    <n v="7406"/>
    <n v="33"/>
    <n v="2"/>
    <s v="74063328"/>
    <s v="01_SE"/>
    <x v="0"/>
    <m/>
    <m/>
    <m/>
    <m/>
    <x v="0"/>
    <s v="Project"/>
    <x v="2168"/>
    <x v="0"/>
    <x v="0"/>
    <s v="Exclude in HGB Group allocation"/>
  </r>
  <r>
    <s v="80352711"/>
    <m/>
    <x v="0"/>
    <x v="0"/>
    <m/>
    <m/>
    <m/>
    <n v="8035"/>
    <n v="27"/>
    <n v="1"/>
    <s v="80352711"/>
    <s v="01_SE"/>
    <x v="4"/>
    <m/>
    <m/>
    <m/>
    <m/>
    <x v="0"/>
    <s v="Project"/>
    <x v="2169"/>
    <x v="0"/>
    <x v="18"/>
    <s v="Exclude in HGB Group allocation"/>
  </r>
  <r>
    <s v="0"/>
    <m/>
    <x v="0"/>
    <x v="0"/>
    <m/>
    <m/>
    <m/>
    <n v="2052"/>
    <n v="4"/>
    <n v="2"/>
    <m/>
    <s v="01_SE"/>
    <x v="0"/>
    <m/>
    <m/>
    <m/>
    <m/>
    <x v="0"/>
    <s v="Project"/>
    <x v="2170"/>
    <x v="0"/>
    <x v="0"/>
    <s v="Exclude in HGB Group allocation"/>
  </r>
  <r>
    <s v="0"/>
    <m/>
    <x v="0"/>
    <x v="0"/>
    <m/>
    <m/>
    <m/>
    <n v="2052"/>
    <n v="3"/>
    <n v="2"/>
    <m/>
    <s v="01_SE"/>
    <x v="0"/>
    <m/>
    <m/>
    <m/>
    <m/>
    <x v="0"/>
    <s v="Project"/>
    <x v="2171"/>
    <x v="0"/>
    <x v="0"/>
    <s v="Exclude in HGB Group allocation"/>
  </r>
  <r>
    <s v="0"/>
    <m/>
    <x v="0"/>
    <x v="0"/>
    <m/>
    <m/>
    <m/>
    <n v="2053"/>
    <n v="3"/>
    <n v="1"/>
    <m/>
    <s v="01_SE"/>
    <x v="4"/>
    <m/>
    <m/>
    <m/>
    <m/>
    <x v="0"/>
    <s v="Project"/>
    <x v="2172"/>
    <x v="0"/>
    <x v="19"/>
    <s v="Exclude in HGB Group allocation"/>
  </r>
  <r>
    <s v="63130428"/>
    <m/>
    <x v="0"/>
    <x v="0"/>
    <m/>
    <m/>
    <m/>
    <n v="6313"/>
    <n v="4"/>
    <n v="2"/>
    <s v="63130428"/>
    <s v="01_SE"/>
    <x v="0"/>
    <m/>
    <m/>
    <m/>
    <m/>
    <x v="0"/>
    <s v="Project"/>
    <x v="2173"/>
    <x v="0"/>
    <x v="0"/>
    <s v="Exclude in HGB Group allocation"/>
  </r>
  <r>
    <s v="63130528"/>
    <m/>
    <x v="0"/>
    <x v="0"/>
    <m/>
    <m/>
    <m/>
    <n v="6313"/>
    <n v="5"/>
    <n v="2"/>
    <s v="63130528"/>
    <s v="01_SE"/>
    <x v="0"/>
    <m/>
    <m/>
    <m/>
    <m/>
    <x v="0"/>
    <s v="Project"/>
    <x v="2174"/>
    <x v="0"/>
    <x v="0"/>
    <s v="Exclude in HGB Group allocation"/>
  </r>
  <r>
    <s v="63130628"/>
    <m/>
    <x v="0"/>
    <x v="0"/>
    <m/>
    <m/>
    <m/>
    <n v="6313"/>
    <n v="6"/>
    <n v="2"/>
    <s v="63130628"/>
    <s v="01_SE"/>
    <x v="0"/>
    <m/>
    <m/>
    <m/>
    <m/>
    <x v="0"/>
    <s v="Project"/>
    <x v="2175"/>
    <x v="0"/>
    <x v="0"/>
    <s v="Exclude in HGB Group allocation"/>
  </r>
  <r>
    <s v="63130728"/>
    <m/>
    <x v="0"/>
    <x v="0"/>
    <m/>
    <m/>
    <m/>
    <n v="6313"/>
    <n v="7"/>
    <n v="2"/>
    <s v="63130728"/>
    <s v="01_SE"/>
    <x v="0"/>
    <m/>
    <m/>
    <m/>
    <m/>
    <x v="0"/>
    <s v="Project"/>
    <x v="2176"/>
    <x v="0"/>
    <x v="0"/>
    <s v="Exclude in HGB Group allocation"/>
  </r>
  <r>
    <s v="0"/>
    <m/>
    <x v="0"/>
    <x v="0"/>
    <m/>
    <m/>
    <m/>
    <n v="8108"/>
    <n v="25"/>
    <n v="2"/>
    <m/>
    <s v="01_SE"/>
    <x v="0"/>
    <m/>
    <m/>
    <m/>
    <m/>
    <x v="0"/>
    <s v="Project"/>
    <x v="2177"/>
    <x v="0"/>
    <x v="0"/>
    <s v="Exclude in HGB Group allocation"/>
  </r>
  <r>
    <s v="0"/>
    <m/>
    <x v="0"/>
    <x v="0"/>
    <m/>
    <m/>
    <m/>
    <n v="8108"/>
    <n v="26"/>
    <n v="2"/>
    <m/>
    <s v="01_SE"/>
    <x v="0"/>
    <m/>
    <m/>
    <m/>
    <m/>
    <x v="0"/>
    <s v="Project"/>
    <x v="2178"/>
    <x v="0"/>
    <x v="0"/>
    <s v="Exclude in HGB Group allocation"/>
  </r>
  <r>
    <s v="81081628"/>
    <m/>
    <x v="0"/>
    <x v="0"/>
    <m/>
    <m/>
    <m/>
    <n v="8108"/>
    <n v="16"/>
    <n v="2"/>
    <s v="81081628"/>
    <s v="01_SE"/>
    <x v="0"/>
    <m/>
    <m/>
    <m/>
    <m/>
    <x v="0"/>
    <s v="Project"/>
    <x v="2179"/>
    <x v="0"/>
    <x v="0"/>
    <s v="Exclude in HGB Group allocation"/>
  </r>
  <r>
    <s v="81081828"/>
    <m/>
    <x v="0"/>
    <x v="0"/>
    <m/>
    <m/>
    <m/>
    <n v="8108"/>
    <n v="18"/>
    <n v="2"/>
    <s v="81081828"/>
    <s v="01_SE"/>
    <x v="0"/>
    <m/>
    <m/>
    <m/>
    <m/>
    <x v="0"/>
    <s v="Project"/>
    <x v="2180"/>
    <x v="0"/>
    <x v="0"/>
    <s v="Exclude in HGB Group allocation"/>
  </r>
  <r>
    <s v="81081928"/>
    <m/>
    <x v="0"/>
    <x v="0"/>
    <m/>
    <m/>
    <m/>
    <n v="8108"/>
    <n v="19"/>
    <n v="2"/>
    <s v="81081928"/>
    <s v="01_SE"/>
    <x v="0"/>
    <m/>
    <m/>
    <m/>
    <m/>
    <x v="0"/>
    <s v="Project"/>
    <x v="2181"/>
    <x v="0"/>
    <x v="0"/>
    <s v="Exclude in HGB Group allocation"/>
  </r>
  <r>
    <s v="81082028"/>
    <m/>
    <x v="0"/>
    <x v="0"/>
    <m/>
    <m/>
    <m/>
    <n v="8108"/>
    <n v="20"/>
    <n v="2"/>
    <s v="81082028"/>
    <s v="01_SE"/>
    <x v="0"/>
    <m/>
    <m/>
    <m/>
    <m/>
    <x v="0"/>
    <s v="Project"/>
    <x v="2182"/>
    <x v="0"/>
    <x v="0"/>
    <s v="Exclude in HGB Group allocation"/>
  </r>
  <r>
    <s v="81082128"/>
    <m/>
    <x v="0"/>
    <x v="0"/>
    <m/>
    <m/>
    <m/>
    <n v="8108"/>
    <n v="21"/>
    <n v="2"/>
    <s v="81082128"/>
    <s v="01_SE"/>
    <x v="0"/>
    <m/>
    <m/>
    <m/>
    <m/>
    <x v="0"/>
    <s v="Project"/>
    <x v="2183"/>
    <x v="0"/>
    <x v="0"/>
    <s v="Exclude in HGB Group allocation"/>
  </r>
  <r>
    <s v="81082228"/>
    <m/>
    <x v="0"/>
    <x v="0"/>
    <m/>
    <m/>
    <m/>
    <n v="8108"/>
    <n v="22"/>
    <n v="2"/>
    <s v="81082228"/>
    <s v="01_SE"/>
    <x v="0"/>
    <m/>
    <m/>
    <m/>
    <m/>
    <x v="0"/>
    <s v="Project"/>
    <x v="2184"/>
    <x v="0"/>
    <x v="0"/>
    <s v="Exclude in HGB Group allocation"/>
  </r>
  <r>
    <s v="81082328"/>
    <m/>
    <x v="0"/>
    <x v="0"/>
    <m/>
    <m/>
    <m/>
    <n v="8108"/>
    <n v="23"/>
    <n v="2"/>
    <s v="81082328"/>
    <s v="01_SE"/>
    <x v="0"/>
    <m/>
    <m/>
    <m/>
    <m/>
    <x v="0"/>
    <s v="Project"/>
    <x v="2185"/>
    <x v="0"/>
    <x v="0"/>
    <s v="Exclude in HGB Group allocation"/>
  </r>
  <r>
    <s v="0"/>
    <m/>
    <x v="0"/>
    <x v="0"/>
    <m/>
    <m/>
    <m/>
    <n v="8108"/>
    <n v="24"/>
    <n v="2"/>
    <m/>
    <s v="01_SE"/>
    <x v="0"/>
    <m/>
    <m/>
    <m/>
    <m/>
    <x v="0"/>
    <s v="Project"/>
    <x v="2186"/>
    <x v="0"/>
    <x v="0"/>
    <s v="Exclude in HGB Group allocation"/>
  </r>
  <r>
    <s v="99961528"/>
    <m/>
    <x v="0"/>
    <x v="0"/>
    <m/>
    <m/>
    <m/>
    <n v="8108"/>
    <n v="16"/>
    <n v="2"/>
    <s v="99961528"/>
    <s v="01_SE"/>
    <x v="0"/>
    <m/>
    <m/>
    <m/>
    <m/>
    <x v="0"/>
    <s v="Project"/>
    <x v="2179"/>
    <x v="0"/>
    <x v="21"/>
    <s v="Exclude in HGB Group allocation"/>
  </r>
  <r>
    <s v="99965928"/>
    <m/>
    <x v="0"/>
    <x v="0"/>
    <m/>
    <m/>
    <m/>
    <n v="8108"/>
    <n v="21"/>
    <n v="2"/>
    <s v="99965928"/>
    <s v="01_SE"/>
    <x v="0"/>
    <m/>
    <m/>
    <m/>
    <m/>
    <x v="0"/>
    <s v="Project"/>
    <x v="2183"/>
    <x v="0"/>
    <x v="21"/>
    <s v="Exclude in HGB Group allocation"/>
  </r>
  <r>
    <s v="0"/>
    <m/>
    <x v="0"/>
    <x v="0"/>
    <m/>
    <m/>
    <m/>
    <n v="7621"/>
    <n v="3"/>
    <n v="2"/>
    <m/>
    <s v="01_SE"/>
    <x v="0"/>
    <m/>
    <m/>
    <m/>
    <m/>
    <x v="0"/>
    <s v="Project"/>
    <x v="2187"/>
    <x v="0"/>
    <x v="0"/>
    <s v="Exclude in HGB Group allocation"/>
  </r>
  <r>
    <s v="76210228"/>
    <m/>
    <x v="0"/>
    <x v="0"/>
    <m/>
    <m/>
    <m/>
    <n v="7621"/>
    <n v="2"/>
    <n v="2"/>
    <s v="76210228"/>
    <s v="01_SE"/>
    <x v="0"/>
    <m/>
    <m/>
    <m/>
    <m/>
    <x v="0"/>
    <s v="Project"/>
    <x v="2188"/>
    <x v="0"/>
    <x v="0"/>
    <s v="Exclude in HGB Group allocation"/>
  </r>
  <r>
    <s v="30630128"/>
    <m/>
    <x v="0"/>
    <x v="0"/>
    <m/>
    <m/>
    <m/>
    <n v="3063"/>
    <n v="1"/>
    <n v="2"/>
    <s v="30630128"/>
    <s v="01_SE"/>
    <x v="0"/>
    <m/>
    <m/>
    <m/>
    <m/>
    <x v="0"/>
    <s v="Project"/>
    <x v="2189"/>
    <x v="0"/>
    <x v="0"/>
    <s v="Exclude in HGB Group allocation"/>
  </r>
  <r>
    <s v="30630228"/>
    <m/>
    <x v="0"/>
    <x v="0"/>
    <m/>
    <m/>
    <m/>
    <n v="3063"/>
    <n v="2"/>
    <n v="2"/>
    <s v="30630228"/>
    <s v="01_SE"/>
    <x v="0"/>
    <m/>
    <m/>
    <m/>
    <m/>
    <x v="0"/>
    <s v="Project"/>
    <x v="2190"/>
    <x v="0"/>
    <x v="0"/>
    <s v="Exclude in HGB Group allocation"/>
  </r>
  <r>
    <s v="0"/>
    <m/>
    <x v="0"/>
    <x v="0"/>
    <m/>
    <m/>
    <m/>
    <n v="3179"/>
    <n v="2"/>
    <n v="2"/>
    <m/>
    <s v="01_SE"/>
    <x v="0"/>
    <m/>
    <m/>
    <m/>
    <m/>
    <x v="0"/>
    <s v="Project"/>
    <x v="2191"/>
    <x v="0"/>
    <x v="0"/>
    <s v="Exclude in HGB Group allocation"/>
  </r>
  <r>
    <s v="60290228"/>
    <m/>
    <x v="0"/>
    <x v="0"/>
    <m/>
    <m/>
    <m/>
    <n v="6029"/>
    <n v="2"/>
    <n v="2"/>
    <s v="60290228"/>
    <s v="01_SE"/>
    <x v="0"/>
    <m/>
    <m/>
    <m/>
    <m/>
    <x v="0"/>
    <s v="Project"/>
    <x v="2192"/>
    <x v="0"/>
    <x v="0"/>
    <s v="Exclude in HGB Group allocation"/>
  </r>
  <r>
    <s v="0"/>
    <m/>
    <x v="0"/>
    <x v="0"/>
    <m/>
    <m/>
    <m/>
    <n v="8106"/>
    <n v="4"/>
    <n v="2"/>
    <m/>
    <s v="01_SE"/>
    <x v="0"/>
    <m/>
    <m/>
    <m/>
    <m/>
    <x v="0"/>
    <s v="Project"/>
    <x v="2193"/>
    <x v="0"/>
    <x v="0"/>
    <s v="Exclude in HGB Group allocation"/>
  </r>
  <r>
    <s v="0"/>
    <m/>
    <x v="0"/>
    <x v="0"/>
    <m/>
    <m/>
    <m/>
    <n v="8042"/>
    <n v="8"/>
    <n v="2"/>
    <m/>
    <s v="01_SE"/>
    <x v="0"/>
    <m/>
    <m/>
    <m/>
    <m/>
    <x v="0"/>
    <s v="Project"/>
    <x v="2194"/>
    <x v="0"/>
    <x v="0"/>
    <s v="Exclude in HGB Group allocation"/>
  </r>
  <r>
    <s v="0"/>
    <m/>
    <x v="0"/>
    <x v="0"/>
    <m/>
    <m/>
    <m/>
    <n v="7568"/>
    <n v="4"/>
    <n v="2"/>
    <m/>
    <s v="01_SE"/>
    <x v="0"/>
    <m/>
    <m/>
    <m/>
    <m/>
    <x v="0"/>
    <s v="Project"/>
    <x v="2195"/>
    <x v="0"/>
    <x v="0"/>
    <s v="Exclude in HGB Group allocation"/>
  </r>
  <r>
    <s v="75680128"/>
    <m/>
    <x v="0"/>
    <x v="0"/>
    <m/>
    <m/>
    <m/>
    <n v="7568"/>
    <n v="1"/>
    <n v="2"/>
    <s v="75680128"/>
    <s v="00_Group"/>
    <x v="0"/>
    <m/>
    <m/>
    <m/>
    <m/>
    <x v="0"/>
    <s v="Project"/>
    <x v="2196"/>
    <x v="0"/>
    <x v="21"/>
    <s v="Exclude in HGB Group allocation"/>
  </r>
  <r>
    <s v="75680328"/>
    <m/>
    <x v="0"/>
    <x v="0"/>
    <m/>
    <m/>
    <m/>
    <n v="7568"/>
    <n v="3"/>
    <n v="2"/>
    <s v="75680328"/>
    <s v="16_digital"/>
    <x v="0"/>
    <m/>
    <m/>
    <m/>
    <m/>
    <x v="0"/>
    <s v="Project"/>
    <x v="2197"/>
    <x v="0"/>
    <x v="21"/>
    <s v="Exclude in HGB Group allocation"/>
  </r>
  <r>
    <s v="0"/>
    <m/>
    <x v="0"/>
    <x v="0"/>
    <m/>
    <m/>
    <m/>
    <n v="2130"/>
    <n v="6"/>
    <n v="2"/>
    <m/>
    <s v="01_SE"/>
    <x v="0"/>
    <m/>
    <m/>
    <m/>
    <m/>
    <x v="0"/>
    <s v="Project"/>
    <x v="2198"/>
    <x v="0"/>
    <x v="0"/>
    <s v="Exclude in HGB Group allocation"/>
  </r>
  <r>
    <s v="0"/>
    <m/>
    <x v="0"/>
    <x v="0"/>
    <m/>
    <m/>
    <m/>
    <n v="2130"/>
    <n v="7"/>
    <n v="2"/>
    <m/>
    <s v="01_SE"/>
    <x v="0"/>
    <m/>
    <m/>
    <m/>
    <m/>
    <x v="0"/>
    <s v="Project"/>
    <x v="2199"/>
    <x v="0"/>
    <x v="0"/>
    <s v="Exclude in HGB Group allocation"/>
  </r>
  <r>
    <s v="30730428"/>
    <m/>
    <x v="0"/>
    <x v="0"/>
    <m/>
    <m/>
    <m/>
    <n v="3073"/>
    <n v="4"/>
    <n v="2"/>
    <s v="30730428"/>
    <s v="01_SE"/>
    <x v="0"/>
    <m/>
    <m/>
    <m/>
    <m/>
    <x v="0"/>
    <s v="Project"/>
    <x v="2200"/>
    <x v="0"/>
    <x v="0"/>
    <s v="Exclude in HGB Group allocation"/>
  </r>
  <r>
    <s v="0"/>
    <m/>
    <x v="0"/>
    <x v="0"/>
    <m/>
    <m/>
    <m/>
    <n v="3157"/>
    <n v="2"/>
    <n v="2"/>
    <m/>
    <s v="01_SE"/>
    <x v="0"/>
    <m/>
    <m/>
    <m/>
    <m/>
    <x v="0"/>
    <s v="Project"/>
    <x v="2201"/>
    <x v="0"/>
    <x v="0"/>
    <s v="Exclude in HGB Group allocation"/>
  </r>
  <r>
    <s v="0"/>
    <m/>
    <x v="0"/>
    <x v="0"/>
    <m/>
    <m/>
    <m/>
    <n v="2130"/>
    <n v="8"/>
    <n v="2"/>
    <m/>
    <s v="01_SE"/>
    <x v="0"/>
    <m/>
    <m/>
    <m/>
    <m/>
    <x v="0"/>
    <s v="Project"/>
    <x v="2202"/>
    <x v="0"/>
    <x v="0"/>
    <s v="Exclude in HGB Group allocation"/>
  </r>
  <r>
    <s v="0"/>
    <m/>
    <x v="0"/>
    <x v="0"/>
    <m/>
    <m/>
    <m/>
    <n v="1005"/>
    <n v="3"/>
    <n v="2"/>
    <m/>
    <s v="07_Inc"/>
    <x v="0"/>
    <m/>
    <m/>
    <m/>
    <m/>
    <x v="0"/>
    <s v="Project"/>
    <x v="2203"/>
    <x v="0"/>
    <x v="0"/>
    <s v="Exclude in HGB Group allocation"/>
  </r>
  <r>
    <s v="10050211"/>
    <m/>
    <x v="0"/>
    <x v="0"/>
    <m/>
    <m/>
    <m/>
    <n v="1005"/>
    <n v="2"/>
    <n v="1"/>
    <n v="10050211"/>
    <s v="01_SE"/>
    <x v="4"/>
    <m/>
    <m/>
    <m/>
    <m/>
    <x v="0"/>
    <s v="Project"/>
    <x v="2204"/>
    <x v="0"/>
    <x v="18"/>
    <s v="Exclude in HGB Group allocation"/>
  </r>
  <r>
    <s v="10050216"/>
    <m/>
    <x v="0"/>
    <x v="0"/>
    <m/>
    <m/>
    <m/>
    <n v="1005"/>
    <n v="2"/>
    <n v="1"/>
    <n v="10050216"/>
    <s v="01_SE"/>
    <x v="4"/>
    <m/>
    <m/>
    <m/>
    <m/>
    <x v="0"/>
    <s v="Project"/>
    <x v="2204"/>
    <x v="0"/>
    <x v="19"/>
    <s v="Exclude in HGB Group allocation"/>
  </r>
  <r>
    <s v="0"/>
    <m/>
    <x v="0"/>
    <x v="0"/>
    <m/>
    <m/>
    <m/>
    <n v="1005"/>
    <n v="3"/>
    <n v="1"/>
    <m/>
    <s v="01_SE"/>
    <x v="4"/>
    <m/>
    <m/>
    <m/>
    <m/>
    <x v="0"/>
    <s v="Project"/>
    <x v="2205"/>
    <x v="0"/>
    <x v="17"/>
    <s v="Exclude in HGB Group allocation"/>
  </r>
  <r>
    <s v="0"/>
    <m/>
    <x v="0"/>
    <x v="0"/>
    <m/>
    <m/>
    <m/>
    <n v="1005"/>
    <n v="4"/>
    <n v="1"/>
    <m/>
    <s v="01_SE"/>
    <x v="4"/>
    <m/>
    <m/>
    <m/>
    <m/>
    <x v="0"/>
    <s v="Project"/>
    <x v="2206"/>
    <x v="0"/>
    <x v="17"/>
    <s v="Exclude in HGB Group allocation"/>
  </r>
  <r>
    <s v="0"/>
    <m/>
    <x v="0"/>
    <x v="0"/>
    <m/>
    <m/>
    <m/>
    <n v="9990"/>
    <n v="93"/>
    <n v="2"/>
    <m/>
    <s v="16_digital"/>
    <x v="0"/>
    <m/>
    <m/>
    <m/>
    <m/>
    <x v="0"/>
    <s v="Project"/>
    <x v="2207"/>
    <x v="0"/>
    <x v="25"/>
    <s v="Exclude in HGB Group allocation"/>
  </r>
  <r>
    <s v="0"/>
    <m/>
    <x v="0"/>
    <x v="0"/>
    <m/>
    <m/>
    <m/>
    <n v="1575"/>
    <n v="2"/>
    <n v="2"/>
    <m/>
    <s v="01_SE"/>
    <x v="0"/>
    <m/>
    <m/>
    <m/>
    <m/>
    <x v="0"/>
    <s v="Project"/>
    <x v="2208"/>
    <x v="0"/>
    <x v="0"/>
    <s v="Exclude in HGB Group allocation"/>
  </r>
  <r>
    <s v="0"/>
    <m/>
    <x v="0"/>
    <x v="0"/>
    <m/>
    <m/>
    <m/>
    <n v="1512"/>
    <n v="16"/>
    <n v="2"/>
    <m/>
    <s v="01_SE"/>
    <x v="0"/>
    <m/>
    <m/>
    <m/>
    <m/>
    <x v="0"/>
    <s v="Project"/>
    <x v="2209"/>
    <x v="0"/>
    <x v="0"/>
    <s v="Exclude in HGB Group allocation"/>
  </r>
  <r>
    <s v="15121028"/>
    <m/>
    <x v="0"/>
    <x v="0"/>
    <m/>
    <m/>
    <m/>
    <n v="1512"/>
    <n v="10"/>
    <n v="2"/>
    <s v="15121028"/>
    <s v="01_SE"/>
    <x v="0"/>
    <m/>
    <m/>
    <m/>
    <m/>
    <x v="0"/>
    <s v="Project"/>
    <x v="2210"/>
    <x v="0"/>
    <x v="0"/>
    <s v="Exclude in HGB Group allocation"/>
  </r>
  <r>
    <s v="15121111"/>
    <m/>
    <x v="0"/>
    <x v="0"/>
    <m/>
    <m/>
    <m/>
    <n v="1512"/>
    <n v="11"/>
    <n v="1"/>
    <s v="15121111"/>
    <s v="01_SE"/>
    <x v="4"/>
    <m/>
    <m/>
    <m/>
    <m/>
    <x v="0"/>
    <s v="Project"/>
    <x v="2211"/>
    <x v="0"/>
    <x v="18"/>
    <s v="Exclude in HGB Group allocation"/>
  </r>
  <r>
    <s v="15121116"/>
    <m/>
    <x v="0"/>
    <x v="0"/>
    <m/>
    <m/>
    <m/>
    <n v="1512"/>
    <n v="11"/>
    <n v="1"/>
    <s v="15121116"/>
    <s v="01_SE"/>
    <x v="4"/>
    <m/>
    <m/>
    <m/>
    <m/>
    <x v="0"/>
    <s v="Project"/>
    <x v="2211"/>
    <x v="0"/>
    <x v="19"/>
    <s v="Exclude in HGB Group allocation"/>
  </r>
  <r>
    <s v="15121211"/>
    <m/>
    <x v="0"/>
    <x v="0"/>
    <m/>
    <m/>
    <m/>
    <n v="1512"/>
    <n v="12"/>
    <n v="1"/>
    <s v="15121211"/>
    <s v="01_SE"/>
    <x v="4"/>
    <m/>
    <m/>
    <m/>
    <m/>
    <x v="0"/>
    <s v="Project"/>
    <x v="2212"/>
    <x v="0"/>
    <x v="18"/>
    <s v="Exclude in HGB Group allocation"/>
  </r>
  <r>
    <s v="15121216"/>
    <m/>
    <x v="0"/>
    <x v="0"/>
    <m/>
    <m/>
    <m/>
    <n v="1512"/>
    <n v="12"/>
    <n v="1"/>
    <s v="15121216"/>
    <s v="01_SE"/>
    <x v="4"/>
    <m/>
    <m/>
    <m/>
    <m/>
    <x v="0"/>
    <s v="Project"/>
    <x v="2212"/>
    <x v="0"/>
    <x v="19"/>
    <s v="Exclude in HGB Group allocation"/>
  </r>
  <r>
    <s v="15121326"/>
    <m/>
    <x v="0"/>
    <x v="0"/>
    <m/>
    <m/>
    <m/>
    <n v="1512"/>
    <n v="13"/>
    <n v="2"/>
    <s v="15121326"/>
    <s v="01_SE"/>
    <x v="0"/>
    <m/>
    <m/>
    <m/>
    <m/>
    <x v="0"/>
    <s v="Project"/>
    <x v="2213"/>
    <x v="0"/>
    <x v="0"/>
    <s v="Exclude in HGB Group allocation"/>
  </r>
  <r>
    <s v="15121428"/>
    <m/>
    <x v="0"/>
    <x v="0"/>
    <m/>
    <m/>
    <m/>
    <n v="1512"/>
    <n v="14"/>
    <n v="2"/>
    <s v="15121428"/>
    <s v="01_SE"/>
    <x v="0"/>
    <m/>
    <m/>
    <m/>
    <m/>
    <x v="0"/>
    <s v="Project"/>
    <x v="2214"/>
    <x v="0"/>
    <x v="0"/>
    <s v="Exclude in HGB Group allocation"/>
  </r>
  <r>
    <s v="0"/>
    <m/>
    <x v="0"/>
    <x v="0"/>
    <m/>
    <m/>
    <m/>
    <n v="1512"/>
    <n v="15"/>
    <n v="2"/>
    <m/>
    <s v="01_SE"/>
    <x v="0"/>
    <m/>
    <m/>
    <m/>
    <m/>
    <x v="0"/>
    <s v="Project"/>
    <x v="2215"/>
    <x v="0"/>
    <x v="0"/>
    <s v="Exclude in HGB Group allocation"/>
  </r>
  <r>
    <s v="15270628"/>
    <m/>
    <x v="0"/>
    <x v="0"/>
    <m/>
    <m/>
    <m/>
    <n v="1527"/>
    <n v="6"/>
    <n v="2"/>
    <s v="15270628"/>
    <s v="05_Shg"/>
    <x v="0"/>
    <m/>
    <m/>
    <m/>
    <m/>
    <x v="0"/>
    <s v="Project"/>
    <x v="2216"/>
    <x v="0"/>
    <x v="21"/>
    <s v="Exclude in HGB Group allocation"/>
  </r>
  <r>
    <s v="15670428"/>
    <m/>
    <x v="0"/>
    <x v="0"/>
    <m/>
    <m/>
    <m/>
    <n v="1567"/>
    <n v="4"/>
    <n v="2"/>
    <s v="15670428"/>
    <s v="01_SE"/>
    <x v="0"/>
    <m/>
    <m/>
    <m/>
    <m/>
    <x v="0"/>
    <s v="Project"/>
    <x v="2217"/>
    <x v="0"/>
    <x v="0"/>
    <s v="Exclude in HGB Group allocation"/>
  </r>
  <r>
    <s v="15670528"/>
    <m/>
    <x v="0"/>
    <x v="0"/>
    <m/>
    <m/>
    <m/>
    <n v="1567"/>
    <n v="5"/>
    <n v="2"/>
    <s v="15670528"/>
    <s v="01_SE"/>
    <x v="0"/>
    <m/>
    <m/>
    <m/>
    <m/>
    <x v="0"/>
    <s v="Project"/>
    <x v="2218"/>
    <x v="0"/>
    <x v="0"/>
    <s v="Exclude in HGB Group allocation"/>
  </r>
  <r>
    <s v="15671328"/>
    <m/>
    <x v="0"/>
    <x v="0"/>
    <m/>
    <m/>
    <m/>
    <n v="1567"/>
    <n v="13"/>
    <n v="2"/>
    <s v="15671328"/>
    <s v="01_SE"/>
    <x v="0"/>
    <m/>
    <m/>
    <m/>
    <m/>
    <x v="0"/>
    <s v="Project"/>
    <x v="2219"/>
    <x v="0"/>
    <x v="0"/>
    <s v="Exclude in HGB Group allocation"/>
  </r>
  <r>
    <s v="15671428"/>
    <m/>
    <x v="0"/>
    <x v="0"/>
    <m/>
    <m/>
    <m/>
    <n v="1567"/>
    <n v="14"/>
    <n v="2"/>
    <s v="15671428"/>
    <s v="01_SE"/>
    <x v="0"/>
    <m/>
    <m/>
    <m/>
    <m/>
    <x v="0"/>
    <s v="Project"/>
    <x v="2220"/>
    <x v="0"/>
    <x v="0"/>
    <s v="Exclude in HGB Group allocation"/>
  </r>
  <r>
    <s v="15671628"/>
    <m/>
    <x v="0"/>
    <x v="0"/>
    <m/>
    <m/>
    <m/>
    <n v="1567"/>
    <n v="16"/>
    <n v="2"/>
    <s v="15671628"/>
    <s v="01_SE"/>
    <x v="0"/>
    <m/>
    <m/>
    <m/>
    <m/>
    <x v="0"/>
    <s v="Project"/>
    <x v="2221"/>
    <x v="0"/>
    <x v="0"/>
    <s v="Exclude in HGB Group allocation"/>
  </r>
  <r>
    <s v="15671728"/>
    <m/>
    <x v="0"/>
    <x v="0"/>
    <m/>
    <m/>
    <m/>
    <n v="1567"/>
    <n v="17"/>
    <n v="2"/>
    <s v="15671728"/>
    <s v="01_SE"/>
    <x v="0"/>
    <m/>
    <m/>
    <m/>
    <m/>
    <x v="0"/>
    <s v="Project"/>
    <x v="2222"/>
    <x v="0"/>
    <x v="0"/>
    <s v="Exclude in HGB Group allocation"/>
  </r>
  <r>
    <s v="15671828"/>
    <m/>
    <x v="0"/>
    <x v="0"/>
    <m/>
    <m/>
    <m/>
    <n v="1567"/>
    <n v="18"/>
    <n v="2"/>
    <s v="15671828"/>
    <s v="01_SE"/>
    <x v="0"/>
    <m/>
    <m/>
    <m/>
    <m/>
    <x v="0"/>
    <s v="Project"/>
    <x v="2223"/>
    <x v="0"/>
    <x v="0"/>
    <s v="Exclude in HGB Group allocation"/>
  </r>
  <r>
    <s v="15671928"/>
    <m/>
    <x v="0"/>
    <x v="0"/>
    <m/>
    <m/>
    <m/>
    <n v="1567"/>
    <n v="19"/>
    <n v="2"/>
    <s v="15671928"/>
    <s v="01_SE"/>
    <x v="0"/>
    <m/>
    <m/>
    <m/>
    <m/>
    <x v="0"/>
    <s v="Project"/>
    <x v="2224"/>
    <x v="0"/>
    <x v="0"/>
    <s v="Exclude in HGB Group allocation"/>
  </r>
  <r>
    <s v="15672042"/>
    <m/>
    <x v="0"/>
    <x v="0"/>
    <m/>
    <m/>
    <m/>
    <n v="1567"/>
    <n v="20"/>
    <n v="4"/>
    <n v="15672042"/>
    <s v="01_SE"/>
    <x v="1"/>
    <m/>
    <m/>
    <m/>
    <m/>
    <x v="0"/>
    <s v="Project"/>
    <x v="2225"/>
    <x v="0"/>
    <x v="23"/>
    <s v="Exclude in HGB Group allocation"/>
  </r>
  <r>
    <s v="15672049"/>
    <m/>
    <x v="0"/>
    <x v="0"/>
    <m/>
    <m/>
    <m/>
    <n v="1567"/>
    <n v="20"/>
    <n v="4"/>
    <s v="15672049"/>
    <s v="01_SE"/>
    <x v="1"/>
    <m/>
    <m/>
    <m/>
    <m/>
    <x v="0"/>
    <s v="Project"/>
    <x v="2225"/>
    <x v="0"/>
    <x v="24"/>
    <s v="Exclude in HGB Group allocation"/>
  </r>
  <r>
    <s v="15672128"/>
    <m/>
    <x v="0"/>
    <x v="0"/>
    <m/>
    <m/>
    <m/>
    <n v="1567"/>
    <n v="21"/>
    <n v="2"/>
    <s v="15672128"/>
    <s v="01_SE"/>
    <x v="0"/>
    <m/>
    <m/>
    <m/>
    <m/>
    <x v="0"/>
    <s v="Project"/>
    <x v="2226"/>
    <x v="0"/>
    <x v="0"/>
    <s v="Exclude in HGB Group allocation"/>
  </r>
  <r>
    <s v="0"/>
    <m/>
    <x v="0"/>
    <x v="0"/>
    <m/>
    <m/>
    <m/>
    <n v="1567"/>
    <n v="22"/>
    <n v="2"/>
    <m/>
    <s v="01_SE"/>
    <x v="0"/>
    <m/>
    <m/>
    <m/>
    <m/>
    <x v="0"/>
    <s v="Project"/>
    <x v="2227"/>
    <x v="0"/>
    <x v="0"/>
    <s v="Exclude in HGB Group allocation"/>
  </r>
  <r>
    <s v="0"/>
    <m/>
    <x v="0"/>
    <x v="0"/>
    <m/>
    <m/>
    <m/>
    <n v="1567"/>
    <n v="23"/>
    <n v="2"/>
    <m/>
    <s v="01_SE"/>
    <x v="0"/>
    <m/>
    <m/>
    <m/>
    <m/>
    <x v="0"/>
    <s v="Project"/>
    <x v="2228"/>
    <x v="0"/>
    <x v="0"/>
    <s v="Exclude in HGB Group allocation"/>
  </r>
  <r>
    <s v="0"/>
    <m/>
    <x v="0"/>
    <x v="0"/>
    <m/>
    <m/>
    <m/>
    <n v="1567"/>
    <n v="25"/>
    <n v="2"/>
    <m/>
    <s v="01_SE"/>
    <x v="0"/>
    <m/>
    <m/>
    <m/>
    <m/>
    <x v="0"/>
    <s v="Project"/>
    <x v="2229"/>
    <x v="0"/>
    <x v="0"/>
    <s v="Exclude in HGB Group allocation"/>
  </r>
  <r>
    <s v="15672644"/>
    <m/>
    <x v="0"/>
    <x v="0"/>
    <m/>
    <m/>
    <m/>
    <n v="1567"/>
    <n v="26"/>
    <n v="4"/>
    <n v="15672644"/>
    <s v="02_GmbH"/>
    <x v="1"/>
    <m/>
    <m/>
    <m/>
    <m/>
    <x v="0"/>
    <s v="Project"/>
    <x v="2230"/>
    <x v="0"/>
    <x v="24"/>
    <s v="Exclude in HGB Group allocation"/>
  </r>
  <r>
    <s v="0"/>
    <m/>
    <x v="0"/>
    <x v="0"/>
    <m/>
    <m/>
    <m/>
    <n v="1567"/>
    <n v="27"/>
    <n v="2"/>
    <m/>
    <s v="05_Shg"/>
    <x v="0"/>
    <m/>
    <m/>
    <m/>
    <m/>
    <x v="0"/>
    <s v="Project"/>
    <x v="2231"/>
    <x v="0"/>
    <x v="0"/>
    <s v="Exclude in HGB Group allocation"/>
  </r>
  <r>
    <s v="0"/>
    <m/>
    <x v="0"/>
    <x v="0"/>
    <m/>
    <m/>
    <m/>
    <n v="1567"/>
    <n v="28"/>
    <n v="2"/>
    <m/>
    <s v="01_SE"/>
    <x v="0"/>
    <m/>
    <m/>
    <m/>
    <m/>
    <x v="0"/>
    <s v="Project"/>
    <x v="2232"/>
    <x v="0"/>
    <x v="0"/>
    <s v="Exclude in HGB Group allocation"/>
  </r>
  <r>
    <s v="0"/>
    <m/>
    <x v="0"/>
    <x v="0"/>
    <m/>
    <m/>
    <m/>
    <n v="1567"/>
    <n v="29"/>
    <n v="2"/>
    <m/>
    <s v="01_SE"/>
    <x v="0"/>
    <m/>
    <m/>
    <m/>
    <m/>
    <x v="0"/>
    <s v="Project"/>
    <x v="2233"/>
    <x v="0"/>
    <x v="0"/>
    <s v="Exclude in HGB Group allocation"/>
  </r>
  <r>
    <s v="0"/>
    <m/>
    <x v="0"/>
    <x v="0"/>
    <m/>
    <m/>
    <m/>
    <n v="1568"/>
    <n v="11"/>
    <n v="2"/>
    <m/>
    <s v="01_SE"/>
    <x v="0"/>
    <m/>
    <m/>
    <m/>
    <m/>
    <x v="0"/>
    <s v="Project"/>
    <x v="2234"/>
    <x v="0"/>
    <x v="0"/>
    <s v="Exclude in HGB Group allocation"/>
  </r>
  <r>
    <s v="15680128"/>
    <m/>
    <x v="0"/>
    <x v="0"/>
    <m/>
    <m/>
    <m/>
    <n v="1568"/>
    <n v="1"/>
    <n v="2"/>
    <s v="15680128"/>
    <s v="01_SE"/>
    <x v="0"/>
    <m/>
    <m/>
    <m/>
    <m/>
    <x v="0"/>
    <s v="Project"/>
    <x v="2235"/>
    <x v="0"/>
    <x v="0"/>
    <s v="Exclude in HGB Group allocation"/>
  </r>
  <r>
    <s v="15681028"/>
    <m/>
    <x v="0"/>
    <x v="0"/>
    <m/>
    <m/>
    <m/>
    <n v="1568"/>
    <n v="10"/>
    <n v="2"/>
    <s v="15681028"/>
    <s v="01_SE"/>
    <x v="0"/>
    <m/>
    <m/>
    <m/>
    <m/>
    <x v="0"/>
    <s v="Project"/>
    <x v="2236"/>
    <x v="0"/>
    <x v="0"/>
    <s v="Exclude in HGB Group allocation"/>
  </r>
  <r>
    <s v="0"/>
    <m/>
    <x v="0"/>
    <x v="0"/>
    <m/>
    <m/>
    <m/>
    <n v="1572"/>
    <n v="8"/>
    <n v="2"/>
    <m/>
    <s v="01_SE"/>
    <x v="0"/>
    <m/>
    <m/>
    <m/>
    <m/>
    <x v="0"/>
    <s v="Project"/>
    <x v="2237"/>
    <x v="0"/>
    <x v="0"/>
    <s v="Exclude in HGB Group allocation"/>
  </r>
  <r>
    <s v="0"/>
    <m/>
    <x v="0"/>
    <x v="0"/>
    <m/>
    <m/>
    <m/>
    <n v="1572"/>
    <n v="9"/>
    <n v="2"/>
    <m/>
    <s v="01_SE"/>
    <x v="0"/>
    <m/>
    <m/>
    <m/>
    <m/>
    <x v="0"/>
    <s v="Project"/>
    <x v="2238"/>
    <x v="0"/>
    <x v="0"/>
    <s v="Exclude in HGB Group allocation"/>
  </r>
  <r>
    <s v="0"/>
    <m/>
    <x v="0"/>
    <x v="0"/>
    <m/>
    <m/>
    <m/>
    <n v="1572"/>
    <n v="10"/>
    <n v="2"/>
    <m/>
    <s v="01_SE"/>
    <x v="0"/>
    <m/>
    <m/>
    <m/>
    <m/>
    <x v="0"/>
    <s v="Project"/>
    <x v="2239"/>
    <x v="0"/>
    <x v="0"/>
    <s v="Exclude in HGB Group allocation"/>
  </r>
  <r>
    <s v="15720511"/>
    <m/>
    <x v="0"/>
    <x v="0"/>
    <m/>
    <m/>
    <m/>
    <n v="1572"/>
    <n v="5"/>
    <n v="1"/>
    <s v="15720511"/>
    <s v="01_SE"/>
    <x v="4"/>
    <m/>
    <m/>
    <m/>
    <m/>
    <x v="0"/>
    <s v="Project"/>
    <x v="2240"/>
    <x v="0"/>
    <x v="18"/>
    <s v="Exclude in HGB Group allocation"/>
  </r>
  <r>
    <s v="15720513"/>
    <m/>
    <x v="0"/>
    <x v="0"/>
    <m/>
    <m/>
    <m/>
    <n v="1572"/>
    <n v="5"/>
    <n v="1"/>
    <s v="15720513"/>
    <s v="01_SE"/>
    <x v="4"/>
    <m/>
    <m/>
    <m/>
    <m/>
    <x v="0"/>
    <s v="Project"/>
    <x v="2240"/>
    <x v="0"/>
    <x v="17"/>
    <s v="Exclude in HGB Group allocation"/>
  </r>
  <r>
    <s v="15720516"/>
    <m/>
    <x v="0"/>
    <x v="0"/>
    <m/>
    <m/>
    <m/>
    <n v="1572"/>
    <n v="5"/>
    <n v="1"/>
    <s v="15720516"/>
    <s v="01_SE"/>
    <x v="4"/>
    <m/>
    <m/>
    <m/>
    <m/>
    <x v="0"/>
    <s v="Project"/>
    <x v="2240"/>
    <x v="0"/>
    <x v="19"/>
    <s v="Exclude in HGB Group allocation"/>
  </r>
  <r>
    <s v="15720628"/>
    <m/>
    <x v="0"/>
    <x v="0"/>
    <m/>
    <m/>
    <m/>
    <n v="1572"/>
    <n v="6"/>
    <n v="2"/>
    <s v="15720628"/>
    <s v="01_SE"/>
    <x v="0"/>
    <m/>
    <m/>
    <m/>
    <m/>
    <x v="0"/>
    <s v="Project"/>
    <x v="2241"/>
    <x v="0"/>
    <x v="0"/>
    <s v="Exclude in HGB Group allocation"/>
  </r>
  <r>
    <s v="15720728"/>
    <m/>
    <x v="0"/>
    <x v="0"/>
    <m/>
    <m/>
    <m/>
    <n v="1572"/>
    <n v="7"/>
    <n v="2"/>
    <s v="15720728"/>
    <s v="01_SE"/>
    <x v="0"/>
    <m/>
    <m/>
    <m/>
    <m/>
    <x v="0"/>
    <s v="Project"/>
    <x v="2242"/>
    <x v="0"/>
    <x v="0"/>
    <s v="Exclude in HGB Group allocation"/>
  </r>
  <r>
    <s v="0"/>
    <m/>
    <x v="0"/>
    <x v="0"/>
    <m/>
    <m/>
    <m/>
    <n v="1572"/>
    <n v="11"/>
    <n v="2"/>
    <m/>
    <s v="01_SE"/>
    <x v="0"/>
    <m/>
    <m/>
    <m/>
    <m/>
    <x v="0"/>
    <s v="Project"/>
    <x v="2243"/>
    <x v="0"/>
    <x v="0"/>
    <s v="Exclude in HGB Group allocation"/>
  </r>
  <r>
    <s v="0"/>
    <m/>
    <x v="0"/>
    <x v="0"/>
    <m/>
    <m/>
    <m/>
    <n v="1900"/>
    <n v="36"/>
    <n v="2"/>
    <m/>
    <s v="01_SE"/>
    <x v="0"/>
    <m/>
    <m/>
    <m/>
    <m/>
    <x v="0"/>
    <s v="Project"/>
    <x v="2244"/>
    <x v="0"/>
    <x v="0"/>
    <s v="Exclude in HGB Group allocation"/>
  </r>
  <r>
    <s v="19000128"/>
    <m/>
    <x v="0"/>
    <x v="0"/>
    <m/>
    <m/>
    <m/>
    <n v="1900"/>
    <n v="1"/>
    <n v="2"/>
    <s v="19000128"/>
    <s v="01_SE"/>
    <x v="0"/>
    <m/>
    <m/>
    <m/>
    <m/>
    <x v="0"/>
    <s v="Project"/>
    <x v="2245"/>
    <x v="0"/>
    <x v="0"/>
    <s v="Exclude in HGB Group allocation"/>
  </r>
  <r>
    <s v="19003316"/>
    <m/>
    <x v="0"/>
    <x v="0"/>
    <m/>
    <m/>
    <m/>
    <n v="1900"/>
    <n v="33"/>
    <n v="1"/>
    <s v="19003316"/>
    <s v="01_SE"/>
    <x v="4"/>
    <m/>
    <m/>
    <m/>
    <m/>
    <x v="0"/>
    <s v="Project"/>
    <x v="2246"/>
    <x v="0"/>
    <x v="19"/>
    <s v="Exclude in HGB Group allocation"/>
  </r>
  <r>
    <s v="19003428"/>
    <m/>
    <x v="0"/>
    <x v="0"/>
    <m/>
    <m/>
    <m/>
    <n v="1900"/>
    <n v="34"/>
    <n v="2"/>
    <s v="19003428"/>
    <s v="01_SE"/>
    <x v="0"/>
    <m/>
    <m/>
    <m/>
    <m/>
    <x v="0"/>
    <s v="Project"/>
    <x v="2247"/>
    <x v="0"/>
    <x v="0"/>
    <s v="Exclude in HGB Group allocation"/>
  </r>
  <r>
    <s v="19003528"/>
    <m/>
    <x v="0"/>
    <x v="0"/>
    <m/>
    <m/>
    <m/>
    <n v="1900"/>
    <n v="35"/>
    <n v="2"/>
    <s v="19003528"/>
    <s v="01_SE"/>
    <x v="0"/>
    <m/>
    <m/>
    <m/>
    <m/>
    <x v="0"/>
    <s v="Project"/>
    <x v="2248"/>
    <x v="0"/>
    <x v="0"/>
    <s v="Exclude in HGB Group allocation"/>
  </r>
  <r>
    <s v="20250128"/>
    <m/>
    <x v="0"/>
    <x v="0"/>
    <m/>
    <m/>
    <m/>
    <n v="2025"/>
    <n v="1"/>
    <n v="2"/>
    <s v="20250128"/>
    <s v="01_SE"/>
    <x v="0"/>
    <m/>
    <m/>
    <m/>
    <m/>
    <x v="0"/>
    <s v="Project"/>
    <x v="2249"/>
    <x v="0"/>
    <x v="0"/>
    <s v="Exclude in HGB Group allocation"/>
  </r>
  <r>
    <s v="20250228"/>
    <m/>
    <x v="0"/>
    <x v="0"/>
    <m/>
    <m/>
    <m/>
    <n v="2025"/>
    <n v="2"/>
    <n v="2"/>
    <s v="20250228"/>
    <s v="01_SE"/>
    <x v="0"/>
    <m/>
    <m/>
    <m/>
    <m/>
    <x v="0"/>
    <s v="Project"/>
    <x v="2250"/>
    <x v="0"/>
    <x v="0"/>
    <s v="Exclude in HGB Group allocation"/>
  </r>
  <r>
    <s v="30290128"/>
    <m/>
    <x v="0"/>
    <x v="0"/>
    <m/>
    <m/>
    <m/>
    <n v="3029"/>
    <n v="1"/>
    <n v="2"/>
    <s v="30290128"/>
    <s v="01_SE"/>
    <x v="0"/>
    <m/>
    <m/>
    <m/>
    <m/>
    <x v="0"/>
    <s v="Project"/>
    <x v="2251"/>
    <x v="0"/>
    <x v="0"/>
    <s v="Exclude in HGB Group allocation"/>
  </r>
  <r>
    <s v="0"/>
    <m/>
    <x v="0"/>
    <x v="0"/>
    <m/>
    <m/>
    <m/>
    <n v="3029"/>
    <n v="6"/>
    <n v="2"/>
    <m/>
    <s v="01_SE"/>
    <x v="0"/>
    <m/>
    <m/>
    <m/>
    <m/>
    <x v="0"/>
    <s v="Project"/>
    <x v="2252"/>
    <x v="0"/>
    <x v="0"/>
    <s v="Exclude in HGB Group allocation"/>
  </r>
  <r>
    <s v="0"/>
    <m/>
    <x v="0"/>
    <x v="0"/>
    <m/>
    <m/>
    <m/>
    <n v="7047"/>
    <n v="2"/>
    <n v="2"/>
    <m/>
    <s v="01_SE"/>
    <x v="0"/>
    <m/>
    <m/>
    <m/>
    <m/>
    <x v="0"/>
    <s v="Project"/>
    <x v="2253"/>
    <x v="0"/>
    <x v="0"/>
    <s v="Exclude in HGB Group allocation"/>
  </r>
  <r>
    <s v="0"/>
    <m/>
    <x v="0"/>
    <x v="0"/>
    <m/>
    <m/>
    <m/>
    <n v="9963"/>
    <n v="97"/>
    <n v="1"/>
    <m/>
    <s v="01_SE"/>
    <x v="4"/>
    <m/>
    <m/>
    <m/>
    <m/>
    <x v="0"/>
    <s v="Project"/>
    <x v="2254"/>
    <x v="0"/>
    <x v="17"/>
    <s v="Exclude in HGB Group allocation"/>
  </r>
  <r>
    <s v="21508647"/>
    <m/>
    <x v="0"/>
    <x v="0"/>
    <m/>
    <m/>
    <m/>
    <n v="9963"/>
    <n v="98"/>
    <n v="1"/>
    <s v="21508647"/>
    <s v="01_SE"/>
    <x v="4"/>
    <m/>
    <m/>
    <m/>
    <m/>
    <x v="0"/>
    <s v="Project"/>
    <x v="2255"/>
    <x v="0"/>
    <x v="17"/>
    <s v="Exclude in HGB Group allocation"/>
  </r>
  <r>
    <s v="0"/>
    <m/>
    <x v="0"/>
    <x v="0"/>
    <m/>
    <m/>
    <m/>
    <n v="9963"/>
    <n v="99"/>
    <n v="1"/>
    <m/>
    <s v="01_SE"/>
    <x v="4"/>
    <m/>
    <m/>
    <m/>
    <m/>
    <x v="0"/>
    <s v="Project"/>
    <x v="2256"/>
    <x v="0"/>
    <x v="19"/>
    <s v="Exclude in HGB Group allocation"/>
  </r>
  <r>
    <s v="0"/>
    <m/>
    <x v="0"/>
    <x v="0"/>
    <m/>
    <m/>
    <m/>
    <n v="9996"/>
    <n v="88"/>
    <n v="1"/>
    <m/>
    <s v="01_SE"/>
    <x v="4"/>
    <m/>
    <m/>
    <m/>
    <m/>
    <x v="0"/>
    <s v="Project"/>
    <x v="2257"/>
    <x v="0"/>
    <x v="18"/>
    <s v="Exclude in HGB Group allocation"/>
  </r>
  <r>
    <s v="0"/>
    <m/>
    <x v="0"/>
    <x v="0"/>
    <m/>
    <m/>
    <m/>
    <n v="9996"/>
    <n v="88"/>
    <n v="1"/>
    <m/>
    <s v="01_SE"/>
    <x v="4"/>
    <m/>
    <m/>
    <m/>
    <m/>
    <x v="0"/>
    <s v="Project"/>
    <x v="2257"/>
    <x v="0"/>
    <x v="17"/>
    <s v="Exclude in HGB Group allocation"/>
  </r>
  <r>
    <s v="0"/>
    <m/>
    <x v="0"/>
    <x v="0"/>
    <m/>
    <m/>
    <m/>
    <n v="9996"/>
    <n v="88"/>
    <n v="1"/>
    <m/>
    <s v="01_SE"/>
    <x v="4"/>
    <m/>
    <m/>
    <m/>
    <m/>
    <x v="0"/>
    <s v="Project"/>
    <x v="2257"/>
    <x v="0"/>
    <x v="19"/>
    <s v="Exclude in HGB Group allocation"/>
  </r>
  <r>
    <s v="0"/>
    <m/>
    <x v="0"/>
    <x v="0"/>
    <m/>
    <m/>
    <m/>
    <n v="9996"/>
    <n v="89"/>
    <n v="2"/>
    <m/>
    <s v="01_SE"/>
    <x v="0"/>
    <m/>
    <m/>
    <m/>
    <m/>
    <x v="0"/>
    <s v="Project"/>
    <x v="2258"/>
    <x v="0"/>
    <x v="0"/>
    <s v="Exclude in HGB Group allocation"/>
  </r>
  <r>
    <s v="0"/>
    <m/>
    <x v="0"/>
    <x v="0"/>
    <m/>
    <m/>
    <m/>
    <n v="9996"/>
    <n v="90"/>
    <n v="1"/>
    <m/>
    <s v="01_SE"/>
    <x v="4"/>
    <m/>
    <m/>
    <m/>
    <m/>
    <x v="0"/>
    <s v="Project"/>
    <x v="2259"/>
    <x v="0"/>
    <x v="18"/>
    <s v="Exclude in HGB Group allocation"/>
  </r>
  <r>
    <s v="0"/>
    <m/>
    <x v="0"/>
    <x v="0"/>
    <m/>
    <m/>
    <m/>
    <n v="9996"/>
    <n v="90"/>
    <n v="1"/>
    <m/>
    <s v="01_SE"/>
    <x v="4"/>
    <m/>
    <m/>
    <m/>
    <m/>
    <x v="0"/>
    <s v="Project"/>
    <x v="2259"/>
    <x v="0"/>
    <x v="17"/>
    <s v="Exclude in HGB Group allocation"/>
  </r>
  <r>
    <s v="0"/>
    <m/>
    <x v="0"/>
    <x v="0"/>
    <m/>
    <m/>
    <m/>
    <n v="9996"/>
    <n v="90"/>
    <n v="1"/>
    <m/>
    <s v="01_SE"/>
    <x v="4"/>
    <m/>
    <m/>
    <m/>
    <m/>
    <x v="0"/>
    <s v="Project"/>
    <x v="2259"/>
    <x v="0"/>
    <x v="19"/>
    <s v="Exclude in HGB Group allocation"/>
  </r>
  <r>
    <s v="19804726"/>
    <m/>
    <x v="0"/>
    <x v="0"/>
    <m/>
    <m/>
    <m/>
    <n v="1980"/>
    <n v="47"/>
    <n v="2"/>
    <s v="19804726"/>
    <s v="07_Inc"/>
    <x v="0"/>
    <m/>
    <m/>
    <m/>
    <m/>
    <x v="0"/>
    <s v="Project"/>
    <x v="2260"/>
    <x v="0"/>
    <x v="0"/>
    <s v="Exclude in HGB Group allocation"/>
  </r>
  <r>
    <s v="19804828"/>
    <m/>
    <x v="0"/>
    <x v="0"/>
    <m/>
    <m/>
    <m/>
    <n v="1980"/>
    <n v="48"/>
    <n v="2"/>
    <s v="19804828"/>
    <s v="01_SE"/>
    <x v="0"/>
    <m/>
    <m/>
    <m/>
    <m/>
    <x v="0"/>
    <s v="Project"/>
    <x v="2261"/>
    <x v="0"/>
    <x v="0"/>
    <s v="Exclude in HGB Group allocation"/>
  </r>
  <r>
    <s v="19804928"/>
    <m/>
    <x v="0"/>
    <x v="0"/>
    <m/>
    <m/>
    <m/>
    <n v="1980"/>
    <n v="49"/>
    <n v="2"/>
    <s v="19804928"/>
    <s v="01_SE"/>
    <x v="0"/>
    <m/>
    <m/>
    <m/>
    <m/>
    <x v="0"/>
    <s v="Project"/>
    <x v="2262"/>
    <x v="0"/>
    <x v="0"/>
    <s v="Exclude in HGB Group allocation"/>
  </r>
  <r>
    <s v="19805026"/>
    <m/>
    <x v="0"/>
    <x v="0"/>
    <m/>
    <m/>
    <m/>
    <n v="1980"/>
    <n v="50"/>
    <n v="2"/>
    <s v="19805026"/>
    <s v="01_SE"/>
    <x v="0"/>
    <m/>
    <m/>
    <m/>
    <m/>
    <x v="0"/>
    <s v="Project"/>
    <x v="2263"/>
    <x v="0"/>
    <x v="0"/>
    <s v="Exclude in HGB Group allocation"/>
  </r>
  <r>
    <s v="19805128"/>
    <m/>
    <x v="0"/>
    <x v="0"/>
    <m/>
    <m/>
    <m/>
    <n v="1980"/>
    <n v="51"/>
    <n v="2"/>
    <s v="19805128"/>
    <s v="01_SE"/>
    <x v="0"/>
    <m/>
    <m/>
    <m/>
    <m/>
    <x v="0"/>
    <s v="Project"/>
    <x v="2264"/>
    <x v="0"/>
    <x v="0"/>
    <s v="Exclude in HGB Group allocation"/>
  </r>
  <r>
    <s v="0"/>
    <m/>
    <x v="0"/>
    <x v="0"/>
    <m/>
    <m/>
    <m/>
    <n v="1980"/>
    <n v="52"/>
    <n v="1"/>
    <m/>
    <s v="01_SE"/>
    <x v="4"/>
    <m/>
    <m/>
    <m/>
    <m/>
    <x v="0"/>
    <s v="Project"/>
    <x v="2265"/>
    <x v="0"/>
    <x v="19"/>
    <s v="Exclude in HGB Group allocation"/>
  </r>
  <r>
    <s v="99868128"/>
    <m/>
    <x v="0"/>
    <x v="0"/>
    <m/>
    <m/>
    <m/>
    <n v="1980"/>
    <n v="47"/>
    <n v="2"/>
    <s v="99868128"/>
    <s v="07_Inc"/>
    <x v="0"/>
    <m/>
    <m/>
    <m/>
    <m/>
    <x v="0"/>
    <s v="Project"/>
    <x v="2260"/>
    <x v="0"/>
    <x v="0"/>
    <s v="Exclude in HGB Group allocation"/>
  </r>
  <r>
    <s v="99962428"/>
    <m/>
    <x v="0"/>
    <x v="0"/>
    <m/>
    <m/>
    <m/>
    <n v="1980"/>
    <n v="48"/>
    <n v="2"/>
    <s v="99962428"/>
    <s v="01_SE"/>
    <x v="0"/>
    <m/>
    <m/>
    <m/>
    <m/>
    <x v="0"/>
    <s v="Project"/>
    <x v="2261"/>
    <x v="0"/>
    <x v="21"/>
    <s v="Exclude in HGB Group allocation"/>
  </r>
  <r>
    <s v="78117412"/>
    <m/>
    <x v="0"/>
    <x v="0"/>
    <m/>
    <m/>
    <m/>
    <n v="7811"/>
    <n v="74"/>
    <n v="1"/>
    <s v="78117412"/>
    <s v="01_SE"/>
    <x v="4"/>
    <m/>
    <m/>
    <m/>
    <m/>
    <x v="0"/>
    <s v="Project"/>
    <x v="2266"/>
    <x v="0"/>
    <x v="18"/>
    <s v="Exclude in HGB Group allocation"/>
  </r>
  <r>
    <s v="78117712"/>
    <m/>
    <x v="0"/>
    <x v="0"/>
    <m/>
    <m/>
    <m/>
    <n v="7811"/>
    <n v="77"/>
    <n v="1"/>
    <s v="78117712"/>
    <s v="01_SE"/>
    <x v="4"/>
    <m/>
    <m/>
    <m/>
    <m/>
    <x v="0"/>
    <s v="Project"/>
    <x v="2267"/>
    <x v="0"/>
    <x v="18"/>
    <s v="Exclude in HGB Group allocation"/>
  </r>
  <r>
    <s v="78119012"/>
    <m/>
    <x v="0"/>
    <x v="0"/>
    <m/>
    <m/>
    <m/>
    <n v="7811"/>
    <n v="90"/>
    <n v="1"/>
    <s v="78119012"/>
    <s v="01_SE"/>
    <x v="4"/>
    <m/>
    <m/>
    <m/>
    <m/>
    <x v="0"/>
    <s v="Project"/>
    <x v="2268"/>
    <x v="0"/>
    <x v="18"/>
    <s v="Exclude in HGB Group allocation"/>
  </r>
  <r>
    <s v="78119112"/>
    <m/>
    <x v="0"/>
    <x v="0"/>
    <m/>
    <m/>
    <m/>
    <n v="7811"/>
    <n v="91"/>
    <n v="1"/>
    <s v="78119112"/>
    <s v="01_SE"/>
    <x v="4"/>
    <m/>
    <m/>
    <m/>
    <m/>
    <x v="0"/>
    <s v="Project"/>
    <x v="2269"/>
    <x v="0"/>
    <x v="18"/>
    <s v="Exclude in HGB Group allocation"/>
  </r>
  <r>
    <s v="99909512"/>
    <m/>
    <x v="0"/>
    <x v="0"/>
    <m/>
    <m/>
    <m/>
    <n v="7811"/>
    <n v="91"/>
    <n v="1"/>
    <s v="99909512"/>
    <s v="01_SE"/>
    <x v="4"/>
    <m/>
    <m/>
    <m/>
    <m/>
    <x v="0"/>
    <s v="Project"/>
    <x v="2269"/>
    <x v="0"/>
    <x v="18"/>
    <s v="Exclude in HGB Group allocation"/>
  </r>
  <r>
    <s v="99909712"/>
    <m/>
    <x v="0"/>
    <x v="0"/>
    <m/>
    <m/>
    <m/>
    <n v="7811"/>
    <n v="74"/>
    <n v="1"/>
    <s v="99909712"/>
    <s v="01_SE"/>
    <x v="4"/>
    <m/>
    <m/>
    <m/>
    <m/>
    <x v="0"/>
    <s v="Project"/>
    <x v="2266"/>
    <x v="0"/>
    <x v="18"/>
    <s v="Exclude in HGB Group allocation"/>
  </r>
  <r>
    <s v="78120916"/>
    <m/>
    <x v="0"/>
    <x v="0"/>
    <m/>
    <m/>
    <m/>
    <n v="7812"/>
    <n v="9"/>
    <n v="1"/>
    <s v="78120916"/>
    <s v="01_SE"/>
    <x v="4"/>
    <m/>
    <m/>
    <m/>
    <m/>
    <x v="0"/>
    <s v="Project"/>
    <x v="2270"/>
    <x v="0"/>
    <x v="19"/>
    <s v="Exclude in HGB Group allocation"/>
  </r>
  <r>
    <s v="78121011"/>
    <m/>
    <x v="0"/>
    <x v="0"/>
    <m/>
    <m/>
    <m/>
    <n v="7812"/>
    <n v="10"/>
    <n v="1"/>
    <s v="78121011"/>
    <s v="01_SE"/>
    <x v="4"/>
    <m/>
    <m/>
    <m/>
    <m/>
    <x v="0"/>
    <s v="Project"/>
    <x v="2271"/>
    <x v="0"/>
    <x v="18"/>
    <s v="Exclude in HGB Group allocation"/>
  </r>
  <r>
    <s v="78121016"/>
    <m/>
    <x v="0"/>
    <x v="0"/>
    <m/>
    <m/>
    <m/>
    <n v="7812"/>
    <n v="10"/>
    <n v="1"/>
    <s v="78121016"/>
    <s v="01_SE"/>
    <x v="4"/>
    <m/>
    <m/>
    <m/>
    <m/>
    <x v="0"/>
    <s v="Project"/>
    <x v="2271"/>
    <x v="0"/>
    <x v="19"/>
    <s v="Exclude in HGB Group allocation"/>
  </r>
  <r>
    <s v="0"/>
    <m/>
    <x v="0"/>
    <x v="0"/>
    <m/>
    <m/>
    <m/>
    <n v="8116"/>
    <n v="4"/>
    <n v="2"/>
    <m/>
    <s v="01_SE"/>
    <x v="0"/>
    <m/>
    <m/>
    <m/>
    <m/>
    <x v="0"/>
    <s v="Project"/>
    <x v="2272"/>
    <x v="0"/>
    <x v="0"/>
    <s v="Exclude in HGB Group allocation"/>
  </r>
  <r>
    <s v="0"/>
    <m/>
    <x v="0"/>
    <x v="0"/>
    <m/>
    <m/>
    <m/>
    <n v="8116"/>
    <n v="6"/>
    <n v="2"/>
    <m/>
    <s v="01_SE"/>
    <x v="0"/>
    <m/>
    <m/>
    <m/>
    <m/>
    <x v="0"/>
    <s v="Project"/>
    <x v="2273"/>
    <x v="0"/>
    <x v="0"/>
    <s v="Exclude in HGB Group allocation"/>
  </r>
  <r>
    <s v="81160326"/>
    <m/>
    <x v="0"/>
    <x v="0"/>
    <m/>
    <m/>
    <m/>
    <n v="8116"/>
    <n v="3"/>
    <n v="2"/>
    <s v="81160326"/>
    <s v="01_SE"/>
    <x v="0"/>
    <m/>
    <m/>
    <m/>
    <m/>
    <x v="0"/>
    <s v="Project"/>
    <x v="2274"/>
    <x v="0"/>
    <x v="0"/>
    <s v="Exclude in HGB Group allocation"/>
  </r>
  <r>
    <s v="0"/>
    <m/>
    <x v="0"/>
    <x v="0"/>
    <m/>
    <m/>
    <m/>
    <n v="8116"/>
    <n v="5"/>
    <n v="2"/>
    <m/>
    <s v="01_SE"/>
    <x v="0"/>
    <m/>
    <m/>
    <m/>
    <m/>
    <x v="0"/>
    <s v="Project"/>
    <x v="2275"/>
    <x v="0"/>
    <x v="0"/>
    <s v="Exclude in HGB Group allocation"/>
  </r>
  <r>
    <s v="30930228"/>
    <m/>
    <x v="0"/>
    <x v="0"/>
    <m/>
    <m/>
    <m/>
    <n v="3093"/>
    <n v="2"/>
    <n v="2"/>
    <s v="30930228"/>
    <s v="01_SE"/>
    <x v="0"/>
    <m/>
    <m/>
    <m/>
    <m/>
    <x v="0"/>
    <s v="Project"/>
    <x v="2276"/>
    <x v="0"/>
    <x v="0"/>
    <s v="Exclude in HGB Group allocation"/>
  </r>
  <r>
    <s v="0"/>
    <m/>
    <x v="0"/>
    <x v="0"/>
    <m/>
    <m/>
    <m/>
    <n v="6119"/>
    <n v="2"/>
    <n v="2"/>
    <m/>
    <s v="01_SE"/>
    <x v="0"/>
    <m/>
    <m/>
    <m/>
    <m/>
    <x v="0"/>
    <s v="Project"/>
    <x v="2277"/>
    <x v="0"/>
    <x v="0"/>
    <s v="Exclude in HGB Group allocation"/>
  </r>
  <r>
    <s v="30920845"/>
    <m/>
    <x v="0"/>
    <x v="0"/>
    <m/>
    <m/>
    <m/>
    <n v="3092"/>
    <n v="8"/>
    <n v="4"/>
    <s v="30920845"/>
    <s v="02_GmbH"/>
    <x v="1"/>
    <m/>
    <m/>
    <m/>
    <m/>
    <x v="0"/>
    <s v="Project"/>
    <x v="2278"/>
    <x v="0"/>
    <x v="21"/>
    <s v="Exclude in HGB Group allocation"/>
  </r>
  <r>
    <s v="99917043"/>
    <m/>
    <x v="0"/>
    <x v="0"/>
    <m/>
    <m/>
    <m/>
    <n v="6619"/>
    <n v="5"/>
    <n v="4"/>
    <s v="99917043"/>
    <s v="02_GmbH"/>
    <x v="1"/>
    <m/>
    <m/>
    <m/>
    <m/>
    <x v="0"/>
    <s v="Project"/>
    <x v="1136"/>
    <x v="0"/>
    <x v="1"/>
    <s v="Exclude in HGB Group allocation"/>
  </r>
  <r>
    <s v="0"/>
    <m/>
    <x v="0"/>
    <x v="0"/>
    <m/>
    <m/>
    <m/>
    <n v="7010"/>
    <n v="5"/>
    <n v="2"/>
    <m/>
    <s v="01_SE"/>
    <x v="0"/>
    <m/>
    <m/>
    <m/>
    <m/>
    <x v="0"/>
    <s v="Project"/>
    <x v="2279"/>
    <x v="0"/>
    <x v="0"/>
    <s v="Exclude in HGB Group allocation"/>
  </r>
  <r>
    <s v="0"/>
    <m/>
    <x v="0"/>
    <x v="0"/>
    <m/>
    <m/>
    <m/>
    <n v="7010"/>
    <n v="6"/>
    <n v="2"/>
    <m/>
    <s v="01_SE"/>
    <x v="0"/>
    <m/>
    <m/>
    <m/>
    <m/>
    <x v="0"/>
    <s v="Project"/>
    <x v="2280"/>
    <x v="0"/>
    <x v="0"/>
    <s v="Exclude in HGB Group allocation"/>
  </r>
  <r>
    <s v="0"/>
    <m/>
    <x v="0"/>
    <x v="0"/>
    <m/>
    <m/>
    <m/>
    <n v="7010"/>
    <n v="7"/>
    <n v="2"/>
    <m/>
    <s v="01_SE"/>
    <x v="0"/>
    <m/>
    <m/>
    <m/>
    <m/>
    <x v="0"/>
    <s v="Project"/>
    <x v="2281"/>
    <x v="0"/>
    <x v="0"/>
    <s v="Exclude in HGB Group allocation"/>
  </r>
  <r>
    <s v="70100228"/>
    <m/>
    <x v="0"/>
    <x v="0"/>
    <m/>
    <m/>
    <m/>
    <n v="7010"/>
    <n v="2"/>
    <n v="2"/>
    <s v="70100228"/>
    <s v="01_SE"/>
    <x v="0"/>
    <m/>
    <m/>
    <m/>
    <m/>
    <x v="0"/>
    <s v="Project"/>
    <x v="2282"/>
    <x v="0"/>
    <x v="0"/>
    <s v="Exclude in HGB Group allocation"/>
  </r>
  <r>
    <s v="70100328"/>
    <m/>
    <x v="0"/>
    <x v="0"/>
    <m/>
    <m/>
    <m/>
    <n v="7010"/>
    <n v="3"/>
    <n v="2"/>
    <s v="70100328"/>
    <s v="01_SE"/>
    <x v="0"/>
    <m/>
    <m/>
    <m/>
    <m/>
    <x v="0"/>
    <s v="Project"/>
    <x v="2283"/>
    <x v="0"/>
    <x v="0"/>
    <s v="Exclude in HGB Group allocation"/>
  </r>
  <r>
    <s v="70100411"/>
    <m/>
    <x v="0"/>
    <x v="0"/>
    <m/>
    <m/>
    <m/>
    <n v="7010"/>
    <n v="4"/>
    <n v="1"/>
    <s v="70100411"/>
    <s v="01_SE"/>
    <x v="4"/>
    <m/>
    <m/>
    <m/>
    <m/>
    <x v="0"/>
    <s v="Project"/>
    <x v="2284"/>
    <x v="0"/>
    <x v="18"/>
    <s v="Exclude in HGB Group allocation"/>
  </r>
  <r>
    <s v="99620216"/>
    <m/>
    <x v="0"/>
    <x v="0"/>
    <m/>
    <m/>
    <m/>
    <n v="9962"/>
    <n v="2"/>
    <n v="1"/>
    <s v="99620216"/>
    <s v="01_SE"/>
    <x v="4"/>
    <m/>
    <m/>
    <m/>
    <m/>
    <x v="0"/>
    <s v="Project"/>
    <x v="2285"/>
    <x v="0"/>
    <x v="19"/>
    <s v="Exclude in HGB Group allocation"/>
  </r>
  <r>
    <s v="0"/>
    <m/>
    <x v="0"/>
    <x v="0"/>
    <m/>
    <m/>
    <m/>
    <n v="7695"/>
    <n v="4"/>
    <n v="2"/>
    <m/>
    <s v="05_Shg"/>
    <x v="0"/>
    <m/>
    <m/>
    <m/>
    <m/>
    <x v="0"/>
    <s v="Project"/>
    <x v="2286"/>
    <x v="0"/>
    <x v="0"/>
    <s v="Exclude in HGB Group allocation"/>
  </r>
  <r>
    <s v="76950228"/>
    <m/>
    <x v="0"/>
    <x v="0"/>
    <m/>
    <m/>
    <m/>
    <n v="7695"/>
    <n v="2"/>
    <n v="2"/>
    <s v="76950228"/>
    <s v="05_Shg"/>
    <x v="0"/>
    <m/>
    <m/>
    <m/>
    <m/>
    <x v="0"/>
    <s v="Project"/>
    <x v="2287"/>
    <x v="0"/>
    <x v="21"/>
    <s v="Exclude in HGB Group allocation"/>
  </r>
  <r>
    <s v="76950328"/>
    <m/>
    <x v="0"/>
    <x v="0"/>
    <m/>
    <m/>
    <m/>
    <n v="7695"/>
    <n v="3"/>
    <n v="2"/>
    <s v="76950328"/>
    <s v="05_Shg"/>
    <x v="0"/>
    <m/>
    <m/>
    <m/>
    <m/>
    <x v="0"/>
    <s v="Project"/>
    <x v="2288"/>
    <x v="0"/>
    <x v="0"/>
    <s v="Exclude in HGB Group allocation"/>
  </r>
  <r>
    <s v="0"/>
    <m/>
    <x v="0"/>
    <x v="0"/>
    <m/>
    <m/>
    <m/>
    <n v="6145"/>
    <n v="2"/>
    <n v="2"/>
    <m/>
    <s v="01_SE"/>
    <x v="0"/>
    <m/>
    <m/>
    <m/>
    <m/>
    <x v="0"/>
    <s v="Project"/>
    <x v="2289"/>
    <x v="0"/>
    <x v="0"/>
    <s v="Exclude in HGB Group allocation"/>
  </r>
  <r>
    <s v="40070243"/>
    <m/>
    <x v="0"/>
    <x v="0"/>
    <m/>
    <m/>
    <m/>
    <n v="4007"/>
    <n v="2"/>
    <n v="4"/>
    <s v="40070243"/>
    <s v="05_Shg"/>
    <x v="1"/>
    <m/>
    <m/>
    <m/>
    <m/>
    <x v="0"/>
    <s v="Project"/>
    <x v="2290"/>
    <x v="0"/>
    <x v="21"/>
    <s v="Exclude in HGB Group allocation"/>
  </r>
  <r>
    <s v="99851811"/>
    <m/>
    <x v="0"/>
    <x v="0"/>
    <m/>
    <m/>
    <m/>
    <n v="9985"/>
    <n v="18"/>
    <n v="1"/>
    <s v="99851811"/>
    <s v="05_Shg"/>
    <x v="4"/>
    <m/>
    <m/>
    <m/>
    <m/>
    <x v="0"/>
    <s v="Project"/>
    <x v="2291"/>
    <x v="0"/>
    <x v="18"/>
    <s v="Exclude in HGB Group allocation"/>
  </r>
  <r>
    <s v="0"/>
    <m/>
    <x v="0"/>
    <x v="0"/>
    <m/>
    <m/>
    <m/>
    <n v="7682"/>
    <n v="2"/>
    <n v="2"/>
    <m/>
    <s v="01_SE"/>
    <x v="0"/>
    <m/>
    <m/>
    <m/>
    <m/>
    <x v="0"/>
    <s v="Project"/>
    <x v="2292"/>
    <x v="0"/>
    <x v="0"/>
    <s v="Exclude in HGB Group allocation"/>
  </r>
  <r>
    <s v="0"/>
    <m/>
    <x v="0"/>
    <x v="0"/>
    <m/>
    <m/>
    <m/>
    <n v="2007"/>
    <n v="12"/>
    <n v="1"/>
    <m/>
    <s v="01_SE"/>
    <x v="4"/>
    <m/>
    <m/>
    <m/>
    <m/>
    <x v="0"/>
    <s v="Project"/>
    <x v="2293"/>
    <x v="0"/>
    <x v="18"/>
    <s v="Exclude in HGB Group allocation"/>
  </r>
  <r>
    <s v="0"/>
    <m/>
    <x v="0"/>
    <x v="0"/>
    <m/>
    <m/>
    <m/>
    <n v="2007"/>
    <n v="13"/>
    <n v="1"/>
    <m/>
    <s v="01_SE"/>
    <x v="4"/>
    <m/>
    <m/>
    <m/>
    <m/>
    <x v="0"/>
    <s v="Project"/>
    <x v="2294"/>
    <x v="0"/>
    <x v="21"/>
    <s v="Exclude in HGB Group allocation"/>
  </r>
  <r>
    <s v="0"/>
    <m/>
    <x v="0"/>
    <x v="0"/>
    <m/>
    <m/>
    <m/>
    <n v="2007"/>
    <n v="14"/>
    <n v="1"/>
    <m/>
    <s v="01_SE"/>
    <x v="4"/>
    <m/>
    <m/>
    <m/>
    <m/>
    <x v="0"/>
    <s v="Project"/>
    <x v="2295"/>
    <x v="0"/>
    <x v="21"/>
    <s v="Exclude in HGB Group allocation"/>
  </r>
  <r>
    <s v="0"/>
    <m/>
    <x v="0"/>
    <x v="0"/>
    <m/>
    <m/>
    <m/>
    <n v="2007"/>
    <n v="15"/>
    <n v="1"/>
    <m/>
    <s v="01_SE"/>
    <x v="4"/>
    <m/>
    <m/>
    <m/>
    <m/>
    <x v="0"/>
    <s v="Project"/>
    <x v="2296"/>
    <x v="0"/>
    <x v="18"/>
    <s v="Exclude in HGB Group allocation"/>
  </r>
  <r>
    <s v="20070742"/>
    <m/>
    <x v="0"/>
    <x v="0"/>
    <m/>
    <m/>
    <m/>
    <n v="2007"/>
    <n v="7"/>
    <n v="4"/>
    <s v="20070742"/>
    <s v="02_GmbH"/>
    <x v="1"/>
    <m/>
    <m/>
    <m/>
    <m/>
    <x v="0"/>
    <s v="Project"/>
    <x v="2297"/>
    <x v="0"/>
    <x v="23"/>
    <s v="Exclude in HGB Group allocation"/>
  </r>
  <r>
    <s v="20070743"/>
    <m/>
    <x v="0"/>
    <x v="0"/>
    <m/>
    <m/>
    <m/>
    <n v="2007"/>
    <n v="7"/>
    <n v="4"/>
    <s v="20070743"/>
    <s v="02_GmbH"/>
    <x v="1"/>
    <m/>
    <m/>
    <m/>
    <m/>
    <x v="0"/>
    <s v="Project"/>
    <x v="2297"/>
    <x v="0"/>
    <x v="1"/>
    <s v="Exclude in HGB Group allocation"/>
  </r>
  <r>
    <s v="20070744"/>
    <m/>
    <x v="0"/>
    <x v="0"/>
    <m/>
    <m/>
    <m/>
    <n v="2007"/>
    <n v="7"/>
    <n v="4"/>
    <s v="20070744"/>
    <s v="02_GmbH"/>
    <x v="1"/>
    <m/>
    <m/>
    <m/>
    <m/>
    <x v="0"/>
    <s v="Project"/>
    <x v="2297"/>
    <x v="0"/>
    <x v="2"/>
    <s v="Exclude in HGB Group allocation"/>
  </r>
  <r>
    <s v="20070747"/>
    <m/>
    <x v="0"/>
    <x v="0"/>
    <m/>
    <m/>
    <m/>
    <n v="2007"/>
    <n v="7"/>
    <n v="4"/>
    <s v="20070747"/>
    <s v="02_GmbH"/>
    <x v="1"/>
    <m/>
    <m/>
    <m/>
    <m/>
    <x v="0"/>
    <s v="Project"/>
    <x v="2297"/>
    <x v="0"/>
    <x v="20"/>
    <s v="Exclude in HGB Group allocation"/>
  </r>
  <r>
    <s v="20071011"/>
    <m/>
    <x v="0"/>
    <x v="0"/>
    <m/>
    <m/>
    <m/>
    <n v="2007"/>
    <n v="10"/>
    <n v="1"/>
    <s v="20071011"/>
    <s v="01_SE"/>
    <x v="4"/>
    <m/>
    <m/>
    <m/>
    <m/>
    <x v="0"/>
    <s v="Project"/>
    <x v="2298"/>
    <x v="0"/>
    <x v="18"/>
    <s v="Exclude in HGB Group allocation"/>
  </r>
  <r>
    <s v="20071016"/>
    <m/>
    <x v="0"/>
    <x v="0"/>
    <m/>
    <m/>
    <m/>
    <n v="2007"/>
    <n v="10"/>
    <n v="1"/>
    <s v="20071016"/>
    <s v="01_SE"/>
    <x v="4"/>
    <m/>
    <m/>
    <m/>
    <m/>
    <x v="0"/>
    <s v="Project"/>
    <x v="2298"/>
    <x v="0"/>
    <x v="19"/>
    <s v="Exclude in HGB Group allocation"/>
  </r>
  <r>
    <s v="20071149"/>
    <m/>
    <x v="0"/>
    <x v="0"/>
    <m/>
    <m/>
    <m/>
    <n v="2007"/>
    <n v="11"/>
    <n v="4"/>
    <s v="20071149"/>
    <s v="02_GmbH"/>
    <x v="1"/>
    <m/>
    <m/>
    <m/>
    <m/>
    <x v="0"/>
    <s v="Project"/>
    <x v="2299"/>
    <x v="0"/>
    <x v="21"/>
    <s v="Exclude in HGB Group allocation"/>
  </r>
  <r>
    <s v="99896042"/>
    <m/>
    <x v="0"/>
    <x v="0"/>
    <m/>
    <m/>
    <m/>
    <n v="2007"/>
    <n v="7"/>
    <n v="4"/>
    <s v="99896042"/>
    <s v="02_GmbH"/>
    <x v="1"/>
    <m/>
    <m/>
    <m/>
    <m/>
    <x v="0"/>
    <s v="Project"/>
    <x v="2297"/>
    <x v="0"/>
    <x v="23"/>
    <s v="Exclude in HGB Group allocation"/>
  </r>
  <r>
    <s v="99896043"/>
    <m/>
    <x v="0"/>
    <x v="0"/>
    <m/>
    <m/>
    <m/>
    <n v="2007"/>
    <n v="7"/>
    <n v="4"/>
    <s v="99896043"/>
    <s v="02_GmbH"/>
    <x v="1"/>
    <m/>
    <m/>
    <m/>
    <m/>
    <x v="0"/>
    <s v="Project"/>
    <x v="2297"/>
    <x v="0"/>
    <x v="1"/>
    <s v="Exclude in HGB Group allocation"/>
  </r>
  <r>
    <s v="99896044"/>
    <m/>
    <x v="0"/>
    <x v="0"/>
    <m/>
    <m/>
    <m/>
    <n v="2007"/>
    <n v="7"/>
    <n v="4"/>
    <s v="99896044"/>
    <s v="02_GmbH"/>
    <x v="1"/>
    <m/>
    <m/>
    <m/>
    <m/>
    <x v="0"/>
    <s v="Project"/>
    <x v="2297"/>
    <x v="0"/>
    <x v="2"/>
    <s v="Exclude in HGB Group allocation"/>
  </r>
  <r>
    <s v="99966516"/>
    <m/>
    <x v="0"/>
    <x v="0"/>
    <m/>
    <m/>
    <m/>
    <n v="2007"/>
    <n v="10"/>
    <n v="1"/>
    <s v="99966516"/>
    <s v="01_SE"/>
    <x v="4"/>
    <m/>
    <m/>
    <m/>
    <m/>
    <x v="0"/>
    <s v="Project"/>
    <x v="2298"/>
    <x v="0"/>
    <x v="19"/>
    <s v="Exclude in HGB Group allocation"/>
  </r>
  <r>
    <s v="99896011"/>
    <m/>
    <x v="0"/>
    <x v="0"/>
    <m/>
    <m/>
    <m/>
    <n v="9989"/>
    <n v="60"/>
    <n v="1"/>
    <s v="99896011"/>
    <s v="01_SE"/>
    <x v="4"/>
    <m/>
    <m/>
    <m/>
    <m/>
    <x v="0"/>
    <s v="Project"/>
    <x v="2300"/>
    <x v="0"/>
    <x v="18"/>
    <s v="Exclude in HGB Group allocation"/>
  </r>
  <r>
    <s v="99915111"/>
    <m/>
    <x v="0"/>
    <x v="0"/>
    <m/>
    <m/>
    <m/>
    <n v="9991"/>
    <n v="51"/>
    <n v="1"/>
    <s v="99915111"/>
    <s v="01_SE"/>
    <x v="4"/>
    <m/>
    <m/>
    <m/>
    <m/>
    <x v="0"/>
    <s v="Project"/>
    <x v="2301"/>
    <x v="0"/>
    <x v="18"/>
    <s v="Exclude in HGB Group allocation"/>
  </r>
  <r>
    <s v="99946511"/>
    <m/>
    <x v="0"/>
    <x v="0"/>
    <m/>
    <m/>
    <m/>
    <n v="9991"/>
    <n v="51"/>
    <n v="1"/>
    <s v="99946511"/>
    <s v="01_SE"/>
    <x v="4"/>
    <m/>
    <m/>
    <m/>
    <m/>
    <x v="0"/>
    <s v="Project"/>
    <x v="2301"/>
    <x v="0"/>
    <x v="18"/>
    <s v="Exclude in HGB Group allocation"/>
  </r>
  <r>
    <s v="99966549"/>
    <m/>
    <x v="0"/>
    <x v="0"/>
    <m/>
    <m/>
    <m/>
    <n v="9996"/>
    <n v="65"/>
    <n v="4"/>
    <s v="99966549"/>
    <s v="01_SE"/>
    <x v="1"/>
    <m/>
    <m/>
    <m/>
    <m/>
    <x v="0"/>
    <s v="Project"/>
    <x v="2302"/>
    <x v="0"/>
    <x v="24"/>
    <s v="Exclude in HGB Group allocation"/>
  </r>
  <r>
    <s v="88660426"/>
    <m/>
    <x v="0"/>
    <x v="0"/>
    <m/>
    <m/>
    <m/>
    <n v="8866"/>
    <n v="4"/>
    <n v="2"/>
    <s v="88660426"/>
    <s v="09_Ltda"/>
    <x v="0"/>
    <m/>
    <m/>
    <m/>
    <m/>
    <x v="0"/>
    <s v="Project"/>
    <x v="2303"/>
    <x v="0"/>
    <x v="21"/>
    <s v="Exclude in HGB Group allocation"/>
  </r>
  <r>
    <s v="75000211"/>
    <m/>
    <x v="0"/>
    <x v="0"/>
    <m/>
    <m/>
    <m/>
    <n v="7500"/>
    <n v="2"/>
    <n v="1"/>
    <s v="75000211"/>
    <s v="01_SE"/>
    <x v="4"/>
    <m/>
    <m/>
    <m/>
    <m/>
    <x v="0"/>
    <s v="Project"/>
    <x v="2304"/>
    <x v="0"/>
    <x v="18"/>
    <s v="Exclude in HGB Group allocation"/>
  </r>
  <r>
    <s v="75000216"/>
    <m/>
    <x v="0"/>
    <x v="0"/>
    <m/>
    <m/>
    <m/>
    <n v="7500"/>
    <n v="2"/>
    <n v="1"/>
    <s v="75000216"/>
    <s v="01_SE"/>
    <x v="4"/>
    <m/>
    <m/>
    <m/>
    <m/>
    <x v="0"/>
    <s v="Project"/>
    <x v="2304"/>
    <x v="0"/>
    <x v="19"/>
    <s v="Exclude in HGB Group allocation"/>
  </r>
  <r>
    <s v="0"/>
    <m/>
    <x v="0"/>
    <x v="0"/>
    <m/>
    <m/>
    <m/>
    <n v="3165"/>
    <n v="2"/>
    <n v="2"/>
    <m/>
    <s v="07_Inc"/>
    <x v="0"/>
    <m/>
    <m/>
    <m/>
    <m/>
    <x v="0"/>
    <s v="Project"/>
    <x v="2305"/>
    <x v="0"/>
    <x v="0"/>
    <s v="Exclude in HGB Group allocation"/>
  </r>
  <r>
    <s v="31040211"/>
    <m/>
    <x v="0"/>
    <x v="0"/>
    <m/>
    <m/>
    <m/>
    <n v="3104"/>
    <n v="2"/>
    <n v="1"/>
    <s v="31040211"/>
    <s v="01_SE"/>
    <x v="4"/>
    <m/>
    <m/>
    <m/>
    <m/>
    <x v="0"/>
    <s v="Project"/>
    <x v="2306"/>
    <x v="0"/>
    <x v="18"/>
    <s v="Exclude in HGB Group allocation"/>
  </r>
  <r>
    <s v="31040211"/>
    <m/>
    <x v="0"/>
    <x v="0"/>
    <m/>
    <m/>
    <m/>
    <n v="3104"/>
    <n v="2"/>
    <n v="1"/>
    <s v="31040211"/>
    <s v="01_SE"/>
    <x v="4"/>
    <m/>
    <m/>
    <m/>
    <m/>
    <x v="0"/>
    <s v="Project"/>
    <x v="2306"/>
    <x v="0"/>
    <x v="19"/>
    <s v="Exclude in HGB Group allocation"/>
  </r>
  <r>
    <s v="0"/>
    <m/>
    <x v="0"/>
    <x v="0"/>
    <m/>
    <m/>
    <m/>
    <n v="2040"/>
    <n v="2"/>
    <n v="2"/>
    <m/>
    <s v="01_SE"/>
    <x v="0"/>
    <m/>
    <m/>
    <m/>
    <m/>
    <x v="0"/>
    <s v="Project"/>
    <x v="2307"/>
    <x v="0"/>
    <x v="0"/>
    <s v="Exclude in HGB Group allocation"/>
  </r>
  <r>
    <s v="0"/>
    <m/>
    <x v="0"/>
    <x v="0"/>
    <m/>
    <m/>
    <m/>
    <n v="2040"/>
    <n v="3"/>
    <n v="1"/>
    <m/>
    <s v="01_SE"/>
    <x v="4"/>
    <m/>
    <m/>
    <m/>
    <m/>
    <x v="0"/>
    <s v="Project"/>
    <x v="2308"/>
    <x v="0"/>
    <x v="21"/>
    <s v="Exclude in HGB Group allocation"/>
  </r>
  <r>
    <s v="80870243"/>
    <m/>
    <x v="0"/>
    <x v="0"/>
    <m/>
    <m/>
    <m/>
    <n v="8087"/>
    <n v="2"/>
    <n v="4"/>
    <s v="80870243"/>
    <s v="02_GmbH"/>
    <x v="1"/>
    <m/>
    <m/>
    <m/>
    <m/>
    <x v="0"/>
    <s v="Project"/>
    <x v="2309"/>
    <x v="0"/>
    <x v="1"/>
    <s v="Exclude in HGB Group allocation"/>
  </r>
  <r>
    <s v="80870244"/>
    <m/>
    <x v="0"/>
    <x v="0"/>
    <m/>
    <m/>
    <m/>
    <n v="8087"/>
    <n v="2"/>
    <n v="4"/>
    <s v="80870244"/>
    <s v="02_GmbH"/>
    <x v="1"/>
    <m/>
    <m/>
    <m/>
    <m/>
    <x v="0"/>
    <s v="Project"/>
    <x v="2309"/>
    <x v="0"/>
    <x v="2"/>
    <s v="Exclude in HGB Group allocation"/>
  </r>
  <r>
    <s v="80870247"/>
    <m/>
    <x v="0"/>
    <x v="0"/>
    <m/>
    <m/>
    <m/>
    <n v="8087"/>
    <n v="2"/>
    <n v="4"/>
    <s v="80870247"/>
    <s v="02_GmbH"/>
    <x v="1"/>
    <m/>
    <m/>
    <m/>
    <m/>
    <x v="0"/>
    <s v="Project"/>
    <x v="2309"/>
    <x v="0"/>
    <x v="20"/>
    <s v="Exclude in HGB Group allocation"/>
  </r>
  <r>
    <s v="80872028"/>
    <m/>
    <x v="0"/>
    <x v="0"/>
    <m/>
    <m/>
    <m/>
    <n v="8087"/>
    <n v="20"/>
    <n v="2"/>
    <s v="80872028"/>
    <s v="16_digital"/>
    <x v="0"/>
    <m/>
    <m/>
    <m/>
    <m/>
    <x v="0"/>
    <s v="Project"/>
    <x v="2310"/>
    <x v="0"/>
    <x v="21"/>
    <s v="Exclude in HGB Group allocation"/>
  </r>
  <r>
    <s v="80872143"/>
    <m/>
    <x v="0"/>
    <x v="0"/>
    <m/>
    <m/>
    <m/>
    <n v="8087"/>
    <n v="21"/>
    <n v="4"/>
    <s v="80872143"/>
    <s v="02_GmbH"/>
    <x v="1"/>
    <m/>
    <m/>
    <m/>
    <m/>
    <x v="0"/>
    <s v="Project"/>
    <x v="2311"/>
    <x v="0"/>
    <x v="1"/>
    <s v="Exclude in HGB Group allocation"/>
  </r>
  <r>
    <s v="80872244"/>
    <m/>
    <x v="0"/>
    <x v="0"/>
    <m/>
    <m/>
    <m/>
    <n v="8087"/>
    <n v="22"/>
    <n v="4"/>
    <s v="80872244"/>
    <s v="02_GmbH"/>
    <x v="1"/>
    <m/>
    <m/>
    <m/>
    <m/>
    <x v="0"/>
    <s v="Project"/>
    <x v="2312"/>
    <x v="0"/>
    <x v="21"/>
    <s v="Exclude in HGB Group allocation"/>
  </r>
  <r>
    <s v="99911444"/>
    <m/>
    <x v="0"/>
    <x v="0"/>
    <m/>
    <m/>
    <m/>
    <n v="8087"/>
    <n v="2"/>
    <n v="4"/>
    <s v="99911444"/>
    <s v="02_GmbH"/>
    <x v="1"/>
    <m/>
    <m/>
    <m/>
    <m/>
    <x v="0"/>
    <s v="Project"/>
    <x v="2309"/>
    <x v="0"/>
    <x v="2"/>
    <s v="Exclude in HGB Group allocation"/>
  </r>
  <r>
    <s v="99894611"/>
    <m/>
    <x v="0"/>
    <x v="0"/>
    <m/>
    <m/>
    <m/>
    <n v="9989"/>
    <n v="46"/>
    <n v="1"/>
    <s v="99894611"/>
    <s v="01_SE"/>
    <x v="4"/>
    <m/>
    <m/>
    <m/>
    <m/>
    <x v="0"/>
    <s v="Project"/>
    <x v="2313"/>
    <x v="0"/>
    <x v="18"/>
    <s v="Exclude in HGB Group allocation"/>
  </r>
  <r>
    <s v="99932211"/>
    <m/>
    <x v="0"/>
    <x v="0"/>
    <m/>
    <m/>
    <m/>
    <n v="9989"/>
    <n v="46"/>
    <n v="1"/>
    <s v="99932211"/>
    <s v="01_SE"/>
    <x v="4"/>
    <m/>
    <m/>
    <m/>
    <m/>
    <x v="0"/>
    <s v="Project"/>
    <x v="2313"/>
    <x v="0"/>
    <x v="18"/>
    <s v="Exclude in HGB Group allocation"/>
  </r>
  <r>
    <s v="0"/>
    <m/>
    <x v="0"/>
    <x v="0"/>
    <m/>
    <m/>
    <m/>
    <n v="3169"/>
    <n v="2"/>
    <n v="2"/>
    <m/>
    <s v="01_SE"/>
    <x v="0"/>
    <m/>
    <m/>
    <m/>
    <m/>
    <x v="0"/>
    <s v="Project"/>
    <x v="2314"/>
    <x v="0"/>
    <x v="0"/>
    <s v="Exclude in HGB Group allocation"/>
  </r>
  <r>
    <s v="30420328"/>
    <m/>
    <x v="0"/>
    <x v="0"/>
    <m/>
    <m/>
    <m/>
    <n v="3042"/>
    <n v="3"/>
    <n v="2"/>
    <s v="30420328"/>
    <s v="01_SE"/>
    <x v="0"/>
    <m/>
    <m/>
    <m/>
    <m/>
    <x v="0"/>
    <s v="Project"/>
    <x v="2315"/>
    <x v="0"/>
    <x v="0"/>
    <s v="Exclude in HGB Group allocation"/>
  </r>
  <r>
    <s v="0"/>
    <m/>
    <x v="0"/>
    <x v="0"/>
    <m/>
    <m/>
    <m/>
    <n v="6081"/>
    <n v="3"/>
    <n v="2"/>
    <m/>
    <s v="01_SE"/>
    <x v="0"/>
    <m/>
    <m/>
    <m/>
    <m/>
    <x v="0"/>
    <s v="Project"/>
    <x v="2316"/>
    <x v="0"/>
    <x v="0"/>
    <s v="Exclude in HGB Group allocation"/>
  </r>
  <r>
    <s v="0"/>
    <m/>
    <x v="0"/>
    <x v="0"/>
    <m/>
    <m/>
    <m/>
    <n v="7684"/>
    <n v="2"/>
    <n v="2"/>
    <m/>
    <s v="01_SE"/>
    <x v="0"/>
    <m/>
    <m/>
    <m/>
    <m/>
    <x v="0"/>
    <s v="Project"/>
    <x v="2317"/>
    <x v="0"/>
    <x v="0"/>
    <s v="Exclude in HGB Group allocation"/>
  </r>
  <r>
    <s v="0"/>
    <m/>
    <x v="0"/>
    <x v="0"/>
    <m/>
    <m/>
    <m/>
    <n v="3156"/>
    <n v="2"/>
    <n v="4"/>
    <m/>
    <s v="05_Shg"/>
    <x v="1"/>
    <m/>
    <m/>
    <m/>
    <m/>
    <x v="0"/>
    <s v="Project"/>
    <x v="2318"/>
    <x v="0"/>
    <x v="1"/>
    <s v="Exclude in HGB Group allocation"/>
  </r>
  <r>
    <s v="0"/>
    <m/>
    <x v="0"/>
    <x v="0"/>
    <m/>
    <m/>
    <m/>
    <n v="8823"/>
    <n v="6"/>
    <n v="2"/>
    <m/>
    <s v="01_SE"/>
    <x v="0"/>
    <m/>
    <m/>
    <m/>
    <m/>
    <x v="0"/>
    <s v="Project"/>
    <x v="2319"/>
    <x v="0"/>
    <x v="0"/>
    <s v="Exclude in HGB Group allocation"/>
  </r>
  <r>
    <s v="76220228"/>
    <m/>
    <x v="0"/>
    <x v="0"/>
    <m/>
    <m/>
    <m/>
    <n v="7622"/>
    <n v="2"/>
    <n v="2"/>
    <s v="76220228"/>
    <s v="05_Shg"/>
    <x v="0"/>
    <m/>
    <m/>
    <m/>
    <m/>
    <x v="0"/>
    <s v="Project"/>
    <x v="2320"/>
    <x v="0"/>
    <x v="21"/>
    <s v="Exclude in HGB Group allocation"/>
  </r>
  <r>
    <s v="0"/>
    <m/>
    <x v="0"/>
    <x v="0"/>
    <m/>
    <m/>
    <m/>
    <n v="7070"/>
    <n v="2"/>
    <n v="1"/>
    <m/>
    <s v="05_Shg"/>
    <x v="4"/>
    <m/>
    <m/>
    <m/>
    <m/>
    <x v="0"/>
    <s v="Project"/>
    <x v="2321"/>
    <x v="0"/>
    <x v="18"/>
    <s v="Exclude in HGB Group allocation"/>
  </r>
  <r>
    <s v="20440244"/>
    <m/>
    <x v="0"/>
    <x v="0"/>
    <m/>
    <m/>
    <m/>
    <n v="2044"/>
    <n v="2"/>
    <n v="4"/>
    <s v="20440244"/>
    <s v="02_GmbH"/>
    <x v="1"/>
    <m/>
    <m/>
    <m/>
    <m/>
    <x v="0"/>
    <s v="Project"/>
    <x v="2322"/>
    <x v="0"/>
    <x v="2"/>
    <s v="Exclude in HGB Group allocation"/>
  </r>
  <r>
    <s v="20440249"/>
    <m/>
    <x v="0"/>
    <x v="0"/>
    <m/>
    <m/>
    <m/>
    <n v="2044"/>
    <n v="2"/>
    <n v="4"/>
    <s v="20440249"/>
    <s v="02_GmbH"/>
    <x v="1"/>
    <m/>
    <m/>
    <m/>
    <m/>
    <x v="0"/>
    <s v="Project"/>
    <x v="2322"/>
    <x v="0"/>
    <x v="24"/>
    <s v="Exclude in HGB Group allocation"/>
  </r>
  <r>
    <s v="20441444"/>
    <m/>
    <x v="0"/>
    <x v="0"/>
    <m/>
    <m/>
    <m/>
    <n v="2044"/>
    <n v="14"/>
    <n v="4"/>
    <s v="20441444"/>
    <s v="02_GmbH"/>
    <x v="1"/>
    <m/>
    <m/>
    <m/>
    <m/>
    <x v="0"/>
    <s v="Project"/>
    <x v="2323"/>
    <x v="0"/>
    <x v="2"/>
    <s v="Exclude in HGB Group allocation"/>
  </r>
  <r>
    <s v="20441449"/>
    <m/>
    <x v="0"/>
    <x v="0"/>
    <m/>
    <m/>
    <m/>
    <n v="2044"/>
    <n v="14"/>
    <n v="4"/>
    <s v="20441449"/>
    <s v="02_GmbH"/>
    <x v="1"/>
    <m/>
    <m/>
    <m/>
    <m/>
    <x v="0"/>
    <s v="Project"/>
    <x v="2323"/>
    <x v="0"/>
    <x v="24"/>
    <s v="Exclude in HGB Group allocation"/>
  </r>
  <r>
    <s v="20441744"/>
    <m/>
    <x v="0"/>
    <x v="0"/>
    <m/>
    <m/>
    <m/>
    <n v="2044"/>
    <n v="17"/>
    <n v="4"/>
    <s v="20441744"/>
    <s v="02_GmbH"/>
    <x v="1"/>
    <m/>
    <m/>
    <m/>
    <m/>
    <x v="0"/>
    <s v="Project"/>
    <x v="2324"/>
    <x v="0"/>
    <x v="2"/>
    <s v="Exclude in HGB Group allocation"/>
  </r>
  <r>
    <s v="99630344"/>
    <m/>
    <x v="0"/>
    <x v="0"/>
    <m/>
    <m/>
    <m/>
    <n v="2044"/>
    <n v="2"/>
    <n v="4"/>
    <s v="99630344"/>
    <s v="02_GmbH"/>
    <x v="1"/>
    <m/>
    <m/>
    <m/>
    <m/>
    <x v="0"/>
    <s v="Project"/>
    <x v="2322"/>
    <x v="0"/>
    <x v="2"/>
    <s v="Exclude in HGB Group allocation"/>
  </r>
  <r>
    <s v="99812844"/>
    <m/>
    <x v="0"/>
    <x v="0"/>
    <m/>
    <m/>
    <m/>
    <n v="2044"/>
    <n v="2"/>
    <n v="4"/>
    <s v="99812844"/>
    <s v="02_GmbH"/>
    <x v="1"/>
    <m/>
    <m/>
    <m/>
    <m/>
    <x v="0"/>
    <s v="Project"/>
    <x v="2322"/>
    <x v="0"/>
    <x v="2"/>
    <s v="Exclude in HGB Group allocation"/>
  </r>
  <r>
    <s v="99911644"/>
    <m/>
    <x v="0"/>
    <x v="0"/>
    <m/>
    <m/>
    <m/>
    <n v="2044"/>
    <n v="2"/>
    <n v="4"/>
    <s v="99911644"/>
    <s v="02_GmbH"/>
    <x v="1"/>
    <m/>
    <m/>
    <m/>
    <m/>
    <x v="0"/>
    <s v="Project"/>
    <x v="2322"/>
    <x v="0"/>
    <x v="2"/>
    <s v="Exclude in HGB Group allocation"/>
  </r>
  <r>
    <s v="99919344"/>
    <m/>
    <x v="0"/>
    <x v="0"/>
    <m/>
    <m/>
    <m/>
    <n v="2044"/>
    <n v="17"/>
    <n v="4"/>
    <s v="99919344"/>
    <s v="02_GmbH"/>
    <x v="1"/>
    <m/>
    <m/>
    <m/>
    <m/>
    <x v="0"/>
    <s v="Project"/>
    <x v="2324"/>
    <x v="0"/>
    <x v="2"/>
    <s v="Exclude in HGB Group allocation"/>
  </r>
  <r>
    <s v="0"/>
    <m/>
    <x v="0"/>
    <x v="0"/>
    <m/>
    <m/>
    <m/>
    <n v="9995"/>
    <n v="98"/>
    <n v="1"/>
    <m/>
    <s v="01_SE"/>
    <x v="4"/>
    <m/>
    <m/>
    <m/>
    <m/>
    <x v="0"/>
    <s v="Project"/>
    <x v="2325"/>
    <x v="0"/>
    <x v="18"/>
    <s v="Exclude in HGB Group allocation"/>
  </r>
  <r>
    <s v="0"/>
    <m/>
    <x v="0"/>
    <x v="0"/>
    <m/>
    <m/>
    <m/>
    <n v="9995"/>
    <n v="98"/>
    <n v="1"/>
    <m/>
    <s v="01_SE"/>
    <x v="4"/>
    <m/>
    <m/>
    <m/>
    <m/>
    <x v="0"/>
    <s v="Project"/>
    <x v="2325"/>
    <x v="0"/>
    <x v="17"/>
    <s v="Exclude in HGB Group allocation"/>
  </r>
  <r>
    <s v="0"/>
    <m/>
    <x v="0"/>
    <x v="0"/>
    <m/>
    <m/>
    <m/>
    <n v="9995"/>
    <n v="98"/>
    <n v="1"/>
    <m/>
    <s v="01_SE"/>
    <x v="4"/>
    <m/>
    <m/>
    <m/>
    <m/>
    <x v="0"/>
    <s v="Project"/>
    <x v="2325"/>
    <x v="0"/>
    <x v="19"/>
    <s v="Exclude in HGB Group allocation"/>
  </r>
  <r>
    <s v="99892611"/>
    <m/>
    <x v="0"/>
    <x v="0"/>
    <m/>
    <m/>
    <m/>
    <n v="9989"/>
    <n v="26"/>
    <n v="1"/>
    <s v="99892611"/>
    <s v="01_SE"/>
    <x v="4"/>
    <m/>
    <m/>
    <m/>
    <m/>
    <x v="0"/>
    <s v="Project"/>
    <x v="2326"/>
    <x v="0"/>
    <x v="18"/>
    <s v="Exclude in HGB Group allocation"/>
  </r>
  <r>
    <s v="99896811"/>
    <m/>
    <x v="0"/>
    <x v="0"/>
    <m/>
    <m/>
    <m/>
    <n v="9989"/>
    <n v="68"/>
    <n v="1"/>
    <s v="99896811"/>
    <s v="01_SE"/>
    <x v="4"/>
    <m/>
    <m/>
    <m/>
    <m/>
    <x v="0"/>
    <s v="Project"/>
    <x v="2327"/>
    <x v="0"/>
    <x v="18"/>
    <s v="Exclude in HGB Group allocation"/>
  </r>
  <r>
    <s v="99954313"/>
    <m/>
    <x v="0"/>
    <x v="0"/>
    <m/>
    <m/>
    <m/>
    <n v="9995"/>
    <n v="43"/>
    <n v="1"/>
    <s v="99954313"/>
    <s v="01_SE"/>
    <x v="4"/>
    <m/>
    <m/>
    <m/>
    <m/>
    <x v="0"/>
    <s v="Project"/>
    <x v="2328"/>
    <x v="0"/>
    <x v="17"/>
    <s v="Exclude in HGB Group allocation"/>
  </r>
  <r>
    <s v="99959513"/>
    <m/>
    <x v="0"/>
    <x v="0"/>
    <m/>
    <m/>
    <m/>
    <n v="9995"/>
    <n v="95"/>
    <n v="1"/>
    <s v="99959513"/>
    <s v="01_SE"/>
    <x v="4"/>
    <m/>
    <m/>
    <m/>
    <m/>
    <x v="0"/>
    <s v="Project"/>
    <x v="2329"/>
    <x v="0"/>
    <x v="17"/>
    <s v="Exclude in HGB Group allocation"/>
  </r>
  <r>
    <s v="74450711"/>
    <m/>
    <x v="0"/>
    <x v="0"/>
    <m/>
    <m/>
    <m/>
    <n v="7445"/>
    <n v="7"/>
    <n v="1"/>
    <n v="74450711"/>
    <s v="01_SE"/>
    <x v="4"/>
    <m/>
    <m/>
    <m/>
    <m/>
    <x v="0"/>
    <s v="Project"/>
    <x v="2330"/>
    <x v="0"/>
    <x v="18"/>
    <s v="Exclude in HGB Group allocation"/>
  </r>
  <r>
    <s v="74510311"/>
    <m/>
    <x v="0"/>
    <x v="0"/>
    <m/>
    <m/>
    <m/>
    <n v="7451"/>
    <n v="3"/>
    <n v="1"/>
    <s v="74510311"/>
    <s v="01_SE"/>
    <x v="4"/>
    <m/>
    <m/>
    <m/>
    <m/>
    <x v="0"/>
    <s v="Project"/>
    <x v="2331"/>
    <x v="0"/>
    <x v="18"/>
    <s v="Exclude in HGB Group allocation"/>
  </r>
  <r>
    <s v="0"/>
    <m/>
    <x v="0"/>
    <x v="0"/>
    <m/>
    <m/>
    <m/>
    <n v="7673"/>
    <n v="2"/>
    <n v="2"/>
    <m/>
    <s v="05_Shg"/>
    <x v="0"/>
    <m/>
    <m/>
    <m/>
    <m/>
    <x v="0"/>
    <s v="Project"/>
    <x v="2332"/>
    <x v="0"/>
    <x v="0"/>
    <s v="Exclude in HGB Group allocation"/>
  </r>
  <r>
    <s v="30310228"/>
    <m/>
    <x v="0"/>
    <x v="0"/>
    <m/>
    <m/>
    <m/>
    <n v="3031"/>
    <n v="2"/>
    <n v="2"/>
    <s v="30310228"/>
    <s v="01_SE"/>
    <x v="0"/>
    <m/>
    <m/>
    <m/>
    <m/>
    <x v="0"/>
    <s v="Project"/>
    <x v="2333"/>
    <x v="0"/>
    <x v="0"/>
    <s v="Exclude in HGB Group allocation"/>
  </r>
  <r>
    <s v="30310328"/>
    <m/>
    <x v="0"/>
    <x v="0"/>
    <m/>
    <m/>
    <m/>
    <n v="3031"/>
    <n v="3"/>
    <n v="2"/>
    <s v="30310328"/>
    <s v="01_SE"/>
    <x v="0"/>
    <m/>
    <m/>
    <m/>
    <m/>
    <x v="0"/>
    <s v="Project"/>
    <x v="2334"/>
    <x v="0"/>
    <x v="0"/>
    <s v="Exclude in HGB Group allocation"/>
  </r>
  <r>
    <s v="30310428"/>
    <m/>
    <x v="0"/>
    <x v="0"/>
    <m/>
    <m/>
    <m/>
    <n v="3031"/>
    <n v="4"/>
    <n v="2"/>
    <s v="30310428"/>
    <s v="01_SE"/>
    <x v="0"/>
    <m/>
    <m/>
    <m/>
    <m/>
    <x v="0"/>
    <s v="Project"/>
    <x v="2335"/>
    <x v="0"/>
    <x v="0"/>
    <s v="Exclude in HGB Group allocation"/>
  </r>
  <r>
    <s v="2250252"/>
    <m/>
    <x v="0"/>
    <x v="0"/>
    <m/>
    <m/>
    <m/>
    <n v="2250"/>
    <n v="25"/>
    <n v="2"/>
    <n v="2250252"/>
    <s v="01_SE"/>
    <x v="0"/>
    <m/>
    <m/>
    <m/>
    <m/>
    <x v="0"/>
    <s v="Project"/>
    <x v="2336"/>
    <x v="0"/>
    <x v="0"/>
    <s v="Exclude in HGB Group allocation"/>
  </r>
  <r>
    <s v="0"/>
    <m/>
    <x v="0"/>
    <x v="0"/>
    <m/>
    <m/>
    <m/>
    <n v="2250"/>
    <n v="26"/>
    <n v="2"/>
    <m/>
    <s v="01_SE"/>
    <x v="0"/>
    <m/>
    <m/>
    <m/>
    <m/>
    <x v="0"/>
    <s v="Project"/>
    <x v="2337"/>
    <x v="0"/>
    <x v="0"/>
    <s v="Exclude in HGB Group allocation"/>
  </r>
  <r>
    <s v="0"/>
    <m/>
    <x v="0"/>
    <x v="0"/>
    <m/>
    <m/>
    <m/>
    <n v="2250"/>
    <n v="27"/>
    <n v="2"/>
    <m/>
    <s v="01_SE"/>
    <x v="0"/>
    <m/>
    <m/>
    <m/>
    <m/>
    <x v="0"/>
    <s v="Project"/>
    <x v="2338"/>
    <x v="0"/>
    <x v="0"/>
    <s v="Exclude in HGB Group allocation"/>
  </r>
  <r>
    <s v="0"/>
    <m/>
    <x v="0"/>
    <x v="0"/>
    <m/>
    <m/>
    <m/>
    <n v="2250"/>
    <n v="28"/>
    <n v="2"/>
    <m/>
    <s v="01_SE"/>
    <x v="0"/>
    <m/>
    <m/>
    <m/>
    <m/>
    <x v="0"/>
    <s v="Project"/>
    <x v="2339"/>
    <x v="0"/>
    <x v="0"/>
    <s v="Exclude in HGB Group allocation"/>
  </r>
  <r>
    <s v="0"/>
    <m/>
    <x v="0"/>
    <x v="0"/>
    <m/>
    <m/>
    <m/>
    <n v="2250"/>
    <n v="29"/>
    <n v="2"/>
    <m/>
    <s v="01_SE"/>
    <x v="0"/>
    <m/>
    <m/>
    <m/>
    <m/>
    <x v="0"/>
    <s v="Project"/>
    <x v="2340"/>
    <x v="0"/>
    <x v="0"/>
    <s v="Exclude in HGB Group allocation"/>
  </r>
  <r>
    <s v="22500128"/>
    <m/>
    <x v="0"/>
    <x v="0"/>
    <m/>
    <m/>
    <m/>
    <n v="2250"/>
    <n v="1"/>
    <n v="2"/>
    <s v="22500128"/>
    <s v="01_SE"/>
    <x v="0"/>
    <m/>
    <m/>
    <m/>
    <m/>
    <x v="0"/>
    <s v="Project"/>
    <x v="2341"/>
    <x v="0"/>
    <x v="0"/>
    <s v="Exclude in HGB Group allocation"/>
  </r>
  <r>
    <s v="22502426"/>
    <m/>
    <x v="0"/>
    <x v="0"/>
    <m/>
    <m/>
    <m/>
    <n v="2250"/>
    <n v="24"/>
    <n v="2"/>
    <s v="22502426"/>
    <s v="01_SE"/>
    <x v="0"/>
    <m/>
    <m/>
    <m/>
    <m/>
    <x v="0"/>
    <s v="Project"/>
    <x v="2342"/>
    <x v="0"/>
    <x v="0"/>
    <s v="Exclude in HGB Group allocation"/>
  </r>
  <r>
    <s v="99963028"/>
    <m/>
    <x v="0"/>
    <x v="0"/>
    <m/>
    <m/>
    <m/>
    <n v="2250"/>
    <n v="24"/>
    <n v="2"/>
    <s v="99963028"/>
    <s v="01_SE"/>
    <x v="0"/>
    <m/>
    <m/>
    <m/>
    <m/>
    <x v="0"/>
    <s v="Project"/>
    <x v="2342"/>
    <x v="0"/>
    <x v="21"/>
    <s v="Exclude in HGB Group allocation"/>
  </r>
  <r>
    <s v="20390226"/>
    <m/>
    <x v="0"/>
    <x v="0"/>
    <m/>
    <m/>
    <m/>
    <n v="2039"/>
    <n v="2"/>
    <n v="2"/>
    <s v="20390226"/>
    <s v="01_SE"/>
    <x v="0"/>
    <m/>
    <m/>
    <m/>
    <m/>
    <x v="0"/>
    <s v="Project"/>
    <x v="2343"/>
    <x v="0"/>
    <x v="0"/>
    <s v="Exclude in HGB Group allocation"/>
  </r>
  <r>
    <s v="31390243"/>
    <m/>
    <x v="0"/>
    <x v="0"/>
    <m/>
    <m/>
    <m/>
    <n v="3139"/>
    <n v="2"/>
    <n v="4"/>
    <s v="31390243"/>
    <s v="05_Shg"/>
    <x v="1"/>
    <m/>
    <m/>
    <m/>
    <m/>
    <x v="0"/>
    <s v="Project"/>
    <x v="2344"/>
    <x v="0"/>
    <x v="1"/>
    <s v="Exclude in HGB Group allocation"/>
  </r>
  <r>
    <s v="99850311"/>
    <m/>
    <x v="0"/>
    <x v="0"/>
    <m/>
    <m/>
    <m/>
    <n v="9985"/>
    <n v="3"/>
    <n v="1"/>
    <s v="99850311"/>
    <s v="05_Shg"/>
    <x v="4"/>
    <m/>
    <m/>
    <m/>
    <m/>
    <x v="0"/>
    <s v="Project"/>
    <x v="2345"/>
    <x v="0"/>
    <x v="18"/>
    <s v="Exclude in HGB Group allocation"/>
  </r>
  <r>
    <s v="99850911"/>
    <m/>
    <x v="0"/>
    <x v="0"/>
    <m/>
    <m/>
    <m/>
    <n v="9985"/>
    <n v="9"/>
    <n v="1"/>
    <s v="99850911"/>
    <s v="05_Shg"/>
    <x v="4"/>
    <m/>
    <m/>
    <m/>
    <m/>
    <x v="0"/>
    <s v="Project"/>
    <x v="2346"/>
    <x v="0"/>
    <x v="18"/>
    <s v="Exclude in HGB Group allocation"/>
  </r>
  <r>
    <s v="0"/>
    <m/>
    <x v="0"/>
    <x v="0"/>
    <m/>
    <m/>
    <m/>
    <n v="7704"/>
    <n v="2"/>
    <n v="2"/>
    <m/>
    <s v="01_SE"/>
    <x v="0"/>
    <m/>
    <m/>
    <m/>
    <m/>
    <x v="0"/>
    <s v="Project"/>
    <x v="2347"/>
    <x v="0"/>
    <x v="0"/>
    <s v="Exclude in HGB Group allocation"/>
  </r>
  <r>
    <s v="99967228"/>
    <m/>
    <x v="0"/>
    <x v="0"/>
    <m/>
    <m/>
    <m/>
    <n v="6616"/>
    <n v="2"/>
    <n v="2"/>
    <s v="99967228"/>
    <s v="01_SE"/>
    <x v="0"/>
    <m/>
    <m/>
    <m/>
    <m/>
    <x v="0"/>
    <s v="Project"/>
    <x v="1133"/>
    <x v="0"/>
    <x v="21"/>
    <s v="Exclude in HGB Group allocation"/>
  </r>
  <r>
    <s v="60970228"/>
    <m/>
    <x v="0"/>
    <x v="0"/>
    <m/>
    <m/>
    <m/>
    <n v="6097"/>
    <n v="1"/>
    <n v="2"/>
    <s v="60970228"/>
    <s v="01_SE"/>
    <x v="0"/>
    <m/>
    <m/>
    <m/>
    <m/>
    <x v="0"/>
    <s v="Project"/>
    <x v="2348"/>
    <x v="0"/>
    <x v="0"/>
    <m/>
  </r>
  <r>
    <s v="60970228"/>
    <m/>
    <x v="0"/>
    <x v="0"/>
    <m/>
    <m/>
    <m/>
    <n v="6097"/>
    <n v="2"/>
    <n v="2"/>
    <s v="60970228"/>
    <s v="01_SE"/>
    <x v="0"/>
    <m/>
    <m/>
    <m/>
    <m/>
    <x v="0"/>
    <s v="Project"/>
    <x v="2349"/>
    <x v="0"/>
    <x v="0"/>
    <s v="Exclude in HGB Group allocation"/>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s v="4flow-internal"/>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r>
    <s v="0"/>
    <m/>
    <x v="0"/>
    <x v="0"/>
    <m/>
    <m/>
    <m/>
    <m/>
    <m/>
    <m/>
    <m/>
    <m/>
    <x v="5"/>
    <m/>
    <m/>
    <m/>
    <m/>
    <x v="0"/>
    <m/>
    <x v="2350"/>
    <x v="0"/>
    <x v="2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0" applyNumberFormats="0" applyBorderFormats="0" applyFontFormats="0" applyPatternFormats="0" applyAlignmentFormats="0" applyWidthHeightFormats="1" dataCaption="Values" updatedVersion="8" minRefreshableVersion="3" showDrill="0" rowGrandTotals="0" colGrandTotals="0" itemPrintTitles="1" createdVersion="6" indent="0" compact="0" compactData="0" multipleFieldFilters="0">
  <location ref="B5:F30" firstHeaderRow="1" firstDataRow="1" firstDataCol="5" rowPageCount="2" colPageCount="1"/>
  <pivotFields count="23">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multipleItemSelectionAllowed="1" showAll="0" defaultSubtotal="0">
      <items count="574">
        <item m="1" x="572"/>
        <item m="1" x="573"/>
        <item h="1" m="1" x="225"/>
        <item x="0"/>
        <item x="1"/>
        <item h="1" m="1" x="83"/>
        <item h="1" m="1" x="112"/>
        <item h="1" m="1" x="120"/>
        <item h="1" m="1" x="2"/>
        <item h="1" m="1" x="3"/>
        <item h="1" m="1" x="4"/>
        <item h="1" m="1" x="5"/>
        <item h="1" m="1" x="6"/>
        <item h="1" m="1" x="7"/>
        <item h="1" m="1" x="8"/>
        <item h="1" m="1" x="9"/>
        <item h="1" m="1" x="10"/>
        <item h="1" m="1" x="11"/>
        <item h="1" m="1" x="12"/>
        <item h="1" m="1" x="13"/>
        <item h="1" m="1" x="14"/>
        <item h="1" m="1" x="15"/>
        <item h="1" m="1" x="16"/>
        <item h="1" m="1" x="17"/>
        <item h="1" m="1" x="18"/>
        <item h="1" m="1" x="19"/>
        <item h="1" m="1" x="20"/>
        <item h="1" m="1" x="21"/>
        <item h="1" m="1" x="22"/>
        <item h="1" m="1" x="23"/>
        <item h="1" m="1" x="24"/>
        <item h="1" m="1" x="25"/>
        <item h="1" m="1" x="26"/>
        <item h="1" m="1" x="27"/>
        <item h="1" m="1" x="28"/>
        <item h="1" m="1" x="29"/>
        <item h="1" m="1" x="30"/>
        <item h="1" m="1" x="31"/>
        <item h="1" m="1" x="32"/>
        <item h="1" m="1" x="33"/>
        <item h="1" m="1" x="34"/>
        <item h="1" m="1" x="35"/>
        <item h="1" m="1" x="36"/>
        <item h="1" m="1" x="37"/>
        <item h="1" m="1" x="38"/>
        <item h="1" m="1" x="39"/>
        <item h="1" m="1" x="40"/>
        <item h="1" m="1" x="41"/>
        <item h="1" m="1" x="42"/>
        <item h="1" m="1" x="43"/>
        <item h="1" m="1" x="44"/>
        <item h="1" m="1" x="45"/>
        <item h="1" m="1" x="46"/>
        <item h="1" m="1" x="47"/>
        <item h="1" m="1" x="48"/>
        <item h="1" m="1" x="49"/>
        <item h="1" m="1" x="50"/>
        <item h="1" m="1" x="51"/>
        <item h="1" m="1" x="52"/>
        <item h="1" m="1" x="53"/>
        <item h="1" m="1" x="54"/>
        <item h="1" m="1" x="55"/>
        <item h="1" m="1" x="56"/>
        <item h="1" m="1" x="57"/>
        <item h="1" m="1" x="58"/>
        <item h="1" m="1" x="59"/>
        <item h="1" m="1" x="60"/>
        <item h="1" m="1" x="61"/>
        <item h="1" m="1" x="62"/>
        <item h="1" m="1" x="63"/>
        <item h="1" m="1" x="64"/>
        <item h="1" m="1" x="65"/>
        <item h="1" m="1" x="66"/>
        <item h="1" m="1" x="67"/>
        <item h="1" m="1" x="68"/>
        <item h="1" m="1" x="69"/>
        <item h="1" m="1" x="70"/>
        <item h="1" m="1" x="71"/>
        <item h="1" m="1" x="72"/>
        <item h="1" m="1" x="73"/>
        <item h="1" m="1" x="74"/>
        <item h="1" m="1" x="75"/>
        <item h="1" m="1" x="76"/>
        <item h="1" m="1" x="77"/>
        <item h="1" m="1" x="78"/>
        <item h="1" m="1" x="79"/>
        <item h="1" m="1" x="80"/>
        <item h="1" m="1" x="81"/>
        <item h="1" m="1" x="82"/>
        <item h="1" m="1" x="84"/>
        <item h="1" m="1" x="85"/>
        <item h="1" m="1" x="86"/>
        <item h="1" m="1" x="87"/>
        <item h="1" m="1" x="88"/>
        <item h="1" m="1" x="89"/>
        <item h="1" m="1" x="90"/>
        <item h="1" m="1" x="91"/>
        <item h="1" m="1" x="92"/>
        <item h="1" m="1" x="93"/>
        <item h="1" m="1" x="94"/>
        <item h="1" m="1" x="95"/>
        <item h="1" m="1" x="96"/>
        <item h="1" m="1" x="97"/>
        <item h="1" m="1" x="98"/>
        <item h="1" m="1" x="99"/>
        <item h="1" m="1" x="100"/>
        <item h="1" m="1" x="101"/>
        <item h="1" m="1" x="102"/>
        <item h="1" m="1" x="103"/>
        <item h="1" m="1" x="104"/>
        <item h="1" m="1" x="105"/>
        <item h="1" m="1" x="106"/>
        <item h="1" m="1" x="107"/>
        <item h="1" m="1" x="108"/>
        <item h="1" m="1" x="109"/>
        <item h="1" m="1" x="110"/>
        <item h="1" m="1" x="111"/>
        <item h="1" m="1" x="113"/>
        <item h="1" m="1" x="114"/>
        <item h="1" m="1" x="115"/>
        <item h="1" m="1" x="116"/>
        <item h="1" m="1" x="117"/>
        <item h="1" m="1" x="118"/>
        <item h="1" m="1" x="119"/>
        <item h="1" m="1" x="121"/>
        <item h="1" m="1" x="122"/>
        <item h="1" m="1" x="123"/>
        <item h="1" m="1" x="124"/>
        <item h="1" m="1" x="125"/>
        <item h="1" m="1" x="126"/>
        <item h="1" m="1" x="127"/>
        <item h="1" m="1" x="128"/>
        <item h="1" m="1" x="129"/>
        <item h="1" m="1" x="130"/>
        <item h="1" m="1" x="131"/>
        <item h="1" m="1" x="132"/>
        <item h="1" m="1" x="133"/>
        <item h="1" m="1" x="134"/>
        <item h="1" m="1" x="135"/>
        <item h="1" m="1" x="136"/>
        <item h="1" m="1" x="137"/>
        <item h="1" m="1" x="138"/>
        <item h="1" m="1" x="139"/>
        <item h="1" m="1" x="140"/>
        <item h="1" m="1" x="141"/>
        <item h="1" m="1" x="142"/>
        <item h="1" m="1" x="143"/>
        <item h="1" m="1" x="144"/>
        <item h="1" m="1" x="145"/>
        <item h="1" m="1" x="146"/>
        <item h="1" m="1" x="147"/>
        <item h="1" m="1" x="148"/>
        <item h="1" m="1" x="149"/>
        <item h="1" m="1" x="150"/>
        <item h="1" m="1" x="151"/>
        <item h="1" m="1" x="152"/>
        <item h="1" m="1" x="153"/>
        <item h="1" m="1" x="154"/>
        <item h="1" m="1" x="155"/>
        <item h="1" m="1" x="156"/>
        <item h="1" m="1" x="157"/>
        <item h="1" m="1" x="158"/>
        <item h="1" m="1" x="159"/>
        <item h="1" m="1" x="160"/>
        <item h="1" m="1" x="161"/>
        <item h="1" m="1" x="162"/>
        <item h="1" m="1" x="163"/>
        <item h="1" m="1" x="164"/>
        <item h="1" m="1" x="165"/>
        <item h="1" m="1" x="166"/>
        <item h="1" m="1" x="167"/>
        <item h="1" m="1" x="168"/>
        <item h="1" m="1" x="169"/>
        <item h="1" m="1" x="170"/>
        <item h="1" m="1" x="171"/>
        <item h="1" m="1" x="172"/>
        <item h="1" m="1" x="173"/>
        <item h="1" m="1" x="174"/>
        <item h="1" m="1" x="175"/>
        <item h="1" m="1" x="176"/>
        <item h="1" m="1" x="177"/>
        <item h="1" m="1" x="178"/>
        <item h="1" m="1" x="179"/>
        <item h="1" m="1" x="180"/>
        <item h="1" m="1" x="181"/>
        <item h="1" m="1" x="182"/>
        <item h="1" m="1" x="183"/>
        <item h="1" m="1" x="184"/>
        <item h="1" m="1" x="185"/>
        <item h="1" m="1" x="186"/>
        <item h="1" m="1" x="187"/>
        <item h="1" m="1" x="188"/>
        <item h="1" m="1" x="189"/>
        <item h="1" m="1" x="190"/>
        <item h="1" m="1" x="191"/>
        <item h="1" m="1" x="192"/>
        <item h="1" m="1" x="193"/>
        <item h="1" m="1" x="194"/>
        <item h="1" m="1" x="195"/>
        <item h="1" m="1" x="196"/>
        <item h="1" m="1" x="197"/>
        <item h="1" m="1" x="198"/>
        <item h="1" m="1" x="199"/>
        <item h="1" m="1" x="200"/>
        <item h="1" m="1" x="201"/>
        <item h="1" m="1" x="202"/>
        <item h="1" m="1" x="203"/>
        <item h="1" m="1" x="204"/>
        <item h="1" m="1" x="205"/>
        <item h="1" m="1" x="206"/>
        <item h="1" m="1" x="207"/>
        <item h="1" m="1" x="208"/>
        <item h="1" m="1" x="209"/>
        <item h="1" m="1" x="210"/>
        <item h="1" m="1" x="211"/>
        <item h="1" m="1" x="212"/>
        <item h="1" m="1" x="213"/>
        <item h="1" m="1" x="214"/>
        <item h="1" m="1" x="215"/>
        <item h="1" m="1" x="216"/>
        <item h="1" m="1" x="217"/>
        <item h="1" m="1" x="218"/>
        <item h="1" m="1" x="219"/>
        <item h="1" m="1" x="220"/>
        <item h="1" m="1" x="221"/>
        <item h="1" m="1" x="222"/>
        <item h="1" m="1" x="223"/>
        <item h="1" m="1" x="224"/>
        <item h="1" m="1" x="226"/>
        <item h="1" m="1" x="227"/>
        <item h="1" m="1" x="228"/>
        <item h="1" m="1" x="229"/>
        <item h="1" m="1" x="230"/>
        <item h="1" m="1" x="231"/>
        <item h="1" m="1" x="232"/>
        <item h="1" m="1" x="233"/>
        <item h="1" m="1" x="234"/>
        <item h="1" m="1" x="235"/>
        <item h="1" m="1" x="236"/>
        <item h="1" m="1" x="237"/>
        <item h="1" m="1" x="238"/>
        <item h="1" m="1" x="239"/>
        <item h="1" m="1" x="240"/>
        <item h="1" m="1" x="241"/>
        <item h="1" m="1" x="242"/>
        <item h="1" m="1" x="243"/>
        <item h="1" m="1" x="244"/>
        <item h="1" m="1" x="245"/>
        <item h="1" m="1" x="246"/>
        <item h="1" m="1" x="247"/>
        <item h="1" m="1" x="248"/>
        <item h="1" m="1" x="249"/>
        <item h="1" m="1" x="250"/>
        <item h="1" m="1" x="251"/>
        <item h="1" m="1" x="252"/>
        <item h="1" m="1" x="253"/>
        <item h="1" m="1" x="254"/>
        <item h="1" m="1" x="255"/>
        <item h="1" m="1" x="256"/>
        <item h="1" m="1" x="257"/>
        <item h="1" m="1" x="258"/>
        <item h="1" m="1" x="259"/>
        <item h="1" m="1" x="260"/>
        <item h="1" m="1" x="261"/>
        <item h="1" m="1" x="262"/>
        <item h="1" m="1" x="263"/>
        <item h="1" m="1" x="264"/>
        <item h="1" m="1" x="265"/>
        <item h="1" m="1" x="266"/>
        <item h="1" m="1" x="267"/>
        <item h="1" m="1" x="268"/>
        <item h="1" m="1" x="269"/>
        <item h="1" m="1" x="270"/>
        <item h="1" m="1" x="271"/>
        <item h="1" m="1" x="272"/>
        <item h="1" m="1" x="273"/>
        <item h="1" m="1" x="274"/>
        <item h="1" m="1" x="275"/>
        <item h="1" m="1" x="276"/>
        <item h="1" m="1" x="277"/>
        <item h="1" m="1" x="278"/>
        <item h="1" m="1" x="279"/>
        <item h="1" m="1" x="280"/>
        <item h="1" m="1" x="281"/>
        <item h="1" m="1" x="282"/>
        <item h="1" m="1" x="283"/>
        <item h="1" m="1" x="284"/>
        <item h="1" m="1" x="285"/>
        <item h="1" m="1" x="286"/>
        <item h="1" m="1" x="287"/>
        <item h="1" m="1" x="288"/>
        <item h="1" m="1" x="289"/>
        <item h="1" m="1" x="290"/>
        <item h="1" m="1" x="291"/>
        <item h="1" m="1" x="292"/>
        <item h="1" m="1" x="293"/>
        <item h="1" m="1" x="294"/>
        <item h="1" m="1" x="295"/>
        <item h="1" m="1" x="296"/>
        <item h="1" m="1" x="297"/>
        <item h="1" m="1" x="298"/>
        <item h="1" m="1" x="299"/>
        <item h="1" m="1" x="300"/>
        <item h="1" m="1" x="301"/>
        <item h="1" m="1" x="302"/>
        <item h="1" m="1" x="303"/>
        <item h="1" m="1" x="304"/>
        <item h="1" m="1" x="305"/>
        <item h="1" m="1" x="306"/>
        <item h="1" m="1" x="307"/>
        <item h="1" m="1" x="308"/>
        <item h="1" m="1" x="309"/>
        <item h="1" m="1" x="310"/>
        <item h="1" m="1" x="311"/>
        <item h="1" m="1" x="312"/>
        <item h="1" m="1" x="313"/>
        <item h="1" m="1" x="314"/>
        <item h="1" m="1" x="315"/>
        <item h="1" m="1" x="316"/>
        <item h="1" m="1" x="317"/>
        <item h="1" m="1" x="318"/>
        <item h="1" m="1" x="319"/>
        <item h="1" m="1" x="320"/>
        <item h="1" m="1" x="321"/>
        <item h="1" m="1" x="322"/>
        <item h="1" m="1" x="323"/>
        <item h="1" m="1" x="324"/>
        <item h="1" m="1" x="325"/>
        <item h="1" m="1" x="326"/>
        <item h="1" m="1" x="327"/>
        <item h="1" m="1" x="328"/>
        <item h="1" m="1" x="329"/>
        <item h="1" m="1" x="330"/>
        <item h="1" m="1" x="331"/>
        <item h="1" m="1" x="332"/>
        <item h="1" m="1" x="333"/>
        <item h="1" m="1" x="334"/>
        <item h="1" m="1" x="335"/>
        <item h="1" m="1" x="336"/>
        <item h="1" m="1" x="337"/>
        <item h="1" m="1" x="338"/>
        <item h="1" m="1" x="339"/>
        <item h="1" m="1" x="340"/>
        <item h="1" m="1" x="341"/>
        <item h="1" m="1" x="342"/>
        <item h="1" m="1" x="343"/>
        <item h="1" m="1" x="344"/>
        <item h="1" m="1" x="345"/>
        <item h="1" m="1" x="346"/>
        <item h="1" m="1" x="347"/>
        <item h="1" m="1" x="348"/>
        <item h="1" m="1" x="349"/>
        <item h="1" m="1" x="350"/>
        <item h="1" m="1" x="351"/>
        <item h="1" m="1" x="352"/>
        <item h="1" m="1" x="353"/>
        <item h="1" m="1" x="354"/>
        <item h="1" m="1" x="355"/>
        <item h="1" m="1" x="356"/>
        <item h="1" m="1" x="357"/>
        <item h="1" m="1" x="358"/>
        <item h="1" m="1" x="359"/>
        <item h="1" m="1" x="360"/>
        <item h="1" m="1" x="361"/>
        <item h="1" m="1" x="362"/>
        <item h="1" m="1" x="363"/>
        <item h="1" m="1" x="364"/>
        <item h="1" m="1" x="365"/>
        <item h="1" m="1" x="366"/>
        <item h="1" m="1" x="367"/>
        <item h="1" m="1" x="368"/>
        <item h="1" m="1" x="369"/>
        <item h="1" m="1" x="370"/>
        <item h="1" m="1" x="371"/>
        <item h="1" m="1" x="372"/>
        <item h="1" m="1" x="373"/>
        <item h="1" m="1" x="374"/>
        <item h="1" m="1" x="375"/>
        <item h="1" m="1" x="376"/>
        <item h="1" m="1" x="377"/>
        <item h="1" m="1" x="378"/>
        <item h="1" m="1" x="379"/>
        <item h="1" m="1" x="380"/>
        <item h="1" m="1" x="381"/>
        <item h="1" m="1" x="382"/>
        <item h="1" m="1" x="383"/>
        <item h="1" m="1" x="384"/>
        <item h="1" m="1" x="385"/>
        <item h="1" m="1" x="386"/>
        <item h="1" m="1" x="387"/>
        <item h="1" m="1" x="388"/>
        <item h="1" m="1" x="389"/>
        <item h="1" m="1" x="390"/>
        <item h="1" m="1" x="391"/>
        <item h="1" m="1" x="392"/>
        <item h="1" m="1" x="393"/>
        <item h="1" m="1" x="394"/>
        <item h="1" m="1" x="395"/>
        <item h="1" m="1" x="396"/>
        <item h="1" m="1" x="397"/>
        <item h="1" m="1" x="398"/>
        <item h="1" m="1" x="399"/>
        <item h="1" m="1" x="400"/>
        <item h="1" m="1" x="401"/>
        <item h="1" m="1" x="402"/>
        <item h="1" m="1" x="403"/>
        <item h="1" m="1" x="404"/>
        <item h="1" m="1" x="405"/>
        <item h="1" m="1" x="406"/>
        <item h="1" m="1" x="407"/>
        <item h="1" m="1" x="408"/>
        <item h="1" m="1" x="409"/>
        <item h="1" m="1" x="410"/>
        <item h="1" m="1" x="411"/>
        <item h="1" m="1" x="412"/>
        <item h="1" m="1" x="413"/>
        <item h="1" m="1" x="414"/>
        <item h="1" m="1" x="415"/>
        <item h="1" m="1" x="416"/>
        <item h="1" m="1" x="417"/>
        <item h="1" m="1" x="418"/>
        <item h="1" m="1" x="419"/>
        <item h="1" m="1" x="420"/>
        <item h="1" m="1" x="421"/>
        <item h="1" m="1" x="422"/>
        <item h="1" m="1" x="423"/>
        <item h="1" m="1" x="424"/>
        <item h="1" m="1" x="425"/>
        <item h="1" m="1" x="426"/>
        <item h="1" m="1" x="427"/>
        <item h="1" m="1" x="428"/>
        <item h="1" m="1" x="429"/>
        <item h="1" m="1" x="430"/>
        <item h="1" m="1" x="431"/>
        <item h="1" m="1" x="432"/>
        <item h="1" m="1" x="433"/>
        <item h="1" m="1" x="434"/>
        <item h="1" m="1" x="435"/>
        <item h="1" m="1" x="436"/>
        <item h="1" m="1" x="437"/>
        <item h="1" m="1" x="438"/>
        <item h="1" m="1" x="439"/>
        <item h="1" m="1" x="440"/>
        <item h="1" m="1" x="441"/>
        <item h="1" m="1" x="442"/>
        <item h="1" m="1" x="443"/>
        <item h="1" m="1" x="444"/>
        <item h="1" m="1" x="445"/>
        <item h="1" m="1" x="446"/>
        <item h="1" m="1" x="447"/>
        <item h="1" m="1" x="448"/>
        <item h="1" m="1" x="449"/>
        <item h="1" m="1" x="450"/>
        <item h="1" m="1" x="451"/>
        <item h="1" m="1" x="452"/>
        <item h="1" m="1" x="453"/>
        <item h="1" m="1" x="454"/>
        <item h="1" m="1" x="455"/>
        <item h="1" m="1" x="456"/>
        <item h="1" m="1" x="457"/>
        <item h="1" m="1" x="458"/>
        <item h="1" m="1" x="459"/>
        <item h="1" m="1" x="460"/>
        <item h="1" m="1" x="461"/>
        <item h="1" m="1" x="462"/>
        <item h="1" m="1" x="463"/>
        <item h="1" m="1" x="464"/>
        <item h="1" m="1" x="465"/>
        <item h="1" m="1" x="466"/>
        <item h="1" m="1" x="467"/>
        <item h="1" m="1" x="468"/>
        <item h="1" m="1" x="469"/>
        <item h="1" m="1" x="470"/>
        <item h="1" m="1" x="471"/>
        <item h="1" m="1" x="472"/>
        <item h="1" m="1" x="473"/>
        <item h="1" m="1" x="474"/>
        <item h="1" m="1" x="475"/>
        <item h="1" m="1" x="476"/>
        <item h="1" m="1" x="477"/>
        <item h="1" m="1" x="478"/>
        <item h="1" m="1" x="479"/>
        <item h="1" m="1" x="480"/>
        <item h="1" m="1" x="481"/>
        <item h="1" m="1" x="482"/>
        <item h="1" m="1" x="483"/>
        <item h="1" m="1" x="484"/>
        <item h="1" m="1" x="485"/>
        <item h="1" m="1" x="486"/>
        <item h="1" m="1" x="487"/>
        <item h="1" m="1" x="488"/>
        <item h="1" m="1" x="489"/>
        <item h="1" m="1" x="490"/>
        <item h="1" m="1" x="491"/>
        <item h="1" m="1" x="492"/>
        <item h="1" m="1" x="493"/>
        <item h="1" m="1" x="494"/>
        <item h="1" m="1" x="495"/>
        <item h="1" m="1" x="496"/>
        <item h="1" m="1" x="497"/>
        <item h="1" m="1" x="498"/>
        <item h="1" m="1" x="499"/>
        <item h="1" m="1" x="500"/>
        <item h="1" m="1" x="501"/>
        <item h="1" m="1" x="502"/>
        <item h="1" m="1" x="503"/>
        <item h="1" m="1" x="504"/>
        <item h="1" m="1" x="505"/>
        <item h="1" m="1" x="506"/>
        <item h="1" m="1" x="507"/>
        <item h="1" m="1" x="508"/>
        <item h="1" m="1" x="509"/>
        <item h="1" m="1" x="510"/>
        <item h="1" m="1" x="511"/>
        <item h="1" m="1" x="512"/>
        <item h="1" m="1" x="513"/>
        <item h="1" m="1" x="514"/>
        <item h="1" m="1" x="515"/>
        <item h="1" m="1" x="516"/>
        <item h="1" m="1" x="517"/>
        <item h="1" m="1" x="518"/>
        <item h="1" m="1" x="519"/>
        <item h="1" m="1" x="520"/>
        <item h="1" m="1" x="521"/>
        <item h="1" m="1" x="522"/>
        <item h="1" m="1" x="523"/>
        <item h="1" m="1" x="524"/>
        <item h="1" m="1" x="525"/>
        <item h="1" m="1" x="526"/>
        <item h="1" m="1" x="527"/>
        <item h="1" m="1" x="528"/>
        <item h="1" m="1" x="529"/>
        <item h="1" m="1" x="530"/>
        <item h="1" m="1" x="531"/>
        <item h="1" m="1" x="532"/>
        <item h="1" m="1" x="533"/>
        <item h="1" m="1" x="534"/>
        <item h="1" m="1" x="535"/>
        <item h="1" m="1" x="536"/>
        <item h="1" m="1" x="537"/>
        <item h="1" m="1" x="538"/>
        <item h="1" m="1" x="539"/>
        <item h="1" m="1" x="540"/>
        <item h="1" m="1" x="541"/>
        <item h="1" m="1" x="542"/>
        <item h="1" m="1" x="543"/>
        <item h="1" m="1" x="544"/>
        <item h="1" m="1" x="545"/>
        <item h="1" m="1" x="546"/>
        <item h="1" m="1" x="547"/>
        <item h="1" m="1" x="548"/>
        <item h="1" m="1" x="549"/>
        <item h="1" m="1" x="550"/>
        <item h="1" m="1" x="551"/>
        <item h="1" m="1" x="552"/>
        <item h="1" m="1" x="553"/>
        <item h="1" m="1" x="554"/>
        <item h="1" m="1" x="555"/>
        <item h="1" m="1" x="556"/>
        <item h="1" m="1" x="557"/>
        <item h="1" m="1" x="558"/>
        <item h="1" m="1" x="559"/>
        <item h="1" m="1" x="560"/>
        <item h="1" m="1" x="561"/>
        <item h="1" m="1" x="562"/>
        <item h="1" m="1" x="563"/>
        <item h="1" m="1" x="564"/>
        <item h="1" m="1" x="565"/>
        <item h="1" m="1" x="566"/>
        <item h="1" m="1" x="567"/>
        <item h="1" m="1" x="568"/>
        <item h="1" m="1" x="569"/>
        <item h="1" m="1" x="570"/>
        <item h="1" m="1" x="571"/>
      </items>
      <extLst>
        <ext xmlns:x14="http://schemas.microsoft.com/office/spreadsheetml/2009/9/main" uri="{2946ED86-A175-432a-8AC1-64E0C546D7DE}">
          <x14:pivotField fillDownLabels="1"/>
        </ext>
      </extLst>
    </pivotField>
    <pivotField axis="axisRow" compact="0" outline="0" showAll="0" sortType="ascending" defaultSubtotal="0">
      <items count="719">
        <item h="1" m="1" x="705"/>
        <item h="1" m="1" x="704"/>
        <item h="1" m="1" x="716"/>
        <item h="1" m="1" x="700"/>
        <item h="1" m="1" x="714"/>
        <item h="1" m="1" x="717"/>
        <item h="1" m="1" x="712"/>
        <item h="1" m="1" x="709"/>
        <item h="1" m="1" x="708"/>
        <item h="1" m="1" x="713"/>
        <item h="1" m="1" x="715"/>
        <item h="1" x="7"/>
        <item x="6"/>
        <item x="2"/>
        <item x="3"/>
        <item x="5"/>
        <item x="8"/>
        <item h="1" m="1" x="707"/>
        <item h="1" m="1" x="702"/>
        <item h="1" m="1" x="703"/>
        <item h="1" m="1" x="699"/>
        <item h="1" m="1" x="718"/>
        <item x="4"/>
        <item h="1" m="1" x="706"/>
        <item h="1" m="1" x="710"/>
        <item x="1"/>
        <item h="1" m="1" x="429"/>
        <item h="1" m="1" x="194"/>
        <item h="1" m="1" x="400"/>
        <item h="1" m="1" x="260"/>
        <item h="1" m="1" x="77"/>
        <item h="1" m="1" x="414"/>
        <item h="1" m="1" x="359"/>
        <item h="1" m="1" x="49"/>
        <item h="1" m="1" x="50"/>
        <item h="1" m="1" x="534"/>
        <item h="1" m="1" x="220"/>
        <item h="1" m="1" x="378"/>
        <item h="1" m="1" x="379"/>
        <item h="1" m="1" x="380"/>
        <item h="1" m="1" x="381"/>
        <item h="1" m="1" x="500"/>
        <item h="1" m="1" x="502"/>
        <item h="1" m="1" x="501"/>
        <item h="1" m="1" x="196"/>
        <item h="1" m="1" x="488"/>
        <item h="1" m="1" x="76"/>
        <item h="1" m="1" x="67"/>
        <item h="1" m="1" x="274"/>
        <item h="1" m="1" x="118"/>
        <item h="1" m="1" x="289"/>
        <item h="1" m="1" x="290"/>
        <item h="1" m="1" x="593"/>
        <item h="1" m="1" x="150"/>
        <item h="1" m="1" x="269"/>
        <item h="1" m="1" x="691"/>
        <item h="1" m="1" x="417"/>
        <item h="1" m="1" x="98"/>
        <item h="1" m="1" x="613"/>
        <item h="1" m="1" x="88"/>
        <item h="1" m="1" x="250"/>
        <item h="1" m="1" x="590"/>
        <item h="1" m="1" x="444"/>
        <item h="1" m="1" x="311"/>
        <item h="1" m="1" x="575"/>
        <item h="1" m="1" x="328"/>
        <item h="1" m="1" x="327"/>
        <item h="1" m="1" x="495"/>
        <item h="1" m="1" x="103"/>
        <item h="1" m="1" x="135"/>
        <item h="1" m="1" x="82"/>
        <item h="1" m="1" x="140"/>
        <item h="1" m="1" x="362"/>
        <item h="1" m="1" x="669"/>
        <item h="1" m="1" x="436"/>
        <item h="1" m="1" x="405"/>
        <item h="1" m="1" x="396"/>
        <item h="1" m="1" x="278"/>
        <item h="1" m="1" x="688"/>
        <item h="1" m="1" x="230"/>
        <item h="1" m="1" x="310"/>
        <item h="1" m="1" x="281"/>
        <item h="1" m="1" x="680"/>
        <item h="1" m="1" x="209"/>
        <item h="1" m="1" x="210"/>
        <item h="1" m="1" x="213"/>
        <item h="1" m="1" x="668"/>
        <item h="1" m="1" x="571"/>
        <item h="1" m="1" x="497"/>
        <item h="1" m="1" x="498"/>
        <item h="1" m="1" x="577"/>
        <item h="1" m="1" x="125"/>
        <item h="1" m="1" x="253"/>
        <item h="1" m="1" x="514"/>
        <item h="1" m="1" x="356"/>
        <item h="1" m="1" x="445"/>
        <item h="1" m="1" x="693"/>
        <item h="1" m="1" x="13"/>
        <item h="1" m="1" x="16"/>
        <item h="1" m="1" x="473"/>
        <item h="1" m="1" x="133"/>
        <item h="1" m="1" x="134"/>
        <item h="1" m="1" x="146"/>
        <item h="1" m="1" x="322"/>
        <item h="1" m="1" x="361"/>
        <item h="1" m="1" x="117"/>
        <item h="1" m="1" x="223"/>
        <item h="1" m="1" x="61"/>
        <item h="1" m="1" x="629"/>
        <item h="1" m="1" x="689"/>
        <item h="1" m="1" x="687"/>
        <item h="1" m="1" x="40"/>
        <item h="1" m="1" x="37"/>
        <item h="1" m="1" x="347"/>
        <item h="1" m="1" x="371"/>
        <item h="1" m="1" x="482"/>
        <item h="1" m="1" x="318"/>
        <item h="1" m="1" x="345"/>
        <item h="1" m="1" x="568"/>
        <item h="1" m="1" x="413"/>
        <item h="1" m="1" x="567"/>
        <item h="1" m="1" x="674"/>
        <item h="1" m="1" x="124"/>
        <item h="1" m="1" x="601"/>
        <item h="1" m="1" x="331"/>
        <item h="1" m="1" x="555"/>
        <item h="1" m="1" x="556"/>
        <item h="1" m="1" x="566"/>
        <item h="1" m="1" x="460"/>
        <item h="1" m="1" x="494"/>
        <item h="1" m="1" x="283"/>
        <item h="1" m="1" x="392"/>
        <item h="1" m="1" x="296"/>
        <item h="1" m="1" x="295"/>
        <item h="1" m="1" x="604"/>
        <item h="1" m="1" x="111"/>
        <item h="1" m="1" x="383"/>
        <item h="1" m="1" x="110"/>
        <item h="1" m="1" x="74"/>
        <item h="1" m="1" x="112"/>
        <item h="1" m="1" x="109"/>
        <item h="1" m="1" x="208"/>
        <item h="1" m="1" x="70"/>
        <item h="1" m="1" x="337"/>
        <item h="1" m="1" x="439"/>
        <item h="1" m="1" x="492"/>
        <item h="1" m="1" x="659"/>
        <item h="1" m="1" x="304"/>
        <item h="1" m="1" x="390"/>
        <item h="1" m="1" x="23"/>
        <item h="1" m="1" x="28"/>
        <item h="1" m="1" x="399"/>
        <item h="1" m="1" x="418"/>
        <item h="1" m="1" x="420"/>
        <item h="1" m="1" x="419"/>
        <item h="1" m="1" x="329"/>
        <item h="1" m="1" x="330"/>
        <item h="1" m="1" x="227"/>
        <item h="1" m="1" x="443"/>
        <item h="1" m="1" x="504"/>
        <item h="1" m="1" x="539"/>
        <item h="1" m="1" x="272"/>
        <item h="1" m="1" x="254"/>
        <item h="1" m="1" x="591"/>
        <item h="1" m="1" x="369"/>
        <item h="1" m="1" x="541"/>
        <item h="1" m="1" x="695"/>
        <item h="1" m="1" x="372"/>
        <item h="1" m="1" x="370"/>
        <item h="1" m="1" x="69"/>
        <item h="1" m="1" x="373"/>
        <item h="1" m="1" x="489"/>
        <item h="1" m="1" x="552"/>
        <item h="1" m="1" x="189"/>
        <item h="1" m="1" x="187"/>
        <item h="1" m="1" x="19"/>
        <item h="1" m="1" x="348"/>
        <item h="1" m="1" x="512"/>
        <item h="1" m="1" x="354"/>
        <item h="1" m="1" x="434"/>
        <item h="1" m="1" x="309"/>
        <item h="1" m="1" x="141"/>
        <item h="1" m="1" x="697"/>
        <item h="1" m="1" x="532"/>
        <item h="1" m="1" x="533"/>
        <item h="1" m="1" x="159"/>
        <item h="1" m="1" x="156"/>
        <item h="1" m="1" x="266"/>
        <item h="1" m="1" x="265"/>
        <item h="1" m="1" x="263"/>
        <item h="1" m="1" x="256"/>
        <item h="1" m="1" x="219"/>
        <item h="1" m="1" x="363"/>
        <item h="1" m="1" x="678"/>
        <item h="1" m="1" x="228"/>
        <item h="1" m="1" x="226"/>
        <item h="1" m="1" x="107"/>
        <item h="1" m="1" x="18"/>
        <item h="1" m="1" x="207"/>
        <item h="1" m="1" x="168"/>
        <item h="1" m="1" x="255"/>
        <item h="1" m="1" x="596"/>
        <item h="1" m="1" x="225"/>
        <item h="1" m="1" x="639"/>
        <item h="1" m="1" x="271"/>
        <item h="1" m="1" x="175"/>
        <item h="1" m="1" x="464"/>
        <item h="1" m="1" x="68"/>
        <item h="1" m="1" x="657"/>
        <item h="1" m="1" x="656"/>
        <item h="1" m="1" x="655"/>
        <item h="1" m="1" x="201"/>
        <item h="1" m="1" x="154"/>
        <item h="1" m="1" x="155"/>
        <item h="1" m="1" x="153"/>
        <item h="1" m="1" x="314"/>
        <item h="1" m="1" x="301"/>
        <item h="1" m="1" x="449"/>
        <item h="1" m="1" x="608"/>
        <item h="1" m="1" x="499"/>
        <item h="1" m="1" x="221"/>
        <item h="1" m="1" x="442"/>
        <item h="1" m="1" x="696"/>
        <item h="1" m="1" x="621"/>
        <item h="1" m="1" x="676"/>
        <item h="1" m="1" x="451"/>
        <item h="1" m="1" x="170"/>
        <item h="1" m="1" x="424"/>
        <item h="1" m="1" x="606"/>
        <item h="1" m="1" x="612"/>
        <item h="1" m="1" x="468"/>
        <item h="1" m="1" x="73"/>
        <item h="1" m="1" x="526"/>
        <item h="1" m="1" x="222"/>
        <item h="1" m="1" x="59"/>
        <item h="1" m="1" x="186"/>
        <item h="1" m="1" x="406"/>
        <item h="1" m="1" x="459"/>
        <item h="1" m="1" x="461"/>
        <item h="1" m="1" x="299"/>
        <item h="1" m="1" x="334"/>
        <item h="1" m="1" x="376"/>
        <item h="1" m="1" x="323"/>
        <item h="1" m="1" x="179"/>
        <item h="1" m="1" x="240"/>
        <item h="1" m="1" x="180"/>
        <item h="1" m="1" x="81"/>
        <item h="1" m="1" x="672"/>
        <item h="1" m="1" x="493"/>
        <item h="1" m="1" x="349"/>
        <item h="1" m="1" x="171"/>
        <item h="1" m="1" x="597"/>
        <item h="1" m="1" x="401"/>
        <item h="1" m="1" x="302"/>
        <item h="1" m="1" x="188"/>
        <item h="1" m="1" x="570"/>
        <item h="1" m="1" x="264"/>
        <item h="1" m="1" x="105"/>
        <item h="1" m="1" x="343"/>
        <item h="1" m="1" x="216"/>
        <item h="1" m="1" x="529"/>
        <item h="1" m="1" x="172"/>
        <item h="1" m="1" x="357"/>
        <item h="1" m="1" x="238"/>
        <item h="1" m="1" x="267"/>
        <item h="1" m="1" x="603"/>
        <item h="1" m="1" x="615"/>
        <item h="1" m="1" x="324"/>
        <item h="1" m="1" x="212"/>
        <item h="1" m="1" x="391"/>
        <item h="1" m="1" x="353"/>
        <item h="1" m="1" x="412"/>
        <item h="1" m="1" x="393"/>
        <item h="1" m="1" x="298"/>
        <item h="1" m="1" x="462"/>
        <item h="1" m="1" x="527"/>
        <item h="1" m="1" x="237"/>
        <item h="1" m="1" x="487"/>
        <item h="1" m="1" x="335"/>
        <item h="1" m="1" x="470"/>
        <item h="1" m="1" x="332"/>
        <item h="1" m="1" x="279"/>
        <item h="1" m="1" x="584"/>
        <item h="1" m="1" x="394"/>
        <item h="1" m="1" x="204"/>
        <item h="1" m="1" x="286"/>
        <item h="1" m="1" x="287"/>
        <item h="1" m="1" x="178"/>
        <item h="1" m="1" x="297"/>
        <item h="1" m="1" x="626"/>
        <item h="1" m="1" x="423"/>
        <item h="1" m="1" x="66"/>
        <item h="1" m="1" x="602"/>
        <item h="1" m="1" x="14"/>
        <item h="1" m="1" x="677"/>
        <item h="1" m="1" x="100"/>
        <item h="1" m="1" x="486"/>
        <item h="1" m="1" x="367"/>
        <item h="1" m="1" x="366"/>
        <item h="1" m="1" x="456"/>
        <item h="1" m="1" x="658"/>
        <item h="1" m="1" x="627"/>
        <item h="1" m="1" x="233"/>
        <item h="1" m="1" x="132"/>
        <item h="1" m="1" x="262"/>
        <item h="1" m="1" x="503"/>
        <item h="1" m="1" x="630"/>
        <item h="1" m="1" x="64"/>
        <item h="1" m="1" x="594"/>
        <item h="1" m="1" x="671"/>
        <item h="1" m="1" x="670"/>
        <item h="1" m="1" x="673"/>
        <item h="1" m="1" x="224"/>
        <item h="1" m="1" x="385"/>
        <item h="1" m="1" x="565"/>
        <item h="1" m="1" x="137"/>
        <item h="1" m="1" x="317"/>
        <item h="1" m="1" x="242"/>
        <item h="1" m="1" x="270"/>
        <item h="1" m="1" x="191"/>
        <item h="1" m="1" x="490"/>
        <item h="1" m="1" x="389"/>
        <item h="1" m="1" x="607"/>
        <item h="1" m="1" x="97"/>
        <item h="1" m="1" x="690"/>
        <item h="1" m="1" x="65"/>
        <item h="1" m="1" x="637"/>
        <item h="1" m="1" x="638"/>
        <item h="1" m="1" x="147"/>
        <item h="1" m="1" x="148"/>
        <item h="1" m="1" x="163"/>
        <item h="1" m="1" x="313"/>
        <item h="1" m="1" x="484"/>
        <item h="1" m="1" x="113"/>
        <item h="1" m="1" x="433"/>
        <item h="1" m="1" x="320"/>
        <item h="1" m="1" x="479"/>
        <item h="1" m="1" x="308"/>
        <item h="1" m="1" x="588"/>
        <item h="1" m="1" x="587"/>
        <item h="1" m="1" x="395"/>
        <item h="1" m="1" x="683"/>
        <item h="1" m="1" x="595"/>
        <item h="1" m="1" x="143"/>
        <item h="1" m="1" x="144"/>
        <item h="1" m="1" x="145"/>
        <item h="1" m="1" x="95"/>
        <item h="1" m="1" x="522"/>
        <item h="1" m="1" x="181"/>
        <item h="1" m="1" x="192"/>
        <item h="1" m="1" x="94"/>
        <item h="1" m="1" x="572"/>
        <item h="1" m="1" x="27"/>
        <item h="1" m="1" x="236"/>
        <item h="1" m="1" x="633"/>
        <item h="1" m="1" x="650"/>
        <item h="1" m="1" x="632"/>
        <item h="1" m="1" x="485"/>
        <item h="1" m="1" x="284"/>
        <item h="1" m="1" x="246"/>
        <item h="1" m="1" x="130"/>
        <item h="1" m="1" x="129"/>
        <item h="1" m="1" x="692"/>
        <item h="1" m="1" x="496"/>
        <item h="1" m="1" x="157"/>
        <item h="1" m="1" x="545"/>
        <item h="1" m="1" x="403"/>
        <item h="1" m="1" x="477"/>
        <item h="1" m="1" x="211"/>
        <item h="1" m="1" x="232"/>
        <item h="1" m="1" x="548"/>
        <item h="1" m="1" x="547"/>
        <item h="1" m="1" x="257"/>
        <item h="1" m="1" x="454"/>
        <item h="1" m="1" x="307"/>
        <item h="1" m="1" x="634"/>
        <item h="1" m="1" x="631"/>
        <item h="1" m="1" x="652"/>
        <item h="1" m="1" x="651"/>
        <item h="1" m="1" x="653"/>
        <item h="1" m="1" x="635"/>
        <item h="1" m="1" x="654"/>
        <item h="1" m="1" x="581"/>
        <item h="1" m="1" x="432"/>
        <item h="1" m="1" x="563"/>
        <item h="1" m="1" x="543"/>
        <item h="1" m="1" x="544"/>
        <item h="1" m="1" x="582"/>
        <item h="1" m="1" x="580"/>
        <item h="1" m="1" x="450"/>
        <item h="1" m="1" x="151"/>
        <item h="1" m="1" x="558"/>
        <item h="1" m="1" x="99"/>
        <item h="1" m="1" x="698"/>
        <item h="1" m="1" x="90"/>
        <item h="1" m="1" x="91"/>
        <item h="1" m="1" x="524"/>
        <item h="1" m="1" x="106"/>
        <item h="1" m="1" x="458"/>
        <item h="1" m="1" x="126"/>
        <item h="1" m="1" x="252"/>
        <item h="1" m="1" x="47"/>
        <item h="1" m="1" x="152"/>
        <item h="1" m="1" x="46"/>
        <item h="1" m="1" x="540"/>
        <item h="1" m="1" x="85"/>
        <item h="1" m="1" x="239"/>
        <item h="1" m="1" x="131"/>
        <item h="1" m="1" x="535"/>
        <item h="1" m="1" x="122"/>
        <item h="1" m="1" x="121"/>
        <item h="1" m="1" x="120"/>
        <item h="1" m="1" x="119"/>
        <item h="1" m="1" x="407"/>
        <item h="1" m="1" x="398"/>
        <item h="1" m="1" x="408"/>
        <item h="1" m="1" x="416"/>
        <item h="1" m="1" x="531"/>
        <item h="1" m="1" x="614"/>
        <item h="1" m="1" x="426"/>
        <item h="1" m="1" x="346"/>
        <item h="1" m="1" x="288"/>
        <item h="1" m="1" x="293"/>
        <item h="1" m="1" x="509"/>
        <item h="1" m="1" x="508"/>
        <item h="1" m="1" x="549"/>
        <item h="1" m="1" x="430"/>
        <item h="1" m="1" x="384"/>
        <item h="1" m="1" x="30"/>
        <item h="1" m="1" x="24"/>
        <item h="1" m="1" x="29"/>
        <item h="1" m="1" x="285"/>
        <item h="1" m="1" x="336"/>
        <item h="1" m="1" x="523"/>
        <item h="1" m="1" x="78"/>
        <item h="1" m="1" x="515"/>
        <item h="1" m="1" x="516"/>
        <item h="1" m="1" x="475"/>
        <item h="1" m="1" x="569"/>
        <item h="1" m="1" x="173"/>
        <item h="1" m="1" x="682"/>
        <item h="1" m="1" x="685"/>
        <item h="1" m="1" x="694"/>
        <item h="1" m="1" x="679"/>
        <item h="1" m="1" x="560"/>
        <item h="1" m="1" x="277"/>
        <item h="1" m="1" x="600"/>
        <item h="1" m="1" x="84"/>
        <item h="1" m="1" x="511"/>
        <item h="1" m="1" x="428"/>
        <item h="1" m="1" x="437"/>
        <item h="1" m="1" x="491"/>
        <item h="1" m="1" x="520"/>
        <item h="1" m="1" x="573"/>
        <item h="1" m="1" x="251"/>
        <item h="1" m="1" x="557"/>
        <item h="1" m="1" x="441"/>
        <item h="1" m="1" x="52"/>
        <item h="1" m="1" x="339"/>
        <item h="1" m="1" x="358"/>
        <item h="1" m="1" x="513"/>
        <item h="1" m="1" x="471"/>
        <item h="1" m="1" x="510"/>
        <item h="1" m="1" x="48"/>
        <item h="1" m="1" x="684"/>
        <item h="1" m="1" x="340"/>
        <item h="1" m="1" x="116"/>
        <item h="1" m="1" x="96"/>
        <item h="1" m="1" x="17"/>
        <item h="1" m="1" x="86"/>
        <item h="1" m="1" x="402"/>
        <item h="1" m="1" x="164"/>
        <item h="1" m="1" x="165"/>
        <item h="1" m="1" x="190"/>
        <item h="1" m="1" x="214"/>
        <item h="1" m="1" x="333"/>
        <item h="1" m="1" x="342"/>
        <item h="1" m="1" x="617"/>
        <item h="1" m="1" x="551"/>
        <item h="1" m="1" x="622"/>
        <item h="1" m="1" x="350"/>
        <item h="1" m="1" x="525"/>
        <item h="1" m="1" x="275"/>
        <item h="1" m="1" x="241"/>
        <item h="1" m="1" x="108"/>
        <item h="1" m="1" x="326"/>
        <item h="1" m="1" x="325"/>
        <item h="1" m="1" x="268"/>
        <item h="1" m="1" x="114"/>
        <item h="1" m="1" x="43"/>
        <item h="1" m="1" x="611"/>
        <item h="1" m="1" x="610"/>
        <item h="1" m="1" x="440"/>
        <item h="1" m="1" x="397"/>
        <item h="1" m="1" x="711"/>
        <item h="1" m="1" x="586"/>
        <item h="1" m="1" x="585"/>
        <item h="1" m="1" x="664"/>
        <item h="1" m="1" x="583"/>
        <item h="1" m="1" x="229"/>
        <item h="1" m="1" x="453"/>
        <item h="1" m="1" x="576"/>
        <item h="1" m="1" x="623"/>
        <item h="1" m="1" x="480"/>
        <item h="1" m="1" x="422"/>
        <item h="1" m="1" x="344"/>
        <item h="1" m="1" x="609"/>
        <item h="1" m="1" x="123"/>
        <item h="1" m="1" x="115"/>
        <item h="1" m="1" x="306"/>
        <item h="1" m="1" x="51"/>
        <item h="1" m="1" x="26"/>
        <item h="1" m="1" x="249"/>
        <item h="1" m="1" x="149"/>
        <item h="1" m="1" x="31"/>
        <item h="1" m="1" x="45"/>
        <item h="1" m="1" x="195"/>
        <item h="1" m="1" x="34"/>
        <item h="1" m="1" x="35"/>
        <item h="1" m="1" x="374"/>
        <item h="1" m="1" x="446"/>
        <item h="1" m="1" x="660"/>
        <item h="1" m="1" x="231"/>
        <item h="1" m="1" x="248"/>
        <item h="1" m="1" x="559"/>
        <item h="1" m="1" x="55"/>
        <item h="1" m="1" x="58"/>
        <item h="1" m="1" x="75"/>
        <item h="1" m="1" x="167"/>
        <item h="1" m="1" x="448"/>
        <item h="1" m="1" x="273"/>
        <item h="1" m="1" x="550"/>
        <item h="1" m="1" x="425"/>
        <item h="1" m="1" x="421"/>
        <item h="1" m="1" x="554"/>
        <item h="1" m="1" x="507"/>
        <item h="1" m="1" x="377"/>
        <item h="1" m="1" x="351"/>
        <item h="1" m="1" x="435"/>
        <item h="1" m="1" x="483"/>
        <item h="1" m="1" x="60"/>
        <item h="1" m="1" x="160"/>
        <item h="1" m="1" x="161"/>
        <item h="1" m="1" x="158"/>
        <item h="1" m="1" x="562"/>
        <item h="1" m="1" x="579"/>
        <item h="1" m="1" x="276"/>
        <item h="1" m="1" x="465"/>
        <item h="1" m="1" x="466"/>
        <item h="1" m="1" x="467"/>
        <item h="1" m="1" x="542"/>
        <item h="1" m="1" x="661"/>
        <item h="1" m="1" x="619"/>
        <item h="1" m="1" x="620"/>
        <item h="1" m="1" x="197"/>
        <item h="1" m="1" x="198"/>
        <item h="1" m="1" x="15"/>
        <item h="1" m="1" x="662"/>
        <item h="1" m="1" x="215"/>
        <item h="1" m="1" x="101"/>
        <item h="1" m="1" x="21"/>
        <item h="1" m="1" x="20"/>
        <item h="1" m="1" x="22"/>
        <item h="1" m="1" x="528"/>
        <item h="1" m="1" x="561"/>
        <item h="1" m="1" x="667"/>
        <item h="1" m="1" x="616"/>
        <item h="1" m="1" x="300"/>
        <item h="1" m="1" x="202"/>
        <item h="1" m="1" x="203"/>
        <item h="1" m="1" x="312"/>
        <item h="1" m="1" x="142"/>
        <item h="1" m="1" x="382"/>
        <item h="1" m="1" x="138"/>
        <item h="1" m="1" x="139"/>
        <item h="1" m="1" x="625"/>
        <item h="1" m="1" x="624"/>
        <item h="1" m="1" x="206"/>
        <item h="1" m="1" x="245"/>
        <item h="1" m="1" x="176"/>
        <item h="1" m="1" x="478"/>
        <item h="1" m="1" x="355"/>
        <item h="1" m="1" x="32"/>
        <item h="1" m="1" x="457"/>
        <item h="1" m="1" x="217"/>
        <item h="1" m="1" x="517"/>
        <item h="1" m="1" x="258"/>
        <item h="1" m="1" x="599"/>
        <item h="1" m="1" x="589"/>
        <item h="1" m="1" x="292"/>
        <item h="1" m="1" x="438"/>
        <item h="1" m="1" x="291"/>
        <item h="1" m="1" x="666"/>
        <item h="1" m="1" x="665"/>
        <item h="1" m="1" x="649"/>
        <item h="1" m="1" x="645"/>
        <item h="1" m="1" x="648"/>
        <item h="1" m="1" x="647"/>
        <item h="1" m="1" x="338"/>
        <item h="1" m="1" x="38"/>
        <item h="1" m="1" x="193"/>
        <item h="1" m="1" x="184"/>
        <item h="1" m="1" x="9"/>
        <item h="1" m="1" x="505"/>
        <item h="1" m="1" x="530"/>
        <item h="1" m="1" x="341"/>
        <item h="1" m="1" x="280"/>
        <item h="1" m="1" x="598"/>
        <item h="1" m="1" x="89"/>
        <item h="1" m="1" x="128"/>
        <item h="1" m="1" x="410"/>
        <item h="1" m="1" x="409"/>
        <item h="1" m="1" x="411"/>
        <item h="1" m="1" x="42"/>
        <item h="1" m="1" x="57"/>
        <item h="1" m="1" x="56"/>
        <item h="1" m="1" x="44"/>
        <item h="1" m="1" x="592"/>
        <item h="1" m="1" x="185"/>
        <item h="1" m="1" x="681"/>
        <item h="1" m="1" x="553"/>
        <item h="1" m="1" x="259"/>
        <item h="1" m="1" x="564"/>
        <item h="1" m="1" x="102"/>
        <item h="1" m="1" x="646"/>
        <item h="1" m="1" x="41"/>
        <item h="1" m="1" x="521"/>
        <item h="1" m="1" x="375"/>
        <item h="1" m="1" x="352"/>
        <item h="1" m="1" x="315"/>
        <item h="1" m="1" x="368"/>
        <item h="1" m="1" x="305"/>
        <item h="1" m="1" x="546"/>
        <item h="1" m="1" x="261"/>
        <item h="1" m="1" x="518"/>
        <item h="1" m="1" x="519"/>
        <item h="1" m="1" x="182"/>
        <item h="1" m="1" x="364"/>
        <item h="1" m="1" x="618"/>
        <item h="1" m="1" x="244"/>
        <item h="1" m="1" x="360"/>
        <item h="1" m="1" x="481"/>
        <item h="1" m="1" x="427"/>
        <item h="1" m="1" x="447"/>
        <item h="1" m="1" x="282"/>
        <item h="1" m="1" x="686"/>
        <item h="1" m="1" x="177"/>
        <item h="1" m="1" x="80"/>
        <item h="1" m="1" x="54"/>
        <item h="1" m="1" x="316"/>
        <item h="1" m="1" x="404"/>
        <item h="1" m="1" x="536"/>
        <item h="1" m="1" x="10"/>
        <item h="1" m="1" x="79"/>
        <item h="1" m="1" x="169"/>
        <item h="1" m="1" x="174"/>
        <item h="1" m="1" x="104"/>
        <item h="1" m="1" x="303"/>
        <item h="1" m="1" x="387"/>
        <item h="1" m="1" x="388"/>
        <item h="1" m="1" x="605"/>
        <item h="1" m="1" x="469"/>
        <item h="1" m="1" x="628"/>
        <item h="1" m="1" x="92"/>
        <item h="1" m="1" x="93"/>
        <item h="1" m="1" x="365"/>
        <item h="1" m="1" x="321"/>
        <item h="1" m="1" x="641"/>
        <item h="1" m="1" x="642"/>
        <item h="1" m="1" x="537"/>
        <item h="1" m="1" x="452"/>
        <item h="1" m="1" x="183"/>
        <item h="1" m="1" x="294"/>
        <item h="1" m="1" x="640"/>
        <item h="1" m="1" x="506"/>
        <item h="1" m="1" x="235"/>
        <item h="1" m="1" x="127"/>
        <item h="1" m="1" x="33"/>
        <item h="1" m="1" x="39"/>
        <item h="1" m="1" x="11"/>
        <item h="1" m="1" x="12"/>
        <item h="1" m="1" x="71"/>
        <item h="1" m="1" x="72"/>
        <item h="1" m="1" x="53"/>
        <item h="1" m="1" x="643"/>
        <item h="1" m="1" x="644"/>
        <item h="1" m="1" x="200"/>
        <item h="1" m="1" x="36"/>
        <item h="1" m="1" x="455"/>
        <item h="1" m="1" x="199"/>
        <item h="1" m="1" x="431"/>
        <item h="1" m="1" x="578"/>
        <item h="1" m="1" x="62"/>
        <item h="1" m="1" x="675"/>
        <item h="1" m="1" x="476"/>
        <item h="1" m="1" x="243"/>
        <item h="1" m="1" x="205"/>
        <item h="1" m="1" x="83"/>
        <item h="1" m="1" x="636"/>
        <item h="1" m="1" x="247"/>
        <item h="1" m="1" x="166"/>
        <item h="1" m="1" x="63"/>
        <item h="1" m="1" x="574"/>
        <item h="1" m="1" x="234"/>
        <item h="1" m="1" x="663"/>
        <item h="1" m="1" x="463"/>
        <item h="1" m="1" x="538"/>
        <item h="1" m="1" x="701"/>
        <item h="1" m="1" x="87"/>
        <item h="1" m="1" x="25"/>
        <item h="1" m="1" x="415"/>
        <item h="1" m="1" x="472"/>
        <item h="1" m="1" x="474"/>
        <item h="1" m="1" x="162"/>
        <item h="1" m="1" x="136"/>
        <item h="1" m="1" x="218"/>
        <item h="1" m="1" x="386"/>
        <item h="1" m="1" x="319"/>
        <item h="1"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sortType="ascending"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8">
        <item h="1" m="1" x="6"/>
        <item h="1" x="0"/>
        <item h="1" x="1"/>
        <item h="1" x="3"/>
        <item x="4"/>
        <item h="1" x="5"/>
        <item h="1" m="1" x="7"/>
        <item h="1"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Page" compact="0" outline="0" showAll="0" defaultSubtotal="0">
      <items count="3">
        <item m="1" x="2"/>
        <item x="0"/>
        <item m="1" x="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ascending" defaultSubtotal="0">
      <items count="3746">
        <item m="1" x="3545"/>
        <item m="1" x="3546"/>
        <item m="1" x="3547"/>
        <item m="1" x="3548"/>
        <item m="1" x="3549"/>
        <item m="1" x="3550"/>
        <item m="1" x="3551"/>
        <item m="1" x="3552"/>
        <item m="1" x="3553"/>
        <item m="1" x="3554"/>
        <item m="1" x="3555"/>
        <item m="1" x="3556"/>
        <item m="1" x="3557"/>
        <item m="1" x="3558"/>
        <item m="1" x="3559"/>
        <item m="1" x="3561"/>
        <item m="1" x="3560"/>
        <item m="1" x="3562"/>
        <item m="1" x="3563"/>
        <item m="1" x="3564"/>
        <item m="1" x="3565"/>
        <item m="1" x="3566"/>
        <item m="1" x="3567"/>
        <item m="1" x="3568"/>
        <item m="1" x="3569"/>
        <item m="1" x="3570"/>
        <item m="1" x="3571"/>
        <item m="1" x="3572"/>
        <item m="1" x="3573"/>
        <item m="1" x="3574"/>
        <item m="1" x="3575"/>
        <item m="1" x="3576"/>
        <item m="1" x="3577"/>
        <item m="1" x="3578"/>
        <item m="1" x="3579"/>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580"/>
        <item m="1" x="3605"/>
        <item m="1" x="3606"/>
        <item m="1" x="3607"/>
        <item m="1" x="3608"/>
        <item m="1" x="3609"/>
        <item m="1" x="3610"/>
        <item m="1" x="3611"/>
        <item m="1" x="3612"/>
        <item m="1" x="3613"/>
        <item m="1" x="3615"/>
        <item m="1" x="3616"/>
        <item m="1" x="3617"/>
        <item m="1" x="3618"/>
        <item m="1" x="3619"/>
        <item m="1" x="3620"/>
        <item m="1" x="3621"/>
        <item m="1" x="3622"/>
        <item m="1" x="3623"/>
        <item m="1" x="3624"/>
        <item m="1" x="3625"/>
        <item m="1" x="3626"/>
        <item m="1" x="3627"/>
        <item m="1" x="3628"/>
        <item m="1" x="3630"/>
        <item m="1" x="3631"/>
        <item m="1" x="3633"/>
        <item m="1" x="3635"/>
        <item m="1" x="3636"/>
        <item m="1" x="3629"/>
        <item m="1" x="3637"/>
        <item m="1" x="3632"/>
        <item m="1" x="3638"/>
        <item m="1" x="3639"/>
        <item m="1" x="3634"/>
        <item m="1" x="3640"/>
        <item m="1" x="3641"/>
        <item m="1" x="3642"/>
        <item m="1" x="3643"/>
        <item m="1" x="3644"/>
        <item m="1" x="3645"/>
        <item m="1" x="3646"/>
        <item m="1" x="3647"/>
        <item m="1" x="3649"/>
        <item m="1" x="3656"/>
        <item m="1" x="3703"/>
        <item m="1" x="3648"/>
        <item m="1" x="3650"/>
        <item m="1" x="3743"/>
        <item m="1" x="3704"/>
        <item m="1" x="3651"/>
        <item m="1" x="3652"/>
        <item m="1" x="3653"/>
        <item m="1" x="3654"/>
        <item m="1" x="3614"/>
        <item m="1" x="3655"/>
        <item m="1" x="3657"/>
        <item m="1" x="3658"/>
        <item m="1" x="3659"/>
        <item m="1" x="3660"/>
        <item m="1" x="3661"/>
        <item m="1" x="3663"/>
        <item m="1" x="3662"/>
        <item m="1" x="3664"/>
        <item m="1" x="3665"/>
        <item m="1" x="3669"/>
        <item m="1" x="3443"/>
        <item m="1" x="3671"/>
        <item m="1" x="3666"/>
        <item m="1" x="3738"/>
        <item m="1" x="3667"/>
        <item m="1" x="3668"/>
        <item m="1" x="3673"/>
        <item m="1" x="3744"/>
        <item m="1" x="3670"/>
        <item m="1" x="3676"/>
        <item m="1" x="3745"/>
        <item m="1" x="3672"/>
        <item m="1" x="3674"/>
        <item m="1" x="3675"/>
        <item m="1" x="3677"/>
        <item m="1" x="3739"/>
        <item m="1" x="3678"/>
        <item m="1" x="3679"/>
        <item m="1" x="3680"/>
        <item m="1" x="3681"/>
        <item m="1" x="3682"/>
        <item m="1" x="3705"/>
        <item m="1" x="3683"/>
        <item m="1" x="3684"/>
        <item m="1" x="3707"/>
        <item m="1" x="3685"/>
        <item m="1" x="3686"/>
        <item m="1" x="3687"/>
        <item m="1" x="3688"/>
        <item m="1" x="3689"/>
        <item m="1" x="3740"/>
        <item m="1" x="3690"/>
        <item m="1" x="3741"/>
        <item m="1" x="3691"/>
        <item m="1" x="3742"/>
        <item m="1" x="3692"/>
        <item m="1" x="3693"/>
        <item m="1" x="3708"/>
        <item m="1" x="3694"/>
        <item m="1" x="3710"/>
        <item m="1" x="3695"/>
        <item m="1" x="2351"/>
        <item m="1" x="3696"/>
        <item m="1" x="3697"/>
        <item m="1" x="3698"/>
        <item m="1" x="3699"/>
        <item m="1" x="3700"/>
        <item m="1" x="3701"/>
        <item m="1" x="3702"/>
        <item m="1" x="3706"/>
        <item m="1" x="3709"/>
        <item m="1" x="3711"/>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3430"/>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3712"/>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3713"/>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3498"/>
        <item m="1" x="2569"/>
        <item m="1" x="2570"/>
        <item m="1" x="2571"/>
        <item m="1" x="2354"/>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3714"/>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3444"/>
        <item m="1" x="2628"/>
        <item m="1" x="2629"/>
        <item m="1" x="3447"/>
        <item m="1" x="2630"/>
        <item m="1" x="3446"/>
        <item m="1" x="2631"/>
        <item m="1" x="3715"/>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x="53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3716"/>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3464"/>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3717"/>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3718"/>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355"/>
        <item m="1" x="2895"/>
        <item m="1" x="2896"/>
        <item m="1" x="2897"/>
        <item m="1" x="2898"/>
        <item m="1" x="2899"/>
        <item m="1" x="2900"/>
        <item m="1" x="2901"/>
        <item m="1" x="2356"/>
        <item m="1" x="2902"/>
        <item x="2289"/>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3719"/>
        <item m="1" x="2937"/>
        <item m="1" x="2938"/>
        <item m="1" x="2939"/>
        <item m="1" x="2940"/>
        <item m="1" x="2941"/>
        <item m="1" x="2942"/>
        <item m="1" x="2943"/>
        <item m="1" x="2944"/>
        <item m="1" x="2945"/>
        <item m="1" x="2946"/>
        <item m="1" x="2947"/>
        <item m="1" x="2948"/>
        <item m="1" x="2949"/>
        <item m="1" x="3720"/>
        <item m="1" x="2950"/>
        <item m="1" x="3721"/>
        <item m="1" x="2951"/>
        <item m="1" x="2952"/>
        <item m="1" x="2953"/>
        <item m="1" x="2954"/>
        <item m="1" x="2955"/>
        <item m="1" x="2956"/>
        <item m="1" x="2957"/>
        <item m="1" x="2958"/>
        <item m="1" x="2959"/>
        <item m="1" x="2960"/>
        <item m="1" x="2961"/>
        <item m="1" x="2962"/>
        <item m="1" x="2963"/>
        <item m="1" x="2964"/>
        <item m="1" x="2965"/>
        <item m="1" x="2966"/>
        <item m="1" x="2967"/>
        <item m="1" x="2968"/>
        <item m="1" x="2969"/>
        <item m="1" x="3722"/>
        <item m="1" x="2970"/>
        <item m="1" x="2971"/>
        <item m="1" x="2972"/>
        <item m="1" x="2973"/>
        <item m="1" x="2974"/>
        <item m="1" x="2975"/>
        <item m="1" x="2976"/>
        <item m="1" x="2977"/>
        <item m="1" x="2978"/>
        <item m="1" x="2979"/>
        <item m="1" x="3723"/>
        <item m="1" x="3724"/>
        <item m="1" x="2980"/>
        <item m="1" x="2981"/>
        <item m="1" x="2982"/>
        <item m="1" x="2983"/>
        <item m="1" x="2984"/>
        <item m="1" x="2985"/>
        <item m="1" x="2986"/>
        <item m="1" x="2987"/>
        <item m="1" x="2988"/>
        <item m="1" x="2989"/>
        <item m="1" x="2990"/>
        <item m="1" x="2991"/>
        <item m="1" x="2992"/>
        <item m="1" x="3539"/>
        <item m="1" x="2993"/>
        <item m="1" x="2994"/>
        <item m="1" x="2995"/>
        <item m="1" x="2996"/>
        <item m="1" x="3725"/>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726"/>
        <item m="1" x="3052"/>
        <item m="1" x="3053"/>
        <item m="1" x="3054"/>
        <item m="1" x="3055"/>
        <item m="1" x="3056"/>
        <item m="1" x="3057"/>
        <item m="1" x="3058"/>
        <item m="1" x="3059"/>
        <item m="1" x="3060"/>
        <item m="1" x="3061"/>
        <item m="1" x="3062"/>
        <item m="1" x="3063"/>
        <item m="1" x="3064"/>
        <item m="1" x="3065"/>
        <item m="1" x="3066"/>
        <item m="1" x="3067"/>
        <item m="1" x="3068"/>
        <item m="1" x="3069"/>
        <item m="1" x="3727"/>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728"/>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729"/>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2357"/>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730"/>
        <item m="1" x="3731"/>
        <item m="1" x="3732"/>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733"/>
        <item m="1" x="3267"/>
        <item m="1" x="3268"/>
        <item m="1" x="3269"/>
        <item m="1" x="3270"/>
        <item m="1" x="3271"/>
        <item m="1" x="3272"/>
        <item m="1" x="3273"/>
        <item m="1" x="3274"/>
        <item m="1" x="3275"/>
        <item m="1" x="3276"/>
        <item m="1" x="3277"/>
        <item m="1" x="3278"/>
        <item m="1" x="3279"/>
        <item m="1" x="3280"/>
        <item m="1" x="3281"/>
        <item m="1" x="3282"/>
        <item m="1" x="3283"/>
        <item m="1" x="3284"/>
        <item m="1" x="373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465"/>
        <item m="1" x="3305"/>
        <item m="1" x="3306"/>
        <item m="1" x="3307"/>
        <item m="1" x="3308"/>
        <item m="1" x="3309"/>
        <item m="1" x="3310"/>
        <item m="1" x="3311"/>
        <item m="1" x="3312"/>
        <item m="1" x="3313"/>
        <item m="1" x="2352"/>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2358"/>
        <item m="1" x="3366"/>
        <item m="1" x="3367"/>
        <item m="1" x="3368"/>
        <item m="1" x="3369"/>
        <item m="1" x="3544"/>
        <item m="1" x="3374"/>
        <item m="1" x="3377"/>
        <item m="1" x="3378"/>
        <item m="1" x="3379"/>
        <item m="1" x="3380"/>
        <item m="1" x="3381"/>
        <item m="1" x="3382"/>
        <item m="1" x="3383"/>
        <item m="1" x="3384"/>
        <item m="1" x="3375"/>
        <item m="1" x="3376"/>
        <item m="1" x="3385"/>
        <item m="1" x="3386"/>
        <item m="1" x="3370"/>
        <item m="1" x="3371"/>
        <item m="1" x="3387"/>
        <item m="1" x="3388"/>
        <item m="1" x="3389"/>
        <item m="1" x="3372"/>
        <item m="1" x="3373"/>
        <item m="1" x="3390"/>
        <item m="1" x="3391"/>
        <item m="1" x="3392"/>
        <item m="1" x="3453"/>
        <item m="1" x="3393"/>
        <item m="1" x="3456"/>
        <item m="1" x="3394"/>
        <item m="1" x="3457"/>
        <item m="1" x="3396"/>
        <item m="1" x="3397"/>
        <item m="1" x="3337"/>
        <item m="1" x="3398"/>
        <item m="1" x="3399"/>
        <item m="1" x="3400"/>
        <item m="1" x="3401"/>
        <item m="1" x="3735"/>
        <item m="1" x="3402"/>
        <item m="1" x="3736"/>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9"/>
        <item m="1" x="3431"/>
        <item m="1" x="3455"/>
        <item m="1" x="3432"/>
        <item m="1" x="3433"/>
        <item m="1" x="3434"/>
        <item m="1" x="3435"/>
        <item m="1" x="3436"/>
        <item m="1" x="3437"/>
        <item m="1" x="3438"/>
        <item m="1" x="3395"/>
        <item m="1" x="3439"/>
        <item m="1" x="3440"/>
        <item m="1" x="3441"/>
        <item m="1" x="2353"/>
        <item m="1" x="3442"/>
        <item m="1" x="3445"/>
        <item m="1" x="3454"/>
        <item m="1" x="3428"/>
        <item m="1" x="3448"/>
        <item m="1" x="3449"/>
        <item m="1" x="3450"/>
        <item m="1" x="3451"/>
        <item m="1" x="3452"/>
        <item m="1" x="3458"/>
        <item m="1" x="3459"/>
        <item m="1" x="3460"/>
        <item m="1" x="3461"/>
        <item m="1" x="3463"/>
        <item m="1" x="3466"/>
        <item m="1" x="3467"/>
        <item m="1" x="3468"/>
        <item m="1" x="3462"/>
        <item m="1" x="3469"/>
        <item m="1" x="3470"/>
        <item m="1" x="354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41"/>
        <item m="1" x="3542"/>
        <item m="1" x="3543"/>
        <item m="1" x="3737"/>
        <item x="8"/>
        <item x="1953"/>
        <item x="1954"/>
        <item x="2122"/>
        <item x="2121"/>
        <item x="2102"/>
        <item x="2204"/>
        <item x="2205"/>
        <item x="2203"/>
        <item x="2206"/>
        <item x="9"/>
        <item x="474"/>
        <item x="475"/>
        <item x="1049"/>
        <item x="476"/>
        <item x="1834"/>
        <item x="1835"/>
        <item x="1836"/>
        <item x="1837"/>
        <item x="1838"/>
        <item x="1839"/>
        <item x="1840"/>
        <item x="1841"/>
        <item x="1830"/>
        <item x="1831"/>
        <item x="1832"/>
        <item x="1833"/>
        <item x="10"/>
        <item x="11"/>
        <item x="478"/>
        <item x="477"/>
        <item x="1656"/>
        <item x="870"/>
        <item x="816"/>
        <item x="817"/>
        <item x="818"/>
        <item x="819"/>
        <item x="12"/>
        <item x="13"/>
        <item x="14"/>
        <item x="479"/>
        <item x="480"/>
        <item x="481"/>
        <item x="483"/>
        <item x="482"/>
        <item x="492"/>
        <item x="484"/>
        <item x="493"/>
        <item x="494"/>
        <item x="485"/>
        <item x="495"/>
        <item x="496"/>
        <item x="497"/>
        <item x="498"/>
        <item x="486"/>
        <item x="487"/>
        <item x="488"/>
        <item x="489"/>
        <item x="490"/>
        <item x="491"/>
        <item x="499"/>
        <item x="500"/>
        <item x="506"/>
        <item x="501"/>
        <item x="502"/>
        <item x="503"/>
        <item x="504"/>
        <item x="505"/>
        <item x="508"/>
        <item x="509"/>
        <item x="510"/>
        <item x="511"/>
        <item x="507"/>
        <item x="15"/>
        <item x="513"/>
        <item x="514"/>
        <item x="515"/>
        <item x="516"/>
        <item x="517"/>
        <item x="512"/>
        <item x="16"/>
        <item x="518"/>
        <item x="1866"/>
        <item x="1867"/>
        <item x="1869"/>
        <item x="1870"/>
        <item x="1868"/>
        <item x="17"/>
        <item x="722"/>
        <item x="723"/>
        <item x="1501"/>
        <item x="1502"/>
        <item x="1503"/>
        <item x="1504"/>
        <item x="1505"/>
        <item x="1506"/>
        <item x="1507"/>
        <item x="1508"/>
        <item x="18"/>
        <item x="724"/>
        <item x="1516"/>
        <item x="1517"/>
        <item x="1518"/>
        <item x="1519"/>
        <item x="1520"/>
        <item x="1521"/>
        <item x="1522"/>
        <item x="1523"/>
        <item x="1524"/>
        <item x="1525"/>
        <item x="1526"/>
        <item x="1527"/>
        <item x="1528"/>
        <item x="1529"/>
        <item x="1509"/>
        <item x="1530"/>
        <item x="1531"/>
        <item x="1510"/>
        <item x="1532"/>
        <item x="1533"/>
        <item x="1511"/>
        <item x="1512"/>
        <item x="1513"/>
        <item x="1514"/>
        <item x="1515"/>
        <item x="1534"/>
        <item x="1535"/>
        <item x="1536"/>
        <item x="1537"/>
        <item x="1538"/>
        <item x="19"/>
        <item x="20"/>
        <item x="21"/>
        <item x="23"/>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22"/>
        <item x="1260"/>
        <item x="1762"/>
        <item x="24"/>
        <item x="25"/>
        <item x="26"/>
        <item x="27"/>
        <item x="725"/>
        <item x="726"/>
        <item x="738"/>
        <item x="739"/>
        <item x="740"/>
        <item x="741"/>
        <item x="742"/>
        <item x="743"/>
        <item x="744"/>
        <item x="745"/>
        <item x="746"/>
        <item x="747"/>
        <item x="748"/>
        <item x="749"/>
        <item x="750"/>
        <item x="751"/>
        <item x="752"/>
        <item x="753"/>
        <item x="754"/>
        <item x="755"/>
        <item x="756"/>
        <item x="757"/>
        <item x="758"/>
        <item x="727"/>
        <item x="728"/>
        <item x="759"/>
        <item x="729"/>
        <item x="760"/>
        <item x="730"/>
        <item x="731"/>
        <item x="761"/>
        <item x="762"/>
        <item x="763"/>
        <item x="732"/>
        <item x="733"/>
        <item x="734"/>
        <item x="735"/>
        <item x="736"/>
        <item x="737"/>
        <item x="29"/>
        <item x="30"/>
        <item x="31"/>
        <item x="32"/>
        <item x="33"/>
        <item x="1577"/>
        <item x="1576"/>
        <item x="34"/>
        <item x="1768"/>
        <item x="1769"/>
        <item x="35"/>
        <item x="36"/>
        <item x="37"/>
        <item x="39"/>
        <item x="40"/>
        <item x="41"/>
        <item x="42"/>
        <item x="2210"/>
        <item x="2211"/>
        <item x="2212"/>
        <item x="2213"/>
        <item x="2214"/>
        <item x="2215"/>
        <item x="2209"/>
        <item x="43"/>
        <item x="2216"/>
        <item x="2217"/>
        <item x="2218"/>
        <item x="2219"/>
        <item x="2220"/>
        <item x="2221"/>
        <item x="2222"/>
        <item x="2223"/>
        <item x="2224"/>
        <item x="2225"/>
        <item x="2226"/>
        <item x="2227"/>
        <item x="2228"/>
        <item x="2229"/>
        <item x="2230"/>
        <item x="2231"/>
        <item x="2232"/>
        <item x="2233"/>
        <item x="2235"/>
        <item x="2236"/>
        <item x="2234"/>
        <item x="624"/>
        <item x="625"/>
        <item x="626"/>
        <item x="627"/>
        <item x="623"/>
        <item x="628"/>
        <item x="2240"/>
        <item x="2241"/>
        <item x="2242"/>
        <item x="2237"/>
        <item x="2238"/>
        <item x="2239"/>
        <item x="2243"/>
        <item x="629"/>
        <item x="2208"/>
        <item x="44"/>
        <item x="2041"/>
        <item x="45"/>
        <item x="46"/>
        <item x="47"/>
        <item x="48"/>
        <item x="49"/>
        <item x="50"/>
        <item x="51"/>
        <item x="52"/>
        <item x="53"/>
        <item x="54"/>
        <item x="55"/>
        <item x="1975"/>
        <item x="1976"/>
        <item x="1977"/>
        <item x="1978"/>
        <item x="1979"/>
        <item x="1980"/>
        <item x="1981"/>
        <item x="1982"/>
        <item x="1983"/>
        <item x="1984"/>
        <item x="1985"/>
        <item x="1986"/>
        <item x="1987"/>
        <item x="1988"/>
        <item x="1989"/>
        <item x="1990"/>
        <item x="1991"/>
        <item x="1992"/>
        <item x="1993"/>
        <item x="1994"/>
        <item x="1995"/>
        <item x="1996"/>
        <item x="1997"/>
        <item x="1974"/>
        <item x="56"/>
        <item x="57"/>
        <item x="58"/>
        <item x="60"/>
        <item x="38"/>
        <item x="61"/>
        <item x="59"/>
        <item x="62"/>
        <item x="63"/>
        <item x="64"/>
        <item x="65"/>
        <item x="66"/>
        <item x="28"/>
        <item x="67"/>
        <item x="68"/>
        <item x="69"/>
        <item x="70"/>
        <item x="71"/>
        <item x="72"/>
        <item x="73"/>
        <item x="74"/>
        <item x="75"/>
        <item x="76"/>
        <item x="77"/>
        <item x="78"/>
        <item x="2245"/>
        <item x="2246"/>
        <item x="2247"/>
        <item x="2248"/>
        <item x="2244"/>
        <item x="79"/>
        <item x="80"/>
        <item x="81"/>
        <item x="83"/>
        <item x="84"/>
        <item x="86"/>
        <item x="88"/>
        <item x="89"/>
        <item x="82"/>
        <item x="2103"/>
        <item x="2104"/>
        <item x="2105"/>
        <item x="2106"/>
        <item x="2108"/>
        <item x="2109"/>
        <item x="2110"/>
        <item x="2111"/>
        <item x="2107"/>
        <item x="90"/>
        <item x="2112"/>
        <item x="85"/>
        <item x="91"/>
        <item x="92"/>
        <item x="87"/>
        <item x="2113"/>
        <item x="93"/>
        <item x="220"/>
        <item x="223"/>
        <item x="237"/>
        <item x="241"/>
        <item x="242"/>
        <item x="245"/>
        <item x="246"/>
        <item x="247"/>
        <item x="249"/>
        <item x="250"/>
        <item x="251"/>
        <item x="252"/>
        <item x="253"/>
        <item x="259"/>
        <item x="260"/>
        <item x="261"/>
        <item x="262"/>
        <item x="263"/>
        <item x="264"/>
        <item x="267"/>
        <item x="268"/>
        <item x="269"/>
        <item x="212"/>
        <item x="225"/>
        <item x="227"/>
        <item x="228"/>
        <item x="274"/>
        <item x="215"/>
        <item x="230"/>
        <item x="231"/>
        <item x="232"/>
        <item x="235"/>
        <item x="236"/>
        <item x="238"/>
        <item x="239"/>
        <item x="275"/>
        <item x="213"/>
        <item x="216"/>
        <item x="94"/>
        <item x="1815"/>
        <item x="1816"/>
        <item x="2260"/>
        <item x="2261"/>
        <item x="2262"/>
        <item x="2263"/>
        <item x="2264"/>
        <item x="2265"/>
        <item x="2098"/>
        <item x="2099"/>
        <item x="95"/>
        <item x="2003"/>
        <item x="2004"/>
        <item x="2005"/>
        <item x="2006"/>
        <item x="2007"/>
        <item x="2008"/>
        <item x="2009"/>
        <item x="2012"/>
        <item x="2010"/>
        <item x="1998"/>
        <item x="2011"/>
        <item x="1999"/>
        <item x="2000"/>
        <item x="2001"/>
        <item x="2002"/>
        <item x="948"/>
        <item x="1800"/>
        <item x="1796"/>
        <item x="1797"/>
        <item x="1798"/>
        <item x="1799"/>
        <item x="1794"/>
        <item x="1795"/>
        <item x="882"/>
        <item x="883"/>
        <item x="884"/>
        <item x="2297"/>
        <item x="2298"/>
        <item x="2299"/>
        <item x="2293"/>
        <item x="2294"/>
        <item x="2295"/>
        <item x="2296"/>
        <item x="1101"/>
        <item x="1102"/>
        <item x="1103"/>
        <item x="1104"/>
        <item x="1149"/>
        <item x="1148"/>
        <item x="1047"/>
        <item x="334"/>
        <item x="335"/>
        <item x="336"/>
        <item x="893"/>
        <item x="807"/>
        <item x="697"/>
        <item x="100"/>
        <item x="2249"/>
        <item x="2250"/>
        <item x="939"/>
        <item x="940"/>
        <item x="941"/>
        <item x="942"/>
        <item x="943"/>
        <item x="938"/>
        <item x="1648"/>
        <item x="692"/>
        <item x="693"/>
        <item x="694"/>
        <item x="688"/>
        <item x="689"/>
        <item x="690"/>
        <item x="691"/>
        <item x="1778"/>
        <item x="333"/>
        <item x="196"/>
        <item x="101"/>
        <item x="1586"/>
        <item x="2123"/>
        <item x="2097"/>
        <item x="971"/>
        <item x="968"/>
        <item x="972"/>
        <item x="973"/>
        <item x="969"/>
        <item x="970"/>
        <item x="2343"/>
        <item x="2307"/>
        <item x="2308"/>
        <item x="958"/>
        <item x="1618"/>
        <item x="1434"/>
        <item x="1435"/>
        <item x="1657"/>
        <item x="2322"/>
        <item x="102"/>
        <item x="2323"/>
        <item x="2324"/>
        <item x="193"/>
        <item x="194"/>
        <item x="197"/>
        <item x="195"/>
        <item x="359"/>
        <item x="360"/>
        <item x="361"/>
        <item x="1960"/>
        <item x="1396"/>
        <item x="1397"/>
        <item x="1398"/>
        <item x="1399"/>
        <item x="1400"/>
        <item x="1401"/>
        <item x="1394"/>
        <item x="1395"/>
        <item x="2171"/>
        <item x="2170"/>
        <item x="2172"/>
        <item x="666"/>
        <item x="1256"/>
        <item x="1226"/>
        <item x="1158"/>
        <item x="1127"/>
        <item x="356"/>
        <item x="357"/>
        <item x="103"/>
        <item x="1402"/>
        <item x="1403"/>
        <item x="1051"/>
        <item x="1052"/>
        <item x="1845"/>
        <item x="1846"/>
        <item x="2038"/>
        <item x="397"/>
        <item x="1852"/>
        <item x="1847"/>
        <item x="1848"/>
        <item x="1853"/>
        <item x="1849"/>
        <item x="1850"/>
        <item x="1851"/>
        <item x="1854"/>
        <item x="2134"/>
        <item x="992"/>
        <item x="991"/>
        <item x="1420"/>
        <item x="1419"/>
        <item x="881"/>
        <item x="944"/>
        <item x="945"/>
        <item x="677"/>
        <item x="678"/>
        <item x="679"/>
        <item x="680"/>
        <item x="682"/>
        <item x="683"/>
        <item x="684"/>
        <item x="681"/>
        <item x="1164"/>
        <item x="1165"/>
        <item x="1695"/>
        <item x="1696"/>
        <item x="1697"/>
        <item x="1698"/>
        <item x="1699"/>
        <item x="1700"/>
        <item x="1755"/>
        <item x="1756"/>
        <item x="1654"/>
        <item x="591"/>
        <item x="338"/>
        <item x="104"/>
        <item x="105"/>
        <item x="111"/>
        <item x="1449"/>
        <item x="1444"/>
        <item x="1445"/>
        <item x="1446"/>
        <item x="1450"/>
        <item x="1447"/>
        <item x="1448"/>
        <item x="1749"/>
        <item x="1750"/>
        <item x="1751"/>
        <item x="1752"/>
        <item x="647"/>
        <item x="648"/>
        <item x="649"/>
        <item x="1659"/>
        <item x="1658"/>
        <item x="787"/>
        <item x="453"/>
        <item x="1655"/>
        <item x="1125"/>
        <item x="1486"/>
        <item x="1487"/>
        <item x="1421"/>
        <item x="1422"/>
        <item x="1423"/>
        <item x="1424"/>
        <item x="1425"/>
        <item x="1426"/>
        <item x="1427"/>
        <item x="1259"/>
        <item x="1757"/>
        <item x="1404"/>
        <item x="2198"/>
        <item x="2199"/>
        <item x="2202"/>
        <item x="107"/>
        <item x="983"/>
        <item x="1961"/>
        <item x="1962"/>
        <item x="108"/>
        <item x="1451"/>
        <item x="1300"/>
        <item x="1301"/>
        <item x="1302"/>
        <item x="1303"/>
        <item x="1304"/>
        <item x="1305"/>
        <item x="109"/>
        <item x="110"/>
        <item x="106"/>
        <item x="1436"/>
        <item x="1442"/>
        <item x="1071"/>
        <item x="1072"/>
        <item x="112"/>
        <item x="536"/>
        <item x="537"/>
        <item x="538"/>
        <item x="539"/>
        <item x="533"/>
        <item x="534"/>
        <item x="535"/>
        <item x="540"/>
        <item x="541"/>
        <item x="543"/>
        <item x="391"/>
        <item x="392"/>
        <item x="393"/>
        <item x="396"/>
        <item x="394"/>
        <item x="395"/>
        <item x="2341"/>
        <item x="2342"/>
        <item x="2336"/>
        <item x="2337"/>
        <item x="2338"/>
        <item x="2339"/>
        <item x="2340"/>
        <item x="1120"/>
        <item x="113"/>
        <item x="114"/>
        <item x="115"/>
        <item x="116"/>
        <item x="117"/>
        <item x="121"/>
        <item x="96"/>
        <item x="99"/>
        <item x="118"/>
        <item x="119"/>
        <item x="120"/>
        <item x="124"/>
        <item x="122"/>
        <item x="123"/>
        <item x="125"/>
        <item x="126"/>
        <item x="127"/>
        <item x="128"/>
        <item x="129"/>
        <item x="130"/>
        <item x="131"/>
        <item x="164"/>
        <item x="159"/>
        <item x="132"/>
        <item x="133"/>
        <item x="134"/>
        <item x="135"/>
        <item x="136"/>
        <item x="137"/>
        <item x="138"/>
        <item x="139"/>
        <item x="140"/>
        <item x="141"/>
        <item x="142"/>
        <item x="161"/>
        <item x="143"/>
        <item x="144"/>
        <item x="97"/>
        <item x="145"/>
        <item x="146"/>
        <item x="147"/>
        <item x="148"/>
        <item x="149"/>
        <item x="150"/>
        <item x="98"/>
        <item x="151"/>
        <item x="152"/>
        <item x="153"/>
        <item x="154"/>
        <item x="155"/>
        <item x="156"/>
        <item x="157"/>
        <item x="158"/>
        <item x="160"/>
        <item x="165"/>
        <item x="166"/>
        <item x="162"/>
        <item x="163"/>
        <item x="1888"/>
        <item x="1886"/>
        <item x="1887"/>
        <item x="1890"/>
        <item x="1891"/>
        <item x="1889"/>
        <item x="398"/>
        <item x="826"/>
        <item x="827"/>
        <item x="828"/>
        <item x="1883"/>
        <item x="1185"/>
        <item x="1186"/>
        <item x="1187"/>
        <item x="1188"/>
        <item x="1189"/>
        <item x="1190"/>
        <item x="1191"/>
        <item x="1192"/>
        <item x="1193"/>
        <item x="1194"/>
        <item x="1195"/>
        <item x="1196"/>
        <item x="1197"/>
        <item x="1179"/>
        <item x="1180"/>
        <item x="1181"/>
        <item x="1182"/>
        <item x="1183"/>
        <item x="1198"/>
        <item x="1199"/>
        <item x="1200"/>
        <item x="1201"/>
        <item x="1184"/>
        <item x="1225"/>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1153"/>
        <item x="1154"/>
        <item x="1155"/>
        <item x="1156"/>
        <item x="1157"/>
        <item x="1766"/>
        <item x="1767"/>
        <item x="1702"/>
        <item x="1735"/>
        <item x="346"/>
        <item x="1597"/>
        <item x="1598"/>
        <item x="1599"/>
        <item x="1596"/>
        <item x="1600"/>
        <item x="1601"/>
        <item x="2114"/>
        <item x="2115"/>
        <item x="2116"/>
        <item x="2117"/>
        <item x="2118"/>
        <item x="2119"/>
        <item x="2120"/>
        <item x="1430"/>
        <item x="1428"/>
        <item x="1429"/>
        <item x="902"/>
        <item x="903"/>
        <item x="904"/>
        <item x="854"/>
        <item x="1324"/>
        <item x="1802"/>
        <item x="1803"/>
        <item x="1805"/>
        <item x="1804"/>
        <item x="835"/>
        <item x="836"/>
        <item x="837"/>
        <item x="838"/>
        <item x="839"/>
        <item x="840"/>
        <item x="841"/>
        <item x="834"/>
        <item x="2251"/>
        <item x="1801"/>
        <item x="2252"/>
        <item x="2333"/>
        <item x="2334"/>
        <item x="2335"/>
        <item x="1160"/>
        <item x="1159"/>
        <item x="1665"/>
        <item x="1666"/>
        <item x="1667"/>
        <item x="1668"/>
        <item x="2315"/>
        <item x="1780"/>
        <item x="1779"/>
        <item x="872"/>
        <item x="2125"/>
        <item x="2126"/>
        <item x="2127"/>
        <item x="2128"/>
        <item x="929"/>
        <item x="930"/>
        <item x="1764"/>
        <item x="1765"/>
        <item x="981"/>
        <item x="982"/>
        <item x="994"/>
        <item x="1602"/>
        <item x="2133"/>
        <item x="891"/>
        <item x="890"/>
        <item x="1898"/>
        <item x="1899"/>
        <item x="2095"/>
        <item x="2096"/>
        <item x="1044"/>
        <item x="965"/>
        <item x="966"/>
        <item x="1245"/>
        <item x="1246"/>
        <item x="1247"/>
        <item x="1244"/>
        <item x="1248"/>
        <item x="2056"/>
        <item x="2189"/>
        <item x="2190"/>
        <item x="1952"/>
        <item x="1951"/>
        <item x="2028"/>
        <item x="2029"/>
        <item x="2030"/>
        <item x="950"/>
        <item x="813"/>
        <item x="814"/>
        <item x="815"/>
        <item x="1673"/>
        <item x="1672"/>
        <item x="2200"/>
        <item x="1255"/>
        <item x="1949"/>
        <item x="1950"/>
        <item x="1948"/>
        <item x="1770"/>
        <item x="331"/>
        <item x="319"/>
        <item x="320"/>
        <item x="321"/>
        <item x="322"/>
        <item x="323"/>
        <item x="324"/>
        <item x="325"/>
        <item x="326"/>
        <item x="327"/>
        <item x="328"/>
        <item x="329"/>
        <item x="330"/>
        <item x="315"/>
        <item x="316"/>
        <item x="317"/>
        <item x="318"/>
        <item x="1161"/>
        <item x="1825"/>
        <item x="1826"/>
        <item x="1827"/>
        <item x="1828"/>
        <item x="1829"/>
        <item x="2278"/>
        <item x="2276"/>
        <item x="900"/>
        <item x="1879"/>
        <item x="1880"/>
        <item x="1036"/>
        <item x="1037"/>
        <item x="1038"/>
        <item x="1039"/>
        <item x="2306"/>
        <item x="1896"/>
        <item x="1715"/>
        <item x="695"/>
        <item x="435"/>
        <item x="436"/>
        <item x="437"/>
        <item x="438"/>
        <item x="433"/>
        <item x="439"/>
        <item x="434"/>
        <item x="1340"/>
        <item x="1342"/>
        <item x="1341"/>
        <item x="1339"/>
        <item x="1338"/>
        <item x="1343"/>
        <item x="1009"/>
        <item x="1010"/>
        <item x="1011"/>
        <item x="440"/>
        <item x="441"/>
        <item x="1676"/>
        <item x="1677"/>
        <item x="1844"/>
        <item x="993"/>
        <item x="1913"/>
        <item x="2344"/>
        <item x="1884"/>
        <item x="276"/>
        <item x="910"/>
        <item x="947"/>
        <item x="593"/>
        <item x="592"/>
        <item x="594"/>
        <item x="1116"/>
        <item x="1603"/>
        <item x="868"/>
        <item x="786"/>
        <item x="866"/>
        <item x="445"/>
        <item x="442"/>
        <item x="443"/>
        <item x="444"/>
        <item x="1732"/>
        <item x="412"/>
        <item x="1773"/>
        <item x="1344"/>
        <item x="1674"/>
        <item x="1675"/>
        <item x="2318"/>
        <item x="2201"/>
        <item x="1262"/>
        <item x="1020"/>
        <item x="999"/>
        <item x="1441"/>
        <item x="967"/>
        <item x="1689"/>
        <item x="1121"/>
        <item x="2305"/>
        <item x="2060"/>
        <item x="1897"/>
        <item x="1298"/>
        <item x="1296"/>
        <item x="1297"/>
        <item x="2314"/>
        <item x="1774"/>
        <item x="1763"/>
        <item x="362"/>
        <item x="363"/>
        <item x="869"/>
        <item x="365"/>
        <item x="1055"/>
        <item x="1056"/>
        <item x="1811"/>
        <item x="1812"/>
        <item x="1633"/>
        <item x="2191"/>
        <item x="1923"/>
        <item x="2157"/>
        <item x="1973"/>
        <item x="585"/>
        <item x="1761"/>
        <item x="931"/>
        <item x="932"/>
        <item x="454"/>
        <item x="795"/>
        <item x="796"/>
        <item x="797"/>
        <item x="798"/>
        <item x="877"/>
        <item x="878"/>
        <item x="873"/>
        <item x="874"/>
        <item x="875"/>
        <item x="876"/>
        <item x="879"/>
        <item x="880"/>
        <item x="861"/>
        <item x="1366"/>
        <item x="2290"/>
        <item x="1617"/>
        <item x="1616"/>
        <item x="192"/>
        <item x="191"/>
        <item x="2052"/>
        <item x="2053"/>
        <item x="1081"/>
        <item x="860"/>
        <item x="859"/>
        <item x="990"/>
        <item x="858"/>
        <item x="855"/>
        <item x="856"/>
        <item x="857"/>
        <item x="1000"/>
        <item x="1693"/>
        <item x="1694"/>
        <item x="349"/>
        <item x="1124"/>
        <item x="888"/>
        <item x="889"/>
        <item x="794"/>
        <item x="905"/>
        <item x="337"/>
        <item x="1688"/>
        <item x="1813"/>
        <item x="1814"/>
        <item x="350"/>
        <item x="351"/>
        <item x="1615"/>
        <item x="411"/>
        <item x="1026"/>
        <item x="1027"/>
        <item x="1958"/>
        <item x="1957"/>
        <item x="425"/>
        <item x="2093"/>
        <item x="665"/>
        <item x="1290"/>
        <item x="1291"/>
        <item x="1292"/>
        <item x="1293"/>
        <item x="1294"/>
        <item x="1295"/>
        <item x="1584"/>
        <item x="1583"/>
        <item x="1040"/>
        <item x="1042"/>
        <item x="1043"/>
        <item x="1041"/>
        <item x="1489"/>
        <item x="1490"/>
        <item x="1491"/>
        <item x="1492"/>
        <item x="1488"/>
        <item x="340"/>
        <item x="341"/>
        <item x="342"/>
        <item x="1929"/>
        <item x="1930"/>
        <item x="1927"/>
        <item x="1493"/>
        <item x="1494"/>
        <item x="1495"/>
        <item x="2192"/>
        <item x="669"/>
        <item x="671"/>
        <item x="672"/>
        <item x="673"/>
        <item x="670"/>
        <item x="211"/>
        <item x="962"/>
        <item x="1878"/>
        <item x="447"/>
        <item x="907"/>
        <item x="989"/>
        <item x="2143"/>
        <item x="2144"/>
        <item x="2145"/>
        <item x="2135"/>
        <item x="2136"/>
        <item x="2137"/>
        <item x="2138"/>
        <item x="2139"/>
        <item x="2140"/>
        <item x="2142"/>
        <item x="2141"/>
        <item x="713"/>
        <item x="714"/>
        <item x="715"/>
        <item x="2049"/>
        <item x="529"/>
        <item x="530"/>
        <item x="1758"/>
        <item x="1370"/>
        <item x="825"/>
        <item x="824"/>
        <item x="414"/>
        <item x="415"/>
        <item x="416"/>
        <item x="417"/>
        <item x="413"/>
        <item x="381"/>
        <item x="2316"/>
        <item x="1882"/>
        <item x="1881"/>
        <item x="1162"/>
        <item x="906"/>
        <item x="2"/>
        <item x="3"/>
        <item x="0"/>
        <item x="4"/>
        <item x="5"/>
        <item x="6"/>
        <item x="7"/>
        <item x="1"/>
        <item x="2100"/>
        <item x="2101"/>
        <item x="1924"/>
        <item x="1925"/>
        <item x="632"/>
        <item x="2348"/>
        <item x="2349"/>
        <item x="1168"/>
        <item x="1169"/>
        <item x="418"/>
        <item x="419"/>
        <item x="588"/>
        <item x="1777"/>
        <item x="1006"/>
        <item x="1690"/>
        <item x="1691"/>
        <item x="1692"/>
        <item x="383"/>
        <item x="386"/>
        <item x="384"/>
        <item x="385"/>
        <item x="387"/>
        <item x="772"/>
        <item x="773"/>
        <item x="774"/>
        <item x="775"/>
        <item x="776"/>
        <item x="777"/>
        <item x="778"/>
        <item x="779"/>
        <item x="780"/>
        <item x="781"/>
        <item x="782"/>
        <item x="783"/>
        <item x="784"/>
        <item x="785"/>
        <item x="652"/>
        <item x="653"/>
        <item x="654"/>
        <item x="1025"/>
        <item x="1678"/>
        <item x="963"/>
        <item x="1023"/>
        <item x="1585"/>
        <item x="698"/>
        <item x="1947"/>
        <item x="1640"/>
        <item x="1652"/>
        <item x="1956"/>
        <item x="1680"/>
        <item x="2277"/>
        <item x="1747"/>
        <item x="635"/>
        <item x="1485"/>
        <item x="630"/>
        <item x="820"/>
        <item x="979"/>
        <item x="980"/>
        <item x="978"/>
        <item x="1685"/>
        <item x="1684"/>
        <item x="1686"/>
        <item x="1787"/>
        <item x="1788"/>
        <item x="2047"/>
        <item x="1014"/>
        <item x="822"/>
        <item x="2091"/>
        <item x="2092"/>
        <item x="343"/>
        <item x="457"/>
        <item x="458"/>
        <item x="995"/>
        <item x="997"/>
        <item x="996"/>
        <item x="998"/>
        <item x="1643"/>
        <item x="1484"/>
        <item x="1117"/>
        <item x="1682"/>
        <item x="1782"/>
        <item x="459"/>
        <item x="1500"/>
        <item x="2034"/>
        <item x="1900"/>
        <item x="1912"/>
        <item x="208"/>
        <item x="209"/>
        <item x="210"/>
        <item x="205"/>
        <item x="206"/>
        <item x="207"/>
        <item x="2073"/>
        <item x="2072"/>
        <item x="589"/>
        <item x="400"/>
        <item x="862"/>
        <item x="2057"/>
        <item x="1790"/>
        <item x="1791"/>
        <item x="1792"/>
        <item x="2173"/>
        <item x="2174"/>
        <item x="2175"/>
        <item x="2176"/>
        <item x="1028"/>
        <item x="1029"/>
        <item x="1057"/>
        <item x="1058"/>
        <item x="812"/>
        <item x="1376"/>
        <item x="805"/>
        <item x="631"/>
        <item x="803"/>
        <item x="808"/>
        <item x="809"/>
        <item x="277"/>
        <item x="2046"/>
        <item x="964"/>
        <item x="1873"/>
        <item x="721"/>
        <item x="720"/>
        <item x="1786"/>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1641"/>
        <item x="1642"/>
        <item x="188"/>
        <item x="933"/>
        <item x="951"/>
        <item x="189"/>
        <item x="952"/>
        <item x="985"/>
        <item x="986"/>
        <item x="987"/>
        <item x="190"/>
        <item x="1002"/>
        <item x="204"/>
        <item x="344"/>
        <item x="348"/>
        <item x="352"/>
        <item x="353"/>
        <item x="354"/>
        <item x="366"/>
        <item x="367"/>
        <item x="370"/>
        <item x="371"/>
        <item x="372"/>
        <item x="373"/>
        <item x="374"/>
        <item x="1016"/>
        <item x="1030"/>
        <item x="1031"/>
        <item x="1032"/>
        <item x="1033"/>
        <item x="1046"/>
        <item x="375"/>
        <item x="1118"/>
        <item x="1128"/>
        <item x="376"/>
        <item x="377"/>
        <item x="1129"/>
        <item x="1130"/>
        <item x="1131"/>
        <item x="1132"/>
        <item x="378"/>
        <item x="1133"/>
        <item x="379"/>
        <item x="380"/>
        <item x="389"/>
        <item x="390"/>
        <item x="1134"/>
        <item x="401"/>
        <item x="1135"/>
        <item x="1136"/>
        <item x="1176"/>
        <item x="1452"/>
        <item x="1453"/>
        <item x="1454"/>
        <item x="1455"/>
        <item x="1456"/>
        <item x="1457"/>
        <item x="407"/>
        <item x="1458"/>
        <item x="1459"/>
        <item x="408"/>
        <item x="410"/>
        <item x="460"/>
        <item x="461"/>
        <item x="1460"/>
        <item x="637"/>
        <item x="1461"/>
        <item x="1462"/>
        <item x="1463"/>
        <item x="638"/>
        <item x="639"/>
        <item x="1464"/>
        <item x="1465"/>
        <item x="1624"/>
        <item x="1653"/>
        <item x="1660"/>
        <item x="1661"/>
        <item x="1662"/>
        <item x="1671"/>
        <item x="1683"/>
        <item x="1714"/>
        <item x="640"/>
        <item x="641"/>
        <item x="642"/>
        <item x="643"/>
        <item x="1746"/>
        <item x="644"/>
        <item x="645"/>
        <item x="661"/>
        <item x="1015"/>
        <item x="1963"/>
        <item x="1964"/>
        <item x="1965"/>
        <item x="1966"/>
        <item x="662"/>
        <item x="667"/>
        <item x="668"/>
        <item x="716"/>
        <item x="717"/>
        <item x="1967"/>
        <item x="1968"/>
        <item x="1969"/>
        <item x="1970"/>
        <item x="1971"/>
        <item x="1972"/>
        <item x="2158"/>
        <item x="764"/>
        <item x="765"/>
        <item x="766"/>
        <item x="767"/>
        <item x="2159"/>
        <item x="2160"/>
        <item x="2161"/>
        <item x="2162"/>
        <item x="768"/>
        <item x="769"/>
        <item x="770"/>
        <item x="771"/>
        <item x="2163"/>
        <item x="804"/>
        <item x="886"/>
        <item x="911"/>
        <item x="912"/>
        <item x="924"/>
        <item x="925"/>
        <item x="926"/>
        <item x="927"/>
        <item x="928"/>
        <item x="2282"/>
        <item x="2283"/>
        <item x="2284"/>
        <item x="2279"/>
        <item x="2280"/>
        <item x="2281"/>
        <item x="2039"/>
        <item x="1372"/>
        <item x="1373"/>
        <item x="1374"/>
        <item x="1166"/>
        <item x="1167"/>
        <item x="823"/>
        <item x="1789"/>
        <item x="1646"/>
        <item x="1621"/>
        <item x="1622"/>
        <item x="1623"/>
        <item x="1739"/>
        <item x="1740"/>
        <item x="1741"/>
        <item x="1742"/>
        <item x="1737"/>
        <item x="1738"/>
        <item x="1928"/>
        <item x="699"/>
        <item x="700"/>
        <item x="1711"/>
        <item x="1712"/>
        <item x="1713"/>
        <item x="1638"/>
        <item x="1639"/>
        <item x="1743"/>
        <item x="800"/>
        <item x="369"/>
        <item x="462"/>
        <item x="1771"/>
        <item x="467"/>
        <item x="468"/>
        <item x="463"/>
        <item x="464"/>
        <item x="465"/>
        <item x="466"/>
        <item x="1480"/>
        <item x="1481"/>
        <item x="1781"/>
        <item x="1437"/>
        <item x="1438"/>
        <item x="1439"/>
        <item x="1440"/>
        <item x="806"/>
        <item x="923"/>
        <item x="2253"/>
        <item x="399"/>
        <item x="1367"/>
        <item x="1368"/>
        <item x="1369"/>
        <item x="663"/>
        <item x="1060"/>
        <item x="1909"/>
        <item x="1910"/>
        <item x="1905"/>
        <item x="1906"/>
        <item x="1907"/>
        <item x="1911"/>
        <item x="1908"/>
        <item x="959"/>
        <item x="961"/>
        <item x="960"/>
        <item x="1842"/>
        <item x="659"/>
        <item x="660"/>
        <item x="651"/>
        <item x="1915"/>
        <item x="1017"/>
        <item x="1018"/>
        <item x="1059"/>
        <item x="892"/>
        <item x="2321"/>
        <item x="1817"/>
        <item x="1818"/>
        <item x="1819"/>
        <item x="936"/>
        <item x="2168"/>
        <item x="1024"/>
        <item x="1647"/>
        <item x="2330"/>
        <item x="531"/>
        <item x="2331"/>
        <item x="1593"/>
        <item x="2304"/>
        <item x="1332"/>
        <item x="1333"/>
        <item x="1334"/>
        <item x="1335"/>
        <item x="1328"/>
        <item x="1336"/>
        <item x="1337"/>
        <item x="1329"/>
        <item x="1330"/>
        <item x="1331"/>
        <item x="1901"/>
        <item x="1902"/>
        <item x="2058"/>
        <item x="1744"/>
        <item x="2083"/>
        <item x="2084"/>
        <item x="2085"/>
        <item x="2086"/>
        <item x="2087"/>
        <item x="2088"/>
        <item x="2089"/>
        <item x="2090"/>
        <item x="2074"/>
        <item x="2075"/>
        <item x="2076"/>
        <item x="2077"/>
        <item x="2078"/>
        <item x="2079"/>
        <item x="2080"/>
        <item x="2081"/>
        <item x="2082"/>
        <item x="1793"/>
        <item x="1163"/>
        <item x="1385"/>
        <item x="1053"/>
        <item x="1021"/>
        <item x="1022"/>
        <item x="332"/>
        <item x="810"/>
        <item x="811"/>
        <item x="1126"/>
        <item x="1626"/>
        <item x="1627"/>
        <item x="1625"/>
        <item x="701"/>
        <item x="976"/>
        <item x="977"/>
        <item x="1345"/>
        <item x="2045"/>
        <item x="1323"/>
        <item x="448"/>
        <item x="449"/>
        <item x="450"/>
        <item x="452"/>
        <item x="1122"/>
        <item x="1123"/>
        <item x="1498"/>
        <item x="311"/>
        <item x="312"/>
        <item x="313"/>
        <item x="314"/>
        <item x="1082"/>
        <item x="1083"/>
        <item x="788"/>
        <item x="789"/>
        <item x="1613"/>
        <item x="2196"/>
        <item x="2197"/>
        <item x="2195"/>
        <item x="1785"/>
        <item x="1496"/>
        <item x="1497"/>
        <item x="1649"/>
        <item x="1620"/>
        <item x="1619"/>
        <item x="821"/>
        <item x="1644"/>
        <item x="1645"/>
        <item x="455"/>
        <item x="456"/>
        <item x="1591"/>
        <item x="1592"/>
        <item x="1587"/>
        <item x="1588"/>
        <item x="1589"/>
        <item x="1590"/>
        <item x="1914"/>
        <item x="2054"/>
        <item x="2055"/>
        <item x="1628"/>
        <item x="2043"/>
        <item x="2042"/>
        <item x="2044"/>
        <item x="1232"/>
        <item x="1233"/>
        <item x="1234"/>
        <item x="1235"/>
        <item x="1236"/>
        <item x="1237"/>
        <item x="1238"/>
        <item x="1239"/>
        <item x="1240"/>
        <item x="1241"/>
        <item x="1242"/>
        <item x="1227"/>
        <item x="1228"/>
        <item x="1229"/>
        <item x="1230"/>
        <item x="1231"/>
        <item x="1418"/>
        <item x="1687"/>
        <item x="946"/>
        <item x="1019"/>
        <item x="1872"/>
        <item x="664"/>
        <item x="1955"/>
        <item x="1482"/>
        <item x="1483"/>
        <item x="830"/>
        <item x="829"/>
        <item x="1871"/>
        <item x="1443"/>
        <item x="1759"/>
        <item x="1760"/>
        <item x="2188"/>
        <item x="2187"/>
        <item x="2320"/>
        <item x="792"/>
        <item x="790"/>
        <item x="793"/>
        <item x="791"/>
        <item x="1433"/>
        <item x="801"/>
        <item x="1821"/>
        <item x="1820"/>
        <item x="1383"/>
        <item x="1384"/>
        <item x="1377"/>
        <item x="1378"/>
        <item x="1379"/>
        <item x="1380"/>
        <item x="1381"/>
        <item x="1382"/>
        <item x="1325"/>
        <item x="1326"/>
        <item x="1776"/>
        <item x="2050"/>
        <item x="2051"/>
        <item x="1349"/>
        <item x="1350"/>
        <item x="1351"/>
        <item x="1352"/>
        <item x="1353"/>
        <item x="1354"/>
        <item x="1355"/>
        <item x="1356"/>
        <item x="1346"/>
        <item x="1347"/>
        <item x="1348"/>
        <item x="1499"/>
        <item x="1783"/>
        <item x="1670"/>
        <item x="402"/>
        <item x="1360"/>
        <item x="1361"/>
        <item x="1362"/>
        <item x="1363"/>
        <item x="1364"/>
        <item x="1365"/>
        <item x="1357"/>
        <item x="1358"/>
        <item x="1359"/>
        <item x="2033"/>
        <item x="1784"/>
        <item x="655"/>
        <item x="656"/>
        <item x="657"/>
        <item x="658"/>
        <item x="1636"/>
        <item x="1637"/>
        <item x="1635"/>
        <item x="1393"/>
        <item x="1775"/>
        <item x="1612"/>
        <item x="1001"/>
        <item x="1808"/>
        <item x="1809"/>
        <item x="1807"/>
        <item x="1375"/>
        <item x="2035"/>
        <item x="2036"/>
        <item x="2037"/>
        <item x="1119"/>
        <item x="2332"/>
        <item x="646"/>
        <item x="636"/>
        <item x="1594"/>
        <item x="1595"/>
        <item x="2124"/>
        <item x="446"/>
        <item x="1257"/>
        <item x="1258"/>
        <item x="2292"/>
        <item x="1630"/>
        <item x="1631"/>
        <item x="1632"/>
        <item x="2317"/>
        <item x="382"/>
        <item x="1733"/>
        <item x="1734"/>
        <item x="347"/>
        <item x="590"/>
        <item x="1054"/>
        <item x="451"/>
        <item x="1679"/>
        <item x="1386"/>
        <item x="1007"/>
        <item x="1432"/>
        <item x="2287"/>
        <item x="2288"/>
        <item x="2286"/>
        <item x="1959"/>
        <item x="1008"/>
        <item x="1810"/>
        <item x="1387"/>
        <item x="1388"/>
        <item x="1389"/>
        <item x="1390"/>
        <item x="1391"/>
        <item x="1392"/>
        <item x="2347"/>
        <item x="894"/>
        <item x="1719"/>
        <item x="1720"/>
        <item x="1721"/>
        <item x="1722"/>
        <item x="1716"/>
        <item x="1723"/>
        <item x="1717"/>
        <item x="1724"/>
        <item x="1725"/>
        <item x="1726"/>
        <item x="1727"/>
        <item x="1728"/>
        <item x="1718"/>
        <item x="1729"/>
        <item x="1730"/>
        <item x="1170"/>
        <item x="1903"/>
        <item x="586"/>
        <item x="599"/>
        <item x="1859"/>
        <item x="1860"/>
        <item x="1855"/>
        <item x="674"/>
        <item x="1885"/>
        <item x="1035"/>
        <item x="1261"/>
        <item x="1745"/>
        <item x="620"/>
        <item x="1861"/>
        <item x="1862"/>
        <item x="1099"/>
        <item x="1920"/>
        <item x="621"/>
        <item x="364"/>
        <item x="428"/>
        <item x="1431"/>
        <item x="388"/>
        <item x="1299"/>
        <item x="949"/>
        <item x="1856"/>
        <item x="1863"/>
        <item x="426"/>
        <item x="427"/>
        <item x="1327"/>
        <item x="1921"/>
        <item x="368"/>
        <item x="1922"/>
        <item x="1918"/>
        <item x="1917"/>
        <item x="619"/>
        <item x="1857"/>
        <item x="1858"/>
        <item x="622"/>
        <item x="1171"/>
        <item x="1172"/>
        <item x="1173"/>
        <item x="799"/>
        <item x="1174"/>
        <item x="1175"/>
        <item x="2027"/>
        <item x="1629"/>
        <item x="2266"/>
        <item x="1249"/>
        <item x="2267"/>
        <item x="1250"/>
        <item x="2268"/>
        <item x="2269"/>
        <item x="345"/>
        <item x="1251"/>
        <item x="1252"/>
        <item x="1253"/>
        <item x="2270"/>
        <item x="2271"/>
        <item x="1669"/>
        <item x="1254"/>
        <item x="1202"/>
        <item x="1203"/>
        <item x="885"/>
        <item x="984"/>
        <item x="587"/>
        <item x="1916"/>
        <item x="1100"/>
        <item x="406"/>
        <item x="650"/>
        <item x="1048"/>
        <item x="1003"/>
        <item x="2167"/>
        <item x="2166"/>
        <item x="2164"/>
        <item x="934"/>
        <item x="2165"/>
        <item x="908"/>
        <item x="909"/>
        <item x="1748"/>
        <item x="1706"/>
        <item x="1707"/>
        <item x="1708"/>
        <item x="1709"/>
        <item x="1710"/>
        <item x="1703"/>
        <item x="1704"/>
        <item x="1705"/>
        <item x="935"/>
        <item x="358"/>
        <item x="1243"/>
        <item x="1938"/>
        <item x="1004"/>
        <item x="1005"/>
        <item x="1681"/>
        <item x="867"/>
        <item x="1904"/>
        <item x="937"/>
        <item x="2062"/>
        <item x="2063"/>
        <item x="2064"/>
        <item x="2065"/>
        <item x="2066"/>
        <item x="2067"/>
        <item x="2068"/>
        <item x="2061"/>
        <item x="2069"/>
        <item x="913"/>
        <item x="914"/>
        <item x="915"/>
        <item x="916"/>
        <item x="917"/>
        <item x="2059"/>
        <item x="1736"/>
        <item x="1892"/>
        <item x="1893"/>
        <item x="1894"/>
        <item x="1895"/>
        <item x="1045"/>
        <item x="1062"/>
        <item x="1063"/>
        <item x="1064"/>
        <item x="1065"/>
        <item x="1066"/>
        <item x="1067"/>
        <item x="1068"/>
        <item x="1070"/>
        <item x="1069"/>
        <item x="2169"/>
        <item x="1926"/>
        <item x="2194"/>
        <item x="595"/>
        <item x="596"/>
        <item x="597"/>
        <item x="598"/>
        <item x="1084"/>
        <item x="1085"/>
        <item x="1086"/>
        <item x="1087"/>
        <item x="1088"/>
        <item x="1089"/>
        <item x="1614"/>
        <item x="1274"/>
        <item x="1275"/>
        <item x="1276"/>
        <item x="1277"/>
        <item x="1278"/>
        <item x="1279"/>
        <item x="1280"/>
        <item x="1281"/>
        <item x="1282"/>
        <item x="1283"/>
        <item x="1284"/>
        <item x="1371"/>
        <item x="1263"/>
        <item x="1264"/>
        <item x="1265"/>
        <item x="1266"/>
        <item x="1267"/>
        <item x="1268"/>
        <item x="1269"/>
        <item x="1270"/>
        <item x="1271"/>
        <item x="1272"/>
        <item x="1273"/>
        <item x="2309"/>
        <item x="2310"/>
        <item x="2311"/>
        <item x="2312"/>
        <item x="1152"/>
        <item x="1150"/>
        <item x="1151"/>
        <item x="887"/>
        <item x="2193"/>
        <item x="2179"/>
        <item x="2180"/>
        <item x="2181"/>
        <item x="2182"/>
        <item x="2183"/>
        <item x="2184"/>
        <item x="2185"/>
        <item x="2186"/>
        <item x="2177"/>
        <item x="2178"/>
        <item x="2274"/>
        <item x="2272"/>
        <item x="2275"/>
        <item x="2273"/>
        <item x="1939"/>
        <item x="1940"/>
        <item x="1941"/>
        <item x="2048"/>
        <item x="2040"/>
        <item x="1942"/>
        <item x="1944"/>
        <item x="1945"/>
        <item x="1943"/>
        <item x="1946"/>
        <item x="1285"/>
        <item x="1286"/>
        <item x="1287"/>
        <item x="1288"/>
        <item x="1289"/>
        <item x="897"/>
        <item x="898"/>
        <item x="899"/>
        <item x="895"/>
        <item x="896"/>
        <item x="1061"/>
        <item x="702"/>
        <item x="703"/>
        <item x="1772"/>
        <item x="1822"/>
        <item x="1823"/>
        <item x="1824"/>
        <item x="339"/>
        <item x="1843"/>
        <item x="2319"/>
        <item x="1919"/>
        <item x="1731"/>
        <item x="1931"/>
        <item x="1932"/>
        <item x="1933"/>
        <item x="1935"/>
        <item x="1936"/>
        <item x="1934"/>
        <item x="1877"/>
        <item x="1874"/>
        <item x="1875"/>
        <item x="1876"/>
        <item x="404"/>
        <item x="403"/>
        <item x="1937"/>
        <item x="405"/>
        <item x="1110"/>
        <item x="1111"/>
        <item x="1112"/>
        <item x="1105"/>
        <item x="1106"/>
        <item x="1107"/>
        <item x="1108"/>
        <item x="1109"/>
        <item x="1113"/>
        <item x="974"/>
        <item x="975"/>
        <item x="1114"/>
        <item x="1115"/>
        <item x="2303"/>
        <item x="1634"/>
        <item x="918"/>
        <item x="1050"/>
        <item x="863"/>
        <item x="864"/>
        <item x="865"/>
        <item x="1611"/>
        <item x="431"/>
        <item x="432"/>
        <item x="429"/>
        <item x="430"/>
        <item x="2031"/>
        <item x="1604"/>
        <item x="1605"/>
        <item x="1177"/>
        <item x="1178"/>
        <item x="1606"/>
        <item x="1608"/>
        <item x="1609"/>
        <item x="1607"/>
        <item x="1610"/>
        <item x="2094"/>
        <item x="604"/>
        <item x="605"/>
        <item x="606"/>
        <item x="607"/>
        <item x="608"/>
        <item x="609"/>
        <item x="610"/>
        <item x="611"/>
        <item x="612"/>
        <item x="613"/>
        <item x="600"/>
        <item x="614"/>
        <item x="615"/>
        <item x="601"/>
        <item x="616"/>
        <item x="602"/>
        <item x="603"/>
        <item x="617"/>
        <item x="1147"/>
        <item x="2032"/>
        <item x="1320"/>
        <item x="1321"/>
        <item x="1322"/>
        <item x="901"/>
        <item x="470"/>
        <item x="469"/>
        <item x="471"/>
        <item x="472"/>
        <item x="473"/>
        <item x="802"/>
        <item x="2285"/>
        <item x="217"/>
        <item x="218"/>
        <item x="219"/>
        <item x="675"/>
        <item x="221"/>
        <item x="420"/>
        <item x="222"/>
        <item x="519"/>
        <item x="168"/>
        <item x="167"/>
        <item x="522"/>
        <item x="523"/>
        <item x="169"/>
        <item x="170"/>
        <item x="171"/>
        <item x="172"/>
        <item x="173"/>
        <item x="174"/>
        <item x="175"/>
        <item x="176"/>
        <item x="187"/>
        <item x="198"/>
        <item x="233"/>
        <item x="234"/>
        <item x="244"/>
        <item x="248"/>
        <item x="265"/>
        <item x="266"/>
        <item x="355"/>
        <item x="520"/>
        <item x="575"/>
        <item x="576"/>
        <item x="577"/>
        <item x="578"/>
        <item x="704"/>
        <item x="705"/>
        <item x="706"/>
        <item x="707"/>
        <item x="708"/>
        <item x="709"/>
        <item x="710"/>
        <item x="711"/>
        <item x="712"/>
        <item x="831"/>
        <item x="832"/>
        <item x="833"/>
        <item x="842"/>
        <item x="843"/>
        <item x="844"/>
        <item x="845"/>
        <item x="919"/>
        <item x="920"/>
        <item x="921"/>
        <item x="953"/>
        <item x="954"/>
        <item x="955"/>
        <item x="956"/>
        <item x="957"/>
        <item x="1034"/>
        <item x="1137"/>
        <item x="1138"/>
        <item x="1139"/>
        <item x="1204"/>
        <item x="1205"/>
        <item x="1206"/>
        <item x="1207"/>
        <item x="1208"/>
        <item x="1209"/>
        <item x="1210"/>
        <item x="1211"/>
        <item x="1212"/>
        <item x="1213"/>
        <item x="1214"/>
        <item x="1215"/>
        <item x="1223"/>
        <item x="1224"/>
        <item x="1306"/>
        <item x="1405"/>
        <item x="1406"/>
        <item x="1417"/>
        <item x="1466"/>
        <item x="1467"/>
        <item x="1468"/>
        <item x="1469"/>
        <item x="1664"/>
        <item x="2013"/>
        <item x="2014"/>
        <item x="2015"/>
        <item x="2016"/>
        <item x="2017"/>
        <item x="2146"/>
        <item x="2147"/>
        <item x="2148"/>
        <item x="2149"/>
        <item x="2150"/>
        <item x="2151"/>
        <item x="2152"/>
        <item x="2153"/>
        <item x="2254"/>
        <item x="2255"/>
        <item x="2256"/>
        <item x="214"/>
        <item x="177"/>
        <item x="254"/>
        <item x="255"/>
        <item x="1663"/>
        <item x="256"/>
        <item x="257"/>
        <item x="1307"/>
        <item x="1308"/>
        <item x="1470"/>
        <item x="2018"/>
        <item x="2154"/>
        <item x="2155"/>
        <item x="243"/>
        <item x="685"/>
        <item x="2345"/>
        <item x="633"/>
        <item x="178"/>
        <item x="2346"/>
        <item x="1012"/>
        <item x="1013"/>
        <item x="1650"/>
        <item x="1651"/>
        <item x="718"/>
        <item x="719"/>
        <item x="2291"/>
        <item x="409"/>
        <item x="1216"/>
        <item x="1217"/>
        <item x="273"/>
        <item x="686"/>
        <item x="687"/>
        <item x="521"/>
        <item x="1090"/>
        <item x="696"/>
        <item x="1471"/>
        <item x="634"/>
        <item x="524"/>
        <item x="421"/>
        <item x="226"/>
        <item x="229"/>
        <item x="1093"/>
        <item x="1091"/>
        <item x="618"/>
        <item x="422"/>
        <item x="1092"/>
        <item x="423"/>
        <item x="676"/>
        <item x="424"/>
        <item x="224"/>
        <item x="1218"/>
        <item x="199"/>
        <item x="579"/>
        <item x="1140"/>
        <item x="1073"/>
        <item x="1407"/>
        <item x="1472"/>
        <item x="200"/>
        <item x="2326"/>
        <item x="240"/>
        <item x="580"/>
        <item x="201"/>
        <item x="1141"/>
        <item x="1074"/>
        <item x="1408"/>
        <item x="2313"/>
        <item x="2300"/>
        <item x="179"/>
        <item x="180"/>
        <item x="2327"/>
        <item x="846"/>
        <item x="181"/>
        <item x="2129"/>
        <item x="1473"/>
        <item x="182"/>
        <item x="1474"/>
        <item x="2207"/>
        <item x="2130"/>
        <item x="2019"/>
        <item x="1409"/>
        <item x="1475"/>
        <item x="1410"/>
        <item x="542"/>
        <item x="1309"/>
        <item x="544"/>
        <item x="1095"/>
        <item x="1094"/>
        <item x="1310"/>
        <item x="2301"/>
        <item x="1096"/>
        <item x="1476"/>
        <item x="847"/>
        <item x="1477"/>
        <item x="1864"/>
        <item x="2020"/>
        <item x="2021"/>
        <item x="2022"/>
        <item x="2023"/>
        <item x="2024"/>
        <item x="1865"/>
        <item x="525"/>
        <item x="526"/>
        <item x="527"/>
        <item x="871"/>
        <item x="2070"/>
        <item x="2071"/>
        <item x="1312"/>
        <item x="1311"/>
        <item x="1313"/>
        <item x="1314"/>
        <item x="848"/>
        <item x="1142"/>
        <item x="1315"/>
        <item x="1316"/>
        <item x="1075"/>
        <item x="1753"/>
        <item x="183"/>
        <item x="849"/>
        <item x="1754"/>
        <item x="581"/>
        <item x="1076"/>
        <item x="545"/>
        <item x="1077"/>
        <item x="850"/>
        <item x="851"/>
        <item x="202"/>
        <item x="1143"/>
        <item x="2328"/>
        <item x="1078"/>
        <item x="1317"/>
        <item x="582"/>
        <item x="2131"/>
        <item x="258"/>
        <item x="922"/>
        <item x="184"/>
        <item x="1578"/>
        <item x="1478"/>
        <item x="583"/>
        <item x="1144"/>
        <item x="1411"/>
        <item x="1318"/>
        <item x="185"/>
        <item x="270"/>
        <item x="1806"/>
        <item x="1579"/>
        <item x="1079"/>
        <item x="203"/>
        <item x="1145"/>
        <item x="1097"/>
        <item x="1098"/>
        <item x="546"/>
        <item x="584"/>
        <item x="271"/>
        <item x="272"/>
        <item x="852"/>
        <item x="1412"/>
        <item x="186"/>
        <item x="2156"/>
        <item x="1413"/>
        <item x="1146"/>
        <item x="1414"/>
        <item x="1219"/>
        <item x="1080"/>
        <item x="1479"/>
        <item x="1319"/>
        <item x="1220"/>
        <item x="1221"/>
        <item x="1222"/>
        <item x="1415"/>
        <item x="1416"/>
        <item x="1580"/>
        <item x="2132"/>
        <item x="853"/>
        <item x="2329"/>
        <item x="1581"/>
        <item x="1582"/>
        <item x="2325"/>
        <item x="2025"/>
        <item x="2302"/>
        <item x="2026"/>
        <item x="528"/>
        <item x="988"/>
        <item x="2257"/>
        <item x="2258"/>
        <item x="2259"/>
        <item x="1701"/>
        <item x="2350"/>
      </items>
      <extLst>
        <ext xmlns:x14="http://schemas.microsoft.com/office/spreadsheetml/2009/9/main" uri="{2946ED86-A175-432a-8AC1-64E0C546D7DE}">
          <x14:pivotField fillDownLabels="1"/>
        </ext>
      </extLst>
    </pivotField>
    <pivotField axis="axisRow" compact="0" outline="0" subtotalTop="0" showAll="0" defaultSubtotal="0">
      <items count="1640">
        <item x="149"/>
        <item x="147"/>
        <item x="61"/>
        <item x="73"/>
        <item x="67"/>
        <item x="76"/>
        <item x="54"/>
        <item x="78"/>
        <item x="56"/>
        <item x="81"/>
        <item x="59"/>
        <item x="82"/>
        <item x="71"/>
        <item x="84"/>
        <item x="152"/>
        <item x="30"/>
        <item x="52"/>
        <item m="1" x="1634"/>
        <item x="64"/>
        <item x="11"/>
        <item x="117"/>
        <item x="23"/>
        <item x="114"/>
        <item x="120"/>
        <item x="115"/>
        <item x="122"/>
        <item x="143"/>
        <item x="142"/>
        <item x="140"/>
        <item x="69"/>
        <item x="126"/>
        <item x="70"/>
        <item x="6"/>
        <item x="112"/>
        <item x="111"/>
        <item x="124"/>
        <item x="20"/>
        <item x="118"/>
        <item m="1" x="1633"/>
        <item x="79"/>
        <item x="60"/>
        <item x="55"/>
        <item x="15"/>
        <item x="74"/>
        <item x="31"/>
        <item x="57"/>
        <item x="77"/>
        <item x="92"/>
        <item x="93"/>
        <item x="12"/>
        <item x="58"/>
        <item x="62"/>
        <item x="24"/>
        <item x="72"/>
        <item x="7"/>
        <item x="91"/>
        <item x="129"/>
        <item x="109"/>
        <item x="132"/>
        <item x="131"/>
        <item x="125"/>
        <item x="110"/>
        <item m="1" x="1635"/>
        <item x="94"/>
        <item m="1" x="1636"/>
        <item x="119"/>
        <item x="121"/>
        <item x="127"/>
        <item x="128"/>
        <item x="65"/>
        <item x="130"/>
        <item x="80"/>
        <item x="141"/>
        <item x="139"/>
        <item x="32"/>
        <item x="90"/>
        <item x="53"/>
        <item x="83"/>
        <item x="136"/>
        <item x="75"/>
        <item x="86"/>
        <item x="87"/>
        <item x="85"/>
        <item x="155"/>
        <item x="13"/>
        <item x="134"/>
        <item x="138"/>
        <item x="135"/>
        <item x="154"/>
        <item x="137"/>
        <item m="1" x="175"/>
        <item m="1" x="171"/>
        <item x="51"/>
        <item x="68"/>
        <item x="66"/>
        <item x="49"/>
        <item x="63"/>
        <item m="1" x="177"/>
        <item m="1" x="180"/>
        <item m="1" x="167"/>
        <item m="1" x="159"/>
        <item m="1" x="173"/>
        <item m="1" x="176"/>
        <item m="1" x="163"/>
        <item m="1" x="172"/>
        <item m="1" x="189"/>
        <item m="1" x="160"/>
        <item m="1" x="200"/>
        <item m="1" x="201"/>
        <item m="1" x="197"/>
        <item m="1" x="161"/>
        <item m="1" x="183"/>
        <item x="99"/>
        <item m="1" x="185"/>
        <item m="1" x="186"/>
        <item m="1" x="179"/>
        <item m="1" x="187"/>
        <item x="105"/>
        <item x="106"/>
        <item m="1" x="184"/>
        <item x="101"/>
        <item x="102"/>
        <item m="1" x="182"/>
        <item m="1" x="164"/>
        <item m="1" x="192"/>
        <item m="1" x="190"/>
        <item m="1" x="191"/>
        <item m="1" x="188"/>
        <item m="1" x="1638"/>
        <item m="1" x="1637"/>
        <item m="1" x="1639"/>
        <item m="1" x="198"/>
        <item m="1" x="199"/>
        <item m="1" x="169"/>
        <item m="1" x="162"/>
        <item m="1" x="174"/>
        <item m="1" x="168"/>
        <item m="1" x="195"/>
        <item m="1" x="196"/>
        <item x="41"/>
        <item x="3"/>
        <item x="38"/>
        <item x="36"/>
        <item x="42"/>
        <item x="48"/>
        <item x="50"/>
        <item x="47"/>
        <item m="1" x="181"/>
        <item x="4"/>
        <item x="35"/>
        <item x="19"/>
        <item x="28"/>
        <item x="27"/>
        <item x="17"/>
        <item x="22"/>
        <item x="25"/>
        <item x="26"/>
        <item x="18"/>
        <item x="29"/>
        <item x="14"/>
        <item x="37"/>
        <item x="39"/>
        <item x="40"/>
        <item x="45"/>
        <item x="1"/>
        <item x="2"/>
        <item x="44"/>
        <item x="43"/>
        <item x="10"/>
        <item x="46"/>
        <item x="9"/>
        <item x="5"/>
        <item x="8"/>
        <item x="0"/>
        <item x="33"/>
        <item m="1" x="178"/>
        <item x="95"/>
        <item m="1" x="193"/>
        <item m="1" x="165"/>
        <item m="1" x="194"/>
        <item x="144"/>
        <item x="16"/>
        <item x="123"/>
        <item x="133"/>
        <item x="21"/>
        <item x="145"/>
        <item x="146"/>
        <item m="1" x="170"/>
        <item x="34"/>
        <item x="148"/>
        <item x="150"/>
        <item m="1" x="166"/>
        <item m="1" x="202"/>
        <item m="1" x="203"/>
        <item m="1" x="204"/>
        <item m="1" x="205"/>
        <item m="1" x="206"/>
        <item m="1" x="207"/>
        <item m="1" x="208"/>
        <item m="1" x="209"/>
        <item m="1" x="210"/>
        <item m="1" x="211"/>
        <item m="1" x="212"/>
        <item m="1" x="213"/>
        <item m="1" x="214"/>
        <item m="1" x="215"/>
        <item m="1" x="216"/>
        <item m="1" x="217"/>
        <item m="1" x="218"/>
        <item m="1" x="219"/>
        <item m="1" x="220"/>
        <item m="1" x="221"/>
        <item m="1" x="222"/>
        <item m="1" x="223"/>
        <item m="1" x="224"/>
        <item m="1" x="225"/>
        <item m="1" x="226"/>
        <item m="1" x="227"/>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x="157"/>
        <item x="158"/>
        <item x="88"/>
        <item x="89"/>
        <item x="96"/>
        <item x="97"/>
        <item x="98"/>
        <item x="100"/>
        <item x="103"/>
        <item x="104"/>
        <item x="107"/>
        <item x="108"/>
        <item x="113"/>
        <item x="116"/>
        <item x="151"/>
        <item x="153"/>
        <item x="156"/>
      </items>
      <extLst>
        <ext xmlns:x14="http://schemas.microsoft.com/office/spreadsheetml/2009/9/main" uri="{2946ED86-A175-432a-8AC1-64E0C546D7DE}">
          <x14:pivotField fillDownLabels="1"/>
        </ext>
      </extLst>
    </pivotField>
    <pivotField axis="axisRow" compact="0" outline="0" showAll="0" defaultSubtotal="0">
      <items count="30">
        <item x="27"/>
        <item x="0"/>
        <item x="16"/>
        <item x="25"/>
        <item x="9"/>
        <item x="8"/>
        <item x="11"/>
        <item x="15"/>
        <item x="14"/>
        <item m="1" x="29"/>
        <item x="5"/>
        <item x="10"/>
        <item x="13"/>
        <item x="12"/>
        <item x="24"/>
        <item x="22"/>
        <item x="2"/>
        <item x="6"/>
        <item x="20"/>
        <item x="23"/>
        <item x="1"/>
        <item x="28"/>
        <item x="7"/>
        <item x="26"/>
        <item x="17"/>
        <item x="19"/>
        <item x="18"/>
        <item x="3"/>
        <item x="21"/>
        <item x="4"/>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5">
    <field x="12"/>
    <field x="3"/>
    <field x="19"/>
    <field x="21"/>
    <field x="20"/>
  </rowFields>
  <rowItems count="25">
    <i>
      <x v="4"/>
      <x v="14"/>
      <x v="1714"/>
      <x v="29"/>
      <x v="92"/>
    </i>
    <i r="2">
      <x v="1718"/>
      <x v="29"/>
      <x v="92"/>
    </i>
    <i r="1">
      <x v="16"/>
      <x v="1978"/>
      <x v="29"/>
      <x v="1627"/>
    </i>
    <i r="2">
      <x v="1979"/>
      <x v="29"/>
      <x v="1628"/>
    </i>
    <i r="2">
      <x v="1980"/>
      <x v="29"/>
      <x v="1631"/>
    </i>
    <i r="2">
      <x v="2016"/>
      <x v="29"/>
      <x v="112"/>
    </i>
    <i r="2">
      <x v="2020"/>
      <x v="29"/>
      <x v="1630"/>
    </i>
    <i r="2">
      <x v="2028"/>
      <x v="29"/>
      <x v="120"/>
    </i>
    <i r="2">
      <x v="2029"/>
      <x v="29"/>
      <x v="121"/>
    </i>
    <i r="2">
      <x v="2030"/>
      <x v="29"/>
      <x v="1629"/>
    </i>
    <i r="2">
      <x v="2035"/>
      <x v="29"/>
      <x v="1632"/>
    </i>
    <i r="2">
      <x v="2060"/>
      <x v="29"/>
      <x v="117"/>
    </i>
    <i r="2">
      <x v="2061"/>
      <x v="29"/>
      <x v="118"/>
    </i>
    <i r="2">
      <x v="2062"/>
      <x v="29"/>
      <x v="1633"/>
    </i>
    <i r="2">
      <x v="2063"/>
      <x v="29"/>
      <x v="1634"/>
    </i>
    <i r="2">
      <x v="2065"/>
      <x v="29"/>
      <x v="1635"/>
    </i>
    <i r="2">
      <x v="2066"/>
      <x v="29"/>
      <x v="1625"/>
    </i>
    <i r="2">
      <x v="2071"/>
      <x v="29"/>
      <x v="1636"/>
    </i>
    <i r="2">
      <x v="2082"/>
      <x v="29"/>
      <x v="1637"/>
    </i>
    <i r="2">
      <x v="2094"/>
      <x v="29"/>
      <x v="1638"/>
    </i>
    <i r="2">
      <x v="2097"/>
      <x v="29"/>
      <x v="1626"/>
    </i>
    <i r="1">
      <x v="25"/>
      <x v="1712"/>
      <x v="29"/>
      <x v="95"/>
    </i>
    <i r="2">
      <x v="1729"/>
      <x v="29"/>
      <x v="96"/>
    </i>
    <i r="2">
      <x v="1732"/>
      <x v="29"/>
      <x v="94"/>
    </i>
    <i r="2">
      <x v="1734"/>
      <x v="29"/>
      <x v="93"/>
    </i>
  </rowItems>
  <colItems count="1">
    <i/>
  </colItems>
  <pageFields count="2">
    <pageField fld="17" hier="-1"/>
    <pageField fld="2" hier="-1"/>
  </pageFields>
  <formats count="20">
    <format dxfId="531">
      <pivotArea dataOnly="0" labelOnly="1" outline="0" fieldPosition="0">
        <references count="2">
          <reference field="3" count="1" selected="0">
            <x v="13"/>
          </reference>
          <reference field="19" count="4">
            <x v="16"/>
            <x v="88"/>
            <x v="90"/>
            <x v="93"/>
          </reference>
        </references>
      </pivotArea>
    </format>
    <format dxfId="530">
      <pivotArea dataOnly="0" labelOnly="1" outline="0" fieldPosition="0">
        <references count="2">
          <reference field="3" count="1" selected="0">
            <x v="16"/>
          </reference>
          <reference field="19" count="24">
            <x v="101"/>
            <x v="102"/>
            <x v="103"/>
            <x v="105"/>
            <x v="106"/>
            <x v="107"/>
            <x v="109"/>
            <x v="110"/>
            <x v="111"/>
            <x v="112"/>
            <x v="115"/>
            <x v="116"/>
            <x v="119"/>
            <x v="120"/>
            <x v="121"/>
            <x v="122"/>
            <x v="124"/>
            <x v="126"/>
            <x v="131"/>
            <x v="132"/>
            <x v="134"/>
            <x v="135"/>
            <x v="146"/>
            <x v="149"/>
          </reference>
        </references>
      </pivotArea>
    </format>
    <format dxfId="529">
      <pivotArea dataOnly="0" labelOnly="1" outline="0" fieldPosition="0">
        <references count="2">
          <reference field="3" count="1" selected="0">
            <x v="16"/>
          </reference>
          <reference field="19" count="1">
            <x v="3745"/>
          </reference>
        </references>
      </pivotArea>
    </format>
    <format dxfId="528">
      <pivotArea dataOnly="0" labelOnly="1" outline="0" fieldPosition="0">
        <references count="2">
          <reference field="3" count="1" selected="0">
            <x v="25"/>
          </reference>
          <reference field="19" count="2">
            <x v="113"/>
            <x v="3745"/>
          </reference>
        </references>
      </pivotArea>
    </format>
    <format dxfId="527">
      <pivotArea dataOnly="0" labelOnly="1" outline="0" fieldPosition="0">
        <references count="2">
          <reference field="3" count="1" selected="0">
            <x v="718"/>
          </reference>
          <reference field="19" count="1">
            <x v="3745"/>
          </reference>
        </references>
      </pivotArea>
    </format>
    <format dxfId="526">
      <pivotArea dataOnly="0" labelOnly="1" outline="0" fieldPosition="0">
        <references count="3">
          <reference field="3" count="1" selected="0">
            <x v="16"/>
          </reference>
          <reference field="12" count="1" selected="0">
            <x v="3"/>
          </reference>
          <reference field="19" count="8">
            <x v="161"/>
            <x v="163"/>
            <x v="165"/>
            <x v="167"/>
            <x v="168"/>
            <x v="175"/>
            <x v="176"/>
            <x v="3745"/>
          </reference>
        </references>
      </pivotArea>
    </format>
    <format dxfId="525">
      <pivotArea dataOnly="0" labelOnly="1" outline="0" fieldPosition="0">
        <references count="3">
          <reference field="3" count="1" selected="0">
            <x v="16"/>
          </reference>
          <reference field="12" count="1" selected="0">
            <x v="4"/>
          </reference>
          <reference field="19" count="25">
            <x v="101"/>
            <x v="102"/>
            <x v="103"/>
            <x v="105"/>
            <x v="106"/>
            <x v="109"/>
            <x v="110"/>
            <x v="111"/>
            <x v="112"/>
            <x v="114"/>
            <x v="115"/>
            <x v="116"/>
            <x v="117"/>
            <x v="118"/>
            <x v="119"/>
            <x v="120"/>
            <x v="121"/>
            <x v="122"/>
            <x v="124"/>
            <x v="126"/>
            <x v="131"/>
            <x v="134"/>
            <x v="146"/>
            <x v="149"/>
            <x v="3745"/>
          </reference>
        </references>
      </pivotArea>
    </format>
    <format dxfId="524">
      <pivotArea field="19" type="button" dataOnly="0" labelOnly="1" outline="0" axis="axisRow" fieldPosition="2"/>
    </format>
    <format dxfId="523">
      <pivotArea dataOnly="0" labelOnly="1" outline="0" fieldPosition="0">
        <references count="3">
          <reference field="3" count="1" selected="0">
            <x v="12"/>
          </reference>
          <reference field="12" count="1" selected="0">
            <x v="1"/>
          </reference>
          <reference field="19" count="1">
            <x v="79"/>
          </reference>
        </references>
      </pivotArea>
    </format>
    <format dxfId="522">
      <pivotArea dataOnly="0" labelOnly="1" outline="0" fieldPosition="0">
        <references count="3">
          <reference field="3" count="1" selected="0">
            <x v="13"/>
          </reference>
          <reference field="12" count="1" selected="0">
            <x v="1"/>
          </reference>
          <reference field="19" count="1">
            <x v="77"/>
          </reference>
        </references>
      </pivotArea>
    </format>
    <format dxfId="521">
      <pivotArea dataOnly="0" labelOnly="1" outline="0" fieldPosition="0">
        <references count="3">
          <reference field="3" count="1" selected="0">
            <x v="14"/>
          </reference>
          <reference field="12" count="1" selected="0">
            <x v="1"/>
          </reference>
          <reference field="19" count="2">
            <x v="58"/>
            <x v="72"/>
          </reference>
        </references>
      </pivotArea>
    </format>
    <format dxfId="520">
      <pivotArea dataOnly="0" labelOnly="1" outline="0" fieldPosition="0">
        <references count="3">
          <reference field="3" count="1" selected="0">
            <x v="15"/>
          </reference>
          <reference field="12" count="1" selected="0">
            <x v="1"/>
          </reference>
          <reference field="19" count="12">
            <x v="61"/>
            <x v="63"/>
            <x v="67"/>
            <x v="69"/>
            <x v="75"/>
            <x v="80"/>
            <x v="82"/>
            <x v="84"/>
            <x v="85"/>
            <x v="87"/>
            <x v="89"/>
            <x v="92"/>
          </reference>
        </references>
      </pivotArea>
    </format>
    <format dxfId="519">
      <pivotArea dataOnly="0" labelOnly="1" outline="0" fieldPosition="0">
        <references count="3">
          <reference field="3" count="1" selected="0">
            <x v="16"/>
          </reference>
          <reference field="12" count="1" selected="0">
            <x v="1"/>
          </reference>
          <reference field="19" count="16">
            <x v="100"/>
            <x v="129"/>
            <x v="130"/>
            <x v="133"/>
            <x v="136"/>
            <x v="137"/>
            <x v="138"/>
            <x v="139"/>
            <x v="142"/>
            <x v="144"/>
            <x v="147"/>
            <x v="150"/>
            <x v="170"/>
            <x v="172"/>
            <x v="173"/>
            <x v="174"/>
          </reference>
        </references>
      </pivotArea>
    </format>
    <format dxfId="518">
      <pivotArea dataOnly="0" labelOnly="1" outline="0" fieldPosition="0">
        <references count="3">
          <reference field="3" count="1" selected="0">
            <x v="25"/>
          </reference>
          <reference field="12" count="1" selected="0">
            <x v="1"/>
          </reference>
          <reference field="19" count="5">
            <x v="6"/>
            <x v="11"/>
            <x v="21"/>
            <x v="24"/>
            <x v="34"/>
          </reference>
        </references>
      </pivotArea>
    </format>
    <format dxfId="517">
      <pivotArea dataOnly="0" labelOnly="1" outline="0" fieldPosition="0">
        <references count="3">
          <reference field="3" count="1" selected="0">
            <x v="16"/>
          </reference>
          <reference field="12" count="1" selected="0">
            <x v="3"/>
          </reference>
          <reference field="19" count="9">
            <x v="161"/>
            <x v="163"/>
            <x v="165"/>
            <x v="167"/>
            <x v="168"/>
            <x v="169"/>
            <x v="171"/>
            <x v="175"/>
            <x v="176"/>
          </reference>
        </references>
      </pivotArea>
    </format>
    <format dxfId="516">
      <pivotArea dataOnly="0" labelOnly="1" outline="0" fieldPosition="0">
        <references count="3">
          <reference field="3" count="1" selected="0">
            <x v="22"/>
          </reference>
          <reference field="12" count="1" selected="0">
            <x v="3"/>
          </reference>
          <reference field="19" count="7">
            <x v="60"/>
            <x v="83"/>
            <x v="86"/>
            <x v="91"/>
            <x v="94"/>
            <x v="95"/>
            <x v="96"/>
          </reference>
        </references>
      </pivotArea>
    </format>
    <format dxfId="515">
      <pivotArea dataOnly="0" labelOnly="1" outline="0" fieldPosition="0">
        <references count="3">
          <reference field="3" count="1" selected="0">
            <x v="25"/>
          </reference>
          <reference field="12" count="1" selected="0">
            <x v="3"/>
          </reference>
          <reference field="19" count="2">
            <x v="13"/>
            <x v="35"/>
          </reference>
        </references>
      </pivotArea>
    </format>
    <format dxfId="514">
      <pivotArea dataOnly="0" labelOnly="1" outline="0" fieldPosition="0">
        <references count="3">
          <reference field="3" count="1" selected="0">
            <x v="14"/>
          </reference>
          <reference field="12" count="1" selected="0">
            <x v="4"/>
          </reference>
          <reference field="19" count="1">
            <x v="57"/>
          </reference>
        </references>
      </pivotArea>
    </format>
    <format dxfId="513">
      <pivotArea dataOnly="0" labelOnly="1" outline="0" fieldPosition="0">
        <references count="3">
          <reference field="3" count="1" selected="0">
            <x v="16"/>
          </reference>
          <reference field="12" count="1" selected="0">
            <x v="4"/>
          </reference>
          <reference field="19" count="28">
            <x v="101"/>
            <x v="102"/>
            <x v="103"/>
            <x v="104"/>
            <x v="105"/>
            <x v="106"/>
            <x v="108"/>
            <x v="109"/>
            <x v="110"/>
            <x v="111"/>
            <x v="112"/>
            <x v="114"/>
            <x v="115"/>
            <x v="116"/>
            <x v="117"/>
            <x v="118"/>
            <x v="119"/>
            <x v="120"/>
            <x v="121"/>
            <x v="122"/>
            <x v="124"/>
            <x v="126"/>
            <x v="131"/>
            <x v="134"/>
            <x v="146"/>
            <x v="149"/>
            <x v="162"/>
            <x v="164"/>
          </reference>
        </references>
      </pivotArea>
    </format>
    <format dxfId="512">
      <pivotArea dataOnly="0" labelOnly="1" outline="0" fieldPosition="0">
        <references count="3">
          <reference field="3" count="1" selected="0">
            <x v="25"/>
          </reference>
          <reference field="12" count="1" selected="0">
            <x v="4"/>
          </reference>
          <reference field="19" count="19">
            <x v="5"/>
            <x v="10"/>
            <x v="15"/>
            <x v="20"/>
            <x v="23"/>
            <x v="28"/>
            <x v="33"/>
            <x v="36"/>
            <x v="37"/>
            <x v="44"/>
            <x v="46"/>
            <x v="49"/>
            <x v="55"/>
            <x v="66"/>
            <x v="71"/>
            <x v="74"/>
            <x v="76"/>
            <x v="78"/>
            <x v="113"/>
          </reference>
        </references>
      </pivotArea>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 xr10:uid="{00000000-0013-0000-FFFF-FFFF01000000}" sourceName="Customer">
  <pivotTables>
    <pivotTable tabId="86" name="PivotTable1"/>
  </pivotTables>
  <data>
    <tabular pivotCacheId="288470051">
      <items count="719">
        <i x="3" s="1"/>
        <i x="8" s="1"/>
        <i x="1" s="1"/>
        <i x="0"/>
        <i x="705" nd="1"/>
        <i x="704" nd="1"/>
        <i x="716" nd="1"/>
        <i x="700" nd="1"/>
        <i x="714" nd="1"/>
        <i x="717" nd="1"/>
        <i x="712" nd="1"/>
        <i x="709" nd="1"/>
        <i x="708" nd="1"/>
        <i x="713" nd="1"/>
        <i x="715" nd="1"/>
        <i x="7" nd="1"/>
        <i x="6" s="1" nd="1"/>
        <i x="2" s="1" nd="1"/>
        <i x="5" s="1" nd="1"/>
        <i x="707" nd="1"/>
        <i x="702" nd="1"/>
        <i x="703" nd="1"/>
        <i x="699" nd="1"/>
        <i x="718" nd="1"/>
        <i x="4" s="1" nd="1"/>
        <i x="706" nd="1"/>
        <i x="710" nd="1"/>
        <i x="429" nd="1"/>
        <i x="194" nd="1"/>
        <i x="400" nd="1"/>
        <i x="260" nd="1"/>
        <i x="77" nd="1"/>
        <i x="414" nd="1"/>
        <i x="359" nd="1"/>
        <i x="49" nd="1"/>
        <i x="50" nd="1"/>
        <i x="534" nd="1"/>
        <i x="220" nd="1"/>
        <i x="378" nd="1"/>
        <i x="379" nd="1"/>
        <i x="380" nd="1"/>
        <i x="381" nd="1"/>
        <i x="500" nd="1"/>
        <i x="502" nd="1"/>
        <i x="501" nd="1"/>
        <i x="196" nd="1"/>
        <i x="488" nd="1"/>
        <i x="76" nd="1"/>
        <i x="67" nd="1"/>
        <i x="274" nd="1"/>
        <i x="118" nd="1"/>
        <i x="289" nd="1"/>
        <i x="290" nd="1"/>
        <i x="593" nd="1"/>
        <i x="150" nd="1"/>
        <i x="269" nd="1"/>
        <i x="691" nd="1"/>
        <i x="417" nd="1"/>
        <i x="98" nd="1"/>
        <i x="613" nd="1"/>
        <i x="88" nd="1"/>
        <i x="250" nd="1"/>
        <i x="590" nd="1"/>
        <i x="444" nd="1"/>
        <i x="311" nd="1"/>
        <i x="575" nd="1"/>
        <i x="328" nd="1"/>
        <i x="327" nd="1"/>
        <i x="495" nd="1"/>
        <i x="103" nd="1"/>
        <i x="135" nd="1"/>
        <i x="82" nd="1"/>
        <i x="140" nd="1"/>
        <i x="362" nd="1"/>
        <i x="669" nd="1"/>
        <i x="436" nd="1"/>
        <i x="405" nd="1"/>
        <i x="396" nd="1"/>
        <i x="278" nd="1"/>
        <i x="688" nd="1"/>
        <i x="230" nd="1"/>
        <i x="310" nd="1"/>
        <i x="281" nd="1"/>
        <i x="680" nd="1"/>
        <i x="209" nd="1"/>
        <i x="210" nd="1"/>
        <i x="213" nd="1"/>
        <i x="668" nd="1"/>
        <i x="571" nd="1"/>
        <i x="497" nd="1"/>
        <i x="498" nd="1"/>
        <i x="577" nd="1"/>
        <i x="125" nd="1"/>
        <i x="253" nd="1"/>
        <i x="514" nd="1"/>
        <i x="356" nd="1"/>
        <i x="445" nd="1"/>
        <i x="693" nd="1"/>
        <i x="13" nd="1"/>
        <i x="16" nd="1"/>
        <i x="473" nd="1"/>
        <i x="133" nd="1"/>
        <i x="134" nd="1"/>
        <i x="146" nd="1"/>
        <i x="322" nd="1"/>
        <i x="361" nd="1"/>
        <i x="117" nd="1"/>
        <i x="223" nd="1"/>
        <i x="61" nd="1"/>
        <i x="629" nd="1"/>
        <i x="689" nd="1"/>
        <i x="687" nd="1"/>
        <i x="40" nd="1"/>
        <i x="37" nd="1"/>
        <i x="347" nd="1"/>
        <i x="371" nd="1"/>
        <i x="482" nd="1"/>
        <i x="318" nd="1"/>
        <i x="345" nd="1"/>
        <i x="568" nd="1"/>
        <i x="413" nd="1"/>
        <i x="567" nd="1"/>
        <i x="674" nd="1"/>
        <i x="124" nd="1"/>
        <i x="601" nd="1"/>
        <i x="331" nd="1"/>
        <i x="555" nd="1"/>
        <i x="556" nd="1"/>
        <i x="566" nd="1"/>
        <i x="460" nd="1"/>
        <i x="494" nd="1"/>
        <i x="283" nd="1"/>
        <i x="392" nd="1"/>
        <i x="296" nd="1"/>
        <i x="295" nd="1"/>
        <i x="604" nd="1"/>
        <i x="111" nd="1"/>
        <i x="383" nd="1"/>
        <i x="110" nd="1"/>
        <i x="74" nd="1"/>
        <i x="112" nd="1"/>
        <i x="109" nd="1"/>
        <i x="208" nd="1"/>
        <i x="70" nd="1"/>
        <i x="337" nd="1"/>
        <i x="439" nd="1"/>
        <i x="492" nd="1"/>
        <i x="659" nd="1"/>
        <i x="304" nd="1"/>
        <i x="390" nd="1"/>
        <i x="23" nd="1"/>
        <i x="28" nd="1"/>
        <i x="399" nd="1"/>
        <i x="418" nd="1"/>
        <i x="420" nd="1"/>
        <i x="419" nd="1"/>
        <i x="329" nd="1"/>
        <i x="330" nd="1"/>
        <i x="227" nd="1"/>
        <i x="443" nd="1"/>
        <i x="504" nd="1"/>
        <i x="539" nd="1"/>
        <i x="272" nd="1"/>
        <i x="254" nd="1"/>
        <i x="591" nd="1"/>
        <i x="369" nd="1"/>
        <i x="541" nd="1"/>
        <i x="695" nd="1"/>
        <i x="372" nd="1"/>
        <i x="370" nd="1"/>
        <i x="69" nd="1"/>
        <i x="373" nd="1"/>
        <i x="489" nd="1"/>
        <i x="552" nd="1"/>
        <i x="189" nd="1"/>
        <i x="187" nd="1"/>
        <i x="19" nd="1"/>
        <i x="348" nd="1"/>
        <i x="512" nd="1"/>
        <i x="354" nd="1"/>
        <i x="434" nd="1"/>
        <i x="309" nd="1"/>
        <i x="141" nd="1"/>
        <i x="697" nd="1"/>
        <i x="532" nd="1"/>
        <i x="533" nd="1"/>
        <i x="159" nd="1"/>
        <i x="156" nd="1"/>
        <i x="266" nd="1"/>
        <i x="265" nd="1"/>
        <i x="263" nd="1"/>
        <i x="256" nd="1"/>
        <i x="219" nd="1"/>
        <i x="363" nd="1"/>
        <i x="678" nd="1"/>
        <i x="228" nd="1"/>
        <i x="226" nd="1"/>
        <i x="107" nd="1"/>
        <i x="18" nd="1"/>
        <i x="207" nd="1"/>
        <i x="168" nd="1"/>
        <i x="255" nd="1"/>
        <i x="596" nd="1"/>
        <i x="225" nd="1"/>
        <i x="639" nd="1"/>
        <i x="271" nd="1"/>
        <i x="175" nd="1"/>
        <i x="464" nd="1"/>
        <i x="68" nd="1"/>
        <i x="657" nd="1"/>
        <i x="656" nd="1"/>
        <i x="655" nd="1"/>
        <i x="201" nd="1"/>
        <i x="154" nd="1"/>
        <i x="155" nd="1"/>
        <i x="153" nd="1"/>
        <i x="314" nd="1"/>
        <i x="301" nd="1"/>
        <i x="449" nd="1"/>
        <i x="608" nd="1"/>
        <i x="499" nd="1"/>
        <i x="221" nd="1"/>
        <i x="442" nd="1"/>
        <i x="696" nd="1"/>
        <i x="621" nd="1"/>
        <i x="676" nd="1"/>
        <i x="451" nd="1"/>
        <i x="170" nd="1"/>
        <i x="424" nd="1"/>
        <i x="606" nd="1"/>
        <i x="612" nd="1"/>
        <i x="468" nd="1"/>
        <i x="73" nd="1"/>
        <i x="526" nd="1"/>
        <i x="222" nd="1"/>
        <i x="59" nd="1"/>
        <i x="186" nd="1"/>
        <i x="406" nd="1"/>
        <i x="459" nd="1"/>
        <i x="461" nd="1"/>
        <i x="299" nd="1"/>
        <i x="334" nd="1"/>
        <i x="376" nd="1"/>
        <i x="323" nd="1"/>
        <i x="179" nd="1"/>
        <i x="240" nd="1"/>
        <i x="180" nd="1"/>
        <i x="81" nd="1"/>
        <i x="672" nd="1"/>
        <i x="493" nd="1"/>
        <i x="349" nd="1"/>
        <i x="171" nd="1"/>
        <i x="597" nd="1"/>
        <i x="401" nd="1"/>
        <i x="302" nd="1"/>
        <i x="188" nd="1"/>
        <i x="570" nd="1"/>
        <i x="264" nd="1"/>
        <i x="105" nd="1"/>
        <i x="343" nd="1"/>
        <i x="216" nd="1"/>
        <i x="529" nd="1"/>
        <i x="172" nd="1"/>
        <i x="357" nd="1"/>
        <i x="238" nd="1"/>
        <i x="267" nd="1"/>
        <i x="603" nd="1"/>
        <i x="615" nd="1"/>
        <i x="324" nd="1"/>
        <i x="212" nd="1"/>
        <i x="391" nd="1"/>
        <i x="353" nd="1"/>
        <i x="412" nd="1"/>
        <i x="393" nd="1"/>
        <i x="298" nd="1"/>
        <i x="462" nd="1"/>
        <i x="527" nd="1"/>
        <i x="237" nd="1"/>
        <i x="487" nd="1"/>
        <i x="335" nd="1"/>
        <i x="470" nd="1"/>
        <i x="332" nd="1"/>
        <i x="279" nd="1"/>
        <i x="584" nd="1"/>
        <i x="394" nd="1"/>
        <i x="204" nd="1"/>
        <i x="286" nd="1"/>
        <i x="287" nd="1"/>
        <i x="178" nd="1"/>
        <i x="297" nd="1"/>
        <i x="626" nd="1"/>
        <i x="423" nd="1"/>
        <i x="66" nd="1"/>
        <i x="602" nd="1"/>
        <i x="14" nd="1"/>
        <i x="677" nd="1"/>
        <i x="100" nd="1"/>
        <i x="486" nd="1"/>
        <i x="367" nd="1"/>
        <i x="366" nd="1"/>
        <i x="456" nd="1"/>
        <i x="658" nd="1"/>
        <i x="627" nd="1"/>
        <i x="233" nd="1"/>
        <i x="132" nd="1"/>
        <i x="262" nd="1"/>
        <i x="503" nd="1"/>
        <i x="630" nd="1"/>
        <i x="64" nd="1"/>
        <i x="594" nd="1"/>
        <i x="671" nd="1"/>
        <i x="670" nd="1"/>
        <i x="673" nd="1"/>
        <i x="224" nd="1"/>
        <i x="385" nd="1"/>
        <i x="565" nd="1"/>
        <i x="137" nd="1"/>
        <i x="317" nd="1"/>
        <i x="242" nd="1"/>
        <i x="270" nd="1"/>
        <i x="191" nd="1"/>
        <i x="490" nd="1"/>
        <i x="389" nd="1"/>
        <i x="607" nd="1"/>
        <i x="97" nd="1"/>
        <i x="690" nd="1"/>
        <i x="65" nd="1"/>
        <i x="637" nd="1"/>
        <i x="638" nd="1"/>
        <i x="147" nd="1"/>
        <i x="148" nd="1"/>
        <i x="163" nd="1"/>
        <i x="313" nd="1"/>
        <i x="484" nd="1"/>
        <i x="113" nd="1"/>
        <i x="433" nd="1"/>
        <i x="320" nd="1"/>
        <i x="479" nd="1"/>
        <i x="308" nd="1"/>
        <i x="588" nd="1"/>
        <i x="587" nd="1"/>
        <i x="395" nd="1"/>
        <i x="683" nd="1"/>
        <i x="595" nd="1"/>
        <i x="143" nd="1"/>
        <i x="144" nd="1"/>
        <i x="145" nd="1"/>
        <i x="95" nd="1"/>
        <i x="522" nd="1"/>
        <i x="181" nd="1"/>
        <i x="192" nd="1"/>
        <i x="94" nd="1"/>
        <i x="572" nd="1"/>
        <i x="27" nd="1"/>
        <i x="236" nd="1"/>
        <i x="633" nd="1"/>
        <i x="650" nd="1"/>
        <i x="632" nd="1"/>
        <i x="485" nd="1"/>
        <i x="284" nd="1"/>
        <i x="246" nd="1"/>
        <i x="130" nd="1"/>
        <i x="129" nd="1"/>
        <i x="692" nd="1"/>
        <i x="496" nd="1"/>
        <i x="157" nd="1"/>
        <i x="545" nd="1"/>
        <i x="403" nd="1"/>
        <i x="477" nd="1"/>
        <i x="211" nd="1"/>
        <i x="232" nd="1"/>
        <i x="548" nd="1"/>
        <i x="547" nd="1"/>
        <i x="257" nd="1"/>
        <i x="454" nd="1"/>
        <i x="307" nd="1"/>
        <i x="634" nd="1"/>
        <i x="631" nd="1"/>
        <i x="652" nd="1"/>
        <i x="651" nd="1"/>
        <i x="653" nd="1"/>
        <i x="635" nd="1"/>
        <i x="654" nd="1"/>
        <i x="581" nd="1"/>
        <i x="432" nd="1"/>
        <i x="563" nd="1"/>
        <i x="543" nd="1"/>
        <i x="544" nd="1"/>
        <i x="582" nd="1"/>
        <i x="580" nd="1"/>
        <i x="450" nd="1"/>
        <i x="151" nd="1"/>
        <i x="558" nd="1"/>
        <i x="99" nd="1"/>
        <i x="698" nd="1"/>
        <i x="90" nd="1"/>
        <i x="91" nd="1"/>
        <i x="524" nd="1"/>
        <i x="106" nd="1"/>
        <i x="458" nd="1"/>
        <i x="126" nd="1"/>
        <i x="252" nd="1"/>
        <i x="47" nd="1"/>
        <i x="152" nd="1"/>
        <i x="46" nd="1"/>
        <i x="540" nd="1"/>
        <i x="85" nd="1"/>
        <i x="239" nd="1"/>
        <i x="131" nd="1"/>
        <i x="535" nd="1"/>
        <i x="122" nd="1"/>
        <i x="121" nd="1"/>
        <i x="120" nd="1"/>
        <i x="119" nd="1"/>
        <i x="407" nd="1"/>
        <i x="398" nd="1"/>
        <i x="408" nd="1"/>
        <i x="416" nd="1"/>
        <i x="531" nd="1"/>
        <i x="614" nd="1"/>
        <i x="426" nd="1"/>
        <i x="346" nd="1"/>
        <i x="288" nd="1"/>
        <i x="293" nd="1"/>
        <i x="509" nd="1"/>
        <i x="508" nd="1"/>
        <i x="549" nd="1"/>
        <i x="430" nd="1"/>
        <i x="384" nd="1"/>
        <i x="30" nd="1"/>
        <i x="24" nd="1"/>
        <i x="29" nd="1"/>
        <i x="285" nd="1"/>
        <i x="336" nd="1"/>
        <i x="523" nd="1"/>
        <i x="78" nd="1"/>
        <i x="515" nd="1"/>
        <i x="516" nd="1"/>
        <i x="475" nd="1"/>
        <i x="569" nd="1"/>
        <i x="173" nd="1"/>
        <i x="682" nd="1"/>
        <i x="685" nd="1"/>
        <i x="694" nd="1"/>
        <i x="679" nd="1"/>
        <i x="560" nd="1"/>
        <i x="277" nd="1"/>
        <i x="600" nd="1"/>
        <i x="84" nd="1"/>
        <i x="511" nd="1"/>
        <i x="428" nd="1"/>
        <i x="437" nd="1"/>
        <i x="491" nd="1"/>
        <i x="520" nd="1"/>
        <i x="573" nd="1"/>
        <i x="251" nd="1"/>
        <i x="557" nd="1"/>
        <i x="441" nd="1"/>
        <i x="52" nd="1"/>
        <i x="339" nd="1"/>
        <i x="358" nd="1"/>
        <i x="513" nd="1"/>
        <i x="471" nd="1"/>
        <i x="510" nd="1"/>
        <i x="48" nd="1"/>
        <i x="684" nd="1"/>
        <i x="340" nd="1"/>
        <i x="116" nd="1"/>
        <i x="96" nd="1"/>
        <i x="17" nd="1"/>
        <i x="86" nd="1"/>
        <i x="402" nd="1"/>
        <i x="164" nd="1"/>
        <i x="165" nd="1"/>
        <i x="190" nd="1"/>
        <i x="214" nd="1"/>
        <i x="333" nd="1"/>
        <i x="342" nd="1"/>
        <i x="617" nd="1"/>
        <i x="551" nd="1"/>
        <i x="622" nd="1"/>
        <i x="350" nd="1"/>
        <i x="525" nd="1"/>
        <i x="275" nd="1"/>
        <i x="241" nd="1"/>
        <i x="108" nd="1"/>
        <i x="326" nd="1"/>
        <i x="325" nd="1"/>
        <i x="268" nd="1"/>
        <i x="114" nd="1"/>
        <i x="43" nd="1"/>
        <i x="611" nd="1"/>
        <i x="610" nd="1"/>
        <i x="440" nd="1"/>
        <i x="397" nd="1"/>
        <i x="711" nd="1"/>
        <i x="586" nd="1"/>
        <i x="585" nd="1"/>
        <i x="664" nd="1"/>
        <i x="583" nd="1"/>
        <i x="229" nd="1"/>
        <i x="453" nd="1"/>
        <i x="576" nd="1"/>
        <i x="623" nd="1"/>
        <i x="480" nd="1"/>
        <i x="422" nd="1"/>
        <i x="344" nd="1"/>
        <i x="609" nd="1"/>
        <i x="123" nd="1"/>
        <i x="115" nd="1"/>
        <i x="306" nd="1"/>
        <i x="51" nd="1"/>
        <i x="26" nd="1"/>
        <i x="249" nd="1"/>
        <i x="149" nd="1"/>
        <i x="31" nd="1"/>
        <i x="45" nd="1"/>
        <i x="195" nd="1"/>
        <i x="34" nd="1"/>
        <i x="35" nd="1"/>
        <i x="374" nd="1"/>
        <i x="446" nd="1"/>
        <i x="660" nd="1"/>
        <i x="231" nd="1"/>
        <i x="248" nd="1"/>
        <i x="559" nd="1"/>
        <i x="55" nd="1"/>
        <i x="58" nd="1"/>
        <i x="75" nd="1"/>
        <i x="167" nd="1"/>
        <i x="448" nd="1"/>
        <i x="273" nd="1"/>
        <i x="550" nd="1"/>
        <i x="425" nd="1"/>
        <i x="421" nd="1"/>
        <i x="554" nd="1"/>
        <i x="507" nd="1"/>
        <i x="377" nd="1"/>
        <i x="351" nd="1"/>
        <i x="435" nd="1"/>
        <i x="483" nd="1"/>
        <i x="60" nd="1"/>
        <i x="160" nd="1"/>
        <i x="161" nd="1"/>
        <i x="158" nd="1"/>
        <i x="562" nd="1"/>
        <i x="579" nd="1"/>
        <i x="276" nd="1"/>
        <i x="465" nd="1"/>
        <i x="466" nd="1"/>
        <i x="467" nd="1"/>
        <i x="542" nd="1"/>
        <i x="661" nd="1"/>
        <i x="619" nd="1"/>
        <i x="620" nd="1"/>
        <i x="197" nd="1"/>
        <i x="198" nd="1"/>
        <i x="15" nd="1"/>
        <i x="662" nd="1"/>
        <i x="215" nd="1"/>
        <i x="101" nd="1"/>
        <i x="21" nd="1"/>
        <i x="20" nd="1"/>
        <i x="22" nd="1"/>
        <i x="528" nd="1"/>
        <i x="561" nd="1"/>
        <i x="667" nd="1"/>
        <i x="616" nd="1"/>
        <i x="300" nd="1"/>
        <i x="202" nd="1"/>
        <i x="203" nd="1"/>
        <i x="312" nd="1"/>
        <i x="142" nd="1"/>
        <i x="382" nd="1"/>
        <i x="138" nd="1"/>
        <i x="139" nd="1"/>
        <i x="625" nd="1"/>
        <i x="624" nd="1"/>
        <i x="206" nd="1"/>
        <i x="245" nd="1"/>
        <i x="176" nd="1"/>
        <i x="478" nd="1"/>
        <i x="355" nd="1"/>
        <i x="32" nd="1"/>
        <i x="457" nd="1"/>
        <i x="217" nd="1"/>
        <i x="517" nd="1"/>
        <i x="258" nd="1"/>
        <i x="599" nd="1"/>
        <i x="589" nd="1"/>
        <i x="292" nd="1"/>
        <i x="438" nd="1"/>
        <i x="291" nd="1"/>
        <i x="666" nd="1"/>
        <i x="665" nd="1"/>
        <i x="649" nd="1"/>
        <i x="645" nd="1"/>
        <i x="648" nd="1"/>
        <i x="647" nd="1"/>
        <i x="338" nd="1"/>
        <i x="38" nd="1"/>
        <i x="193" nd="1"/>
        <i x="184" nd="1"/>
        <i x="9" nd="1"/>
        <i x="505" nd="1"/>
        <i x="530" nd="1"/>
        <i x="341" nd="1"/>
        <i x="280" nd="1"/>
        <i x="598" nd="1"/>
        <i x="89" nd="1"/>
        <i x="128" nd="1"/>
        <i x="410" nd="1"/>
        <i x="409" nd="1"/>
        <i x="411" nd="1"/>
        <i x="42" nd="1"/>
        <i x="57" nd="1"/>
        <i x="56" nd="1"/>
        <i x="44" nd="1"/>
        <i x="592" nd="1"/>
        <i x="185" nd="1"/>
        <i x="681" nd="1"/>
        <i x="553" nd="1"/>
        <i x="259" nd="1"/>
        <i x="564" nd="1"/>
        <i x="102" nd="1"/>
        <i x="646" nd="1"/>
        <i x="41" nd="1"/>
        <i x="521" nd="1"/>
        <i x="375" nd="1"/>
        <i x="352" nd="1"/>
        <i x="315" nd="1"/>
        <i x="368" nd="1"/>
        <i x="305" nd="1"/>
        <i x="546" nd="1"/>
        <i x="261" nd="1"/>
        <i x="518" nd="1"/>
        <i x="519" nd="1"/>
        <i x="182" nd="1"/>
        <i x="364" nd="1"/>
        <i x="618" nd="1"/>
        <i x="244" nd="1"/>
        <i x="360" nd="1"/>
        <i x="481" nd="1"/>
        <i x="427" nd="1"/>
        <i x="447" nd="1"/>
        <i x="282" nd="1"/>
        <i x="686" nd="1"/>
        <i x="177" nd="1"/>
        <i x="80" nd="1"/>
        <i x="54" nd="1"/>
        <i x="316" nd="1"/>
        <i x="404" nd="1"/>
        <i x="536" nd="1"/>
        <i x="10" nd="1"/>
        <i x="79" nd="1"/>
        <i x="169" nd="1"/>
        <i x="174" nd="1"/>
        <i x="104" nd="1"/>
        <i x="303" nd="1"/>
        <i x="387" nd="1"/>
        <i x="388" nd="1"/>
        <i x="605" nd="1"/>
        <i x="469" nd="1"/>
        <i x="628" nd="1"/>
        <i x="92" nd="1"/>
        <i x="93" nd="1"/>
        <i x="365" nd="1"/>
        <i x="321" nd="1"/>
        <i x="641" nd="1"/>
        <i x="642" nd="1"/>
        <i x="537" nd="1"/>
        <i x="452" nd="1"/>
        <i x="183" nd="1"/>
        <i x="294" nd="1"/>
        <i x="640" nd="1"/>
        <i x="506" nd="1"/>
        <i x="235" nd="1"/>
        <i x="127" nd="1"/>
        <i x="33" nd="1"/>
        <i x="39" nd="1"/>
        <i x="11" nd="1"/>
        <i x="12" nd="1"/>
        <i x="71" nd="1"/>
        <i x="72" nd="1"/>
        <i x="53" nd="1"/>
        <i x="643" nd="1"/>
        <i x="644" nd="1"/>
        <i x="200" nd="1"/>
        <i x="36" nd="1"/>
        <i x="455" nd="1"/>
        <i x="199" nd="1"/>
        <i x="431" nd="1"/>
        <i x="578" nd="1"/>
        <i x="62" nd="1"/>
        <i x="675" nd="1"/>
        <i x="476" nd="1"/>
        <i x="243" nd="1"/>
        <i x="205" nd="1"/>
        <i x="83" nd="1"/>
        <i x="636" nd="1"/>
        <i x="247" nd="1"/>
        <i x="166" nd="1"/>
        <i x="63" nd="1"/>
        <i x="574" nd="1"/>
        <i x="234" nd="1"/>
        <i x="663" nd="1"/>
        <i x="463" nd="1"/>
        <i x="538" nd="1"/>
        <i x="701" nd="1"/>
        <i x="87" nd="1"/>
        <i x="25" nd="1"/>
        <i x="415" nd="1"/>
        <i x="472" nd="1"/>
        <i x="474" nd="1"/>
        <i x="162" nd="1"/>
        <i x="136" nd="1"/>
        <i x="218" nd="1"/>
        <i x="386" nd="1"/>
        <i x="319"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usiness_Line" xr10:uid="{00000000-0013-0000-FFFF-FFFF02000000}" sourceName="Business Line">
  <pivotTables>
    <pivotTable tabId="86" name="PivotTable1"/>
  </pivotTables>
  <data>
    <tabular pivotCacheId="288470051">
      <items count="8">
        <i x="0"/>
        <i x="2"/>
        <i x="1"/>
        <i x="3"/>
        <i x="4" s="1"/>
        <i x="6" nd="1"/>
        <i x="7" nd="1"/>
        <i x="5"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xr10:uid="{00000000-0014-0000-FFFF-FFFF01000000}" cache="Slicer_Customer" caption="Customer" style="SlicerStyleOther1" rowHeight="225425"/>
  <slicer name="Business Line" xr10:uid="{00000000-0014-0000-FFFF-FFFF02000000}" cache="Slicer_Business_Line" caption="Business Line" style="SlicerStyleOther1" rowHeight="22542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blProjectlist" displayName="tblProjectlist" ref="A3:W5145" totalsRowShown="0" headerRowDxfId="536">
  <autoFilter ref="A3:W5145" xr:uid="{00000000-0009-0000-0100-000002000000}"/>
  <tableColumns count="23">
    <tableColumn id="21" xr3:uid="{00000000-0010-0000-0200-000015000000}" name="Cost Center" dataDxfId="535">
      <calculatedColumnFormula>TEXT(tblProjectlist[[#This Row],[project-no]],"0")</calculatedColumnFormula>
    </tableColumn>
    <tableColumn id="22" xr3:uid="{04E3763F-15D5-41B8-AE31-D3D9A4FF488D}" name="Column1" dataCellStyle="Normal 2"/>
    <tableColumn id="2" xr3:uid="{00000000-0010-0000-0200-000002000000}" name="Customer-Groupname"/>
    <tableColumn id="3" xr3:uid="{00000000-0010-0000-0200-000003000000}" name="Customer"/>
    <tableColumn id="4" xr3:uid="{00000000-0010-0000-0200-000004000000}" name="Column4"/>
    <tableColumn id="5" xr3:uid="{00000000-0010-0000-0200-000005000000}" name="Column5"/>
    <tableColumn id="6" xr3:uid="{00000000-0010-0000-0200-000006000000}" name="Column6"/>
    <tableColumn id="7" xr3:uid="{00000000-0010-0000-0200-000007000000}" name="Customer ID"/>
    <tableColumn id="8" xr3:uid="{00000000-0010-0000-0200-000008000000}" name="Column8"/>
    <tableColumn id="18" xr3:uid="{EE0CFE51-557B-433E-AC73-89A215D1EC60}" name="Column9" dataCellStyle="Normal 2"/>
    <tableColumn id="9" xr3:uid="{00000000-0010-0000-0200-000009000000}" name="project-no"/>
    <tableColumn id="10" xr3:uid="{00000000-0010-0000-0200-00000A000000}" name="4flow-Company (owner)" dataDxfId="534"/>
    <tableColumn id="11" xr3:uid="{00000000-0010-0000-0200-00000B000000}" name="Business Line"/>
    <tableColumn id="12" xr3:uid="{00000000-0010-0000-0200-00000C000000}" name="Business Unit" dataDxfId="533"/>
    <tableColumn id="13" xr3:uid="{00000000-0010-0000-0200-00000D000000}" name="Project title"/>
    <tableColumn id="14" xr3:uid="{00000000-0010-0000-0200-00000E000000}" name="Column10" dataDxfId="532"/>
    <tableColumn id="15" xr3:uid="{00000000-0010-0000-0200-00000F000000}" name="Column2"/>
    <tableColumn id="19" xr3:uid="{00000000-0010-0000-0200-000013000000}" name="Status"/>
    <tableColumn id="20" xr3:uid="{00000000-0010-0000-0200-000014000000}" name="Object" dataCellStyle="Normal 2"/>
    <tableColumn id="1" xr3:uid="{E34F265A-9D9B-48BC-9E21-1500DF6E8FEC}" name="Workday ID" dataCellStyle="Normal 2"/>
    <tableColumn id="23" xr3:uid="{827B154E-DD46-44BB-84D2-39C73E446407}" name="Workday Title" dataCellStyle="Normal 2"/>
    <tableColumn id="16" xr3:uid="{CBD87F55-5220-4568-A378-042A9FF3793B}" name="Specification" dataCellStyle="Normal 2"/>
    <tableColumn id="17" xr3:uid="{6036DBA9-4336-428A-8F79-F0842A5CDF16}" name="HGB group allocation" dataCellStyle="Normal 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I2:J18" totalsRowShown="0">
  <autoFilter ref="I2:J18" xr:uid="{00000000-0009-0000-0100-000001000000}"/>
  <tableColumns count="2">
    <tableColumn id="2" xr3:uid="{00000000-0010-0000-0000-000002000000}" name="Country" dataDxfId="511"/>
    <tableColumn id="1" xr3:uid="{00000000-0010-0000-0000-000001000000}" name="4flowCompanie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blLocation" displayName="tblLocation" ref="L2:L24" totalsRowShown="0" headerRowDxfId="510" dataDxfId="509">
  <autoFilter ref="L2:L24" xr:uid="{00000000-0009-0000-0100-000003000000}"/>
  <sortState xmlns:xlrd2="http://schemas.microsoft.com/office/spreadsheetml/2017/richdata2" ref="L3:L16">
    <sortCondition ref="L2:L16"/>
  </sortState>
  <tableColumns count="1">
    <tableColumn id="1" xr3:uid="{00000000-0010-0000-0100-000001000000}" name="location" dataDxfId="508"/>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608737F-E77F-46F9-9B83-FC73B839EEDE}" name="ddSpecification" displayName="ddSpecification" ref="N2:Q30" totalsRowShown="0" headerRowDxfId="507" dataDxfId="506">
  <autoFilter ref="N2:Q30" xr:uid="{C608737F-E77F-46F9-9B83-FC73B839EEDE}"/>
  <sortState xmlns:xlrd2="http://schemas.microsoft.com/office/spreadsheetml/2017/richdata2" ref="N3:N18">
    <sortCondition ref="N4:N20"/>
  </sortState>
  <tableColumns count="4">
    <tableColumn id="1" xr3:uid="{33C0D8D6-D3E2-47FC-B43F-72722858034D}" name="Specification" dataDxfId="505"/>
    <tableColumn id="2" xr3:uid="{6BC3D5FB-AD28-4D53-8EEF-A6C609CC23BB}" name="Specification 4c" dataDxfId="504"/>
    <tableColumn id="3" xr3:uid="{FD87B0A0-F0DB-489A-AB59-BA416AC06BA6}" name="Specification 4fm" dataDxfId="503"/>
    <tableColumn id="4" xr3:uid="{5E253D60-DF84-4B83-BA55-19058FD7B90C}" name="Specification 4fs" dataDxfId="502"/>
  </tableColumns>
  <tableStyleInfo name="TableStyleMedium17" showFirstColumn="0" showLastColumn="0" showRowStripes="1" showColumnStripes="0"/>
</table>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4flowconsulting.sharepoint.com/sites/intranet-4meat4flow/SitePages/Project-tracker.aspx" TargetMode="External"/><Relationship Id="rId1" Type="http://schemas.openxmlformats.org/officeDocument/2006/relationships/hyperlink" Target="http://intranet.berlin.4flow.de/4flow/index.php?id=3801" TargetMode="External"/><Relationship Id="rId6" Type="http://schemas.openxmlformats.org/officeDocument/2006/relationships/ctrlProp" Target="../ctrlProps/ctrlProp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FF6600"/>
    <pageSetUpPr fitToPage="1"/>
  </sheetPr>
  <dimension ref="A1:BS104"/>
  <sheetViews>
    <sheetView showGridLines="0" tabSelected="1" zoomScaleNormal="100" workbookViewId="0">
      <pane ySplit="4" topLeftCell="A5" activePane="bottomLeft" state="frozen"/>
      <selection activeCell="O8" sqref="O8"/>
      <selection pane="bottomLeft" activeCell="J19" sqref="J19"/>
    </sheetView>
  </sheetViews>
  <sheetFormatPr defaultColWidth="11.42578125" defaultRowHeight="12.75"/>
  <cols>
    <col min="1" max="1" width="13.42578125" style="11" customWidth="1"/>
    <col min="2" max="2" width="9" style="38" customWidth="1"/>
    <col min="3" max="3" width="5.5703125" style="15" customWidth="1"/>
    <col min="4" max="4" width="4.5703125" style="11" customWidth="1"/>
    <col min="5" max="5" width="9.85546875" style="11" hidden="1" customWidth="1"/>
    <col min="6" max="6" width="3.85546875" style="11" hidden="1" customWidth="1"/>
    <col min="7" max="7" width="7.42578125" style="11" hidden="1" customWidth="1"/>
    <col min="8" max="8" width="4" style="11" customWidth="1"/>
    <col min="9" max="9" width="18.5703125" style="18" customWidth="1"/>
    <col min="10" max="10" width="22.85546875" style="18" customWidth="1"/>
    <col min="11" max="11" width="6.5703125" style="11" customWidth="1"/>
    <col min="12" max="12" width="18.42578125" style="46" customWidth="1"/>
    <col min="13" max="13" width="61.5703125" style="11" customWidth="1"/>
    <col min="14" max="14" width="2.5703125" style="11" customWidth="1"/>
    <col min="15" max="15" width="40.28515625" style="11" customWidth="1"/>
    <col min="16" max="16" width="3.28515625" style="11" customWidth="1"/>
    <col min="17" max="17" width="2.7109375" style="11" customWidth="1"/>
    <col min="18" max="19" width="19.42578125" style="11" customWidth="1"/>
    <col min="20" max="20" width="20.7109375" style="11" bestFit="1" customWidth="1"/>
    <col min="21" max="21" width="17.5703125" style="11" customWidth="1"/>
    <col min="22" max="22" width="52.42578125" style="11" customWidth="1"/>
    <col min="23" max="23" width="13.42578125" style="11" customWidth="1"/>
    <col min="24" max="24" width="12.7109375" style="11" customWidth="1"/>
    <col min="25" max="25" width="11.42578125" style="11" customWidth="1"/>
    <col min="26" max="26" width="24.5703125" style="11" hidden="1" customWidth="1"/>
    <col min="27" max="27" width="17.85546875" style="11" hidden="1" customWidth="1"/>
    <col min="28" max="28" width="22.140625" style="18" hidden="1" customWidth="1"/>
    <col min="29" max="29" width="27.85546875" style="11" hidden="1" customWidth="1"/>
    <col min="30" max="30" width="11.42578125" style="11" customWidth="1"/>
    <col min="31" max="16384" width="11.42578125" style="11"/>
  </cols>
  <sheetData>
    <row r="1" spans="1:71" ht="25.5" customHeight="1">
      <c r="A1" s="140" t="s">
        <v>3</v>
      </c>
      <c r="B1" s="140"/>
      <c r="C1" s="145" t="s">
        <v>4745</v>
      </c>
      <c r="D1" s="145"/>
      <c r="E1" s="145"/>
      <c r="F1" s="145"/>
      <c r="G1" s="145"/>
      <c r="H1" s="145"/>
      <c r="I1" s="145"/>
      <c r="J1" s="145"/>
      <c r="K1" s="145"/>
      <c r="L1" s="145"/>
      <c r="M1" s="145"/>
      <c r="N1" s="146"/>
      <c r="O1" s="12" t="s">
        <v>28</v>
      </c>
      <c r="Q1" s="13" t="s">
        <v>53</v>
      </c>
      <c r="R1" s="14"/>
      <c r="S1" s="85" t="str">
        <f>Projectlist!D1</f>
        <v>last update: 27.04.2026</v>
      </c>
      <c r="T1" s="85"/>
      <c r="AB1" s="127"/>
    </row>
    <row r="2" spans="1:71" ht="12.75" customHeight="1">
      <c r="A2" s="139" t="s">
        <v>88</v>
      </c>
      <c r="B2" s="139"/>
      <c r="I2" s="16"/>
      <c r="J2" s="16"/>
      <c r="K2" s="130"/>
      <c r="L2" s="131" t="s">
        <v>4743</v>
      </c>
      <c r="O2" s="134" t="str">
        <f ca="1">IF($K$101-varTarget&lt;0,varTarget-$K$101&amp;" working day(s) missing",IF($K$101-varTarget&gt;0,$K$101-varTarget&amp;" working day(s) too much",IF(O3="","Your project tracker is completed!","")))</f>
        <v>6 working day(s) too much</v>
      </c>
      <c r="Q2" s="142" t="s">
        <v>4465</v>
      </c>
      <c r="R2" s="143"/>
      <c r="S2" s="143"/>
      <c r="T2" s="143"/>
      <c r="U2" s="143"/>
      <c r="AB2" s="16"/>
    </row>
    <row r="3" spans="1:71">
      <c r="A3" s="89" t="e">
        <f>VLOOKUP(Country,Table1[],2,FALSE)</f>
        <v>#N/A</v>
      </c>
      <c r="B3" s="17"/>
      <c r="K3" s="130"/>
      <c r="L3" s="131" t="s">
        <v>4744</v>
      </c>
      <c r="O3" s="133" t="str">
        <f ca="1">IF(AND(COUNTIF(I5:I66,"&lt;&gt;")=COUNTIF(J5:J66,"&lt;&gt;"),COUNTIF(J5:J66,"&lt;&gt;")=COUNTIF(K5:K66,"&lt;&gt;"), COUNTIF(AC5:AC66,FALSE)=0),"","Missing or invalid entries, 
please check the cells marked orange")</f>
        <v>Missing or invalid entries, 
please check the cells marked orange</v>
      </c>
    </row>
    <row r="4" spans="1:71">
      <c r="A4" s="19" t="s">
        <v>12</v>
      </c>
      <c r="B4" s="20">
        <v>2026</v>
      </c>
      <c r="C4" s="21" t="s">
        <v>2</v>
      </c>
      <c r="D4" s="21"/>
      <c r="E4" s="21" t="s">
        <v>29</v>
      </c>
      <c r="F4" s="21" t="s">
        <v>24</v>
      </c>
      <c r="G4" s="21" t="s">
        <v>25</v>
      </c>
      <c r="H4" s="21" t="s">
        <v>17</v>
      </c>
      <c r="I4" s="21" t="s">
        <v>2171</v>
      </c>
      <c r="J4" s="21" t="s">
        <v>135</v>
      </c>
      <c r="K4" s="21" t="s">
        <v>77</v>
      </c>
      <c r="L4" s="21" t="s">
        <v>3</v>
      </c>
      <c r="M4" s="21" t="s">
        <v>78</v>
      </c>
      <c r="N4" s="22"/>
      <c r="O4" s="21" t="s">
        <v>79</v>
      </c>
      <c r="Z4" s="1" t="s">
        <v>173</v>
      </c>
      <c r="AA4" s="1" t="s">
        <v>175</v>
      </c>
      <c r="AB4" s="1" t="s">
        <v>139</v>
      </c>
      <c r="AC4" s="1" t="s">
        <v>3731</v>
      </c>
    </row>
    <row r="5" spans="1:71">
      <c r="A5" s="19" t="s">
        <v>13</v>
      </c>
      <c r="B5" s="20">
        <v>4</v>
      </c>
      <c r="C5" s="23" t="str">
        <f>IF($D5=5,$F5,IF(AND(ROW($D5)=5,OR($D5&gt;5,$D5=1)),$F5,""))</f>
        <v/>
      </c>
      <c r="D5" s="144">
        <f>IF($H5&lt;&gt;"",WEEKDAY(DATE($B$4,$B$5,H5),1),"")</f>
        <v>4</v>
      </c>
      <c r="E5" s="24">
        <f>DATE(Year,Month,1)</f>
        <v>46113</v>
      </c>
      <c r="F5" s="25">
        <f>IF($E5&lt;&gt;"",TRUNC(($E5-DATE(YEAR($E5+3-MOD($E5-2,7)),1,MOD($E5-2,7)-9))/7),"")</f>
        <v>14</v>
      </c>
      <c r="G5" s="24" t="b">
        <f ca="1">IF($E5&lt;&gt;"",IF(ISERROR(VLOOKUP($E5,INDIRECT("holidays!"&amp;CHAR(MATCH(Country,holidays!$2:$2,0)+64)&amp;":"&amp;CHAR(MATCH(Country,holidays!$2:$2,0)+64)),1,0)),IF(ISERROR(VLOOKUP($E5,INDIRECT("holidays!"&amp;CHAR(MATCH(Country,holidays!$3:$3,0)+64)&amp;":"&amp;CHAR(MATCH(Country,holidays!$3:$3,0)+64)),1,0)),IF(WEEKDAY($E5,2)&gt;5,TRUE,FALSE),FALSE),TRUE),TRUE)</f>
        <v>0</v>
      </c>
      <c r="H5" s="141">
        <v>1</v>
      </c>
      <c r="I5" s="26"/>
      <c r="J5" s="26"/>
      <c r="K5" s="27"/>
      <c r="L5" s="28"/>
      <c r="M5" s="109"/>
      <c r="N5" s="29"/>
      <c r="O5" s="109" t="str">
        <f>IF(AND($I5&lt;&gt;"Vacation or sickness",$I5&lt;&gt;"Other absence"), IF($I5&lt;&gt;"",IF(_xlfn.XLOOKUP(TEXT($I5,"0"),tblProjectlist[Workday ID],tblProjectlist[Object],"")&lt;&gt;"Cost center",IFERROR("BL "&amp;_xlfn.XLOOKUP(TEXT($I5,"0"),tblProjectlist[Workday ID],tblProjectlist[Business Line]),"Cost center not found. Please check your entry."),IFERROR(_xlfn.XLOOKUP(TEXT($I5,"0"),tblProjectlist[Workday ID],tblProjectlist[Workday Title]),"Cost center not found. Please check your entry.")),""),"")</f>
        <v/>
      </c>
      <c r="Q5" s="13" t="s">
        <v>50</v>
      </c>
      <c r="Z5" s="11" t="str">
        <f>SUBSTITUTE(IF(OR($I5="Vacation or sickness",$I5="Other absence"), "overhead", _xlfn.XLOOKUP(TEXT($I5,"0"),tblProjectlist[Workday ID], tblProjectlist[Business Line], "4flow")), " ", "")</f>
        <v>4flow</v>
      </c>
      <c r="AA5" s="11" t="str">
        <f>IF(NOT(OR($I5="Vacation or sickness",$I5="Other absence")), IF(_xlfn.XLOOKUP(TEXT($I5,"0"),tblProjectlist[Workday ID], tblProjectlist[Object], "na")="Project", "proj", IF(_xlfn.XLOOKUP(TEXT($I5,"0"),tblProjectlist[Workday ID], tblProjectlist[Object], "na")="Cost center", "cc", "na")), "na")</f>
        <v>na</v>
      </c>
      <c r="AB5" s="1" t="str">
        <f t="shared" ref="AB5:AB36" si="0">IF(_xlfn.CONCAT(I5," - ",J5) &lt;&gt; " - ", _xlfn.CONCAT(I5," - ",J5), "")</f>
        <v/>
      </c>
      <c r="AC5" s="11" t="b">
        <f ca="1">IF(J5="",TRUE,IF(COUNTIF(INDIRECT("spec_"&amp;$Z5&amp;"_"&amp;$AA5),J5)&gt;0, TRUE, FALSE))</f>
        <v>1</v>
      </c>
    </row>
    <row r="6" spans="1:71">
      <c r="A6" s="19" t="s">
        <v>14</v>
      </c>
      <c r="B6" s="19">
        <f>DAY(DATE($B$4,$B$5+1,0))</f>
        <v>30</v>
      </c>
      <c r="C6" s="30" t="str">
        <f t="shared" ref="C6:C66" si="1">IF($D6=5,$F6,IF(AND(ROW($D6)=5,OR($D6&gt;5,$D6=1)),$F6,""))</f>
        <v/>
      </c>
      <c r="D6" s="144"/>
      <c r="E6" s="24">
        <f>IF($E5=$E4,IF(IFERROR(DAY($E5+1)&lt;DAY($E5),TRUE),"",$E5+1),$E5)</f>
        <v>46113</v>
      </c>
      <c r="F6" s="25">
        <f t="shared" ref="F6:F66" si="2">IF($E6&lt;&gt;"",TRUNC(($E6-DATE(YEAR($E6+3-MOD($E6-2,7)),1,MOD($E6-2,7)-9))/7),"")</f>
        <v>14</v>
      </c>
      <c r="G6" s="24" t="b">
        <f ca="1">IF($E6&lt;&gt;"",IF(ISERROR(VLOOKUP($E6,INDIRECT("holidays!"&amp;CHAR(MATCH(Country,holidays!$2:$2,0)+64)&amp;":"&amp;CHAR(MATCH(Country,holidays!$2:$2,0)+64)),1,0)),IF(ISERROR(VLOOKUP($E6,INDIRECT("holidays!"&amp;CHAR(MATCH(Country,holidays!$3:$3,0)+64)&amp;":"&amp;CHAR(MATCH(Country,holidays!$3:$3,0)+64)),1,0)),IF(WEEKDAY($E6,2)&gt;5,TRUE,FALSE),FALSE),TRUE),TRUE)</f>
        <v>0</v>
      </c>
      <c r="H6" s="141"/>
      <c r="I6" s="26"/>
      <c r="J6" s="26"/>
      <c r="K6" s="27"/>
      <c r="L6" s="28"/>
      <c r="M6" s="132"/>
      <c r="N6" s="29"/>
      <c r="O6" s="109" t="str">
        <f>IF(AND($I6&lt;&gt;"Vacation or sickness",$I6&lt;&gt;"Other absence"), IF($I6&lt;&gt;"",IF(_xlfn.XLOOKUP(TEXT($I6,"0"),tblProjectlist[Workday ID],tblProjectlist[Object],"")&lt;&gt;"Cost center",IFERROR("BL "&amp;_xlfn.XLOOKUP(TEXT($I6,"0"),tblProjectlist[Workday ID],tblProjectlist[Business Line]),"Cost center not found. Please check your entry."),IFERROR(_xlfn.XLOOKUP(TEXT($I6,"0"),tblProjectlist[Workday ID],tblProjectlist[Workday Title]),"Cost center not found. Please check your entry.")),""),"")</f>
        <v/>
      </c>
      <c r="Q6" s="111"/>
      <c r="R6" s="111"/>
      <c r="S6" s="111"/>
      <c r="T6" s="111"/>
      <c r="U6" s="111"/>
      <c r="V6" s="31"/>
      <c r="Z6" s="11" t="str">
        <f>SUBSTITUTE(IF(OR($I6="Vacation or sickness",$I6="Other absence"), "overhead", _xlfn.XLOOKUP(TEXT($I6,"0"),tblProjectlist[Workday ID], tblProjectlist[Business Line], "4flow")), " ", "")</f>
        <v>4flow</v>
      </c>
      <c r="AA6" s="11" t="str">
        <f>IF(NOT(OR($I6="Vacation or sickness",$I6="Other absence")), IF(_xlfn.XLOOKUP(TEXT($I6,"0"),tblProjectlist[Workday ID], tblProjectlist[Object], "na")="Project", "proj", IF(_xlfn.XLOOKUP(TEXT($I6,"0"),tblProjectlist[Workday ID], tblProjectlist[Object], "na")="Cost center", "cc", "na")), "na")</f>
        <v>na</v>
      </c>
      <c r="AB6" s="1" t="str">
        <f t="shared" si="0"/>
        <v/>
      </c>
      <c r="AC6" s="11" t="b">
        <f t="shared" ref="AC6:AC66" ca="1" si="3">IF(J6="",TRUE,IF(COUNTIF(INDIRECT("spec_"&amp;$Z6&amp;"_"&amp;$AA6),J6)&gt;0, TRUE, FALSE))</f>
        <v>1</v>
      </c>
    </row>
    <row r="7" spans="1:71">
      <c r="A7" s="19" t="s">
        <v>27</v>
      </c>
      <c r="B7" s="19">
        <v>8</v>
      </c>
      <c r="C7" s="30">
        <f t="shared" si="1"/>
        <v>14</v>
      </c>
      <c r="D7" s="144">
        <f t="shared" ref="D7" si="4">IF($H7&lt;&gt;"",WEEKDAY(DATE($B$4,$B$5,H7),1),"")</f>
        <v>5</v>
      </c>
      <c r="E7" s="24">
        <f t="shared" ref="E7:E66" si="5">IF($E6=$E5,IF(IFERROR(DAY($E6+1)&lt;DAY($E6),TRUE),"",$E6+1),$E6)</f>
        <v>46114</v>
      </c>
      <c r="F7" s="25">
        <f t="shared" si="2"/>
        <v>14</v>
      </c>
      <c r="G7" s="24" t="b">
        <f ca="1">IF($E7&lt;&gt;"",IF(ISERROR(VLOOKUP($E7,INDIRECT("holidays!"&amp;CHAR(MATCH(Country,holidays!$2:$2,0)+64)&amp;":"&amp;CHAR(MATCH(Country,holidays!$2:$2,0)+64)),1,0)),IF(ISERROR(VLOOKUP($E7,INDIRECT("holidays!"&amp;CHAR(MATCH(Country,holidays!$3:$3,0)+64)&amp;":"&amp;CHAR(MATCH(Country,holidays!$3:$3,0)+64)),1,0)),IF(WEEKDAY($E7,2)&gt;5,TRUE,FALSE),FALSE),TRUE),TRUE)</f>
        <v>0</v>
      </c>
      <c r="H7" s="141">
        <f>IF(H5&lt;&gt;"",IF(H5+1&gt;$B$6,"",H5+1),"")</f>
        <v>2</v>
      </c>
      <c r="I7" s="26"/>
      <c r="J7" s="26"/>
      <c r="K7" s="27"/>
      <c r="L7" s="28"/>
      <c r="M7" s="109"/>
      <c r="N7" s="114"/>
      <c r="O7" s="109" t="str">
        <f>IF(AND($I7&lt;&gt;"Vacation or sickness",$I7&lt;&gt;"Other absence"), IF($I7&lt;&gt;"",IF(_xlfn.XLOOKUP(TEXT($I7,"0"),tblProjectlist[Workday ID],tblProjectlist[Object],"")&lt;&gt;"Cost center",IFERROR("BL "&amp;_xlfn.XLOOKUP(TEXT($I7,"0"),tblProjectlist[Workday ID],tblProjectlist[Business Line]),"Cost center not found. Please check your entry."),IFERROR(_xlfn.XLOOKUP(TEXT($I7,"0"),tblProjectlist[Workday ID],tblProjectlist[Workday Title]),"Cost center not found. Please check your entry.")),""),"")</f>
        <v/>
      </c>
      <c r="P7" s="99">
        <f>IF(SUM(P8:P22)&gt;1,1,0)</f>
        <v>0</v>
      </c>
      <c r="Q7" s="32" t="s">
        <v>38</v>
      </c>
      <c r="R7" s="32" t="s">
        <v>2171</v>
      </c>
      <c r="S7" s="32" t="s">
        <v>136</v>
      </c>
      <c r="T7" s="32" t="s">
        <v>178</v>
      </c>
      <c r="U7" s="32" t="s">
        <v>37</v>
      </c>
      <c r="V7" s="32" t="s">
        <v>15</v>
      </c>
      <c r="W7" s="32" t="s">
        <v>73</v>
      </c>
      <c r="X7" s="32" t="s">
        <v>70</v>
      </c>
      <c r="Z7" s="11" t="str">
        <f>SUBSTITUTE(IF(OR($I7="Vacation or sickness",$I7="Other absence"), "overhead", _xlfn.XLOOKUP(TEXT($I7,"0"),tblProjectlist[Workday ID], tblProjectlist[Business Line], "4flow")), " ", "")</f>
        <v>4flow</v>
      </c>
      <c r="AA7" s="11" t="str">
        <f>IF(NOT(OR($I7="Vacation or sickness",$I7="Other absence")), IF(_xlfn.XLOOKUP(TEXT($I7,"0"),tblProjectlist[Workday ID], tblProjectlist[Object], "na")="Project", "proj", IF(_xlfn.XLOOKUP(TEXT($I7,"0"),tblProjectlist[Workday ID], tblProjectlist[Object], "na")="Cost center", "cc", "na")), "na")</f>
        <v>na</v>
      </c>
      <c r="AB7" s="1" t="str">
        <f t="shared" si="0"/>
        <v/>
      </c>
      <c r="AC7" s="11" t="b">
        <f t="shared" ca="1" si="3"/>
        <v>1</v>
      </c>
    </row>
    <row r="8" spans="1:71">
      <c r="A8" s="31" t="s">
        <v>55</v>
      </c>
      <c r="B8" s="86"/>
      <c r="C8" s="30" t="str">
        <f t="shared" si="1"/>
        <v/>
      </c>
      <c r="D8" s="144"/>
      <c r="E8" s="24">
        <f t="shared" si="5"/>
        <v>46114</v>
      </c>
      <c r="F8" s="25">
        <f t="shared" si="2"/>
        <v>14</v>
      </c>
      <c r="G8" s="24" t="b">
        <f ca="1">IF($E8&lt;&gt;"",IF(ISERROR(VLOOKUP($E8,INDIRECT("holidays!"&amp;CHAR(MATCH(Country,holidays!$2:$2,0)+64)&amp;":"&amp;CHAR(MATCH(Country,holidays!$2:$2,0)+64)),1,0)),IF(ISERROR(VLOOKUP($E8,INDIRECT("holidays!"&amp;CHAR(MATCH(Country,holidays!$3:$3,0)+64)&amp;":"&amp;CHAR(MATCH(Country,holidays!$3:$3,0)+64)),1,0)),IF(WEEKDAY($E8,2)&gt;5,TRUE,FALSE),FALSE),TRUE),TRUE)</f>
        <v>0</v>
      </c>
      <c r="H8" s="141"/>
      <c r="I8" s="26"/>
      <c r="J8" s="26"/>
      <c r="K8" s="27"/>
      <c r="L8" s="28"/>
      <c r="M8" s="109"/>
      <c r="N8" s="29"/>
      <c r="O8" s="109" t="str">
        <f>IF(AND($I8&lt;&gt;"Vacation or sickness",$I8&lt;&gt;"Other absence"), IF($I8&lt;&gt;"",IF(_xlfn.XLOOKUP(TEXT($I8,"0"),tblProjectlist[Workday ID],tblProjectlist[Object],"")&lt;&gt;"Cost center",IFERROR("BL "&amp;_xlfn.XLOOKUP(TEXT($I8,"0"),tblProjectlist[Workday ID],tblProjectlist[Business Line]),"Cost center not found. Please check your entry."),IFERROR(_xlfn.XLOOKUP(TEXT($I8,"0"),tblProjectlist[Workday ID],tblProjectlist[Workday Title]),"Cost center not found. Please check your entry.")),""),"")</f>
        <v/>
      </c>
      <c r="P8" s="122">
        <v>0</v>
      </c>
      <c r="Q8" s="121">
        <v>1</v>
      </c>
      <c r="R8" s="35"/>
      <c r="S8" s="35"/>
      <c r="T8" s="35" t="str">
        <f>IF(_xlfn.CONCAT(R8," - ",S8) &lt;&gt; " - ", _xlfn.CONCAT(R8," - ",S8), "")</f>
        <v/>
      </c>
      <c r="U8" s="36"/>
      <c r="V8" s="36"/>
      <c r="W8" s="36" t="str">
        <f>IF(R8&lt;&gt;"",IFERROR(_xlfn.XLOOKUP(TEXT($R8,"0"),tblProjectlist[Workday ID],tblProjectlist[Business Line]),"n.a."),"")</f>
        <v/>
      </c>
      <c r="X8" s="36" t="str">
        <f>IF(R8&lt;&gt;"",IFERROR(_xlfn.XLOOKUP(TEXT($R8,"0"),tblProjectlist[Workday ID],tblProjectlist[Business Unit]),"n.a."),"")</f>
        <v/>
      </c>
      <c r="Z8" s="11" t="str">
        <f>SUBSTITUTE(IF(OR($I8="Vacation or sickness",$I8="Other absence"), "overhead", _xlfn.XLOOKUP(TEXT($I8,"0"),tblProjectlist[Workday ID], tblProjectlist[Business Line], "4flow")), " ", "")</f>
        <v>4flow</v>
      </c>
      <c r="AA8" s="11" t="str">
        <f>IF(NOT(OR($I8="Vacation or sickness",$I8="Other absence")), IF(_xlfn.XLOOKUP(TEXT($I8,"0"),tblProjectlist[Workday ID], tblProjectlist[Object], "na")="Project", "proj", IF(_xlfn.XLOOKUP(TEXT($I8,"0"),tblProjectlist[Workday ID], tblProjectlist[Object], "na")="Cost center", "cc", "na")), "na")</f>
        <v>na</v>
      </c>
      <c r="AB8" s="1" t="str">
        <f t="shared" si="0"/>
        <v/>
      </c>
      <c r="AC8" s="11" t="b">
        <f t="shared" ca="1" si="3"/>
        <v>1</v>
      </c>
    </row>
    <row r="9" spans="1:71" ht="12.75" customHeight="1">
      <c r="A9" s="1"/>
      <c r="C9" s="30" t="str">
        <f t="shared" si="1"/>
        <v/>
      </c>
      <c r="D9" s="144">
        <f t="shared" ref="D9" si="6">IF($H9&lt;&gt;"",WEEKDAY(DATE($B$4,$B$5,H9),1),"")</f>
        <v>6</v>
      </c>
      <c r="E9" s="24">
        <f t="shared" si="5"/>
        <v>46115</v>
      </c>
      <c r="F9" s="25">
        <f t="shared" si="2"/>
        <v>14</v>
      </c>
      <c r="G9" s="24" t="b">
        <f ca="1">IF($E9&lt;&gt;"",IF(ISERROR(VLOOKUP($E9,INDIRECT("holidays!"&amp;CHAR(MATCH(Country,holidays!$2:$2,0)+64)&amp;":"&amp;CHAR(MATCH(Country,holidays!$2:$2,0)+64)),1,0)),IF(ISERROR(VLOOKUP($E9,INDIRECT("holidays!"&amp;CHAR(MATCH(Country,holidays!$3:$3,0)+64)&amp;":"&amp;CHAR(MATCH(Country,holidays!$3:$3,0)+64)),1,0)),IF(WEEKDAY($E9,2)&gt;5,TRUE,FALSE),FALSE),TRUE),TRUE)</f>
        <v>1</v>
      </c>
      <c r="H9" s="141">
        <f t="shared" ref="H9" si="7">IF(H7&lt;&gt;"",IF(H7+1&gt;$B$6,"",H7+1),"")</f>
        <v>3</v>
      </c>
      <c r="I9" s="26"/>
      <c r="J9" s="26"/>
      <c r="K9" s="27"/>
      <c r="L9" s="28"/>
      <c r="M9" s="109"/>
      <c r="N9" s="29"/>
      <c r="O9" s="109" t="str">
        <f>IF(AND($I9&lt;&gt;"Vacation or sickness",$I9&lt;&gt;"Other absence"), IF($I9&lt;&gt;"",IF(_xlfn.XLOOKUP(TEXT($I9,"0"),tblProjectlist[Workday ID],tblProjectlist[Object],"")&lt;&gt;"Cost center",IFERROR("BL "&amp;_xlfn.XLOOKUP(TEXT($I9,"0"),tblProjectlist[Workday ID],tblProjectlist[Business Line]),"Cost center not found. Please check your entry."),IFERROR(_xlfn.XLOOKUP(TEXT($I9,"0"),tblProjectlist[Workday ID],tblProjectlist[Workday Title]),"Cost center not found. Please check your entry.")),""),"")</f>
        <v/>
      </c>
      <c r="P9" s="122">
        <v>0</v>
      </c>
      <c r="Q9" s="121">
        <v>2</v>
      </c>
      <c r="R9" s="35"/>
      <c r="S9" s="35"/>
      <c r="T9" s="35" t="str">
        <f t="shared" ref="T9:T22" si="8">IF(_xlfn.CONCAT(R9," - ",S9) &lt;&gt; " - ", _xlfn.CONCAT(R9," - ",S9), "")</f>
        <v/>
      </c>
      <c r="U9" s="36"/>
      <c r="V9" s="36"/>
      <c r="W9" s="36" t="str">
        <f>IF(R9&lt;&gt;"",IFERROR(_xlfn.XLOOKUP(TEXT($R9,"0"),tblProjectlist[Workday ID],tblProjectlist[Business Line]),"n.a."),"")</f>
        <v/>
      </c>
      <c r="X9" s="36" t="str">
        <f>IF(R9&lt;&gt;"",IFERROR(_xlfn.XLOOKUP(TEXT($R9,"0"),tblProjectlist[Workday ID],tblProjectlist[Business Unit]),"n.a."),"")</f>
        <v/>
      </c>
      <c r="Z9" s="11" t="str">
        <f>SUBSTITUTE(IF(OR($I9="Vacation or sickness",$I9="Other absence"), "overhead", _xlfn.XLOOKUP(TEXT($I9,"0"),tblProjectlist[Workday ID], tblProjectlist[Business Line], "4flow")), " ", "")</f>
        <v>4flow</v>
      </c>
      <c r="AA9" s="11" t="str">
        <f>IF(NOT(OR($I9="Vacation or sickness",$I9="Other absence")), IF(_xlfn.XLOOKUP(TEXT($I9,"0"),tblProjectlist[Workday ID], tblProjectlist[Object], "na")="Project", "proj", IF(_xlfn.XLOOKUP(TEXT($I9,"0"),tblProjectlist[Workday ID], tblProjectlist[Object], "na")="Cost center", "cc", "na")), "na")</f>
        <v>na</v>
      </c>
      <c r="AB9" s="1" t="str">
        <f t="shared" si="0"/>
        <v/>
      </c>
      <c r="AC9" s="11" t="b">
        <f t="shared" ca="1" si="3"/>
        <v>1</v>
      </c>
      <c r="BS9" s="85">
        <v>45568</v>
      </c>
    </row>
    <row r="10" spans="1:71">
      <c r="A10" s="19" t="s">
        <v>19</v>
      </c>
      <c r="B10" s="19">
        <f ca="1">MIN(OFFSET(ProjectNumberList,0,-3))</f>
        <v>14</v>
      </c>
      <c r="C10" s="30" t="str">
        <f t="shared" si="1"/>
        <v/>
      </c>
      <c r="D10" s="144"/>
      <c r="E10" s="24">
        <f t="shared" si="5"/>
        <v>46115</v>
      </c>
      <c r="F10" s="25">
        <f t="shared" si="2"/>
        <v>14</v>
      </c>
      <c r="G10" s="24" t="b">
        <f ca="1">IF($E10&lt;&gt;"",IF(ISERROR(VLOOKUP($E10,INDIRECT("holidays!"&amp;CHAR(MATCH(Country,holidays!$2:$2,0)+64)&amp;":"&amp;CHAR(MATCH(Country,holidays!$2:$2,0)+64)),1,0)),IF(ISERROR(VLOOKUP($E10,INDIRECT("holidays!"&amp;CHAR(MATCH(Country,holidays!$3:$3,0)+64)&amp;":"&amp;CHAR(MATCH(Country,holidays!$3:$3,0)+64)),1,0)),IF(WEEKDAY($E10,2)&gt;5,TRUE,FALSE),FALSE),TRUE),TRUE)</f>
        <v>1</v>
      </c>
      <c r="H10" s="141"/>
      <c r="I10" s="26"/>
      <c r="J10" s="26"/>
      <c r="K10" s="27"/>
      <c r="L10" s="28"/>
      <c r="M10" s="132"/>
      <c r="N10" s="29"/>
      <c r="O10" s="109" t="str">
        <f>IF(AND($I10&lt;&gt;"Vacation or sickness",$I10&lt;&gt;"Other absence"), IF($I10&lt;&gt;"",IF(_xlfn.XLOOKUP(TEXT($I10,"0"),tblProjectlist[Workday ID],tblProjectlist[Object],"")&lt;&gt;"Cost center",IFERROR("BL "&amp;_xlfn.XLOOKUP(TEXT($I10,"0"),tblProjectlist[Workday ID],tblProjectlist[Business Line]),"Cost center not found. Please check your entry."),IFERROR(_xlfn.XLOOKUP(TEXT($I10,"0"),tblProjectlist[Workday ID],tblProjectlist[Workday Title]),"Cost center not found. Please check your entry.")),""),"")</f>
        <v/>
      </c>
      <c r="P10" s="122">
        <v>0</v>
      </c>
      <c r="Q10" s="121">
        <v>3</v>
      </c>
      <c r="R10" s="35"/>
      <c r="S10" s="35"/>
      <c r="T10" s="35" t="str">
        <f t="shared" si="8"/>
        <v/>
      </c>
      <c r="U10" s="36"/>
      <c r="V10" s="36"/>
      <c r="W10" s="36" t="str">
        <f>IF(R10&lt;&gt;"",IFERROR(_xlfn.XLOOKUP(TEXT($R10,"0"),tblProjectlist[Workday ID],tblProjectlist[Business Line]),"n.a."),"")</f>
        <v/>
      </c>
      <c r="X10" s="36" t="str">
        <f>IF(R10&lt;&gt;"",IFERROR(_xlfn.XLOOKUP(TEXT($R10,"0"),tblProjectlist[Workday ID],tblProjectlist[Business Unit]),"n.a."),"")</f>
        <v/>
      </c>
      <c r="Z10" s="11" t="str">
        <f>SUBSTITUTE(IF(OR($I10="Vacation or sickness",$I10="Other absence"), "overhead", _xlfn.XLOOKUP(TEXT($I10,"0"),tblProjectlist[Workday ID], tblProjectlist[Business Line], "4flow")), " ", "")</f>
        <v>4flow</v>
      </c>
      <c r="AA10" s="11" t="str">
        <f>IF(NOT(OR($I10="Vacation or sickness",$I10="Other absence")), IF(_xlfn.XLOOKUP(TEXT($I10,"0"),tblProjectlist[Workday ID], tblProjectlist[Object], "na")="Project", "proj", IF(_xlfn.XLOOKUP(TEXT($I10,"0"),tblProjectlist[Workday ID], tblProjectlist[Object], "na")="Cost center", "cc", "na")), "na")</f>
        <v>na</v>
      </c>
      <c r="AB10" s="1" t="str">
        <f t="shared" si="0"/>
        <v/>
      </c>
      <c r="AC10" s="11" t="b">
        <f t="shared" ca="1" si="3"/>
        <v>1</v>
      </c>
      <c r="BS10" s="85">
        <v>45361</v>
      </c>
    </row>
    <row r="11" spans="1:71">
      <c r="A11" s="19" t="s">
        <v>20</v>
      </c>
      <c r="B11" s="19">
        <f ca="1">MAX(OFFSET(ProjectNumberList,0,-3))</f>
        <v>18</v>
      </c>
      <c r="C11" s="30" t="str">
        <f t="shared" si="1"/>
        <v/>
      </c>
      <c r="D11" s="144">
        <f t="shared" ref="D11" si="9">IF($H11&lt;&gt;"",WEEKDAY(DATE($B$4,$B$5,H11),1),"")</f>
        <v>7</v>
      </c>
      <c r="E11" s="24">
        <f t="shared" si="5"/>
        <v>46116</v>
      </c>
      <c r="F11" s="25">
        <f t="shared" si="2"/>
        <v>14</v>
      </c>
      <c r="G11" s="24" t="b">
        <f ca="1">IF($E11&lt;&gt;"",IF(ISERROR(VLOOKUP($E11,INDIRECT("holidays!"&amp;CHAR(MATCH(Country,holidays!$2:$2,0)+64)&amp;":"&amp;CHAR(MATCH(Country,holidays!$2:$2,0)+64)),1,0)),IF(ISERROR(VLOOKUP($E11,INDIRECT("holidays!"&amp;CHAR(MATCH(Country,holidays!$3:$3,0)+64)&amp;":"&amp;CHAR(MATCH(Country,holidays!$3:$3,0)+64)),1,0)),IF(WEEKDAY($E11,2)&gt;5,TRUE,FALSE),FALSE),TRUE),TRUE)</f>
        <v>1</v>
      </c>
      <c r="H11" s="141">
        <f t="shared" ref="H11" si="10">IF(H9&lt;&gt;"",IF(H9+1&gt;$B$6,"",H9+1),"")</f>
        <v>4</v>
      </c>
      <c r="I11" s="26"/>
      <c r="J11" s="26"/>
      <c r="K11" s="27"/>
      <c r="L11" s="28"/>
      <c r="M11" s="109"/>
      <c r="N11" s="29"/>
      <c r="O11" s="109" t="str">
        <f>IF(AND($I11&lt;&gt;"Vacation or sickness",$I11&lt;&gt;"Other absence"), IF($I11&lt;&gt;"",IF(_xlfn.XLOOKUP(TEXT($I11,"0"),tblProjectlist[Workday ID],tblProjectlist[Object],"")&lt;&gt;"Cost center",IFERROR("BL "&amp;_xlfn.XLOOKUP(TEXT($I11,"0"),tblProjectlist[Workday ID],tblProjectlist[Business Line]),"Cost center not found. Please check your entry."),IFERROR(_xlfn.XLOOKUP(TEXT($I11,"0"),tblProjectlist[Workday ID],tblProjectlist[Workday Title]),"Cost center not found. Please check your entry.")),""),"")</f>
        <v/>
      </c>
      <c r="P11" s="33"/>
      <c r="Q11" s="34">
        <v>4</v>
      </c>
      <c r="R11" s="35"/>
      <c r="T11" s="35" t="str">
        <f t="shared" si="8"/>
        <v/>
      </c>
      <c r="U11" s="36"/>
      <c r="V11" s="36"/>
      <c r="W11" s="36" t="str">
        <f>IF(R11&lt;&gt;"",IFERROR(_xlfn.XLOOKUP(TEXT($R11,"0"),tblProjectlist[Workday ID],tblProjectlist[Business Line]),"n.a."),"")</f>
        <v/>
      </c>
      <c r="X11" s="36" t="str">
        <f>IF(R11&lt;&gt;"",IFERROR(_xlfn.XLOOKUP(TEXT($R11,"0"),tblProjectlist[Workday ID],tblProjectlist[Business Unit]),"n.a."),"")</f>
        <v/>
      </c>
      <c r="Z11" s="11" t="str">
        <f>SUBSTITUTE(IF(OR($I11="Vacation or sickness",$I11="Other absence"), "overhead", _xlfn.XLOOKUP(TEXT($I11,"0"),tblProjectlist[Workday ID], tblProjectlist[Business Line], "4flow")), " ", "")</f>
        <v>4flow</v>
      </c>
      <c r="AA11" s="11" t="str">
        <f>IF(NOT(OR($I11="Vacation or sickness",$I11="Other absence")), IF(_xlfn.XLOOKUP(TEXT($I11,"0"),tblProjectlist[Workday ID], tblProjectlist[Object], "na")="Project", "proj", IF(_xlfn.XLOOKUP(TEXT($I11,"0"),tblProjectlist[Workday ID], tblProjectlist[Object], "na")="Cost center", "cc", "na")), "na")</f>
        <v>na</v>
      </c>
      <c r="AB11" s="1" t="str">
        <f t="shared" si="0"/>
        <v/>
      </c>
      <c r="AC11" s="11" t="b">
        <f t="shared" ca="1" si="3"/>
        <v>1</v>
      </c>
    </row>
    <row r="12" spans="1:71">
      <c r="C12" s="30" t="str">
        <f t="shared" si="1"/>
        <v/>
      </c>
      <c r="D12" s="144"/>
      <c r="E12" s="24">
        <f t="shared" si="5"/>
        <v>46116</v>
      </c>
      <c r="F12" s="25">
        <f t="shared" si="2"/>
        <v>14</v>
      </c>
      <c r="G12" s="24" t="b">
        <f ca="1">IF($E12&lt;&gt;"",IF(ISERROR(VLOOKUP($E12,INDIRECT("holidays!"&amp;CHAR(MATCH(Country,holidays!$2:$2,0)+64)&amp;":"&amp;CHAR(MATCH(Country,holidays!$2:$2,0)+64)),1,0)),IF(ISERROR(VLOOKUP($E12,INDIRECT("holidays!"&amp;CHAR(MATCH(Country,holidays!$3:$3,0)+64)&amp;":"&amp;CHAR(MATCH(Country,holidays!$3:$3,0)+64)),1,0)),IF(WEEKDAY($E12,2)&gt;5,TRUE,FALSE),FALSE),TRUE),TRUE)</f>
        <v>1</v>
      </c>
      <c r="H12" s="141"/>
      <c r="I12" s="26"/>
      <c r="J12" s="26"/>
      <c r="K12" s="27"/>
      <c r="L12" s="28"/>
      <c r="M12" s="132"/>
      <c r="N12" s="29"/>
      <c r="O12" s="109" t="str">
        <f>IF(AND($I12&lt;&gt;"Vacation or sickness",$I12&lt;&gt;"Other absence"), IF($I12&lt;&gt;"",IF(_xlfn.XLOOKUP(TEXT($I12,"0"),tblProjectlist[Workday ID],tblProjectlist[Object],"")&lt;&gt;"Cost center",IFERROR("BL "&amp;_xlfn.XLOOKUP(TEXT($I12,"0"),tblProjectlist[Workday ID],tblProjectlist[Business Line]),"Cost center not found. Please check your entry."),IFERROR(_xlfn.XLOOKUP(TEXT($I12,"0"),tblProjectlist[Workday ID],tblProjectlist[Workday Title]),"Cost center not found. Please check your entry.")),""),"")</f>
        <v/>
      </c>
      <c r="P12" s="33"/>
      <c r="Q12" s="34">
        <v>5</v>
      </c>
      <c r="R12" s="35"/>
      <c r="S12" s="35"/>
      <c r="T12" s="35" t="str">
        <f t="shared" si="8"/>
        <v/>
      </c>
      <c r="U12" s="36"/>
      <c r="V12" s="36"/>
      <c r="W12" s="36" t="str">
        <f>IF(R12&lt;&gt;"",IFERROR(_xlfn.XLOOKUP(TEXT($R12,"0"),tblProjectlist[Workday ID],tblProjectlist[Business Line]),"n.a."),"")</f>
        <v/>
      </c>
      <c r="X12" s="36" t="str">
        <f>IF(R12&lt;&gt;"",IFERROR(_xlfn.XLOOKUP(TEXT($R12,"0"),tblProjectlist[Workday ID],tblProjectlist[Business Unit]),"n.a."),"")</f>
        <v/>
      </c>
      <c r="Z12" s="11" t="str">
        <f>SUBSTITUTE(IF(OR($I12="Vacation or sickness",$I12="Other absence"), "overhead", _xlfn.XLOOKUP(TEXT($I12,"0"),tblProjectlist[Workday ID], tblProjectlist[Business Line], "4flow")), " ", "")</f>
        <v>4flow</v>
      </c>
      <c r="AA12" s="11" t="str">
        <f>IF(NOT(OR($I12="Vacation or sickness",$I12="Other absence")), IF(_xlfn.XLOOKUP(TEXT($I12,"0"),tblProjectlist[Workday ID], tblProjectlist[Object], "na")="Project", "proj", IF(_xlfn.XLOOKUP(TEXT($I12,"0"),tblProjectlist[Workday ID], tblProjectlist[Object], "na")="Cost center", "cc", "na")), "na")</f>
        <v>na</v>
      </c>
      <c r="AB12" s="1" t="str">
        <f t="shared" si="0"/>
        <v/>
      </c>
      <c r="AC12" s="11" t="b">
        <f t="shared" ca="1" si="3"/>
        <v>1</v>
      </c>
    </row>
    <row r="13" spans="1:71">
      <c r="C13" s="30" t="str">
        <f t="shared" si="1"/>
        <v/>
      </c>
      <c r="D13" s="144">
        <f t="shared" ref="D13" si="11">IF($H13&lt;&gt;"",WEEKDAY(DATE($B$4,$B$5,H13),1),"")</f>
        <v>1</v>
      </c>
      <c r="E13" s="24">
        <f t="shared" si="5"/>
        <v>46117</v>
      </c>
      <c r="F13" s="25">
        <f t="shared" si="2"/>
        <v>14</v>
      </c>
      <c r="G13" s="24" t="b">
        <f ca="1">IF($E13&lt;&gt;"",IF(ISERROR(VLOOKUP($E13,INDIRECT("holidays!"&amp;CHAR(MATCH(Country,holidays!$2:$2,0)+64)&amp;":"&amp;CHAR(MATCH(Country,holidays!$2:$2,0)+64)),1,0)),IF(ISERROR(VLOOKUP($E13,INDIRECT("holidays!"&amp;CHAR(MATCH(Country,holidays!$3:$3,0)+64)&amp;":"&amp;CHAR(MATCH(Country,holidays!$3:$3,0)+64)),1,0)),IF(WEEKDAY($E13,2)&gt;5,TRUE,FALSE),FALSE),TRUE),TRUE)</f>
        <v>1</v>
      </c>
      <c r="H13" s="141">
        <f t="shared" ref="H13" si="12">IF(H11&lt;&gt;"",IF(H11+1&gt;$B$6,"",H11+1),"")</f>
        <v>5</v>
      </c>
      <c r="I13" s="26"/>
      <c r="J13" s="26"/>
      <c r="K13" s="27"/>
      <c r="L13" s="28"/>
      <c r="M13" s="109"/>
      <c r="N13" s="29"/>
      <c r="O13" s="109" t="str">
        <f>IF(AND($I13&lt;&gt;"Vacation or sickness",$I13&lt;&gt;"Other absence"), IF($I13&lt;&gt;"",IF(_xlfn.XLOOKUP(TEXT($I13,"0"),tblProjectlist[Workday ID],tblProjectlist[Object],"")&lt;&gt;"Cost center",IFERROR("BL "&amp;_xlfn.XLOOKUP(TEXT($I13,"0"),tblProjectlist[Workday ID],tblProjectlist[Business Line]),"Cost center not found. Please check your entry."),IFERROR(_xlfn.XLOOKUP(TEXT($I13,"0"),tblProjectlist[Workday ID],tblProjectlist[Workday Title]),"Cost center not found. Please check your entry.")),""),"")</f>
        <v/>
      </c>
      <c r="P13" s="33">
        <v>0</v>
      </c>
      <c r="Q13" s="34">
        <v>6</v>
      </c>
      <c r="R13" s="35"/>
      <c r="S13" s="35"/>
      <c r="T13" s="35" t="str">
        <f t="shared" si="8"/>
        <v/>
      </c>
      <c r="U13" s="36"/>
      <c r="V13" s="36" t="s">
        <v>87</v>
      </c>
      <c r="W13" s="36" t="str">
        <f>IF(R13&lt;&gt;"",IFERROR(_xlfn.XLOOKUP(TEXT($R13,"0"),tblProjectlist[Workday ID],tblProjectlist[Business Line]),"n.a."),"")</f>
        <v/>
      </c>
      <c r="X13" s="36" t="str">
        <f>IF(R13&lt;&gt;"",IFERROR(_xlfn.XLOOKUP(TEXT($R13,"0"),tblProjectlist[Workday ID],tblProjectlist[Business Unit]),"n.a."),"")</f>
        <v/>
      </c>
      <c r="Z13" s="11" t="str">
        <f>SUBSTITUTE(IF(OR($I13="Vacation or sickness",$I13="Other absence"), "overhead", _xlfn.XLOOKUP(TEXT($I13,"0"),tblProjectlist[Workday ID], tblProjectlist[Business Line], "4flow")), " ", "")</f>
        <v>4flow</v>
      </c>
      <c r="AA13" s="11" t="str">
        <f>IF(NOT(OR($I13="Vacation or sickness",$I13="Other absence")), IF(_xlfn.XLOOKUP(TEXT($I13,"0"),tblProjectlist[Workday ID], tblProjectlist[Object], "na")="Project", "proj", IF(_xlfn.XLOOKUP(TEXT($I13,"0"),tblProjectlist[Workday ID], tblProjectlist[Object], "na")="Cost center", "cc", "na")), "na")</f>
        <v>na</v>
      </c>
      <c r="AB13" s="1" t="str">
        <f t="shared" si="0"/>
        <v/>
      </c>
      <c r="AC13" s="11" t="b">
        <f t="shared" ca="1" si="3"/>
        <v>1</v>
      </c>
    </row>
    <row r="14" spans="1:71">
      <c r="C14" s="30" t="str">
        <f t="shared" si="1"/>
        <v/>
      </c>
      <c r="D14" s="144"/>
      <c r="E14" s="24">
        <f t="shared" si="5"/>
        <v>46117</v>
      </c>
      <c r="F14" s="25">
        <f t="shared" si="2"/>
        <v>14</v>
      </c>
      <c r="G14" s="24" t="b">
        <f ca="1">IF($E14&lt;&gt;"",IF(ISERROR(VLOOKUP($E14,INDIRECT("holidays!"&amp;CHAR(MATCH(Country,holidays!$2:$2,0)+64)&amp;":"&amp;CHAR(MATCH(Country,holidays!$2:$2,0)+64)),1,0)),IF(ISERROR(VLOOKUP($E14,INDIRECT("holidays!"&amp;CHAR(MATCH(Country,holidays!$3:$3,0)+64)&amp;":"&amp;CHAR(MATCH(Country,holidays!$3:$3,0)+64)),1,0)),IF(WEEKDAY($E14,2)&gt;5,TRUE,FALSE),FALSE),TRUE),TRUE)</f>
        <v>1</v>
      </c>
      <c r="H14" s="141"/>
      <c r="I14" s="26"/>
      <c r="J14" s="26"/>
      <c r="K14" s="27"/>
      <c r="L14" s="28"/>
      <c r="M14" s="109"/>
      <c r="N14" s="29"/>
      <c r="O14" s="109" t="str">
        <f>IF(AND($I14&lt;&gt;"Vacation or sickness",$I14&lt;&gt;"Other absence"), IF($I14&lt;&gt;"",IF(_xlfn.XLOOKUP(TEXT($I14,"0"),tblProjectlist[Workday ID],tblProjectlist[Object],"")&lt;&gt;"Cost center",IFERROR("BL "&amp;_xlfn.XLOOKUP(TEXT($I14,"0"),tblProjectlist[Workday ID],tblProjectlist[Business Line]),"Cost center not found. Please check your entry."),IFERROR(_xlfn.XLOOKUP(TEXT($I14,"0"),tblProjectlist[Workday ID],tblProjectlist[Workday Title]),"Cost center not found. Please check your entry.")),""),"")</f>
        <v/>
      </c>
      <c r="P14" s="33"/>
      <c r="Q14" s="34">
        <v>7</v>
      </c>
      <c r="R14" s="37"/>
      <c r="S14" s="37"/>
      <c r="T14" s="35" t="str">
        <f t="shared" si="8"/>
        <v/>
      </c>
      <c r="U14" s="36" t="s">
        <v>87</v>
      </c>
      <c r="V14" s="36" t="s">
        <v>87</v>
      </c>
      <c r="W14" s="36" t="str">
        <f>IF(R14&lt;&gt;"",IFERROR(_xlfn.XLOOKUP(TEXT($R14,"0"),tblProjectlist[Workday ID],tblProjectlist[Business Line]),"n.a."),"")</f>
        <v/>
      </c>
      <c r="X14" s="36" t="str">
        <f>IF(R14&lt;&gt;"",IFERROR(_xlfn.XLOOKUP(TEXT($R14,"0"),tblProjectlist[Workday ID],tblProjectlist[Business Unit]),"n.a."),"")</f>
        <v/>
      </c>
      <c r="Z14" s="11" t="str">
        <f>SUBSTITUTE(IF(OR($I14="Vacation or sickness",$I14="Other absence"), "overhead", _xlfn.XLOOKUP(TEXT($I14,"0"),tblProjectlist[Workday ID], tblProjectlist[Business Line], "4flow")), " ", "")</f>
        <v>4flow</v>
      </c>
      <c r="AA14" s="11" t="str">
        <f>IF(NOT(OR($I14="Vacation or sickness",$I14="Other absence")), IF(_xlfn.XLOOKUP(TEXT($I14,"0"),tblProjectlist[Workday ID], tblProjectlist[Object], "na")="Project", "proj", IF(_xlfn.XLOOKUP(TEXT($I14,"0"),tblProjectlist[Workday ID], tblProjectlist[Object], "na")="Cost center", "cc", "na")), "na")</f>
        <v>na</v>
      </c>
      <c r="AB14" s="1" t="str">
        <f t="shared" si="0"/>
        <v/>
      </c>
      <c r="AC14" s="11" t="b">
        <f t="shared" ca="1" si="3"/>
        <v>1</v>
      </c>
    </row>
    <row r="15" spans="1:71">
      <c r="C15" s="30" t="str">
        <f t="shared" si="1"/>
        <v/>
      </c>
      <c r="D15" s="144">
        <f t="shared" ref="D15" si="13">IF($H15&lt;&gt;"",WEEKDAY(DATE($B$4,$B$5,H15),1),"")</f>
        <v>2</v>
      </c>
      <c r="E15" s="24">
        <f t="shared" si="5"/>
        <v>46118</v>
      </c>
      <c r="F15" s="25">
        <f t="shared" si="2"/>
        <v>15</v>
      </c>
      <c r="G15" s="24" t="b">
        <f ca="1">IF($E15&lt;&gt;"",IF(ISERROR(VLOOKUP($E15,INDIRECT("holidays!"&amp;CHAR(MATCH(Country,holidays!$2:$2,0)+64)&amp;":"&amp;CHAR(MATCH(Country,holidays!$2:$2,0)+64)),1,0)),IF(ISERROR(VLOOKUP($E15,INDIRECT("holidays!"&amp;CHAR(MATCH(Country,holidays!$3:$3,0)+64)&amp;":"&amp;CHAR(MATCH(Country,holidays!$3:$3,0)+64)),1,0)),IF(WEEKDAY($E15,2)&gt;5,TRUE,FALSE),FALSE),TRUE),TRUE)</f>
        <v>1</v>
      </c>
      <c r="H15" s="141">
        <f t="shared" ref="H15" si="14">IF(H13&lt;&gt;"",IF(H13+1&gt;$B$6,"",H13+1),"")</f>
        <v>6</v>
      </c>
      <c r="I15" s="26"/>
      <c r="J15" s="26"/>
      <c r="K15" s="27"/>
      <c r="L15" s="28"/>
      <c r="M15" s="109"/>
      <c r="N15" s="29"/>
      <c r="O15" s="109" t="e">
        <f>IF(AND(#REF!&lt;&gt;"Vacation or sickness",#REF!&lt;&gt;"Other absence"), IF(#REF!&lt;&gt;"",IF(_xlfn.XLOOKUP(TEXT(#REF!,"0"),tblProjectlist[Workday ID],tblProjectlist[Object],"")&lt;&gt;"Cost center",IFERROR("BL "&amp;_xlfn.XLOOKUP(TEXT(#REF!,"0"),tblProjectlist[Workday ID],tblProjectlist[Business Line]),"Cost center not found. Please check your entry."),IFERROR(_xlfn.XLOOKUP(TEXT(#REF!,"0"),tblProjectlist[Workday ID],tblProjectlist[Workday Title]),"Cost center not found. Please check your entry.")),""),"")</f>
        <v>#REF!</v>
      </c>
      <c r="P15" s="33"/>
      <c r="Q15" s="34">
        <v>8</v>
      </c>
      <c r="R15" s="37"/>
      <c r="S15" s="37"/>
      <c r="T15" s="35" t="str">
        <f t="shared" si="8"/>
        <v/>
      </c>
      <c r="U15" s="36" t="s">
        <v>87</v>
      </c>
      <c r="V15" s="36" t="s">
        <v>87</v>
      </c>
      <c r="W15" s="36" t="str">
        <f>IF(R15&lt;&gt;"",IFERROR(_xlfn.XLOOKUP(TEXT($R15,"0"),tblProjectlist[Workday ID],tblProjectlist[Business Line]),"n.a."),"")</f>
        <v/>
      </c>
      <c r="X15" s="36" t="str">
        <f>IF(R15&lt;&gt;"",IFERROR(_xlfn.XLOOKUP(TEXT($R15,"0"),tblProjectlist[Workday ID],tblProjectlist[Business Unit]),"n.a."),"")</f>
        <v/>
      </c>
      <c r="Z15" s="11" t="str">
        <f>SUBSTITUTE(IF(OR($I15="Vacation or sickness",$I15="Other absence"), "overhead", _xlfn.XLOOKUP(TEXT($I15,"0"),tblProjectlist[Workday ID], tblProjectlist[Business Line], "4flow")), " ", "")</f>
        <v>4flow</v>
      </c>
      <c r="AA15" s="11" t="str">
        <f>IF(NOT(OR($I15="Vacation or sickness",$I15="Other absence")), IF(_xlfn.XLOOKUP(TEXT($I15,"0"),tblProjectlist[Workday ID], tblProjectlist[Object], "na")="Project", "proj", IF(_xlfn.XLOOKUP(TEXT($I15,"0"),tblProjectlist[Workday ID], tblProjectlist[Object], "na")="Cost center", "cc", "na")), "na")</f>
        <v>na</v>
      </c>
      <c r="AB15" s="1" t="str">
        <f t="shared" si="0"/>
        <v/>
      </c>
      <c r="AC15" s="11" t="e">
        <f ca="1">IF(#REF!="",TRUE,IF(COUNTIF(INDIRECT("spec_"&amp;$Z15&amp;"_"&amp;$AA15),#REF!)&gt;0, TRUE, FALSE))</f>
        <v>#REF!</v>
      </c>
    </row>
    <row r="16" spans="1:71">
      <c r="C16" s="30" t="str">
        <f t="shared" si="1"/>
        <v/>
      </c>
      <c r="D16" s="144"/>
      <c r="E16" s="24">
        <f t="shared" si="5"/>
        <v>46118</v>
      </c>
      <c r="F16" s="25">
        <f t="shared" si="2"/>
        <v>15</v>
      </c>
      <c r="G16" s="24" t="b">
        <f ca="1">IF($E16&lt;&gt;"",IF(ISERROR(VLOOKUP($E16,INDIRECT("holidays!"&amp;CHAR(MATCH(Country,holidays!$2:$2,0)+64)&amp;":"&amp;CHAR(MATCH(Country,holidays!$2:$2,0)+64)),1,0)),IF(ISERROR(VLOOKUP($E16,INDIRECT("holidays!"&amp;CHAR(MATCH(Country,holidays!$3:$3,0)+64)&amp;":"&amp;CHAR(MATCH(Country,holidays!$3:$3,0)+64)),1,0)),IF(WEEKDAY($E16,2)&gt;5,TRUE,FALSE),FALSE),TRUE),TRUE)</f>
        <v>1</v>
      </c>
      <c r="H16" s="141"/>
      <c r="I16" s="26"/>
      <c r="J16" s="26"/>
      <c r="K16" s="27"/>
      <c r="L16" s="28"/>
      <c r="M16" s="109"/>
      <c r="N16" s="29"/>
      <c r="O16" s="109" t="str">
        <f>IF(AND($I15&lt;&gt;"Vacation or sickness",$I15&lt;&gt;"Other absence"), IF($I15&lt;&gt;"",IF(_xlfn.XLOOKUP(TEXT($I15,"0"),tblProjectlist[Workday ID],tblProjectlist[Object],"")&lt;&gt;"Cost center",IFERROR("BL "&amp;_xlfn.XLOOKUP(TEXT($I15,"0"),tblProjectlist[Workday ID],tblProjectlist[Business Line]),"Cost center not found. Please check your entry."),IFERROR(_xlfn.XLOOKUP(TEXT($I15,"0"),tblProjectlist[Workday ID],tblProjectlist[Workday Title]),"Cost center not found. Please check your entry.")),""),"")</f>
        <v/>
      </c>
      <c r="P16" s="33"/>
      <c r="Q16" s="34">
        <v>9</v>
      </c>
      <c r="R16" s="37"/>
      <c r="S16" s="37"/>
      <c r="T16" s="35" t="str">
        <f t="shared" si="8"/>
        <v/>
      </c>
      <c r="U16" s="36" t="s">
        <v>87</v>
      </c>
      <c r="V16" s="36" t="s">
        <v>87</v>
      </c>
      <c r="W16" s="36" t="str">
        <f>IF(R16&lt;&gt;"",IFERROR(_xlfn.XLOOKUP(TEXT($R16,"0"),tblProjectlist[Workday ID],tblProjectlist[Business Line]),"n.a."),"")</f>
        <v/>
      </c>
      <c r="X16" s="36" t="str">
        <f>IF(R16&lt;&gt;"",IFERROR(_xlfn.XLOOKUP(TEXT($R16,"0"),tblProjectlist[Workday ID],tblProjectlist[Business Unit]),"n.a."),"")</f>
        <v/>
      </c>
      <c r="Z16" s="11" t="str">
        <f>SUBSTITUTE(IF(OR($I16="Vacation or sickness",$I16="Other absence"), "overhead", _xlfn.XLOOKUP(TEXT($I16,"0"),tblProjectlist[Workday ID], tblProjectlist[Business Line], "4flow")), " ", "")</f>
        <v>4flow</v>
      </c>
      <c r="AA16" s="11" t="str">
        <f>IF(NOT(OR($I16="Vacation or sickness",$I16="Other absence")), IF(_xlfn.XLOOKUP(TEXT($I16,"0"),tblProjectlist[Workday ID], tblProjectlist[Object], "na")="Project", "proj", IF(_xlfn.XLOOKUP(TEXT($I16,"0"),tblProjectlist[Workday ID], tblProjectlist[Object], "na")="Cost center", "cc", "na")), "na")</f>
        <v>na</v>
      </c>
      <c r="AB16" s="1" t="str">
        <f t="shared" si="0"/>
        <v/>
      </c>
      <c r="AC16" s="11" t="b">
        <f ca="1">IF(J15="",TRUE,IF(COUNTIF(INDIRECT("spec_"&amp;$Z16&amp;"_"&amp;$AA16),J15)&gt;0, TRUE, FALSE))</f>
        <v>1</v>
      </c>
    </row>
    <row r="17" spans="1:29">
      <c r="C17" s="30" t="str">
        <f t="shared" si="1"/>
        <v/>
      </c>
      <c r="D17" s="144">
        <f t="shared" ref="D17" si="15">IF($H17&lt;&gt;"",WEEKDAY(DATE($B$4,$B$5,H17),1),"")</f>
        <v>3</v>
      </c>
      <c r="E17" s="24">
        <f t="shared" si="5"/>
        <v>46119</v>
      </c>
      <c r="F17" s="25">
        <f t="shared" si="2"/>
        <v>15</v>
      </c>
      <c r="G17" s="24" t="b">
        <f ca="1">IF($E17&lt;&gt;"",IF(ISERROR(VLOOKUP($E17,INDIRECT("holidays!"&amp;CHAR(MATCH(Country,holidays!$2:$2,0)+64)&amp;":"&amp;CHAR(MATCH(Country,holidays!$2:$2,0)+64)),1,0)),IF(ISERROR(VLOOKUP($E17,INDIRECT("holidays!"&amp;CHAR(MATCH(Country,holidays!$3:$3,0)+64)&amp;":"&amp;CHAR(MATCH(Country,holidays!$3:$3,0)+64)),1,0)),IF(WEEKDAY($E17,2)&gt;5,TRUE,FALSE),FALSE),TRUE),TRUE)</f>
        <v>0</v>
      </c>
      <c r="H17" s="141">
        <f t="shared" ref="H17" si="16">IF(H15&lt;&gt;"",IF(H15+1&gt;$B$6,"",H15+1),"")</f>
        <v>7</v>
      </c>
      <c r="I17" s="26"/>
      <c r="J17" s="26"/>
      <c r="K17" s="27"/>
      <c r="L17" s="28"/>
      <c r="M17" s="109"/>
      <c r="N17" s="29"/>
      <c r="O17" s="109" t="str">
        <f>IF(AND($I16&lt;&gt;"Vacation or sickness",$I16&lt;&gt;"Other absence"), IF($I16&lt;&gt;"",IF(_xlfn.XLOOKUP(TEXT($I16,"0"),tblProjectlist[Workday ID],tblProjectlist[Object],"")&lt;&gt;"Cost center",IFERROR("BL "&amp;_xlfn.XLOOKUP(TEXT($I16,"0"),tblProjectlist[Workday ID],tblProjectlist[Business Line]),"Cost center not found. Please check your entry."),IFERROR(_xlfn.XLOOKUP(TEXT($I16,"0"),tblProjectlist[Workday ID],tblProjectlist[Workday Title]),"Cost center not found. Please check your entry.")),""),"")</f>
        <v/>
      </c>
      <c r="P17" s="33"/>
      <c r="Q17" s="34">
        <v>10</v>
      </c>
      <c r="R17" s="37"/>
      <c r="S17" s="37"/>
      <c r="T17" s="35" t="str">
        <f t="shared" si="8"/>
        <v/>
      </c>
      <c r="U17" s="36" t="s">
        <v>87</v>
      </c>
      <c r="V17" s="36" t="s">
        <v>87</v>
      </c>
      <c r="W17" s="36" t="str">
        <f>IF(R17&lt;&gt;"",IFERROR(_xlfn.XLOOKUP(TEXT($R17,"0"),tblProjectlist[Workday ID],tblProjectlist[Business Line]),"n.a."),"")</f>
        <v/>
      </c>
      <c r="X17" s="36" t="str">
        <f>IF(R17&lt;&gt;"",IFERROR(_xlfn.XLOOKUP(TEXT($R17,"0"),tblProjectlist[Workday ID],tblProjectlist[Business Unit]),"n.a."),"")</f>
        <v/>
      </c>
      <c r="Z17" s="11" t="str">
        <f>SUBSTITUTE(IF(OR($I17="Vacation or sickness",$I17="Other absence"), "overhead", _xlfn.XLOOKUP(TEXT($I17,"0"),tblProjectlist[Workday ID], tblProjectlist[Business Line], "4flow")), " ", "")</f>
        <v>4flow</v>
      </c>
      <c r="AA17" s="11" t="str">
        <f>IF(NOT(OR($I17="Vacation or sickness",$I17="Other absence")), IF(_xlfn.XLOOKUP(TEXT($I17,"0"),tblProjectlist[Workday ID], tblProjectlist[Object], "na")="Project", "proj", IF(_xlfn.XLOOKUP(TEXT($I17,"0"),tblProjectlist[Workday ID], tblProjectlist[Object], "na")="Cost center", "cc", "na")), "na")</f>
        <v>na</v>
      </c>
      <c r="AB17" s="1" t="str">
        <f t="shared" si="0"/>
        <v/>
      </c>
      <c r="AC17" s="11" t="b">
        <f ca="1">IF(J16="",TRUE,IF(COUNTIF(INDIRECT("spec_"&amp;$Z17&amp;"_"&amp;$AA17),J16)&gt;0, TRUE, FALSE))</f>
        <v>1</v>
      </c>
    </row>
    <row r="18" spans="1:29">
      <c r="C18" s="30" t="str">
        <f t="shared" si="1"/>
        <v/>
      </c>
      <c r="D18" s="144"/>
      <c r="E18" s="24">
        <f t="shared" si="5"/>
        <v>46119</v>
      </c>
      <c r="F18" s="25">
        <f t="shared" si="2"/>
        <v>15</v>
      </c>
      <c r="G18" s="24" t="b">
        <f ca="1">IF($E18&lt;&gt;"",IF(ISERROR(VLOOKUP($E18,INDIRECT("holidays!"&amp;CHAR(MATCH(Country,holidays!$2:$2,0)+64)&amp;":"&amp;CHAR(MATCH(Country,holidays!$2:$2,0)+64)),1,0)),IF(ISERROR(VLOOKUP($E18,INDIRECT("holidays!"&amp;CHAR(MATCH(Country,holidays!$3:$3,0)+64)&amp;":"&amp;CHAR(MATCH(Country,holidays!$3:$3,0)+64)),1,0)),IF(WEEKDAY($E18,2)&gt;5,TRUE,FALSE),FALSE),TRUE),TRUE)</f>
        <v>0</v>
      </c>
      <c r="H18" s="141"/>
      <c r="I18" s="26"/>
      <c r="J18" s="26"/>
      <c r="K18" s="27"/>
      <c r="L18" s="28"/>
      <c r="M18" s="132"/>
      <c r="N18" s="29"/>
      <c r="O18" s="109" t="str">
        <f>IF(AND($I17&lt;&gt;"Vacation or sickness",$I17&lt;&gt;"Other absence"), IF($I17&lt;&gt;"",IF(_xlfn.XLOOKUP(TEXT($I17,"0"),tblProjectlist[Workday ID],tblProjectlist[Object],"")&lt;&gt;"Cost center",IFERROR("BL "&amp;_xlfn.XLOOKUP(TEXT($I17,"0"),tblProjectlist[Workday ID],tblProjectlist[Business Line]),"Cost center not found. Please check your entry."),IFERROR(_xlfn.XLOOKUP(TEXT($I17,"0"),tblProjectlist[Workday ID],tblProjectlist[Workday Title]),"Cost center not found. Please check your entry.")),""),"")</f>
        <v/>
      </c>
      <c r="P18" s="33"/>
      <c r="Q18" s="34">
        <v>11</v>
      </c>
      <c r="R18" s="37"/>
      <c r="S18" s="37"/>
      <c r="T18" s="35" t="str">
        <f t="shared" si="8"/>
        <v/>
      </c>
      <c r="U18" s="36" t="s">
        <v>87</v>
      </c>
      <c r="V18" s="36" t="s">
        <v>87</v>
      </c>
      <c r="W18" s="36" t="str">
        <f>IF(R18&lt;&gt;"",IFERROR(_xlfn.XLOOKUP(TEXT($R18,"0"),tblProjectlist[Workday ID],tblProjectlist[Business Line]),"n.a."),"")</f>
        <v/>
      </c>
      <c r="X18" s="36" t="str">
        <f>IF(R18&lt;&gt;"",IFERROR(_xlfn.XLOOKUP(TEXT($R18,"0"),tblProjectlist[Workday ID],tblProjectlist[Business Unit]),"n.a."),"")</f>
        <v/>
      </c>
      <c r="Z18" s="11" t="str">
        <f>SUBSTITUTE(IF(OR($I18="Vacation or sickness",$I18="Other absence"), "overhead", _xlfn.XLOOKUP(TEXT($I18,"0"),tblProjectlist[Workday ID], tblProjectlist[Business Line], "4flow")), " ", "")</f>
        <v>4flow</v>
      </c>
      <c r="AA18" s="11" t="str">
        <f>IF(NOT(OR($I18="Vacation or sickness",$I18="Other absence")), IF(_xlfn.XLOOKUP(TEXT($I18,"0"),tblProjectlist[Workday ID], tblProjectlist[Object], "na")="Project", "proj", IF(_xlfn.XLOOKUP(TEXT($I18,"0"),tblProjectlist[Workday ID], tblProjectlist[Object], "na")="Cost center", "cc", "na")), "na")</f>
        <v>na</v>
      </c>
      <c r="AB18" s="1" t="str">
        <f t="shared" si="0"/>
        <v/>
      </c>
      <c r="AC18" s="11" t="b">
        <f ca="1">IF(J17="",TRUE,IF(COUNTIF(INDIRECT("spec_"&amp;$Z18&amp;"_"&amp;$AA18),J17)&gt;0, TRUE, FALSE))</f>
        <v>1</v>
      </c>
    </row>
    <row r="19" spans="1:29">
      <c r="C19" s="30" t="str">
        <f t="shared" si="1"/>
        <v/>
      </c>
      <c r="D19" s="144">
        <f t="shared" ref="D19:D55" si="17">IF($H19&lt;&gt;"",WEEKDAY(DATE($B$4,$B$5,H19),1),"")</f>
        <v>4</v>
      </c>
      <c r="E19" s="24">
        <f t="shared" si="5"/>
        <v>46120</v>
      </c>
      <c r="F19" s="25">
        <f t="shared" si="2"/>
        <v>15</v>
      </c>
      <c r="G19" s="24" t="b">
        <f ca="1">IF($E19&lt;&gt;"",IF(ISERROR(VLOOKUP($E19,INDIRECT("holidays!"&amp;CHAR(MATCH(Country,holidays!$2:$2,0)+64)&amp;":"&amp;CHAR(MATCH(Country,holidays!$2:$2,0)+64)),1,0)),IF(ISERROR(VLOOKUP($E19,INDIRECT("holidays!"&amp;CHAR(MATCH(Country,holidays!$3:$3,0)+64)&amp;":"&amp;CHAR(MATCH(Country,holidays!$3:$3,0)+64)),1,0)),IF(WEEKDAY($E19,2)&gt;5,TRUE,FALSE),FALSE),TRUE),TRUE)</f>
        <v>0</v>
      </c>
      <c r="H19" s="141">
        <f t="shared" ref="H19" si="18">IF(H17&lt;&gt;"",IF(H17+1&gt;$B$6,"",H17+1),"")</f>
        <v>8</v>
      </c>
      <c r="I19" s="26"/>
      <c r="J19" s="26"/>
      <c r="K19" s="27"/>
      <c r="L19" s="28"/>
      <c r="M19" s="132"/>
      <c r="N19" s="29"/>
      <c r="O19" s="109" t="str">
        <f>IF(AND($I18&lt;&gt;"Vacation or sickness",$I18&lt;&gt;"Other absence"), IF($I18&lt;&gt;"",IF(_xlfn.XLOOKUP(TEXT($I18,"0"),tblProjectlist[Workday ID],tblProjectlist[Object],"")&lt;&gt;"Cost center",IFERROR("BL "&amp;_xlfn.XLOOKUP(TEXT($I18,"0"),tblProjectlist[Workday ID],tblProjectlist[Business Line]),"Cost center not found. Please check your entry."),IFERROR(_xlfn.XLOOKUP(TEXT($I18,"0"),tblProjectlist[Workday ID],tblProjectlist[Workday Title]),"Cost center not found. Please check your entry.")),""),"")</f>
        <v/>
      </c>
      <c r="P19" s="33"/>
      <c r="Q19" s="34">
        <v>12</v>
      </c>
      <c r="R19" s="37"/>
      <c r="S19" s="37"/>
      <c r="T19" s="35" t="str">
        <f t="shared" si="8"/>
        <v/>
      </c>
      <c r="U19" s="36" t="s">
        <v>87</v>
      </c>
      <c r="V19" s="36" t="s">
        <v>87</v>
      </c>
      <c r="W19" s="36" t="str">
        <f>IF(R19&lt;&gt;"",IFERROR(_xlfn.XLOOKUP(TEXT($R19,"0"),tblProjectlist[Workday ID],tblProjectlist[Business Line]),"n.a."),"")</f>
        <v/>
      </c>
      <c r="X19" s="36" t="str">
        <f>IF(R19&lt;&gt;"",IFERROR(_xlfn.XLOOKUP(TEXT($R19,"0"),tblProjectlist[Workday ID],tblProjectlist[Business Unit]),"n.a."),"")</f>
        <v/>
      </c>
      <c r="Z19" s="11" t="str">
        <f>SUBSTITUTE(IF(OR($I19="Vacation or sickness",$I19="Other absence"), "overhead", _xlfn.XLOOKUP(TEXT($I19,"0"),tblProjectlist[Workday ID], tblProjectlist[Business Line], "4flow")), " ", "")</f>
        <v>4flow</v>
      </c>
      <c r="AA19" s="11" t="str">
        <f>IF(NOT(OR($I19="Vacation or sickness",$I19="Other absence")), IF(_xlfn.XLOOKUP(TEXT($I19,"0"),tblProjectlist[Workday ID], tblProjectlist[Object], "na")="Project", "proj", IF(_xlfn.XLOOKUP(TEXT($I19,"0"),tblProjectlist[Workday ID], tblProjectlist[Object], "na")="Cost center", "cc", "na")), "na")</f>
        <v>na</v>
      </c>
      <c r="AB19" s="1" t="str">
        <f t="shared" si="0"/>
        <v/>
      </c>
      <c r="AC19" s="11" t="b">
        <f ca="1">IF(J18="",TRUE,IF(COUNTIF(INDIRECT("spec_"&amp;$Z19&amp;"_"&amp;$AA19),J18)&gt;0, TRUE, FALSE))</f>
        <v>1</v>
      </c>
    </row>
    <row r="20" spans="1:29">
      <c r="C20" s="30" t="str">
        <f t="shared" si="1"/>
        <v/>
      </c>
      <c r="D20" s="144"/>
      <c r="E20" s="24">
        <f t="shared" si="5"/>
        <v>46120</v>
      </c>
      <c r="F20" s="25">
        <f t="shared" si="2"/>
        <v>15</v>
      </c>
      <c r="G20" s="24" t="b">
        <f ca="1">IF($E20&lt;&gt;"",IF(ISERROR(VLOOKUP($E20,INDIRECT("holidays!"&amp;CHAR(MATCH(Country,holidays!$2:$2,0)+64)&amp;":"&amp;CHAR(MATCH(Country,holidays!$2:$2,0)+64)),1,0)),IF(ISERROR(VLOOKUP($E20,INDIRECT("holidays!"&amp;CHAR(MATCH(Country,holidays!$3:$3,0)+64)&amp;":"&amp;CHAR(MATCH(Country,holidays!$3:$3,0)+64)),1,0)),IF(WEEKDAY($E20,2)&gt;5,TRUE,FALSE),FALSE),TRUE),TRUE)</f>
        <v>0</v>
      </c>
      <c r="H20" s="141"/>
      <c r="I20" s="26"/>
      <c r="J20" s="26"/>
      <c r="K20" s="27"/>
      <c r="L20" s="28"/>
      <c r="M20" s="132"/>
      <c r="N20" s="29"/>
      <c r="O20" s="109" t="str">
        <f>IF(AND($I19&lt;&gt;"Vacation or sickness",$I19&lt;&gt;"Other absence"), IF($I19&lt;&gt;"",IF(_xlfn.XLOOKUP(TEXT($I19,"0"),tblProjectlist[Workday ID],tblProjectlist[Object],"")&lt;&gt;"Cost center",IFERROR("BL "&amp;_xlfn.XLOOKUP(TEXT($I19,"0"),tblProjectlist[Workday ID],tblProjectlist[Business Line]),"Cost center not found. Please check your entry."),IFERROR(_xlfn.XLOOKUP(TEXT($I19,"0"),tblProjectlist[Workday ID],tblProjectlist[Workday Title]),"Cost center not found. Please check your entry.")),""),"")</f>
        <v/>
      </c>
      <c r="P20" s="33"/>
      <c r="Q20" s="34">
        <v>13</v>
      </c>
      <c r="R20" s="37"/>
      <c r="S20" s="37"/>
      <c r="T20" s="35" t="str">
        <f t="shared" si="8"/>
        <v/>
      </c>
      <c r="U20" s="36" t="s">
        <v>87</v>
      </c>
      <c r="V20" s="36" t="s">
        <v>87</v>
      </c>
      <c r="W20" s="36" t="str">
        <f>IF(R20&lt;&gt;"",IFERROR(_xlfn.XLOOKUP(TEXT($R20,"0"),tblProjectlist[Workday ID],tblProjectlist[Business Line]),"n.a."),"")</f>
        <v/>
      </c>
      <c r="X20" s="36" t="str">
        <f>IF(R20&lt;&gt;"",IFERROR(_xlfn.XLOOKUP(TEXT($R20,"0"),tblProjectlist[Workday ID],tblProjectlist[Business Unit]),"n.a."),"")</f>
        <v/>
      </c>
      <c r="Z20" s="11" t="str">
        <f>SUBSTITUTE(IF(OR($I20="Vacation or sickness",$I20="Other absence"), "overhead", _xlfn.XLOOKUP(TEXT($I20,"0"),tblProjectlist[Workday ID], tblProjectlist[Business Line], "4flow")), " ", "")</f>
        <v>4flow</v>
      </c>
      <c r="AA20" s="11" t="str">
        <f>IF(NOT(OR($I20="Vacation or sickness",$I20="Other absence")), IF(_xlfn.XLOOKUP(TEXT($I20,"0"),tblProjectlist[Workday ID], tblProjectlist[Object], "na")="Project", "proj", IF(_xlfn.XLOOKUP(TEXT($I20,"0"),tblProjectlist[Workday ID], tblProjectlist[Object], "na")="Cost center", "cc", "na")), "na")</f>
        <v>na</v>
      </c>
      <c r="AB20" s="1" t="str">
        <f t="shared" si="0"/>
        <v/>
      </c>
      <c r="AC20" s="11" t="b">
        <f ca="1">IF(J19="",TRUE,IF(COUNTIF(INDIRECT("spec_"&amp;$Z20&amp;"_"&amp;$AA20),J19)&gt;0, TRUE, FALSE))</f>
        <v>1</v>
      </c>
    </row>
    <row r="21" spans="1:29">
      <c r="C21" s="30">
        <f t="shared" si="1"/>
        <v>15</v>
      </c>
      <c r="D21" s="144">
        <f t="shared" ref="D21:D57" si="19">IF($H21&lt;&gt;"",WEEKDAY(DATE($B$4,$B$5,H21),1),"")</f>
        <v>5</v>
      </c>
      <c r="E21" s="24">
        <f t="shared" si="5"/>
        <v>46121</v>
      </c>
      <c r="F21" s="25">
        <f t="shared" si="2"/>
        <v>15</v>
      </c>
      <c r="G21" s="24" t="b">
        <f ca="1">IF($E21&lt;&gt;"",IF(ISERROR(VLOOKUP($E21,INDIRECT("holidays!"&amp;CHAR(MATCH(Country,holidays!$2:$2,0)+64)&amp;":"&amp;CHAR(MATCH(Country,holidays!$2:$2,0)+64)),1,0)),IF(ISERROR(VLOOKUP($E21,INDIRECT("holidays!"&amp;CHAR(MATCH(Country,holidays!$3:$3,0)+64)&amp;":"&amp;CHAR(MATCH(Country,holidays!$3:$3,0)+64)),1,0)),IF(WEEKDAY($E21,2)&gt;5,TRUE,FALSE),FALSE),TRUE),TRUE)</f>
        <v>0</v>
      </c>
      <c r="H21" s="141">
        <f t="shared" ref="H21" si="20">IF(H19&lt;&gt;"",IF(H19+1&gt;$B$6,"",H19+1),"")</f>
        <v>9</v>
      </c>
      <c r="I21" s="26"/>
      <c r="J21" s="26"/>
      <c r="K21" s="27"/>
      <c r="L21" s="28"/>
      <c r="M21" s="132"/>
      <c r="N21" s="29"/>
      <c r="O21" s="109" t="str">
        <f>IF(AND($I20&lt;&gt;"Vacation or sickness",$I20&lt;&gt;"Other absence"), IF($I20&lt;&gt;"",IF(_xlfn.XLOOKUP(TEXT($I20,"0"),tblProjectlist[Workday ID],tblProjectlist[Object],"")&lt;&gt;"Cost center",IFERROR("BL "&amp;_xlfn.XLOOKUP(TEXT($I20,"0"),tblProjectlist[Workday ID],tblProjectlist[Business Line]),"Cost center not found. Please check your entry."),IFERROR(_xlfn.XLOOKUP(TEXT($I20,"0"),tblProjectlist[Workday ID],tblProjectlist[Workday Title]),"Cost center not found. Please check your entry.")),""),"")</f>
        <v/>
      </c>
      <c r="P21" s="33"/>
      <c r="Q21" s="34">
        <v>14</v>
      </c>
      <c r="R21" s="37"/>
      <c r="S21" s="37"/>
      <c r="T21" s="35" t="str">
        <f t="shared" si="8"/>
        <v/>
      </c>
      <c r="U21" s="36" t="s">
        <v>87</v>
      </c>
      <c r="V21" s="36" t="s">
        <v>87</v>
      </c>
      <c r="W21" s="36" t="str">
        <f>IF(R21&lt;&gt;"",IFERROR(_xlfn.XLOOKUP(TEXT($R21,"0"),tblProjectlist[Workday ID],tblProjectlist[Business Line]),"n.a."),"")</f>
        <v/>
      </c>
      <c r="X21" s="36" t="str">
        <f>IF(R21&lt;&gt;"",IFERROR(_xlfn.XLOOKUP(TEXT($R21,"0"),tblProjectlist[Workday ID],tblProjectlist[Business Unit]),"n.a."),"")</f>
        <v/>
      </c>
      <c r="Z21" s="11" t="str">
        <f>SUBSTITUTE(IF(OR($I21="Vacation or sickness",$I21="Other absence"), "overhead", _xlfn.XLOOKUP(TEXT($I21,"0"),tblProjectlist[Workday ID], tblProjectlist[Business Line], "4flow")), " ", "")</f>
        <v>4flow</v>
      </c>
      <c r="AA21" s="11" t="str">
        <f>IF(NOT(OR($I21="Vacation or sickness",$I21="Other absence")), IF(_xlfn.XLOOKUP(TEXT($I21,"0"),tblProjectlist[Workday ID], tblProjectlist[Object], "na")="Project", "proj", IF(_xlfn.XLOOKUP(TEXT($I21,"0"),tblProjectlist[Workday ID], tblProjectlist[Object], "na")="Cost center", "cc", "na")), "na")</f>
        <v>na</v>
      </c>
      <c r="AB21" s="1" t="str">
        <f t="shared" si="0"/>
        <v/>
      </c>
      <c r="AC21" s="11" t="b">
        <f ca="1">IF(J20="",TRUE,IF(COUNTIF(INDIRECT("spec_"&amp;$Z21&amp;"_"&amp;$AA21),J20)&gt;0, TRUE, FALSE))</f>
        <v>1</v>
      </c>
    </row>
    <row r="22" spans="1:29">
      <c r="C22" s="30" t="str">
        <f t="shared" si="1"/>
        <v/>
      </c>
      <c r="D22" s="144"/>
      <c r="E22" s="24">
        <f t="shared" si="5"/>
        <v>46121</v>
      </c>
      <c r="F22" s="25">
        <f t="shared" si="2"/>
        <v>15</v>
      </c>
      <c r="G22" s="24" t="b">
        <f ca="1">IF($E22&lt;&gt;"",IF(ISERROR(VLOOKUP($E22,INDIRECT("holidays!"&amp;CHAR(MATCH(Country,holidays!$2:$2,0)+64)&amp;":"&amp;CHAR(MATCH(Country,holidays!$2:$2,0)+64)),1,0)),IF(ISERROR(VLOOKUP($E22,INDIRECT("holidays!"&amp;CHAR(MATCH(Country,holidays!$3:$3,0)+64)&amp;":"&amp;CHAR(MATCH(Country,holidays!$3:$3,0)+64)),1,0)),IF(WEEKDAY($E22,2)&gt;5,TRUE,FALSE),FALSE),TRUE),TRUE)</f>
        <v>0</v>
      </c>
      <c r="H22" s="141"/>
      <c r="I22" s="26"/>
      <c r="J22" s="26"/>
      <c r="K22" s="27"/>
      <c r="L22" s="28"/>
      <c r="M22" s="132"/>
      <c r="N22" s="29"/>
      <c r="O22" s="109" t="str">
        <f>IF(AND($I21&lt;&gt;"Vacation or sickness",$I21&lt;&gt;"Other absence"), IF($I21&lt;&gt;"",IF(_xlfn.XLOOKUP(TEXT($I21,"0"),tblProjectlist[Workday ID],tblProjectlist[Object],"")&lt;&gt;"Cost center",IFERROR("BL "&amp;_xlfn.XLOOKUP(TEXT($I21,"0"),tblProjectlist[Workday ID],tblProjectlist[Business Line]),"Cost center not found. Please check your entry."),IFERROR(_xlfn.XLOOKUP(TEXT($I21,"0"),tblProjectlist[Workday ID],tblProjectlist[Workday Title]),"Cost center not found. Please check your entry.")),""),"")</f>
        <v/>
      </c>
      <c r="P22" s="33"/>
      <c r="Q22" s="34">
        <v>15</v>
      </c>
      <c r="R22" s="37"/>
      <c r="S22" s="37"/>
      <c r="T22" s="35" t="str">
        <f t="shared" si="8"/>
        <v/>
      </c>
      <c r="U22" s="36" t="s">
        <v>87</v>
      </c>
      <c r="V22" s="36" t="s">
        <v>87</v>
      </c>
      <c r="W22" s="36" t="str">
        <f>IF(R22&lt;&gt;"",IFERROR(_xlfn.XLOOKUP(TEXT($R22,"0"),tblProjectlist[Workday ID],tblProjectlist[Business Line]),"n.a."),"")</f>
        <v/>
      </c>
      <c r="X22" s="36" t="str">
        <f>IF(R22&lt;&gt;"",IFERROR(_xlfn.XLOOKUP(TEXT($R22,"0"),tblProjectlist[Workday ID],tblProjectlist[Business Unit]),"n.a."),"")</f>
        <v/>
      </c>
      <c r="Z22" s="11" t="str">
        <f>SUBSTITUTE(IF(OR($I22="Vacation or sickness",$I22="Other absence"), "overhead", _xlfn.XLOOKUP(TEXT($I22,"0"),tblProjectlist[Workday ID], tblProjectlist[Business Line], "4flow")), " ", "")</f>
        <v>4flow</v>
      </c>
      <c r="AA22" s="11" t="str">
        <f>IF(NOT(OR($I22="Vacation or sickness",$I22="Other absence")), IF(_xlfn.XLOOKUP(TEXT($I22,"0"),tblProjectlist[Workday ID], tblProjectlist[Object], "na")="Project", "proj", IF(_xlfn.XLOOKUP(TEXT($I22,"0"),tblProjectlist[Workday ID], tblProjectlist[Object], "na")="Cost center", "cc", "na")), "na")</f>
        <v>na</v>
      </c>
      <c r="AB22" s="1" t="str">
        <f t="shared" si="0"/>
        <v/>
      </c>
      <c r="AC22" s="11" t="b">
        <f ca="1">IF(J21="",TRUE,IF(COUNTIF(INDIRECT("spec_"&amp;$Z22&amp;"_"&amp;$AA22),J21)&gt;0, TRUE, FALSE))</f>
        <v>1</v>
      </c>
    </row>
    <row r="23" spans="1:29">
      <c r="C23" s="30" t="str">
        <f t="shared" si="1"/>
        <v/>
      </c>
      <c r="D23" s="144">
        <f t="shared" ref="D23:D59" si="21">IF($H23&lt;&gt;"",WEEKDAY(DATE($B$4,$B$5,H23),1),"")</f>
        <v>6</v>
      </c>
      <c r="E23" s="24">
        <f t="shared" si="5"/>
        <v>46122</v>
      </c>
      <c r="F23" s="25">
        <f t="shared" si="2"/>
        <v>15</v>
      </c>
      <c r="G23" s="24" t="b">
        <f ca="1">IF($E23&lt;&gt;"",IF(ISERROR(VLOOKUP($E23,INDIRECT("holidays!"&amp;CHAR(MATCH(Country,holidays!$2:$2,0)+64)&amp;":"&amp;CHAR(MATCH(Country,holidays!$2:$2,0)+64)),1,0)),IF(ISERROR(VLOOKUP($E23,INDIRECT("holidays!"&amp;CHAR(MATCH(Country,holidays!$3:$3,0)+64)&amp;":"&amp;CHAR(MATCH(Country,holidays!$3:$3,0)+64)),1,0)),IF(WEEKDAY($E23,2)&gt;5,TRUE,FALSE),FALSE),TRUE),TRUE)</f>
        <v>0</v>
      </c>
      <c r="H23" s="141">
        <f t="shared" ref="H23" si="22">IF(H21&lt;&gt;"",IF(H21+1&gt;$B$6,"",H21+1),"")</f>
        <v>10</v>
      </c>
      <c r="I23" s="26"/>
      <c r="J23" s="26"/>
      <c r="K23" s="27"/>
      <c r="L23" s="28"/>
      <c r="M23" s="109"/>
      <c r="N23" s="29"/>
      <c r="O23" s="109" t="str">
        <f>IF(AND($I22&lt;&gt;"Vacation or sickness",$I22&lt;&gt;"Other absence"), IF($I22&lt;&gt;"",IF(_xlfn.XLOOKUP(TEXT($I22,"0"),tblProjectlist[Workday ID],tblProjectlist[Object],"")&lt;&gt;"Cost center",IFERROR("BL "&amp;_xlfn.XLOOKUP(TEXT($I22,"0"),tblProjectlist[Workday ID],tblProjectlist[Business Line]),"Cost center not found. Please check your entry."),IFERROR(_xlfn.XLOOKUP(TEXT($I22,"0"),tblProjectlist[Workday ID],tblProjectlist[Workday Title]),"Cost center not found. Please check your entry.")),""),"")</f>
        <v/>
      </c>
      <c r="R23" s="14"/>
      <c r="S23" s="14"/>
      <c r="T23" s="14"/>
      <c r="Z23" s="11" t="str">
        <f>SUBSTITUTE(IF(OR($I23="Vacation or sickness",$I23="Other absence"), "overhead", _xlfn.XLOOKUP(TEXT($I23,"0"),tblProjectlist[Workday ID], tblProjectlist[Business Line], "4flow")), " ", "")</f>
        <v>4flow</v>
      </c>
      <c r="AA23" s="11" t="str">
        <f>IF(NOT(OR($I23="Vacation or sickness",$I23="Other absence")), IF(_xlfn.XLOOKUP(TEXT($I23,"0"),tblProjectlist[Workday ID], tblProjectlist[Object], "na")="Project", "proj", IF(_xlfn.XLOOKUP(TEXT($I23,"0"),tblProjectlist[Workday ID], tblProjectlist[Object], "na")="Cost center", "cc", "na")), "na")</f>
        <v>na</v>
      </c>
      <c r="AB23" s="1" t="str">
        <f t="shared" si="0"/>
        <v/>
      </c>
      <c r="AC23" s="11" t="b">
        <f ca="1">IF(J22="",TRUE,IF(COUNTIF(INDIRECT("spec_"&amp;$Z23&amp;"_"&amp;$AA23),J22)&gt;0, TRUE, FALSE))</f>
        <v>1</v>
      </c>
    </row>
    <row r="24" spans="1:29">
      <c r="C24" s="30" t="str">
        <f t="shared" si="1"/>
        <v/>
      </c>
      <c r="D24" s="144"/>
      <c r="E24" s="24">
        <f t="shared" si="5"/>
        <v>46122</v>
      </c>
      <c r="F24" s="25">
        <f t="shared" si="2"/>
        <v>15</v>
      </c>
      <c r="G24" s="24" t="b">
        <f ca="1">IF($E24&lt;&gt;"",IF(ISERROR(VLOOKUP($E24,INDIRECT("holidays!"&amp;CHAR(MATCH(Country,holidays!$2:$2,0)+64)&amp;":"&amp;CHAR(MATCH(Country,holidays!$2:$2,0)+64)),1,0)),IF(ISERROR(VLOOKUP($E24,INDIRECT("holidays!"&amp;CHAR(MATCH(Country,holidays!$3:$3,0)+64)&amp;":"&amp;CHAR(MATCH(Country,holidays!$3:$3,0)+64)),1,0)),IF(WEEKDAY($E24,2)&gt;5,TRUE,FALSE),FALSE),TRUE),TRUE)</f>
        <v>0</v>
      </c>
      <c r="H24" s="141"/>
      <c r="L24" s="28"/>
      <c r="M24" s="109"/>
      <c r="N24" s="29"/>
      <c r="O24" s="109" t="str">
        <f>IF(AND($I23&lt;&gt;"Vacation or sickness",$I23&lt;&gt;"Other absence"), IF($I23&lt;&gt;"",IF(_xlfn.XLOOKUP(TEXT($I23,"0"),tblProjectlist[Workday ID],tblProjectlist[Object],"")&lt;&gt;"Cost center",IFERROR("BL "&amp;_xlfn.XLOOKUP(TEXT($I23,"0"),tblProjectlist[Workday ID],tblProjectlist[Business Line]),"Cost center not found. Please check your entry."),IFERROR(_xlfn.XLOOKUP(TEXT($I23,"0"),tblProjectlist[Workday ID],tblProjectlist[Workday Title]),"Cost center not found. Please check your entry.")),""),"")</f>
        <v/>
      </c>
      <c r="Z24" s="11" t="str">
        <f>SUBSTITUTE(IF(OR($I24="Vacation or sickness",$I24="Other absence"), "overhead", _xlfn.XLOOKUP(TEXT($I24,"0"),tblProjectlist[Workday ID], tblProjectlist[Business Line], "4flow")), " ", "")</f>
        <v>4flow</v>
      </c>
      <c r="AA24" s="11" t="str">
        <f>IF(NOT(OR($I24="Vacation or sickness",$I24="Other absence")), IF(_xlfn.XLOOKUP(TEXT($I24,"0"),tblProjectlist[Workday ID], tblProjectlist[Object], "na")="Project", "proj", IF(_xlfn.XLOOKUP(TEXT($I24,"0"),tblProjectlist[Workday ID], tblProjectlist[Object], "na")="Cost center", "cc", "na")), "na")</f>
        <v>na</v>
      </c>
      <c r="AB24" s="1" t="str">
        <f t="shared" si="0"/>
        <v/>
      </c>
      <c r="AC24" s="11" t="b">
        <f ca="1">IF(J23="",TRUE,IF(COUNTIF(INDIRECT("spec_"&amp;$Z24&amp;"_"&amp;$AA24),J23)&gt;0, TRUE, FALSE))</f>
        <v>1</v>
      </c>
    </row>
    <row r="25" spans="1:29">
      <c r="C25" s="30" t="str">
        <f t="shared" si="1"/>
        <v/>
      </c>
      <c r="D25" s="144">
        <f t="shared" ref="D25:D61" si="23">IF($H25&lt;&gt;"",WEEKDAY(DATE($B$4,$B$5,H25),1),"")</f>
        <v>7</v>
      </c>
      <c r="E25" s="24">
        <f t="shared" si="5"/>
        <v>46123</v>
      </c>
      <c r="F25" s="25">
        <f t="shared" si="2"/>
        <v>15</v>
      </c>
      <c r="G25" s="24" t="b">
        <f ca="1">IF($E25&lt;&gt;"",IF(ISERROR(VLOOKUP($E25,INDIRECT("holidays!"&amp;CHAR(MATCH(Country,holidays!$2:$2,0)+64)&amp;":"&amp;CHAR(MATCH(Country,holidays!$2:$2,0)+64)),1,0)),IF(ISERROR(VLOOKUP($E25,INDIRECT("holidays!"&amp;CHAR(MATCH(Country,holidays!$3:$3,0)+64)&amp;":"&amp;CHAR(MATCH(Country,holidays!$3:$3,0)+64)),1,0)),IF(WEEKDAY($E25,2)&gt;5,TRUE,FALSE),FALSE),TRUE),TRUE)</f>
        <v>1</v>
      </c>
      <c r="H25" s="141">
        <f t="shared" ref="H25" si="24">IF(H23&lt;&gt;"",IF(H23+1&gt;$B$6,"",H23+1),"")</f>
        <v>11</v>
      </c>
      <c r="I25" s="26"/>
      <c r="J25" s="26"/>
      <c r="K25" s="27"/>
      <c r="L25" s="28"/>
      <c r="M25" s="132"/>
      <c r="N25" s="29"/>
      <c r="O25" s="109" t="str">
        <f>IF(AND($I25&lt;&gt;"Vacation or sickness",$I25&lt;&gt;"Other absence"), IF($I25&lt;&gt;"",IF(_xlfn.XLOOKUP(TEXT($I25,"0"),tblProjectlist[Workday ID],tblProjectlist[Object],"")&lt;&gt;"Cost center",IFERROR("BL "&amp;_xlfn.XLOOKUP(TEXT($I25,"0"),tblProjectlist[Workday ID],tblProjectlist[Business Line]),"Cost center not found. Please check your entry."),IFERROR(_xlfn.XLOOKUP(TEXT($I25,"0"),tblProjectlist[Workday ID],tblProjectlist[Workday Title]),"Cost center not found. Please check your entry.")),""),"")</f>
        <v/>
      </c>
      <c r="Z25" s="11" t="str">
        <f>SUBSTITUTE(IF(OR($I25="Vacation or sickness",$I25="Other absence"), "overhead", _xlfn.XLOOKUP(TEXT($I25,"0"),tblProjectlist[Workday ID], tblProjectlist[Business Line], "4flow")), " ", "")</f>
        <v>4flow</v>
      </c>
      <c r="AA25" s="11" t="str">
        <f>IF(NOT(OR($I25="Vacation or sickness",$I25="Other absence")), IF(_xlfn.XLOOKUP(TEXT($I25,"0"),tblProjectlist[Workday ID], tblProjectlist[Object], "na")="Project", "proj", IF(_xlfn.XLOOKUP(TEXT($I25,"0"),tblProjectlist[Workday ID], tblProjectlist[Object], "na")="Cost center", "cc", "na")), "na")</f>
        <v>na</v>
      </c>
      <c r="AB25" s="1" t="str">
        <f t="shared" si="0"/>
        <v/>
      </c>
      <c r="AC25" s="11" t="b">
        <f t="shared" ca="1" si="3"/>
        <v>1</v>
      </c>
    </row>
    <row r="26" spans="1:29">
      <c r="A26" s="115"/>
      <c r="C26" s="30" t="str">
        <f t="shared" si="1"/>
        <v/>
      </c>
      <c r="D26" s="144"/>
      <c r="E26" s="24">
        <f t="shared" si="5"/>
        <v>46123</v>
      </c>
      <c r="F26" s="25">
        <f t="shared" si="2"/>
        <v>15</v>
      </c>
      <c r="G26" s="24" t="b">
        <f ca="1">IF($E26&lt;&gt;"",IF(ISERROR(VLOOKUP($E26,INDIRECT("holidays!"&amp;CHAR(MATCH(Country,holidays!$2:$2,0)+64)&amp;":"&amp;CHAR(MATCH(Country,holidays!$2:$2,0)+64)),1,0)),IF(ISERROR(VLOOKUP($E26,INDIRECT("holidays!"&amp;CHAR(MATCH(Country,holidays!$3:$3,0)+64)&amp;":"&amp;CHAR(MATCH(Country,holidays!$3:$3,0)+64)),1,0)),IF(WEEKDAY($E26,2)&gt;5,TRUE,FALSE),FALSE),TRUE),TRUE)</f>
        <v>1</v>
      </c>
      <c r="H26" s="141"/>
      <c r="I26" s="26"/>
      <c r="J26" s="26"/>
      <c r="K26" s="27"/>
      <c r="L26" s="28"/>
      <c r="M26" s="109"/>
      <c r="N26" s="29"/>
      <c r="O26" s="109" t="str">
        <f>IF(AND($I26&lt;&gt;"Vacation or sickness",$I26&lt;&gt;"Other absence"), IF($I26&lt;&gt;"",IF(_xlfn.XLOOKUP(TEXT($I26,"0"),tblProjectlist[Workday ID],tblProjectlist[Object],"")&lt;&gt;"Cost center",IFERROR("BL "&amp;_xlfn.XLOOKUP(TEXT($I26,"0"),tblProjectlist[Workday ID],tblProjectlist[Business Line]),"Cost center not found. Please check your entry."),IFERROR(_xlfn.XLOOKUP(TEXT($I26,"0"),tblProjectlist[Workday ID],tblProjectlist[Workday Title]),"Cost center not found. Please check your entry.")),""),"")</f>
        <v/>
      </c>
      <c r="Z26" s="11" t="str">
        <f>SUBSTITUTE(IF(OR($I26="Vacation or sickness",$I26="Other absence"), "overhead", _xlfn.XLOOKUP(TEXT($I26,"0"),tblProjectlist[Workday ID], tblProjectlist[Business Line], "4flow")), " ", "")</f>
        <v>4flow</v>
      </c>
      <c r="AA26" s="11" t="str">
        <f>IF(NOT(OR($I26="Vacation or sickness",$I26="Other absence")), IF(_xlfn.XLOOKUP(TEXT($I26,"0"),tblProjectlist[Workday ID], tblProjectlist[Object], "na")="Project", "proj", IF(_xlfn.XLOOKUP(TEXT($I26,"0"),tblProjectlist[Workday ID], tblProjectlist[Object], "na")="Cost center", "cc", "na")), "na")</f>
        <v>na</v>
      </c>
      <c r="AB26" s="1" t="str">
        <f t="shared" si="0"/>
        <v/>
      </c>
      <c r="AC26" s="11" t="b">
        <f t="shared" ca="1" si="3"/>
        <v>1</v>
      </c>
    </row>
    <row r="27" spans="1:29">
      <c r="C27" s="30" t="str">
        <f t="shared" si="1"/>
        <v/>
      </c>
      <c r="D27" s="144">
        <f t="shared" ref="D27:D63" si="25">IF($H27&lt;&gt;"",WEEKDAY(DATE($B$4,$B$5,H27),1),"")</f>
        <v>1</v>
      </c>
      <c r="E27" s="24">
        <f t="shared" si="5"/>
        <v>46124</v>
      </c>
      <c r="F27" s="25">
        <f t="shared" si="2"/>
        <v>15</v>
      </c>
      <c r="G27" s="24" t="b">
        <f ca="1">IF($E27&lt;&gt;"",IF(ISERROR(VLOOKUP($E27,INDIRECT("holidays!"&amp;CHAR(MATCH(Country,holidays!$2:$2,0)+64)&amp;":"&amp;CHAR(MATCH(Country,holidays!$2:$2,0)+64)),1,0)),IF(ISERROR(VLOOKUP($E27,INDIRECT("holidays!"&amp;CHAR(MATCH(Country,holidays!$3:$3,0)+64)&amp;":"&amp;CHAR(MATCH(Country,holidays!$3:$3,0)+64)),1,0)),IF(WEEKDAY($E27,2)&gt;5,TRUE,FALSE),FALSE),TRUE),TRUE)</f>
        <v>1</v>
      </c>
      <c r="H27" s="141">
        <f t="shared" ref="H27" si="26">IF(H25&lt;&gt;"",IF(H25+1&gt;$B$6,"",H25+1),"")</f>
        <v>12</v>
      </c>
      <c r="I27" s="26"/>
      <c r="J27" s="26"/>
      <c r="K27" s="27"/>
      <c r="L27" s="28"/>
      <c r="M27" s="132"/>
      <c r="N27" s="29"/>
      <c r="O27" s="109" t="str">
        <f>IF(AND($I27&lt;&gt;"Vacation or sickness",$I27&lt;&gt;"Other absence"), IF($I27&lt;&gt;"",IF(_xlfn.XLOOKUP(TEXT($I27,"0"),tblProjectlist[Workday ID],tblProjectlist[Object],"")&lt;&gt;"Cost center",IFERROR("BL "&amp;_xlfn.XLOOKUP(TEXT($I27,"0"),tblProjectlist[Workday ID],tblProjectlist[Business Line]),"Cost center not found. Please check your entry."),IFERROR(_xlfn.XLOOKUP(TEXT($I27,"0"),tblProjectlist[Workday ID],tblProjectlist[Workday Title]),"Cost center not found. Please check your entry.")),""),"")</f>
        <v/>
      </c>
      <c r="V27" s="40"/>
      <c r="Z27" s="11" t="str">
        <f>SUBSTITUTE(IF(OR($I27="Vacation or sickness",$I27="Other absence"), "overhead", _xlfn.XLOOKUP(TEXT($I27,"0"),tblProjectlist[Workday ID], tblProjectlist[Business Line], "4flow")), " ", "")</f>
        <v>4flow</v>
      </c>
      <c r="AA27" s="11" t="str">
        <f>IF(NOT(OR($I27="Vacation or sickness",$I27="Other absence")), IF(_xlfn.XLOOKUP(TEXT($I27,"0"),tblProjectlist[Workday ID], tblProjectlist[Object], "na")="Project", "proj", IF(_xlfn.XLOOKUP(TEXT($I27,"0"),tblProjectlist[Workday ID], tblProjectlist[Object], "na")="Cost center", "cc", "na")), "na")</f>
        <v>na</v>
      </c>
      <c r="AB27" s="1" t="str">
        <f t="shared" si="0"/>
        <v/>
      </c>
      <c r="AC27" s="11" t="b">
        <f t="shared" ca="1" si="3"/>
        <v>1</v>
      </c>
    </row>
    <row r="28" spans="1:29">
      <c r="C28" s="39" t="str">
        <f t="shared" si="1"/>
        <v/>
      </c>
      <c r="D28" s="144"/>
      <c r="E28" s="24">
        <f t="shared" si="5"/>
        <v>46124</v>
      </c>
      <c r="F28" s="25">
        <f t="shared" si="2"/>
        <v>15</v>
      </c>
      <c r="G28" s="24" t="b">
        <f ca="1">IF($E28&lt;&gt;"",IF(ISERROR(VLOOKUP($E28,INDIRECT("holidays!"&amp;CHAR(MATCH(Country,holidays!$2:$2,0)+64)&amp;":"&amp;CHAR(MATCH(Country,holidays!$2:$2,0)+64)),1,0)),IF(ISERROR(VLOOKUP($E28,INDIRECT("holidays!"&amp;CHAR(MATCH(Country,holidays!$3:$3,0)+64)&amp;":"&amp;CHAR(MATCH(Country,holidays!$3:$3,0)+64)),1,0)),IF(WEEKDAY($E28,2)&gt;5,TRUE,FALSE),FALSE),TRUE),TRUE)</f>
        <v>1</v>
      </c>
      <c r="H28" s="141"/>
      <c r="I28" s="26"/>
      <c r="J28" s="26"/>
      <c r="K28" s="27"/>
      <c r="L28" s="28"/>
      <c r="M28" s="109"/>
      <c r="N28" s="29"/>
      <c r="O28" s="109" t="str">
        <f>IF(AND($I28&lt;&gt;"Vacation or sickness",$I28&lt;&gt;"Other absence"), IF($I28&lt;&gt;"",IF(_xlfn.XLOOKUP(TEXT($I28,"0"),tblProjectlist[Workday ID],tblProjectlist[Object],"")&lt;&gt;"Cost center",IFERROR("BL "&amp;_xlfn.XLOOKUP(TEXT($I28,"0"),tblProjectlist[Workday ID],tblProjectlist[Business Line]),"Cost center not found. Please check your entry."),IFERROR(_xlfn.XLOOKUP(TEXT($I28,"0"),tblProjectlist[Workday ID],tblProjectlist[Workday Title]),"Cost center not found. Please check your entry.")),""),"")</f>
        <v/>
      </c>
      <c r="Z28" s="11" t="str">
        <f>SUBSTITUTE(IF(OR($I28="Vacation or sickness",$I28="Other absence"), "overhead", _xlfn.XLOOKUP(TEXT($I28,"0"),tblProjectlist[Workday ID], tblProjectlist[Business Line], "4flow")), " ", "")</f>
        <v>4flow</v>
      </c>
      <c r="AA28" s="11" t="str">
        <f>IF(NOT(OR($I28="Vacation or sickness",$I28="Other absence")), IF(_xlfn.XLOOKUP(TEXT($I28,"0"),tblProjectlist[Workday ID], tblProjectlist[Object], "na")="Project", "proj", IF(_xlfn.XLOOKUP(TEXT($I28,"0"),tblProjectlist[Workday ID], tblProjectlist[Object], "na")="Cost center", "cc", "na")), "na")</f>
        <v>na</v>
      </c>
      <c r="AB28" s="1" t="str">
        <f t="shared" si="0"/>
        <v/>
      </c>
      <c r="AC28" s="11" t="b">
        <f t="shared" ca="1" si="3"/>
        <v>1</v>
      </c>
    </row>
    <row r="29" spans="1:29">
      <c r="C29" s="30" t="str">
        <f t="shared" si="1"/>
        <v/>
      </c>
      <c r="D29" s="144">
        <f t="shared" ref="D29" si="27">IF($H29&lt;&gt;"",WEEKDAY(DATE($B$4,$B$5,H29),1),"")</f>
        <v>2</v>
      </c>
      <c r="E29" s="24">
        <f t="shared" si="5"/>
        <v>46125</v>
      </c>
      <c r="F29" s="25">
        <f t="shared" si="2"/>
        <v>16</v>
      </c>
      <c r="G29" s="24" t="b">
        <f ca="1">IF($E29&lt;&gt;"",IF(ISERROR(VLOOKUP($E29,INDIRECT("holidays!"&amp;CHAR(MATCH(Country,holidays!$2:$2,0)+64)&amp;":"&amp;CHAR(MATCH(Country,holidays!$2:$2,0)+64)),1,0)),IF(ISERROR(VLOOKUP($E29,INDIRECT("holidays!"&amp;CHAR(MATCH(Country,holidays!$3:$3,0)+64)&amp;":"&amp;CHAR(MATCH(Country,holidays!$3:$3,0)+64)),1,0)),IF(WEEKDAY($E29,2)&gt;5,TRUE,FALSE),FALSE),TRUE),TRUE)</f>
        <v>0</v>
      </c>
      <c r="H29" s="141">
        <f t="shared" ref="H29" si="28">IF(H27&lt;&gt;"",IF(H27+1&gt;$B$6,"",H27+1),"")</f>
        <v>13</v>
      </c>
      <c r="I29" s="26"/>
      <c r="J29" s="26"/>
      <c r="K29" s="27"/>
      <c r="L29" s="28"/>
      <c r="M29" s="109"/>
      <c r="N29" s="29"/>
      <c r="O29" s="109" t="str">
        <f>IF(AND($I29&lt;&gt;"Vacation or sickness",$I29&lt;&gt;"Other absence"), IF($I29&lt;&gt;"",IF(_xlfn.XLOOKUP(TEXT($I29,"0"),tblProjectlist[Workday ID],tblProjectlist[Object],"")&lt;&gt;"Cost center",IFERROR("BL "&amp;_xlfn.XLOOKUP(TEXT($I29,"0"),tblProjectlist[Workday ID],tblProjectlist[Business Line]),"Cost center not found. Please check your entry."),IFERROR(_xlfn.XLOOKUP(TEXT($I29,"0"),tblProjectlist[Workday ID],tblProjectlist[Workday Title]),"Cost center not found. Please check your entry.")),""),"")</f>
        <v/>
      </c>
      <c r="Z29" s="11" t="str">
        <f>SUBSTITUTE(IF(OR($I29="Vacation or sickness",$I29="Other absence"), "overhead", _xlfn.XLOOKUP(TEXT($I29,"0"),tblProjectlist[Workday ID], tblProjectlist[Business Line], "4flow")), " ", "")</f>
        <v>4flow</v>
      </c>
      <c r="AA29" s="11" t="str">
        <f>IF(NOT(OR($I29="Vacation or sickness",$I29="Other absence")), IF(_xlfn.XLOOKUP(TEXT($I29,"0"),tblProjectlist[Workday ID], tblProjectlist[Object], "na")="Project", "proj", IF(_xlfn.XLOOKUP(TEXT($I29,"0"),tblProjectlist[Workday ID], tblProjectlist[Object], "na")="Cost center", "cc", "na")), "na")</f>
        <v>na</v>
      </c>
      <c r="AB29" s="1" t="str">
        <f t="shared" si="0"/>
        <v/>
      </c>
      <c r="AC29" s="11" t="b">
        <f t="shared" ca="1" si="3"/>
        <v>1</v>
      </c>
    </row>
    <row r="30" spans="1:29">
      <c r="C30" s="30" t="str">
        <f t="shared" si="1"/>
        <v/>
      </c>
      <c r="D30" s="144"/>
      <c r="E30" s="24">
        <f t="shared" si="5"/>
        <v>46125</v>
      </c>
      <c r="F30" s="25">
        <f t="shared" si="2"/>
        <v>16</v>
      </c>
      <c r="G30" s="24" t="b">
        <f ca="1">IF($E30&lt;&gt;"",IF(ISERROR(VLOOKUP($E30,INDIRECT("holidays!"&amp;CHAR(MATCH(Country,holidays!$2:$2,0)+64)&amp;":"&amp;CHAR(MATCH(Country,holidays!$2:$2,0)+64)),1,0)),IF(ISERROR(VLOOKUP($E30,INDIRECT("holidays!"&amp;CHAR(MATCH(Country,holidays!$3:$3,0)+64)&amp;":"&amp;CHAR(MATCH(Country,holidays!$3:$3,0)+64)),1,0)),IF(WEEKDAY($E30,2)&gt;5,TRUE,FALSE),FALSE),TRUE),TRUE)</f>
        <v>0</v>
      </c>
      <c r="H30" s="141"/>
      <c r="I30" s="26" t="s">
        <v>34</v>
      </c>
      <c r="J30" s="26" t="s">
        <v>4477</v>
      </c>
      <c r="K30" s="27">
        <v>1</v>
      </c>
      <c r="L30" s="28"/>
      <c r="M30" s="109"/>
      <c r="N30" s="29"/>
      <c r="O30" s="109" t="str">
        <f>IF(AND($I30&lt;&gt;"Vacation or sickness",$I30&lt;&gt;"Other absence"), IF($I30&lt;&gt;"",IF(_xlfn.XLOOKUP(TEXT($I30,"0"),tblProjectlist[Workday ID],tblProjectlist[Object],"")&lt;&gt;"Cost center",IFERROR("BL "&amp;_xlfn.XLOOKUP(TEXT($I30,"0"),tblProjectlist[Workday ID],tblProjectlist[Business Line]),"Cost center not found. Please check your entry."),IFERROR(_xlfn.XLOOKUP(TEXT($I30,"0"),tblProjectlist[Workday ID],tblProjectlist[Workday Title]),"Cost center not found. Please check your entry.")),""),"")</f>
        <v/>
      </c>
      <c r="Z30" s="11" t="str">
        <f>SUBSTITUTE(IF(OR($I30="Vacation or sickness",$I30="Other absence"), "overhead", _xlfn.XLOOKUP(TEXT($I30,"0"),tblProjectlist[Workday ID], tblProjectlist[Business Line], "4flow")), " ", "")</f>
        <v>overhead</v>
      </c>
      <c r="AA30" s="11" t="str">
        <f>IF(NOT(OR($I30="Vacation or sickness",$I30="Other absence")), IF(_xlfn.XLOOKUP(TEXT($I30,"0"),tblProjectlist[Workday ID], tblProjectlist[Object], "na")="Project", "proj", IF(_xlfn.XLOOKUP(TEXT($I30,"0"),tblProjectlist[Workday ID], tblProjectlist[Object], "na")="Cost center", "cc", "na")), "na")</f>
        <v>na</v>
      </c>
      <c r="AB30" s="1" t="str">
        <f t="shared" si="0"/>
        <v>Other absence - 4s_Overheads_Absence</v>
      </c>
      <c r="AC30" s="11" t="b">
        <f t="shared" ca="1" si="3"/>
        <v>1</v>
      </c>
    </row>
    <row r="31" spans="1:29">
      <c r="C31" s="30" t="str">
        <f t="shared" si="1"/>
        <v/>
      </c>
      <c r="D31" s="144">
        <f t="shared" si="17"/>
        <v>3</v>
      </c>
      <c r="E31" s="24">
        <f t="shared" si="5"/>
        <v>46126</v>
      </c>
      <c r="F31" s="25">
        <f t="shared" si="2"/>
        <v>16</v>
      </c>
      <c r="G31" s="24" t="b">
        <f ca="1">IF($E31&lt;&gt;"",IF(ISERROR(VLOOKUP($E31,INDIRECT("holidays!"&amp;CHAR(MATCH(Country,holidays!$2:$2,0)+64)&amp;":"&amp;CHAR(MATCH(Country,holidays!$2:$2,0)+64)),1,0)),IF(ISERROR(VLOOKUP($E31,INDIRECT("holidays!"&amp;CHAR(MATCH(Country,holidays!$3:$3,0)+64)&amp;":"&amp;CHAR(MATCH(Country,holidays!$3:$3,0)+64)),1,0)),IF(WEEKDAY($E31,2)&gt;5,TRUE,FALSE),FALSE),TRUE),TRUE)</f>
        <v>0</v>
      </c>
      <c r="H31" s="141">
        <f t="shared" ref="H31" si="29">IF(H29&lt;&gt;"",IF(H29+1&gt;$B$6,"",H29+1),"")</f>
        <v>14</v>
      </c>
      <c r="I31" s="26"/>
      <c r="J31" s="26"/>
      <c r="K31" s="27"/>
      <c r="L31" s="28"/>
      <c r="M31" s="109"/>
      <c r="N31" s="29"/>
      <c r="O31" s="109" t="str">
        <f>IF(AND($I31&lt;&gt;"Vacation or sickness",$I31&lt;&gt;"Other absence"), IF($I31&lt;&gt;"",IF(_xlfn.XLOOKUP(TEXT($I31,"0"),tblProjectlist[Workday ID],tblProjectlist[Object],"")&lt;&gt;"Cost center",IFERROR("BL "&amp;_xlfn.XLOOKUP(TEXT($I31,"0"),tblProjectlist[Workday ID],tblProjectlist[Business Line]),"Cost center not found. Please check your entry."),IFERROR(_xlfn.XLOOKUP(TEXT($I31,"0"),tblProjectlist[Workday ID],tblProjectlist[Workday Title]),"Cost center not found. Please check your entry.")),""),"")</f>
        <v/>
      </c>
      <c r="Z31" s="11" t="str">
        <f>SUBSTITUTE(IF(OR($I31="Vacation or sickness",$I31="Other absence"), "overhead", _xlfn.XLOOKUP(TEXT($I31,"0"),tblProjectlist[Workday ID], tblProjectlist[Business Line], "4flow")), " ", "")</f>
        <v>4flow</v>
      </c>
      <c r="AA31" s="11" t="str">
        <f>IF(NOT(OR($I31="Vacation or sickness",$I31="Other absence")), IF(_xlfn.XLOOKUP(TEXT($I31,"0"),tblProjectlist[Workday ID], tblProjectlist[Object], "na")="Project", "proj", IF(_xlfn.XLOOKUP(TEXT($I31,"0"),tblProjectlist[Workday ID], tblProjectlist[Object], "na")="Cost center", "cc", "na")), "na")</f>
        <v>na</v>
      </c>
      <c r="AB31" s="1" t="str">
        <f t="shared" si="0"/>
        <v/>
      </c>
      <c r="AC31" s="11" t="b">
        <f t="shared" ca="1" si="3"/>
        <v>1</v>
      </c>
    </row>
    <row r="32" spans="1:29">
      <c r="C32" s="30" t="str">
        <f t="shared" si="1"/>
        <v/>
      </c>
      <c r="D32" s="144"/>
      <c r="E32" s="24">
        <f t="shared" si="5"/>
        <v>46126</v>
      </c>
      <c r="F32" s="25">
        <f t="shared" si="2"/>
        <v>16</v>
      </c>
      <c r="G32" s="24" t="b">
        <f ca="1">IF($E32&lt;&gt;"",IF(ISERROR(VLOOKUP($E32,INDIRECT("holidays!"&amp;CHAR(MATCH(Country,holidays!$2:$2,0)+64)&amp;":"&amp;CHAR(MATCH(Country,holidays!$2:$2,0)+64)),1,0)),IF(ISERROR(VLOOKUP($E32,INDIRECT("holidays!"&amp;CHAR(MATCH(Country,holidays!$3:$3,0)+64)&amp;":"&amp;CHAR(MATCH(Country,holidays!$3:$3,0)+64)),1,0)),IF(WEEKDAY($E32,2)&gt;5,TRUE,FALSE),FALSE),TRUE),TRUE)</f>
        <v>0</v>
      </c>
      <c r="H32" s="141"/>
      <c r="I32" s="26"/>
      <c r="J32" s="26" t="s">
        <v>4466</v>
      </c>
      <c r="K32" s="27">
        <v>1</v>
      </c>
      <c r="L32" s="28"/>
      <c r="M32" s="109"/>
      <c r="N32" s="29"/>
      <c r="O32" s="109" t="str">
        <f>IF(AND($I32&lt;&gt;"Vacation or sickness",$I32&lt;&gt;"Other absence"), IF($I32&lt;&gt;"",IF(_xlfn.XLOOKUP(TEXT($I32,"0"),tblProjectlist[Workday ID],tblProjectlist[Object],"")&lt;&gt;"Cost center",IFERROR("BL "&amp;_xlfn.XLOOKUP(TEXT($I32,"0"),tblProjectlist[Workday ID],tblProjectlist[Business Line]),"Cost center not found. Please check your entry."),IFERROR(_xlfn.XLOOKUP(TEXT($I32,"0"),tblProjectlist[Workday ID],tblProjectlist[Workday Title]),"Cost center not found. Please check your entry.")),""),"")</f>
        <v/>
      </c>
      <c r="Z32" s="11" t="str">
        <f>SUBSTITUTE(IF(OR($I32="Vacation or sickness",$I32="Other absence"), "overhead", _xlfn.XLOOKUP(TEXT($I32,"0"),tblProjectlist[Workday ID], tblProjectlist[Business Line], "4flow")), " ", "")</f>
        <v>4flow</v>
      </c>
      <c r="AA32" s="11" t="str">
        <f>IF(NOT(OR($I32="Vacation or sickness",$I32="Other absence")), IF(_xlfn.XLOOKUP(TEXT($I32,"0"),tblProjectlist[Workday ID], tblProjectlist[Object], "na")="Project", "proj", IF(_xlfn.XLOOKUP(TEXT($I32,"0"),tblProjectlist[Workday ID], tblProjectlist[Object], "na")="Cost center", "cc", "na")), "na")</f>
        <v>na</v>
      </c>
      <c r="AB32" s="1" t="str">
        <f t="shared" si="0"/>
        <v xml:space="preserve"> - 4s_Overheads_Concept &amp; development</v>
      </c>
      <c r="AC32" s="11" t="b">
        <f t="shared" ca="1" si="3"/>
        <v>1</v>
      </c>
    </row>
    <row r="33" spans="3:29">
      <c r="C33" s="30" t="str">
        <f t="shared" si="1"/>
        <v/>
      </c>
      <c r="D33" s="144">
        <f t="shared" si="19"/>
        <v>4</v>
      </c>
      <c r="E33" s="24">
        <f t="shared" si="5"/>
        <v>46127</v>
      </c>
      <c r="F33" s="25">
        <f t="shared" si="2"/>
        <v>16</v>
      </c>
      <c r="G33" s="24" t="b">
        <f ca="1">IF($E33&lt;&gt;"",IF(ISERROR(VLOOKUP($E33,INDIRECT("holidays!"&amp;CHAR(MATCH(Country,holidays!$2:$2,0)+64)&amp;":"&amp;CHAR(MATCH(Country,holidays!$2:$2,0)+64)),1,0)),IF(ISERROR(VLOOKUP($E33,INDIRECT("holidays!"&amp;CHAR(MATCH(Country,holidays!$3:$3,0)+64)&amp;":"&amp;CHAR(MATCH(Country,holidays!$3:$3,0)+64)),1,0)),IF(WEEKDAY($E33,2)&gt;5,TRUE,FALSE),FALSE),TRUE),TRUE)</f>
        <v>0</v>
      </c>
      <c r="H33" s="141">
        <f t="shared" ref="H33" si="30">IF(H31&lt;&gt;"",IF(H31+1&gt;$B$6,"",H31+1),"")</f>
        <v>15</v>
      </c>
      <c r="I33" s="26"/>
      <c r="J33" s="26"/>
      <c r="K33" s="27"/>
      <c r="L33" s="28"/>
      <c r="M33" s="132"/>
      <c r="N33" s="29"/>
      <c r="O33" s="109" t="str">
        <f>IF(AND($I33&lt;&gt;"Vacation or sickness",$I33&lt;&gt;"Other absence"), IF($I33&lt;&gt;"",IF(_xlfn.XLOOKUP(TEXT($I33,"0"),tblProjectlist[Workday ID],tblProjectlist[Object],"")&lt;&gt;"Cost center",IFERROR("BL "&amp;_xlfn.XLOOKUP(TEXT($I33,"0"),tblProjectlist[Workday ID],tblProjectlist[Business Line]),"Cost center not found. Please check your entry."),IFERROR(_xlfn.XLOOKUP(TEXT($I33,"0"),tblProjectlist[Workday ID],tblProjectlist[Workday Title]),"Cost center not found. Please check your entry.")),""),"")</f>
        <v/>
      </c>
      <c r="Z33" s="11" t="str">
        <f>SUBSTITUTE(IF(OR($I33="Vacation or sickness",$I33="Other absence"), "overhead", _xlfn.XLOOKUP(TEXT($I33,"0"),tblProjectlist[Workday ID], tblProjectlist[Business Line], "4flow")), " ", "")</f>
        <v>4flow</v>
      </c>
      <c r="AA33" s="11" t="str">
        <f>IF(NOT(OR($I33="Vacation or sickness",$I33="Other absence")), IF(_xlfn.XLOOKUP(TEXT($I33,"0"),tblProjectlist[Workday ID], tblProjectlist[Object], "na")="Project", "proj", IF(_xlfn.XLOOKUP(TEXT($I33,"0"),tblProjectlist[Workday ID], tblProjectlist[Object], "na")="Cost center", "cc", "na")), "na")</f>
        <v>na</v>
      </c>
      <c r="AB33" s="1" t="str">
        <f t="shared" si="0"/>
        <v/>
      </c>
      <c r="AC33" s="11" t="b">
        <f t="shared" ca="1" si="3"/>
        <v>1</v>
      </c>
    </row>
    <row r="34" spans="3:29">
      <c r="C34" s="30" t="str">
        <f t="shared" si="1"/>
        <v/>
      </c>
      <c r="D34" s="144"/>
      <c r="E34" s="24">
        <f t="shared" si="5"/>
        <v>46127</v>
      </c>
      <c r="F34" s="25">
        <f t="shared" si="2"/>
        <v>16</v>
      </c>
      <c r="G34" s="24" t="b">
        <f ca="1">IF($E34&lt;&gt;"",IF(ISERROR(VLOOKUP($E34,INDIRECT("holidays!"&amp;CHAR(MATCH(Country,holidays!$2:$2,0)+64)&amp;":"&amp;CHAR(MATCH(Country,holidays!$2:$2,0)+64)),1,0)),IF(ISERROR(VLOOKUP($E34,INDIRECT("holidays!"&amp;CHAR(MATCH(Country,holidays!$3:$3,0)+64)&amp;":"&amp;CHAR(MATCH(Country,holidays!$3:$3,0)+64)),1,0)),IF(WEEKDAY($E34,2)&gt;5,TRUE,FALSE),FALSE),TRUE),TRUE)</f>
        <v>0</v>
      </c>
      <c r="H34" s="141"/>
      <c r="I34" s="26"/>
      <c r="J34" s="26" t="s">
        <v>4466</v>
      </c>
      <c r="K34" s="27">
        <v>1</v>
      </c>
      <c r="L34" s="28"/>
      <c r="M34" s="132"/>
      <c r="N34" s="29"/>
      <c r="O34" s="109" t="str">
        <f>IF(AND($I34&lt;&gt;"Vacation or sickness",$I34&lt;&gt;"Other absence"), IF($I34&lt;&gt;"",IF(_xlfn.XLOOKUP(TEXT($I34,"0"),tblProjectlist[Workday ID],tblProjectlist[Object],"")&lt;&gt;"Cost center",IFERROR("BL "&amp;_xlfn.XLOOKUP(TEXT($I34,"0"),tblProjectlist[Workday ID],tblProjectlist[Business Line]),"Cost center not found. Please check your entry."),IFERROR(_xlfn.XLOOKUP(TEXT($I34,"0"),tblProjectlist[Workday ID],tblProjectlist[Workday Title]),"Cost center not found. Please check your entry.")),""),"")</f>
        <v/>
      </c>
      <c r="Q34" s="13" t="s">
        <v>2170</v>
      </c>
      <c r="Z34" s="11" t="str">
        <f>SUBSTITUTE(IF(OR($I34="Vacation or sickness",$I34="Other absence"), "overhead", _xlfn.XLOOKUP(TEXT($I34,"0"),tblProjectlist[Workday ID], tblProjectlist[Business Line], "4flow")), " ", "")</f>
        <v>4flow</v>
      </c>
      <c r="AA34" s="11" t="str">
        <f>IF(NOT(OR($I34="Vacation or sickness",$I34="Other absence")), IF(_xlfn.XLOOKUP(TEXT($I34,"0"),tblProjectlist[Workday ID], tblProjectlist[Object], "na")="Project", "proj", IF(_xlfn.XLOOKUP(TEXT($I34,"0"),tblProjectlist[Workday ID], tblProjectlist[Object], "na")="Cost center", "cc", "na")), "na")</f>
        <v>na</v>
      </c>
      <c r="AB34" s="1" t="str">
        <f t="shared" si="0"/>
        <v xml:space="preserve"> - 4s_Overheads_Concept &amp; development</v>
      </c>
      <c r="AC34" s="11" t="b">
        <f t="shared" ca="1" si="3"/>
        <v>1</v>
      </c>
    </row>
    <row r="35" spans="3:29">
      <c r="C35" s="30">
        <f t="shared" si="1"/>
        <v>16</v>
      </c>
      <c r="D35" s="144">
        <f t="shared" si="21"/>
        <v>5</v>
      </c>
      <c r="E35" s="24">
        <f t="shared" si="5"/>
        <v>46128</v>
      </c>
      <c r="F35" s="25">
        <f t="shared" si="2"/>
        <v>16</v>
      </c>
      <c r="G35" s="24" t="b">
        <f ca="1">IF($E35&lt;&gt;"",IF(ISERROR(VLOOKUP($E35,INDIRECT("holidays!"&amp;CHAR(MATCH(Country,holidays!$2:$2,0)+64)&amp;":"&amp;CHAR(MATCH(Country,holidays!$2:$2,0)+64)),1,0)),IF(ISERROR(VLOOKUP($E35,INDIRECT("holidays!"&amp;CHAR(MATCH(Country,holidays!$3:$3,0)+64)&amp;":"&amp;CHAR(MATCH(Country,holidays!$3:$3,0)+64)),1,0)),IF(WEEKDAY($E35,2)&gt;5,TRUE,FALSE),FALSE),TRUE),TRUE)</f>
        <v>0</v>
      </c>
      <c r="H35" s="141">
        <f t="shared" ref="H35" si="31">IF(H33&lt;&gt;"",IF(H33+1&gt;$B$6,"",H33+1),"")</f>
        <v>16</v>
      </c>
      <c r="I35" s="26"/>
      <c r="J35" s="26"/>
      <c r="K35" s="27"/>
      <c r="L35" s="28"/>
      <c r="M35" s="132"/>
      <c r="N35" s="29"/>
      <c r="O35" s="109" t="str">
        <f>IF(AND($I35&lt;&gt;"Vacation or sickness",$I35&lt;&gt;"Other absence"), IF($I35&lt;&gt;"",IF(_xlfn.XLOOKUP(TEXT($I35,"0"),tblProjectlist[Workday ID],tblProjectlist[Object],"")&lt;&gt;"Cost center",IFERROR("BL "&amp;_xlfn.XLOOKUP(TEXT($I35,"0"),tblProjectlist[Workday ID],tblProjectlist[Business Line]),"Cost center not found. Please check your entry."),IFERROR(_xlfn.XLOOKUP(TEXT($I35,"0"),tblProjectlist[Workday ID],tblProjectlist[Workday Title]),"Cost center not found. Please check your entry.")),""),"")</f>
        <v/>
      </c>
      <c r="Q35" s="32"/>
      <c r="R35" s="32" t="s">
        <v>2173</v>
      </c>
      <c r="S35" s="32" t="s">
        <v>2172</v>
      </c>
      <c r="T35" s="32" t="s">
        <v>2174</v>
      </c>
      <c r="Z35" s="11" t="str">
        <f>SUBSTITUTE(IF(OR($I35="Vacation or sickness",$I35="Other absence"), "overhead", _xlfn.XLOOKUP(TEXT($I35,"0"),tblProjectlist[Workday ID], tblProjectlist[Business Line], "4flow")), " ", "")</f>
        <v>4flow</v>
      </c>
      <c r="AA35" s="11" t="str">
        <f>IF(NOT(OR($I35="Vacation or sickness",$I35="Other absence")), IF(_xlfn.XLOOKUP(TEXT($I35,"0"),tblProjectlist[Workday ID], tblProjectlist[Object], "na")="Project", "proj", IF(_xlfn.XLOOKUP(TEXT($I35,"0"),tblProjectlist[Workday ID], tblProjectlist[Object], "na")="Cost center", "cc", "na")), "na")</f>
        <v>na</v>
      </c>
      <c r="AB35" s="1" t="str">
        <f t="shared" si="0"/>
        <v/>
      </c>
      <c r="AC35" s="11" t="b">
        <f t="shared" ca="1" si="3"/>
        <v>1</v>
      </c>
    </row>
    <row r="36" spans="3:29">
      <c r="C36" s="30" t="str">
        <f t="shared" si="1"/>
        <v/>
      </c>
      <c r="D36" s="144"/>
      <c r="E36" s="24">
        <f t="shared" si="5"/>
        <v>46128</v>
      </c>
      <c r="F36" s="25">
        <f t="shared" si="2"/>
        <v>16</v>
      </c>
      <c r="G36" s="24" t="b">
        <f ca="1">IF($E36&lt;&gt;"",IF(ISERROR(VLOOKUP($E36,INDIRECT("holidays!"&amp;CHAR(MATCH(Country,holidays!$2:$2,0)+64)&amp;":"&amp;CHAR(MATCH(Country,holidays!$2:$2,0)+64)),1,0)),IF(ISERROR(VLOOKUP($E36,INDIRECT("holidays!"&amp;CHAR(MATCH(Country,holidays!$3:$3,0)+64)&amp;":"&amp;CHAR(MATCH(Country,holidays!$3:$3,0)+64)),1,0)),IF(WEEKDAY($E36,2)&gt;5,TRUE,FALSE),FALSE),TRUE),TRUE)</f>
        <v>0</v>
      </c>
      <c r="H36" s="141"/>
      <c r="I36" s="26" t="s">
        <v>34</v>
      </c>
      <c r="J36" s="26" t="s">
        <v>4477</v>
      </c>
      <c r="K36" s="27">
        <v>1</v>
      </c>
      <c r="L36" s="28"/>
      <c r="M36" s="132"/>
      <c r="N36" s="29"/>
      <c r="O36" s="109" t="str">
        <f>IF(AND($I36&lt;&gt;"Vacation or sickness",$I36&lt;&gt;"Other absence"), IF($I36&lt;&gt;"",IF(_xlfn.XLOOKUP(TEXT($I36,"0"),tblProjectlist[Workday ID],tblProjectlist[Object],"")&lt;&gt;"Cost center",IFERROR("BL "&amp;_xlfn.XLOOKUP(TEXT($I36,"0"),tblProjectlist[Workday ID],tblProjectlist[Business Line]),"Cost center not found. Please check your entry."),IFERROR(_xlfn.XLOOKUP(TEXT($I36,"0"),tblProjectlist[Workday ID],tblProjectlist[Workday Title]),"Cost center not found. Please check your entry.")),""),"")</f>
        <v/>
      </c>
      <c r="Q36" s="121"/>
      <c r="R36" s="35">
        <v>99988029</v>
      </c>
      <c r="S36" s="35" t="str">
        <f>IF(R36="", "", _xlfn.XLOOKUP(TEXT(R36,"0"),tblProjectlist[project-no], tblProjectlist[Workday ID], "Error - Not found!"))</f>
        <v>18029</v>
      </c>
      <c r="T36" s="35" t="str">
        <f>IF(IF(R36="", "", _xlfn.XLOOKUP(TEXT(R36,"0"),tblProjectlist[project-no], tblProjectlist[Specification], "Error - Not found!"))="","Choose an entry on your own or ask your supervisor/project lead",_xlfn.XLOOKUP(TEXT(R36,"0"),tblProjectlist[project-no], tblProjectlist[Specification], "Error - Not found!"))</f>
        <v>Overheads</v>
      </c>
      <c r="Z36" s="11" t="str">
        <f>SUBSTITUTE(IF(OR($I36="Vacation or sickness",$I36="Other absence"), "overhead", _xlfn.XLOOKUP(TEXT($I36,"0"),tblProjectlist[Workday ID], tblProjectlist[Business Line], "4flow")), " ", "")</f>
        <v>overhead</v>
      </c>
      <c r="AA36" s="11" t="str">
        <f>IF(NOT(OR($I36="Vacation or sickness",$I36="Other absence")), IF(_xlfn.XLOOKUP(TEXT($I36,"0"),tblProjectlist[Workday ID], tblProjectlist[Object], "na")="Project", "proj", IF(_xlfn.XLOOKUP(TEXT($I36,"0"),tblProjectlist[Workday ID], tblProjectlist[Object], "na")="Cost center", "cc", "na")), "na")</f>
        <v>na</v>
      </c>
      <c r="AB36" s="1" t="str">
        <f t="shared" si="0"/>
        <v>Other absence - 4s_Overheads_Absence</v>
      </c>
      <c r="AC36" s="11" t="b">
        <f t="shared" ca="1" si="3"/>
        <v>1</v>
      </c>
    </row>
    <row r="37" spans="3:29">
      <c r="C37" s="30" t="str">
        <f t="shared" si="1"/>
        <v/>
      </c>
      <c r="D37" s="144">
        <f t="shared" si="23"/>
        <v>6</v>
      </c>
      <c r="E37" s="24">
        <f t="shared" si="5"/>
        <v>46129</v>
      </c>
      <c r="F37" s="25">
        <f t="shared" si="2"/>
        <v>16</v>
      </c>
      <c r="G37" s="24" t="b">
        <f ca="1">IF($E37&lt;&gt;"",IF(ISERROR(VLOOKUP($E37,INDIRECT("holidays!"&amp;CHAR(MATCH(Country,holidays!$2:$2,0)+64)&amp;":"&amp;CHAR(MATCH(Country,holidays!$2:$2,0)+64)),1,0)),IF(ISERROR(VLOOKUP($E37,INDIRECT("holidays!"&amp;CHAR(MATCH(Country,holidays!$3:$3,0)+64)&amp;":"&amp;CHAR(MATCH(Country,holidays!$3:$3,0)+64)),1,0)),IF(WEEKDAY($E37,2)&gt;5,TRUE,FALSE),FALSE),TRUE),TRUE)</f>
        <v>0</v>
      </c>
      <c r="H37" s="141">
        <f t="shared" ref="H37" si="32">IF(H35&lt;&gt;"",IF(H35+1&gt;$B$6,"",H35+1),"")</f>
        <v>17</v>
      </c>
      <c r="I37" s="26"/>
      <c r="J37" s="26"/>
      <c r="K37" s="27"/>
      <c r="L37" s="28"/>
      <c r="M37" s="109"/>
      <c r="N37" s="29"/>
      <c r="O37" s="109" t="str">
        <f>IF(AND($I37&lt;&gt;"Vacation or sickness",$I37&lt;&gt;"Other absence"), IF($I37&lt;&gt;"",IF(_xlfn.XLOOKUP(TEXT($I37,"0"),tblProjectlist[Workday ID],tblProjectlist[Object],"")&lt;&gt;"Cost center",IFERROR("BL "&amp;_xlfn.XLOOKUP(TEXT($I37,"0"),tblProjectlist[Workday ID],tblProjectlist[Business Line]),"Cost center not found. Please check your entry."),IFERROR(_xlfn.XLOOKUP(TEXT($I37,"0"),tblProjectlist[Workday ID],tblProjectlist[Workday Title]),"Cost center not found. Please check your entry.")),""),"")</f>
        <v/>
      </c>
      <c r="R37" s="1"/>
      <c r="Z37" s="11" t="str">
        <f>SUBSTITUTE(IF(OR($I37="Vacation or sickness",$I37="Other absence"), "overhead", _xlfn.XLOOKUP(TEXT($I37,"0"),tblProjectlist[Workday ID], tblProjectlist[Business Line], "4flow")), " ", "")</f>
        <v>4flow</v>
      </c>
      <c r="AA37" s="11" t="str">
        <f>IF(NOT(OR($I37="Vacation or sickness",$I37="Other absence")), IF(_xlfn.XLOOKUP(TEXT($I37,"0"),tblProjectlist[Workday ID], tblProjectlist[Object], "na")="Project", "proj", IF(_xlfn.XLOOKUP(TEXT($I37,"0"),tblProjectlist[Workday ID], tblProjectlist[Object], "na")="Cost center", "cc", "na")), "na")</f>
        <v>na</v>
      </c>
      <c r="AB37" s="1" t="str">
        <f t="shared" ref="AB37:AB66" si="33">IF(_xlfn.CONCAT(I37," - ",J37) &lt;&gt; " - ", _xlfn.CONCAT(I37," - ",J37), "")</f>
        <v/>
      </c>
      <c r="AC37" s="11" t="b">
        <f t="shared" ca="1" si="3"/>
        <v>1</v>
      </c>
    </row>
    <row r="38" spans="3:29">
      <c r="C38" s="30" t="str">
        <f t="shared" si="1"/>
        <v/>
      </c>
      <c r="D38" s="144"/>
      <c r="E38" s="24">
        <f t="shared" si="5"/>
        <v>46129</v>
      </c>
      <c r="F38" s="25">
        <f t="shared" si="2"/>
        <v>16</v>
      </c>
      <c r="G38" s="24" t="b">
        <f ca="1">IF($E38&lt;&gt;"",IF(ISERROR(VLOOKUP($E38,INDIRECT("holidays!"&amp;CHAR(MATCH(Country,holidays!$2:$2,0)+64)&amp;":"&amp;CHAR(MATCH(Country,holidays!$2:$2,0)+64)),1,0)),IF(ISERROR(VLOOKUP($E38,INDIRECT("holidays!"&amp;CHAR(MATCH(Country,holidays!$3:$3,0)+64)&amp;":"&amp;CHAR(MATCH(Country,holidays!$3:$3,0)+64)),1,0)),IF(WEEKDAY($E38,2)&gt;5,TRUE,FALSE),FALSE),TRUE),TRUE)</f>
        <v>0</v>
      </c>
      <c r="H38" s="141"/>
      <c r="I38" s="26" t="s">
        <v>34</v>
      </c>
      <c r="J38" s="26" t="s">
        <v>4477</v>
      </c>
      <c r="K38" s="27">
        <v>1</v>
      </c>
      <c r="L38" s="28"/>
      <c r="M38" s="132"/>
      <c r="N38" s="29"/>
      <c r="O38" s="109" t="str">
        <f>IF(AND($I38&lt;&gt;"Vacation or sickness",$I38&lt;&gt;"Other absence"), IF($I38&lt;&gt;"",IF(_xlfn.XLOOKUP(TEXT($I38,"0"),tblProjectlist[Workday ID],tblProjectlist[Object],"")&lt;&gt;"Cost center",IFERROR("BL "&amp;_xlfn.XLOOKUP(TEXT($I38,"0"),tblProjectlist[Workday ID],tblProjectlist[Business Line]),"Cost center not found. Please check your entry."),IFERROR(_xlfn.XLOOKUP(TEXT($I38,"0"),tblProjectlist[Workday ID],tblProjectlist[Workday Title]),"Cost center not found. Please check your entry.")),""),"")</f>
        <v/>
      </c>
      <c r="Z38" s="11" t="str">
        <f>SUBSTITUTE(IF(OR($I38="Vacation or sickness",$I38="Other absence"), "overhead", _xlfn.XLOOKUP(TEXT($I38,"0"),tblProjectlist[Workday ID], tblProjectlist[Business Line], "4flow")), " ", "")</f>
        <v>overhead</v>
      </c>
      <c r="AA38" s="11" t="str">
        <f>IF(NOT(OR($I38="Vacation or sickness",$I38="Other absence")), IF(_xlfn.XLOOKUP(TEXT($I38,"0"),tblProjectlist[Workday ID], tblProjectlist[Object], "na")="Project", "proj", IF(_xlfn.XLOOKUP(TEXT($I38,"0"),tblProjectlist[Workday ID], tblProjectlist[Object], "na")="Cost center", "cc", "na")), "na")</f>
        <v>na</v>
      </c>
      <c r="AB38" s="1" t="str">
        <f t="shared" si="33"/>
        <v>Other absence - 4s_Overheads_Absence</v>
      </c>
      <c r="AC38" s="11" t="b">
        <f t="shared" ca="1" si="3"/>
        <v>1</v>
      </c>
    </row>
    <row r="39" spans="3:29">
      <c r="C39" s="30" t="str">
        <f t="shared" si="1"/>
        <v/>
      </c>
      <c r="D39" s="144">
        <f t="shared" si="25"/>
        <v>7</v>
      </c>
      <c r="E39" s="24">
        <f t="shared" si="5"/>
        <v>46130</v>
      </c>
      <c r="F39" s="25">
        <f t="shared" si="2"/>
        <v>16</v>
      </c>
      <c r="G39" s="24" t="b">
        <f ca="1">IF($E39&lt;&gt;"",IF(ISERROR(VLOOKUP($E39,INDIRECT("holidays!"&amp;CHAR(MATCH(Country,holidays!$2:$2,0)+64)&amp;":"&amp;CHAR(MATCH(Country,holidays!$2:$2,0)+64)),1,0)),IF(ISERROR(VLOOKUP($E39,INDIRECT("holidays!"&amp;CHAR(MATCH(Country,holidays!$3:$3,0)+64)&amp;":"&amp;CHAR(MATCH(Country,holidays!$3:$3,0)+64)),1,0)),IF(WEEKDAY($E39,2)&gt;5,TRUE,FALSE),FALSE),TRUE),TRUE)</f>
        <v>1</v>
      </c>
      <c r="H39" s="141">
        <f t="shared" ref="H39" si="34">IF(H37&lt;&gt;"",IF(H37+1&gt;$B$6,"",H37+1),"")</f>
        <v>18</v>
      </c>
      <c r="I39" s="26"/>
      <c r="J39" s="26"/>
      <c r="K39" s="27"/>
      <c r="L39" s="28"/>
      <c r="M39" s="132"/>
      <c r="N39" s="29"/>
      <c r="O39" s="109" t="str">
        <f>IF(AND($I39&lt;&gt;"Vacation or sickness",$I39&lt;&gt;"Other absence"), IF($I39&lt;&gt;"",IF(_xlfn.XLOOKUP(TEXT($I39,"0"),tblProjectlist[Workday ID],tblProjectlist[Object],"")&lt;&gt;"Cost center",IFERROR("BL "&amp;_xlfn.XLOOKUP(TEXT($I39,"0"),tblProjectlist[Workday ID],tblProjectlist[Business Line]),"Cost center not found. Please check your entry."),IFERROR(_xlfn.XLOOKUP(TEXT($I39,"0"),tblProjectlist[Workday ID],tblProjectlist[Workday Title]),"Cost center not found. Please check your entry.")),""),"")</f>
        <v/>
      </c>
      <c r="U39" s="41"/>
      <c r="Z39" s="11" t="str">
        <f>SUBSTITUTE(IF(OR($I39="Vacation or sickness",$I39="Other absence"), "overhead", _xlfn.XLOOKUP(TEXT($I39,"0"),tblProjectlist[Workday ID], tblProjectlist[Business Line], "4flow")), " ", "")</f>
        <v>4flow</v>
      </c>
      <c r="AA39" s="11" t="str">
        <f>IF(NOT(OR($I39="Vacation or sickness",$I39="Other absence")), IF(_xlfn.XLOOKUP(TEXT($I39,"0"),tblProjectlist[Workday ID], tblProjectlist[Object], "na")="Project", "proj", IF(_xlfn.XLOOKUP(TEXT($I39,"0"),tblProjectlist[Workday ID], tblProjectlist[Object], "na")="Cost center", "cc", "na")), "na")</f>
        <v>na</v>
      </c>
      <c r="AB39" s="1" t="str">
        <f t="shared" si="33"/>
        <v/>
      </c>
      <c r="AC39" s="11" t="b">
        <f t="shared" ca="1" si="3"/>
        <v>1</v>
      </c>
    </row>
    <row r="40" spans="3:29">
      <c r="C40" s="30" t="str">
        <f t="shared" si="1"/>
        <v/>
      </c>
      <c r="D40" s="144"/>
      <c r="E40" s="24">
        <f t="shared" si="5"/>
        <v>46130</v>
      </c>
      <c r="F40" s="25">
        <f t="shared" si="2"/>
        <v>16</v>
      </c>
      <c r="G40" s="24" t="b">
        <f ca="1">IF($E40&lt;&gt;"",IF(ISERROR(VLOOKUP($E40,INDIRECT("holidays!"&amp;CHAR(MATCH(Country,holidays!$2:$2,0)+64)&amp;":"&amp;CHAR(MATCH(Country,holidays!$2:$2,0)+64)),1,0)),IF(ISERROR(VLOOKUP($E40,INDIRECT("holidays!"&amp;CHAR(MATCH(Country,holidays!$3:$3,0)+64)&amp;":"&amp;CHAR(MATCH(Country,holidays!$3:$3,0)+64)),1,0)),IF(WEEKDAY($E40,2)&gt;5,TRUE,FALSE),FALSE),TRUE),TRUE)</f>
        <v>1</v>
      </c>
      <c r="H40" s="141"/>
      <c r="I40" s="26"/>
      <c r="J40" s="26"/>
      <c r="K40" s="27"/>
      <c r="L40" s="28"/>
      <c r="M40" s="132"/>
      <c r="N40" s="29"/>
      <c r="O40" s="109" t="str">
        <f>IF(AND($I40&lt;&gt;"Vacation or sickness",$I40&lt;&gt;"Other absence"), IF($I40&lt;&gt;"",IF(_xlfn.XLOOKUP(TEXT($I40,"0"),tblProjectlist[Workday ID],tblProjectlist[Object],"")&lt;&gt;"Cost center",IFERROR("BL "&amp;_xlfn.XLOOKUP(TEXT($I40,"0"),tblProjectlist[Workday ID],tblProjectlist[Business Line]),"Cost center not found. Please check your entry."),IFERROR(_xlfn.XLOOKUP(TEXT($I40,"0"),tblProjectlist[Workday ID],tblProjectlist[Workday Title]),"Cost center not found. Please check your entry.")),""),"")</f>
        <v/>
      </c>
      <c r="U40" s="41"/>
      <c r="Z40" s="11" t="str">
        <f>SUBSTITUTE(IF(OR($I40="Vacation or sickness",$I40="Other absence"), "overhead", _xlfn.XLOOKUP(TEXT($I40,"0"),tblProjectlist[Workday ID], tblProjectlist[Business Line], "4flow")), " ", "")</f>
        <v>4flow</v>
      </c>
      <c r="AA40" s="11" t="str">
        <f>IF(NOT(OR($I40="Vacation or sickness",$I40="Other absence")), IF(_xlfn.XLOOKUP(TEXT($I40,"0"),tblProjectlist[Workday ID], tblProjectlist[Object], "na")="Project", "proj", IF(_xlfn.XLOOKUP(TEXT($I40,"0"),tblProjectlist[Workday ID], tblProjectlist[Object], "na")="Cost center", "cc", "na")), "na")</f>
        <v>na</v>
      </c>
      <c r="AB40" s="1" t="str">
        <f t="shared" si="33"/>
        <v/>
      </c>
      <c r="AC40" s="11" t="b">
        <f t="shared" ca="1" si="3"/>
        <v>1</v>
      </c>
    </row>
    <row r="41" spans="3:29">
      <c r="C41" s="30" t="str">
        <f t="shared" si="1"/>
        <v/>
      </c>
      <c r="D41" s="144">
        <f t="shared" ref="D41" si="35">IF($H41&lt;&gt;"",WEEKDAY(DATE($B$4,$B$5,H41),1),"")</f>
        <v>1</v>
      </c>
      <c r="E41" s="24">
        <f t="shared" si="5"/>
        <v>46131</v>
      </c>
      <c r="F41" s="25">
        <f t="shared" si="2"/>
        <v>16</v>
      </c>
      <c r="G41" s="24" t="b">
        <f ca="1">IF($E41&lt;&gt;"",IF(ISERROR(VLOOKUP($E41,INDIRECT("holidays!"&amp;CHAR(MATCH(Country,holidays!$2:$2,0)+64)&amp;":"&amp;CHAR(MATCH(Country,holidays!$2:$2,0)+64)),1,0)),IF(ISERROR(VLOOKUP($E41,INDIRECT("holidays!"&amp;CHAR(MATCH(Country,holidays!$3:$3,0)+64)&amp;":"&amp;CHAR(MATCH(Country,holidays!$3:$3,0)+64)),1,0)),IF(WEEKDAY($E41,2)&gt;5,TRUE,FALSE),FALSE),TRUE),TRUE)</f>
        <v>1</v>
      </c>
      <c r="H41" s="141">
        <f t="shared" ref="H41" si="36">IF(H39&lt;&gt;"",IF(H39+1&gt;$B$6,"",H39+1),"")</f>
        <v>19</v>
      </c>
      <c r="I41" s="26"/>
      <c r="J41" s="26"/>
      <c r="K41" s="27"/>
      <c r="L41" s="28"/>
      <c r="M41" s="132"/>
      <c r="N41" s="29"/>
      <c r="O41" s="109" t="str">
        <f>IF(AND($I41&lt;&gt;"Vacation or sickness",$I41&lt;&gt;"Other absence"), IF($I41&lt;&gt;"",IF(_xlfn.XLOOKUP(TEXT($I41,"0"),tblProjectlist[Workday ID],tblProjectlist[Object],"")&lt;&gt;"Cost center",IFERROR("BL "&amp;_xlfn.XLOOKUP(TEXT($I41,"0"),tblProjectlist[Workday ID],tblProjectlist[Business Line]),"Cost center not found. Please check your entry."),IFERROR(_xlfn.XLOOKUP(TEXT($I41,"0"),tblProjectlist[Workday ID],tblProjectlist[Workday Title]),"Cost center not found. Please check your entry.")),""),"")</f>
        <v/>
      </c>
      <c r="U41" s="41"/>
      <c r="Z41" s="11" t="str">
        <f>SUBSTITUTE(IF(OR($I41="Vacation or sickness",$I41="Other absence"), "overhead", _xlfn.XLOOKUP(TEXT($I41,"0"),tblProjectlist[Workday ID], tblProjectlist[Business Line], "4flow")), " ", "")</f>
        <v>4flow</v>
      </c>
      <c r="AA41" s="11" t="str">
        <f>IF(NOT(OR($I41="Vacation or sickness",$I41="Other absence")), IF(_xlfn.XLOOKUP(TEXT($I41,"0"),tblProjectlist[Workday ID], tblProjectlist[Object], "na")="Project", "proj", IF(_xlfn.XLOOKUP(TEXT($I41,"0"),tblProjectlist[Workday ID], tblProjectlist[Object], "na")="Cost center", "cc", "na")), "na")</f>
        <v>na</v>
      </c>
      <c r="AB41" s="1" t="str">
        <f t="shared" si="33"/>
        <v/>
      </c>
      <c r="AC41" s="11" t="b">
        <f t="shared" ca="1" si="3"/>
        <v>1</v>
      </c>
    </row>
    <row r="42" spans="3:29">
      <c r="C42" s="30" t="str">
        <f t="shared" si="1"/>
        <v/>
      </c>
      <c r="D42" s="144"/>
      <c r="E42" s="24">
        <f t="shared" si="5"/>
        <v>46131</v>
      </c>
      <c r="F42" s="25">
        <f t="shared" si="2"/>
        <v>16</v>
      </c>
      <c r="G42" s="24" t="b">
        <f ca="1">IF($E42&lt;&gt;"",IF(ISERROR(VLOOKUP($E42,INDIRECT("holidays!"&amp;CHAR(MATCH(Country,holidays!$2:$2,0)+64)&amp;":"&amp;CHAR(MATCH(Country,holidays!$2:$2,0)+64)),1,0)),IF(ISERROR(VLOOKUP($E42,INDIRECT("holidays!"&amp;CHAR(MATCH(Country,holidays!$3:$3,0)+64)&amp;":"&amp;CHAR(MATCH(Country,holidays!$3:$3,0)+64)),1,0)),IF(WEEKDAY($E42,2)&gt;5,TRUE,FALSE),FALSE),TRUE),TRUE)</f>
        <v>1</v>
      </c>
      <c r="H42" s="141"/>
      <c r="I42" s="26"/>
      <c r="J42" s="26"/>
      <c r="K42" s="27"/>
      <c r="L42" s="28"/>
      <c r="M42" s="132"/>
      <c r="N42" s="29"/>
      <c r="O42" s="109" t="str">
        <f>IF(AND($I42&lt;&gt;"Vacation or sickness",$I42&lt;&gt;"Other absence"), IF($I42&lt;&gt;"",IF(_xlfn.XLOOKUP(TEXT($I42,"0"),tblProjectlist[Workday ID],tblProjectlist[Object],"")&lt;&gt;"Cost center",IFERROR("BL "&amp;_xlfn.XLOOKUP(TEXT($I42,"0"),tblProjectlist[Workday ID],tblProjectlist[Business Line]),"Cost center not found. Please check your entry."),IFERROR(_xlfn.XLOOKUP(TEXT($I42,"0"),tblProjectlist[Workday ID],tblProjectlist[Workday Title]),"Cost center not found. Please check your entry.")),""),"")</f>
        <v/>
      </c>
      <c r="U42" s="41"/>
      <c r="Z42" s="11" t="str">
        <f>SUBSTITUTE(IF(OR($I42="Vacation or sickness",$I42="Other absence"), "overhead", _xlfn.XLOOKUP(TEXT($I42,"0"),tblProjectlist[Workday ID], tblProjectlist[Business Line], "4flow")), " ", "")</f>
        <v>4flow</v>
      </c>
      <c r="AA42" s="11" t="str">
        <f>IF(NOT(OR($I42="Vacation or sickness",$I42="Other absence")), IF(_xlfn.XLOOKUP(TEXT($I42,"0"),tblProjectlist[Workday ID], tblProjectlist[Object], "na")="Project", "proj", IF(_xlfn.XLOOKUP(TEXT($I42,"0"),tblProjectlist[Workday ID], tblProjectlist[Object], "na")="Cost center", "cc", "na")), "na")</f>
        <v>na</v>
      </c>
      <c r="AB42" s="1" t="str">
        <f t="shared" si="33"/>
        <v/>
      </c>
      <c r="AC42" s="11" t="b">
        <f t="shared" ca="1" si="3"/>
        <v>1</v>
      </c>
    </row>
    <row r="43" spans="3:29">
      <c r="C43" s="30" t="str">
        <f t="shared" si="1"/>
        <v/>
      </c>
      <c r="D43" s="144">
        <f t="shared" si="17"/>
        <v>2</v>
      </c>
      <c r="E43" s="24">
        <f t="shared" si="5"/>
        <v>46132</v>
      </c>
      <c r="F43" s="25">
        <f t="shared" si="2"/>
        <v>17</v>
      </c>
      <c r="G43" s="24" t="b">
        <f ca="1">IF($E43&lt;&gt;"",IF(ISERROR(VLOOKUP($E43,INDIRECT("holidays!"&amp;CHAR(MATCH(Country,holidays!$2:$2,0)+64)&amp;":"&amp;CHAR(MATCH(Country,holidays!$2:$2,0)+64)),1,0)),IF(ISERROR(VLOOKUP($E43,INDIRECT("holidays!"&amp;CHAR(MATCH(Country,holidays!$3:$3,0)+64)&amp;":"&amp;CHAR(MATCH(Country,holidays!$3:$3,0)+64)),1,0)),IF(WEEKDAY($E43,2)&gt;5,TRUE,FALSE),FALSE),TRUE),TRUE)</f>
        <v>0</v>
      </c>
      <c r="H43" s="141">
        <f t="shared" ref="H43" si="37">IF(H41&lt;&gt;"",IF(H41+1&gt;$B$6,"",H41+1),"")</f>
        <v>20</v>
      </c>
      <c r="I43" s="26"/>
      <c r="J43" s="26"/>
      <c r="K43" s="27"/>
      <c r="L43" s="28"/>
      <c r="M43" s="132"/>
      <c r="N43" s="29"/>
      <c r="O43" s="109" t="str">
        <f>IF(AND($I43&lt;&gt;"Vacation or sickness",$I43&lt;&gt;"Other absence"), IF($I43&lt;&gt;"",IF(_xlfn.XLOOKUP(TEXT($I43,"0"),tblProjectlist[Workday ID],tblProjectlist[Object],"")&lt;&gt;"Cost center",IFERROR("BL "&amp;_xlfn.XLOOKUP(TEXT($I43,"0"),tblProjectlist[Workday ID],tblProjectlist[Business Line]),"Cost center not found. Please check your entry."),IFERROR(_xlfn.XLOOKUP(TEXT($I43,"0"),tblProjectlist[Workday ID],tblProjectlist[Workday Title]),"Cost center not found. Please check your entry.")),""),"")</f>
        <v/>
      </c>
      <c r="U43" s="41"/>
      <c r="Z43" s="11" t="str">
        <f>SUBSTITUTE(IF(OR($I43="Vacation or sickness",$I43="Other absence"), "overhead", _xlfn.XLOOKUP(TEXT($I43,"0"),tblProjectlist[Workday ID], tblProjectlist[Business Line], "4flow")), " ", "")</f>
        <v>4flow</v>
      </c>
      <c r="AA43" s="11" t="str">
        <f>IF(NOT(OR($I43="Vacation or sickness",$I43="Other absence")), IF(_xlfn.XLOOKUP(TEXT($I43,"0"),tblProjectlist[Workday ID], tblProjectlist[Object], "na")="Project", "proj", IF(_xlfn.XLOOKUP(TEXT($I43,"0"),tblProjectlist[Workday ID], tblProjectlist[Object], "na")="Cost center", "cc", "na")), "na")</f>
        <v>na</v>
      </c>
      <c r="AB43" s="1" t="str">
        <f t="shared" si="33"/>
        <v/>
      </c>
      <c r="AC43" s="11" t="b">
        <f t="shared" ca="1" si="3"/>
        <v>1</v>
      </c>
    </row>
    <row r="44" spans="3:29">
      <c r="C44" s="30" t="str">
        <f t="shared" si="1"/>
        <v/>
      </c>
      <c r="D44" s="144"/>
      <c r="E44" s="24">
        <f t="shared" si="5"/>
        <v>46132</v>
      </c>
      <c r="F44" s="25">
        <f t="shared" si="2"/>
        <v>17</v>
      </c>
      <c r="G44" s="24" t="b">
        <f ca="1">IF($E44&lt;&gt;"",IF(ISERROR(VLOOKUP($E44,INDIRECT("holidays!"&amp;CHAR(MATCH(Country,holidays!$2:$2,0)+64)&amp;":"&amp;CHAR(MATCH(Country,holidays!$2:$2,0)+64)),1,0)),IF(ISERROR(VLOOKUP($E44,INDIRECT("holidays!"&amp;CHAR(MATCH(Country,holidays!$3:$3,0)+64)&amp;":"&amp;CHAR(MATCH(Country,holidays!$3:$3,0)+64)),1,0)),IF(WEEKDAY($E44,2)&gt;5,TRUE,FALSE),FALSE),TRUE),TRUE)</f>
        <v>0</v>
      </c>
      <c r="H44" s="141"/>
      <c r="I44" s="26"/>
      <c r="J44" s="26" t="s">
        <v>4466</v>
      </c>
      <c r="K44" s="27">
        <v>1</v>
      </c>
      <c r="L44" s="28"/>
      <c r="M44" s="132"/>
      <c r="N44" s="29"/>
      <c r="O44" s="109" t="str">
        <f>IF(AND($I44&lt;&gt;"Vacation or sickness",$I44&lt;&gt;"Other absence"), IF($I44&lt;&gt;"",IF(_xlfn.XLOOKUP(TEXT($I44,"0"),tblProjectlist[Workday ID],tblProjectlist[Object],"")&lt;&gt;"Cost center",IFERROR("BL "&amp;_xlfn.XLOOKUP(TEXT($I44,"0"),tblProjectlist[Workday ID],tblProjectlist[Business Line]),"Cost center not found. Please check your entry."),IFERROR(_xlfn.XLOOKUP(TEXT($I44,"0"),tblProjectlist[Workday ID],tblProjectlist[Workday Title]),"Cost center not found. Please check your entry.")),""),"")</f>
        <v/>
      </c>
      <c r="U44" s="41"/>
      <c r="Z44" s="11" t="str">
        <f>SUBSTITUTE(IF(OR($I44="Vacation or sickness",$I44="Other absence"), "overhead", _xlfn.XLOOKUP(TEXT($I44,"0"),tblProjectlist[Workday ID], tblProjectlist[Business Line], "4flow")), " ", "")</f>
        <v>4flow</v>
      </c>
      <c r="AA44" s="11" t="str">
        <f>IF(NOT(OR($I44="Vacation or sickness",$I44="Other absence")), IF(_xlfn.XLOOKUP(TEXT($I44,"0"),tblProjectlist[Workday ID], tblProjectlist[Object], "na")="Project", "proj", IF(_xlfn.XLOOKUP(TEXT($I44,"0"),tblProjectlist[Workday ID], tblProjectlist[Object], "na")="Cost center", "cc", "na")), "na")</f>
        <v>na</v>
      </c>
      <c r="AB44" s="1" t="str">
        <f t="shared" si="33"/>
        <v xml:space="preserve"> - 4s_Overheads_Concept &amp; development</v>
      </c>
      <c r="AC44" s="11" t="b">
        <f t="shared" ca="1" si="3"/>
        <v>1</v>
      </c>
    </row>
    <row r="45" spans="3:29">
      <c r="C45" s="30" t="str">
        <f t="shared" si="1"/>
        <v/>
      </c>
      <c r="D45" s="144">
        <f t="shared" si="19"/>
        <v>3</v>
      </c>
      <c r="E45" s="24">
        <f t="shared" si="5"/>
        <v>46133</v>
      </c>
      <c r="F45" s="25">
        <f t="shared" si="2"/>
        <v>17</v>
      </c>
      <c r="G45" s="24" t="b">
        <f ca="1">IF($E45&lt;&gt;"",IF(ISERROR(VLOOKUP($E45,INDIRECT("holidays!"&amp;CHAR(MATCH(Country,holidays!$2:$2,0)+64)&amp;":"&amp;CHAR(MATCH(Country,holidays!$2:$2,0)+64)),1,0)),IF(ISERROR(VLOOKUP($E45,INDIRECT("holidays!"&amp;CHAR(MATCH(Country,holidays!$3:$3,0)+64)&amp;":"&amp;CHAR(MATCH(Country,holidays!$3:$3,0)+64)),1,0)),IF(WEEKDAY($E45,2)&gt;5,TRUE,FALSE),FALSE),TRUE),TRUE)</f>
        <v>0</v>
      </c>
      <c r="H45" s="141">
        <f t="shared" ref="H45" si="38">IF(H43&lt;&gt;"",IF(H43+1&gt;$B$6,"",H43+1),"")</f>
        <v>21</v>
      </c>
      <c r="I45" s="26"/>
      <c r="J45" s="26"/>
      <c r="K45" s="27"/>
      <c r="L45" s="28"/>
      <c r="M45" s="132"/>
      <c r="N45" s="29"/>
      <c r="O45" s="109" t="str">
        <f>IF(AND($I45&lt;&gt;"Vacation or sickness",$I45&lt;&gt;"Other absence"), IF($I45&lt;&gt;"",IF(_xlfn.XLOOKUP(TEXT($I45,"0"),tblProjectlist[Workday ID],tblProjectlist[Object],"")&lt;&gt;"Cost center",IFERROR("BL "&amp;_xlfn.XLOOKUP(TEXT($I45,"0"),tblProjectlist[Workday ID],tblProjectlist[Business Line]),"Cost center not found. Please check your entry."),IFERROR(_xlfn.XLOOKUP(TEXT($I45,"0"),tblProjectlist[Workday ID],tblProjectlist[Workday Title]),"Cost center not found. Please check your entry.")),""),"")</f>
        <v/>
      </c>
      <c r="U45" s="41"/>
      <c r="Z45" s="11" t="str">
        <f>SUBSTITUTE(IF(OR($I45="Vacation or sickness",$I45="Other absence"), "overhead", _xlfn.XLOOKUP(TEXT($I45,"0"),tblProjectlist[Workday ID], tblProjectlist[Business Line], "4flow")), " ", "")</f>
        <v>4flow</v>
      </c>
      <c r="AA45" s="11" t="str">
        <f>IF(NOT(OR($I45="Vacation or sickness",$I45="Other absence")), IF(_xlfn.XLOOKUP(TEXT($I45,"0"),tblProjectlist[Workday ID], tblProjectlist[Object], "na")="Project", "proj", IF(_xlfn.XLOOKUP(TEXT($I45,"0"),tblProjectlist[Workday ID], tblProjectlist[Object], "na")="Cost center", "cc", "na")), "na")</f>
        <v>na</v>
      </c>
      <c r="AB45" s="1" t="str">
        <f t="shared" si="33"/>
        <v/>
      </c>
      <c r="AC45" s="11" t="b">
        <f t="shared" ca="1" si="3"/>
        <v>1</v>
      </c>
    </row>
    <row r="46" spans="3:29">
      <c r="C46" s="30" t="str">
        <f t="shared" si="1"/>
        <v/>
      </c>
      <c r="D46" s="144"/>
      <c r="E46" s="24">
        <f t="shared" si="5"/>
        <v>46133</v>
      </c>
      <c r="F46" s="25">
        <f t="shared" si="2"/>
        <v>17</v>
      </c>
      <c r="G46" s="24" t="b">
        <f ca="1">IF($E46&lt;&gt;"",IF(ISERROR(VLOOKUP($E46,INDIRECT("holidays!"&amp;CHAR(MATCH(Country,holidays!$2:$2,0)+64)&amp;":"&amp;CHAR(MATCH(Country,holidays!$2:$2,0)+64)),1,0)),IF(ISERROR(VLOOKUP($E46,INDIRECT("holidays!"&amp;CHAR(MATCH(Country,holidays!$3:$3,0)+64)&amp;":"&amp;CHAR(MATCH(Country,holidays!$3:$3,0)+64)),1,0)),IF(WEEKDAY($E46,2)&gt;5,TRUE,FALSE),FALSE),TRUE),TRUE)</f>
        <v>0</v>
      </c>
      <c r="H46" s="141"/>
      <c r="I46" s="26"/>
      <c r="J46" s="26" t="s">
        <v>4466</v>
      </c>
      <c r="K46" s="27">
        <v>1</v>
      </c>
      <c r="L46" s="28"/>
      <c r="M46" s="132"/>
      <c r="N46" s="29"/>
      <c r="O46" s="109" t="str">
        <f>IF(AND($I46&lt;&gt;"Vacation or sickness",$I46&lt;&gt;"Other absence"), IF($I46&lt;&gt;"",IF(_xlfn.XLOOKUP(TEXT($I46,"0"),tblProjectlist[Workday ID],tblProjectlist[Object],"")&lt;&gt;"Cost center",IFERROR("BL "&amp;_xlfn.XLOOKUP(TEXT($I46,"0"),tblProjectlist[Workday ID],tblProjectlist[Business Line]),"Cost center not found. Please check your entry."),IFERROR(_xlfn.XLOOKUP(TEXT($I46,"0"),tblProjectlist[Workday ID],tblProjectlist[Workday Title]),"Cost center not found. Please check your entry.")),""),"")</f>
        <v/>
      </c>
      <c r="Z46" s="11" t="str">
        <f>SUBSTITUTE(IF(OR($I46="Vacation or sickness",$I46="Other absence"), "overhead", _xlfn.XLOOKUP(TEXT($I46,"0"),tblProjectlist[Workday ID], tblProjectlist[Business Line], "4flow")), " ", "")</f>
        <v>4flow</v>
      </c>
      <c r="AA46" s="11" t="str">
        <f>IF(NOT(OR($I46="Vacation or sickness",$I46="Other absence")), IF(_xlfn.XLOOKUP(TEXT($I46,"0"),tblProjectlist[Workday ID], tblProjectlist[Object], "na")="Project", "proj", IF(_xlfn.XLOOKUP(TEXT($I46,"0"),tblProjectlist[Workday ID], tblProjectlist[Object], "na")="Cost center", "cc", "na")), "na")</f>
        <v>na</v>
      </c>
      <c r="AB46" s="1" t="str">
        <f t="shared" si="33"/>
        <v xml:space="preserve"> - 4s_Overheads_Concept &amp; development</v>
      </c>
      <c r="AC46" s="11" t="b">
        <f t="shared" ca="1" si="3"/>
        <v>1</v>
      </c>
    </row>
    <row r="47" spans="3:29">
      <c r="C47" s="30" t="str">
        <f t="shared" si="1"/>
        <v/>
      </c>
      <c r="D47" s="144">
        <f t="shared" si="21"/>
        <v>4</v>
      </c>
      <c r="E47" s="24">
        <f t="shared" si="5"/>
        <v>46134</v>
      </c>
      <c r="F47" s="25">
        <f t="shared" si="2"/>
        <v>17</v>
      </c>
      <c r="G47" s="24" t="b">
        <f ca="1">IF($E47&lt;&gt;"",IF(ISERROR(VLOOKUP($E47,INDIRECT("holidays!"&amp;CHAR(MATCH(Country,holidays!$2:$2,0)+64)&amp;":"&amp;CHAR(MATCH(Country,holidays!$2:$2,0)+64)),1,0)),IF(ISERROR(VLOOKUP($E47,INDIRECT("holidays!"&amp;CHAR(MATCH(Country,holidays!$3:$3,0)+64)&amp;":"&amp;CHAR(MATCH(Country,holidays!$3:$3,0)+64)),1,0)),IF(WEEKDAY($E47,2)&gt;5,TRUE,FALSE),FALSE),TRUE),TRUE)</f>
        <v>0</v>
      </c>
      <c r="H47" s="141">
        <f t="shared" ref="H47" si="39">IF(H45&lt;&gt;"",IF(H45+1&gt;$B$6,"",H45+1),"")</f>
        <v>22</v>
      </c>
      <c r="I47" s="26"/>
      <c r="J47" s="26"/>
      <c r="K47" s="27"/>
      <c r="L47" s="28"/>
      <c r="M47" s="132"/>
      <c r="N47" s="29"/>
      <c r="O47" s="109" t="str">
        <f>IF(AND($I47&lt;&gt;"Vacation or sickness",$I47&lt;&gt;"Other absence"), IF($I47&lt;&gt;"",IF(_xlfn.XLOOKUP(TEXT($I47,"0"),tblProjectlist[Workday ID],tblProjectlist[Object],"")&lt;&gt;"Cost center",IFERROR("BL "&amp;_xlfn.XLOOKUP(TEXT($I47,"0"),tblProjectlist[Workday ID],tblProjectlist[Business Line]),"Cost center not found. Please check your entry."),IFERROR(_xlfn.XLOOKUP(TEXT($I47,"0"),tblProjectlist[Workday ID],tblProjectlist[Workday Title]),"Cost center not found. Please check your entry.")),""),"")</f>
        <v/>
      </c>
      <c r="Z47" s="11" t="str">
        <f>SUBSTITUTE(IF(OR($I47="Vacation or sickness",$I47="Other absence"), "overhead", _xlfn.XLOOKUP(TEXT($I47,"0"),tblProjectlist[Workday ID], tblProjectlist[Business Line], "4flow")), " ", "")</f>
        <v>4flow</v>
      </c>
      <c r="AA47" s="11" t="str">
        <f>IF(NOT(OR($I47="Vacation or sickness",$I47="Other absence")), IF(_xlfn.XLOOKUP(TEXT($I47,"0"),tblProjectlist[Workday ID], tblProjectlist[Object], "na")="Project", "proj", IF(_xlfn.XLOOKUP(TEXT($I47,"0"),tblProjectlist[Workday ID], tblProjectlist[Object], "na")="Cost center", "cc", "na")), "na")</f>
        <v>na</v>
      </c>
      <c r="AB47" s="1" t="str">
        <f t="shared" si="33"/>
        <v/>
      </c>
      <c r="AC47" s="11" t="b">
        <f t="shared" ca="1" si="3"/>
        <v>1</v>
      </c>
    </row>
    <row r="48" spans="3:29">
      <c r="C48" s="30" t="str">
        <f t="shared" si="1"/>
        <v/>
      </c>
      <c r="D48" s="144"/>
      <c r="E48" s="24">
        <f t="shared" si="5"/>
        <v>46134</v>
      </c>
      <c r="F48" s="25">
        <f t="shared" si="2"/>
        <v>17</v>
      </c>
      <c r="G48" s="24" t="b">
        <f ca="1">IF($E48&lt;&gt;"",IF(ISERROR(VLOOKUP($E48,INDIRECT("holidays!"&amp;CHAR(MATCH(Country,holidays!$2:$2,0)+64)&amp;":"&amp;CHAR(MATCH(Country,holidays!$2:$2,0)+64)),1,0)),IF(ISERROR(VLOOKUP($E48,INDIRECT("holidays!"&amp;CHAR(MATCH(Country,holidays!$3:$3,0)+64)&amp;":"&amp;CHAR(MATCH(Country,holidays!$3:$3,0)+64)),1,0)),IF(WEEKDAY($E48,2)&gt;5,TRUE,FALSE),FALSE),TRUE),TRUE)</f>
        <v>0</v>
      </c>
      <c r="H48" s="141"/>
      <c r="I48" s="26"/>
      <c r="J48" s="26" t="s">
        <v>4466</v>
      </c>
      <c r="K48" s="27">
        <v>1</v>
      </c>
      <c r="L48" s="28"/>
      <c r="M48" s="132"/>
      <c r="N48" s="29"/>
      <c r="O48" s="109" t="str">
        <f>IF(AND($I48&lt;&gt;"Vacation or sickness",$I48&lt;&gt;"Other absence"), IF($I48&lt;&gt;"",IF(_xlfn.XLOOKUP(TEXT($I48,"0"),tblProjectlist[Workday ID],tblProjectlist[Object],"")&lt;&gt;"Cost center",IFERROR("BL "&amp;_xlfn.XLOOKUP(TEXT($I48,"0"),tblProjectlist[Workday ID],tblProjectlist[Business Line]),"Cost center not found. Please check your entry."),IFERROR(_xlfn.XLOOKUP(TEXT($I48,"0"),tblProjectlist[Workday ID],tblProjectlist[Workday Title]),"Cost center not found. Please check your entry.")),""),"")</f>
        <v/>
      </c>
      <c r="Z48" s="11" t="str">
        <f>SUBSTITUTE(IF(OR($I48="Vacation or sickness",$I48="Other absence"), "overhead", _xlfn.XLOOKUP(TEXT($I48,"0"),tblProjectlist[Workday ID], tblProjectlist[Business Line], "4flow")), " ", "")</f>
        <v>4flow</v>
      </c>
      <c r="AA48" s="11" t="str">
        <f>IF(NOT(OR($I48="Vacation or sickness",$I48="Other absence")), IF(_xlfn.XLOOKUP(TEXT($I48,"0"),tblProjectlist[Workday ID], tblProjectlist[Object], "na")="Project", "proj", IF(_xlfn.XLOOKUP(TEXT($I48,"0"),tblProjectlist[Workday ID], tblProjectlist[Object], "na")="Cost center", "cc", "na")), "na")</f>
        <v>na</v>
      </c>
      <c r="AB48" s="1" t="str">
        <f t="shared" si="33"/>
        <v xml:space="preserve"> - 4s_Overheads_Concept &amp; development</v>
      </c>
      <c r="AC48" s="11" t="b">
        <f t="shared" ca="1" si="3"/>
        <v>1</v>
      </c>
    </row>
    <row r="49" spans="2:29">
      <c r="C49" s="30">
        <f t="shared" si="1"/>
        <v>17</v>
      </c>
      <c r="D49" s="144">
        <f t="shared" si="23"/>
        <v>5</v>
      </c>
      <c r="E49" s="24">
        <f t="shared" si="5"/>
        <v>46135</v>
      </c>
      <c r="F49" s="25">
        <f t="shared" si="2"/>
        <v>17</v>
      </c>
      <c r="G49" s="24" t="b">
        <f ca="1">IF($E49&lt;&gt;"",IF(ISERROR(VLOOKUP($E49,INDIRECT("holidays!"&amp;CHAR(MATCH(Country,holidays!$2:$2,0)+64)&amp;":"&amp;CHAR(MATCH(Country,holidays!$2:$2,0)+64)),1,0)),IF(ISERROR(VLOOKUP($E49,INDIRECT("holidays!"&amp;CHAR(MATCH(Country,holidays!$3:$3,0)+64)&amp;":"&amp;CHAR(MATCH(Country,holidays!$3:$3,0)+64)),1,0)),IF(WEEKDAY($E49,2)&gt;5,TRUE,FALSE),FALSE),TRUE),TRUE)</f>
        <v>0</v>
      </c>
      <c r="H49" s="141">
        <f t="shared" ref="H49" si="40">IF(H47&lt;&gt;"",IF(H47+1&gt;$B$6,"",H47+1),"")</f>
        <v>23</v>
      </c>
      <c r="I49" s="26"/>
      <c r="J49" s="26"/>
      <c r="K49" s="27"/>
      <c r="L49" s="28"/>
      <c r="M49" s="109"/>
      <c r="N49" s="29"/>
      <c r="O49" s="109" t="str">
        <f>IF(AND($I49&lt;&gt;"Vacation or sickness",$I49&lt;&gt;"Other absence"), IF($I49&lt;&gt;"",IF(_xlfn.XLOOKUP(TEXT($I49,"0"),tblProjectlist[Workday ID],tblProjectlist[Object],"")&lt;&gt;"Cost center",IFERROR("BL "&amp;_xlfn.XLOOKUP(TEXT($I49,"0"),tblProjectlist[Workday ID],tblProjectlist[Business Line]),"Cost center not found. Please check your entry."),IFERROR(_xlfn.XLOOKUP(TEXT($I49,"0"),tblProjectlist[Workday ID],tblProjectlist[Workday Title]),"Cost center not found. Please check your entry.")),""),"")</f>
        <v/>
      </c>
      <c r="Z49" s="11" t="str">
        <f>SUBSTITUTE(IF(OR($I49="Vacation or sickness",$I49="Other absence"), "overhead", _xlfn.XLOOKUP(TEXT($I49,"0"),tblProjectlist[Workday ID], tblProjectlist[Business Line], "4flow")), " ", "")</f>
        <v>4flow</v>
      </c>
      <c r="AA49" s="11" t="str">
        <f>IF(NOT(OR($I49="Vacation or sickness",$I49="Other absence")), IF(_xlfn.XLOOKUP(TEXT($I49,"0"),tblProjectlist[Workday ID], tblProjectlist[Object], "na")="Project", "proj", IF(_xlfn.XLOOKUP(TEXT($I49,"0"),tblProjectlist[Workday ID], tblProjectlist[Object], "na")="Cost center", "cc", "na")), "na")</f>
        <v>na</v>
      </c>
      <c r="AB49" s="1" t="str">
        <f t="shared" si="33"/>
        <v/>
      </c>
      <c r="AC49" s="11" t="b">
        <f t="shared" ca="1" si="3"/>
        <v>1</v>
      </c>
    </row>
    <row r="50" spans="2:29">
      <c r="C50" s="30" t="str">
        <f t="shared" si="1"/>
        <v/>
      </c>
      <c r="D50" s="144"/>
      <c r="E50" s="24">
        <f t="shared" si="5"/>
        <v>46135</v>
      </c>
      <c r="F50" s="25">
        <f t="shared" si="2"/>
        <v>17</v>
      </c>
      <c r="G50" s="24" t="b">
        <f ca="1">IF($E50&lt;&gt;"",IF(ISERROR(VLOOKUP($E50,INDIRECT("holidays!"&amp;CHAR(MATCH(Country,holidays!$2:$2,0)+64)&amp;":"&amp;CHAR(MATCH(Country,holidays!$2:$2,0)+64)),1,0)),IF(ISERROR(VLOOKUP($E50,INDIRECT("holidays!"&amp;CHAR(MATCH(Country,holidays!$3:$3,0)+64)&amp;":"&amp;CHAR(MATCH(Country,holidays!$3:$3,0)+64)),1,0)),IF(WEEKDAY($E50,2)&gt;5,TRUE,FALSE),FALSE),TRUE),TRUE)</f>
        <v>0</v>
      </c>
      <c r="H50" s="141"/>
      <c r="I50" s="26" t="s">
        <v>34</v>
      </c>
      <c r="J50" s="26" t="s">
        <v>4477</v>
      </c>
      <c r="K50" s="27">
        <v>1</v>
      </c>
      <c r="L50" s="28"/>
      <c r="M50" s="132"/>
      <c r="N50" s="29"/>
      <c r="O50" s="109" t="str">
        <f>IF(AND($I50&lt;&gt;"Vacation or sickness",$I50&lt;&gt;"Other absence"), IF($I50&lt;&gt;"",IF(_xlfn.XLOOKUP(TEXT($I50,"0"),tblProjectlist[Workday ID],tblProjectlist[Object],"")&lt;&gt;"Cost center",IFERROR("BL "&amp;_xlfn.XLOOKUP(TEXT($I50,"0"),tblProjectlist[Workday ID],tblProjectlist[Business Line]),"Cost center not found. Please check your entry."),IFERROR(_xlfn.XLOOKUP(TEXT($I50,"0"),tblProjectlist[Workday ID],tblProjectlist[Workday Title]),"Cost center not found. Please check your entry.")),""),"")</f>
        <v/>
      </c>
      <c r="Z50" s="11" t="str">
        <f>SUBSTITUTE(IF(OR($I50="Vacation or sickness",$I50="Other absence"), "overhead", _xlfn.XLOOKUP(TEXT($I50,"0"),tblProjectlist[Workday ID], tblProjectlist[Business Line], "4flow")), " ", "")</f>
        <v>overhead</v>
      </c>
      <c r="AA50" s="11" t="str">
        <f>IF(NOT(OR($I50="Vacation or sickness",$I50="Other absence")), IF(_xlfn.XLOOKUP(TEXT($I50,"0"),tblProjectlist[Workday ID], tblProjectlist[Object], "na")="Project", "proj", IF(_xlfn.XLOOKUP(TEXT($I50,"0"),tblProjectlist[Workday ID], tblProjectlist[Object], "na")="Cost center", "cc", "na")), "na")</f>
        <v>na</v>
      </c>
      <c r="AB50" s="1" t="str">
        <f t="shared" si="33"/>
        <v>Other absence - 4s_Overheads_Absence</v>
      </c>
      <c r="AC50" s="11" t="b">
        <f t="shared" ca="1" si="3"/>
        <v>1</v>
      </c>
    </row>
    <row r="51" spans="2:29">
      <c r="C51" s="30" t="str">
        <f t="shared" si="1"/>
        <v/>
      </c>
      <c r="D51" s="144">
        <f t="shared" si="25"/>
        <v>6</v>
      </c>
      <c r="E51" s="24">
        <f t="shared" si="5"/>
        <v>46136</v>
      </c>
      <c r="F51" s="25">
        <f t="shared" si="2"/>
        <v>17</v>
      </c>
      <c r="G51" s="24" t="b">
        <f ca="1">IF($E51&lt;&gt;"",IF(ISERROR(VLOOKUP($E51,INDIRECT("holidays!"&amp;CHAR(MATCH(Country,holidays!$2:$2,0)+64)&amp;":"&amp;CHAR(MATCH(Country,holidays!$2:$2,0)+64)),1,0)),IF(ISERROR(VLOOKUP($E51,INDIRECT("holidays!"&amp;CHAR(MATCH(Country,holidays!$3:$3,0)+64)&amp;":"&amp;CHAR(MATCH(Country,holidays!$3:$3,0)+64)),1,0)),IF(WEEKDAY($E51,2)&gt;5,TRUE,FALSE),FALSE),TRUE),TRUE)</f>
        <v>0</v>
      </c>
      <c r="H51" s="141">
        <f t="shared" ref="H51" si="41">IF(H49&lt;&gt;"",IF(H49+1&gt;$B$6,"",H49+1),"")</f>
        <v>24</v>
      </c>
      <c r="I51" s="26"/>
      <c r="J51" s="26"/>
      <c r="K51" s="27"/>
      <c r="L51" s="28"/>
      <c r="M51" s="109"/>
      <c r="N51" s="29"/>
      <c r="O51" s="109" t="str">
        <f>IF(AND($I51&lt;&gt;"Vacation or sickness",$I51&lt;&gt;"Other absence"), IF($I51&lt;&gt;"",IF(_xlfn.XLOOKUP(TEXT($I51,"0"),tblProjectlist[Workday ID],tblProjectlist[Object],"")&lt;&gt;"Cost center",IFERROR("BL "&amp;_xlfn.XLOOKUP(TEXT($I51,"0"),tblProjectlist[Workday ID],tblProjectlist[Business Line]),"Cost center not found. Please check your entry."),IFERROR(_xlfn.XLOOKUP(TEXT($I51,"0"),tblProjectlist[Workday ID],tblProjectlist[Workday Title]),"Cost center not found. Please check your entry.")),""),"")</f>
        <v/>
      </c>
      <c r="R51" s="14"/>
      <c r="S51" s="14"/>
      <c r="T51" s="14"/>
      <c r="Z51" s="11" t="str">
        <f>SUBSTITUTE(IF(OR($I51="Vacation or sickness",$I51="Other absence"), "overhead", _xlfn.XLOOKUP(TEXT($I51,"0"),tblProjectlist[Workday ID], tblProjectlist[Business Line], "4flow")), " ", "")</f>
        <v>4flow</v>
      </c>
      <c r="AA51" s="11" t="str">
        <f>IF(NOT(OR($I51="Vacation or sickness",$I51="Other absence")), IF(_xlfn.XLOOKUP(TEXT($I51,"0"),tblProjectlist[Workday ID], tblProjectlist[Object], "na")="Project", "proj", IF(_xlfn.XLOOKUP(TEXT($I51,"0"),tblProjectlist[Workday ID], tblProjectlist[Object], "na")="Cost center", "cc", "na")), "na")</f>
        <v>na</v>
      </c>
      <c r="AB51" s="1" t="str">
        <f t="shared" si="33"/>
        <v/>
      </c>
      <c r="AC51" s="11" t="b">
        <f t="shared" ca="1" si="3"/>
        <v>1</v>
      </c>
    </row>
    <row r="52" spans="2:29">
      <c r="C52" s="30" t="str">
        <f t="shared" si="1"/>
        <v/>
      </c>
      <c r="D52" s="144"/>
      <c r="E52" s="24">
        <f t="shared" si="5"/>
        <v>46136</v>
      </c>
      <c r="F52" s="25">
        <f t="shared" si="2"/>
        <v>17</v>
      </c>
      <c r="G52" s="24" t="b">
        <f ca="1">IF($E52&lt;&gt;"",IF(ISERROR(VLOOKUP($E52,INDIRECT("holidays!"&amp;CHAR(MATCH(Country,holidays!$2:$2,0)+64)&amp;":"&amp;CHAR(MATCH(Country,holidays!$2:$2,0)+64)),1,0)),IF(ISERROR(VLOOKUP($E52,INDIRECT("holidays!"&amp;CHAR(MATCH(Country,holidays!$3:$3,0)+64)&amp;":"&amp;CHAR(MATCH(Country,holidays!$3:$3,0)+64)),1,0)),IF(WEEKDAY($E52,2)&gt;5,TRUE,FALSE),FALSE),TRUE),TRUE)</f>
        <v>0</v>
      </c>
      <c r="H52" s="141"/>
      <c r="I52" s="26" t="s">
        <v>34</v>
      </c>
      <c r="J52" s="26" t="s">
        <v>4477</v>
      </c>
      <c r="K52" s="27">
        <v>1</v>
      </c>
      <c r="L52" s="28"/>
      <c r="M52" s="132"/>
      <c r="N52" s="29"/>
      <c r="O52" s="109" t="str">
        <f>IF(AND($I52&lt;&gt;"Vacation or sickness",$I52&lt;&gt;"Other absence"), IF($I52&lt;&gt;"",IF(_xlfn.XLOOKUP(TEXT($I52,"0"),tblProjectlist[Workday ID],tblProjectlist[Object],"")&lt;&gt;"Cost center",IFERROR("BL "&amp;_xlfn.XLOOKUP(TEXT($I52,"0"),tblProjectlist[Workday ID],tblProjectlist[Business Line]),"Cost center not found. Please check your entry."),IFERROR(_xlfn.XLOOKUP(TEXT($I52,"0"),tblProjectlist[Workday ID],tblProjectlist[Workday Title]),"Cost center not found. Please check your entry.")),""),"")</f>
        <v/>
      </c>
      <c r="Z52" s="11" t="str">
        <f>SUBSTITUTE(IF(OR($I52="Vacation or sickness",$I52="Other absence"), "overhead", _xlfn.XLOOKUP(TEXT($I52,"0"),tblProjectlist[Workday ID], tblProjectlist[Business Line], "4flow")), " ", "")</f>
        <v>overhead</v>
      </c>
      <c r="AA52" s="11" t="str">
        <f>IF(NOT(OR($I52="Vacation or sickness",$I52="Other absence")), IF(_xlfn.XLOOKUP(TEXT($I52,"0"),tblProjectlist[Workday ID], tblProjectlist[Object], "na")="Project", "proj", IF(_xlfn.XLOOKUP(TEXT($I52,"0"),tblProjectlist[Workday ID], tblProjectlist[Object], "na")="Cost center", "cc", "na")), "na")</f>
        <v>na</v>
      </c>
      <c r="AB52" s="1" t="str">
        <f t="shared" si="33"/>
        <v>Other absence - 4s_Overheads_Absence</v>
      </c>
      <c r="AC52" s="11" t="b">
        <f t="shared" ca="1" si="3"/>
        <v>1</v>
      </c>
    </row>
    <row r="53" spans="2:29">
      <c r="C53" s="30" t="str">
        <f t="shared" si="1"/>
        <v/>
      </c>
      <c r="D53" s="144">
        <f t="shared" ref="D53" si="42">IF($H53&lt;&gt;"",WEEKDAY(DATE($B$4,$B$5,H53),1),"")</f>
        <v>7</v>
      </c>
      <c r="E53" s="24">
        <f t="shared" si="5"/>
        <v>46137</v>
      </c>
      <c r="F53" s="25">
        <f t="shared" si="2"/>
        <v>17</v>
      </c>
      <c r="G53" s="24" t="b">
        <f ca="1">IF($E53&lt;&gt;"",IF(ISERROR(VLOOKUP($E53,INDIRECT("holidays!"&amp;CHAR(MATCH(Country,holidays!$2:$2,0)+64)&amp;":"&amp;CHAR(MATCH(Country,holidays!$2:$2,0)+64)),1,0)),IF(ISERROR(VLOOKUP($E53,INDIRECT("holidays!"&amp;CHAR(MATCH(Country,holidays!$3:$3,0)+64)&amp;":"&amp;CHAR(MATCH(Country,holidays!$3:$3,0)+64)),1,0)),IF(WEEKDAY($E53,2)&gt;5,TRUE,FALSE),FALSE),TRUE),TRUE)</f>
        <v>1</v>
      </c>
      <c r="H53" s="141">
        <f t="shared" ref="H53" si="43">IF(H51&lt;&gt;"",IF(H51+1&gt;$B$6,"",H51+1),"")</f>
        <v>25</v>
      </c>
      <c r="I53" s="26"/>
      <c r="J53" s="26"/>
      <c r="K53" s="27"/>
      <c r="L53" s="28"/>
      <c r="M53" s="132"/>
      <c r="N53" s="29"/>
      <c r="O53" s="109" t="str">
        <f>IF(AND($I53&lt;&gt;"Vacation or sickness",$I53&lt;&gt;"Other absence"), IF($I53&lt;&gt;"",IF(_xlfn.XLOOKUP(TEXT($I53,"0"),tblProjectlist[Workday ID],tblProjectlist[Object],"")&lt;&gt;"Cost center",IFERROR("BL "&amp;_xlfn.XLOOKUP(TEXT($I53,"0"),tblProjectlist[Workday ID],tblProjectlist[Business Line]),"Cost center not found. Please check your entry."),IFERROR(_xlfn.XLOOKUP(TEXT($I53,"0"),tblProjectlist[Workday ID],tblProjectlist[Workday Title]),"Cost center not found. Please check your entry.")),""),"")</f>
        <v/>
      </c>
      <c r="Z53" s="11" t="str">
        <f>SUBSTITUTE(IF(OR($I53="Vacation or sickness",$I53="Other absence"), "overhead", _xlfn.XLOOKUP(TEXT($I53,"0"),tblProjectlist[Workday ID], tblProjectlist[Business Line], "4flow")), " ", "")</f>
        <v>4flow</v>
      </c>
      <c r="AA53" s="11" t="str">
        <f>IF(NOT(OR($I53="Vacation or sickness",$I53="Other absence")), IF(_xlfn.XLOOKUP(TEXT($I53,"0"),tblProjectlist[Workday ID], tblProjectlist[Object], "na")="Project", "proj", IF(_xlfn.XLOOKUP(TEXT($I53,"0"),tblProjectlist[Workday ID], tblProjectlist[Object], "na")="Cost center", "cc", "na")), "na")</f>
        <v>na</v>
      </c>
      <c r="AB53" s="1" t="str">
        <f t="shared" si="33"/>
        <v/>
      </c>
      <c r="AC53" s="11" t="b">
        <f t="shared" ca="1" si="3"/>
        <v>1</v>
      </c>
    </row>
    <row r="54" spans="2:29">
      <c r="C54" s="30" t="str">
        <f t="shared" si="1"/>
        <v/>
      </c>
      <c r="D54" s="144"/>
      <c r="E54" s="24">
        <f t="shared" si="5"/>
        <v>46137</v>
      </c>
      <c r="F54" s="25">
        <f t="shared" si="2"/>
        <v>17</v>
      </c>
      <c r="G54" s="24" t="b">
        <f ca="1">IF($E54&lt;&gt;"",IF(ISERROR(VLOOKUP($E54,INDIRECT("holidays!"&amp;CHAR(MATCH(Country,holidays!$2:$2,0)+64)&amp;":"&amp;CHAR(MATCH(Country,holidays!$2:$2,0)+64)),1,0)),IF(ISERROR(VLOOKUP($E54,INDIRECT("holidays!"&amp;CHAR(MATCH(Country,holidays!$3:$3,0)+64)&amp;":"&amp;CHAR(MATCH(Country,holidays!$3:$3,0)+64)),1,0)),IF(WEEKDAY($E54,2)&gt;5,TRUE,FALSE),FALSE),TRUE),TRUE)</f>
        <v>1</v>
      </c>
      <c r="H54" s="141"/>
      <c r="I54" s="26"/>
      <c r="J54" s="26"/>
      <c r="K54" s="27"/>
      <c r="L54" s="28"/>
      <c r="M54" s="132"/>
      <c r="N54" s="29"/>
      <c r="O54" s="109" t="str">
        <f>IF(AND($I54&lt;&gt;"Vacation or sickness",$I54&lt;&gt;"Other absence"), IF($I54&lt;&gt;"",IF(_xlfn.XLOOKUP(TEXT($I54,"0"),tblProjectlist[Workday ID],tblProjectlist[Object],"")&lt;&gt;"Cost center",IFERROR("BL "&amp;_xlfn.XLOOKUP(TEXT($I54,"0"),tblProjectlist[Workday ID],tblProjectlist[Business Line]),"Cost center not found. Please check your entry."),IFERROR(_xlfn.XLOOKUP(TEXT($I54,"0"),tblProjectlist[Workday ID],tblProjectlist[Workday Title]),"Cost center not found. Please check your entry.")),""),"")</f>
        <v/>
      </c>
      <c r="Z54" s="11" t="str">
        <f>SUBSTITUTE(IF(OR($I54="Vacation or sickness",$I54="Other absence"), "overhead", _xlfn.XLOOKUP(TEXT($I54,"0"),tblProjectlist[Workday ID], tblProjectlist[Business Line], "4flow")), " ", "")</f>
        <v>4flow</v>
      </c>
      <c r="AA54" s="11" t="str">
        <f>IF(NOT(OR($I54="Vacation or sickness",$I54="Other absence")), IF(_xlfn.XLOOKUP(TEXT($I54,"0"),tblProjectlist[Workday ID], tblProjectlist[Object], "na")="Project", "proj", IF(_xlfn.XLOOKUP(TEXT($I54,"0"),tblProjectlist[Workday ID], tblProjectlist[Object], "na")="Cost center", "cc", "na")), "na")</f>
        <v>na</v>
      </c>
      <c r="AB54" s="1" t="str">
        <f t="shared" si="33"/>
        <v/>
      </c>
      <c r="AC54" s="11" t="b">
        <f t="shared" ca="1" si="3"/>
        <v>1</v>
      </c>
    </row>
    <row r="55" spans="2:29">
      <c r="C55" s="30" t="str">
        <f t="shared" si="1"/>
        <v/>
      </c>
      <c r="D55" s="144">
        <f t="shared" si="17"/>
        <v>1</v>
      </c>
      <c r="E55" s="24">
        <f t="shared" si="5"/>
        <v>46138</v>
      </c>
      <c r="F55" s="25">
        <f t="shared" si="2"/>
        <v>17</v>
      </c>
      <c r="G55" s="24" t="b">
        <f ca="1">IF($E55&lt;&gt;"",IF(ISERROR(VLOOKUP($E55,INDIRECT("holidays!"&amp;CHAR(MATCH(Country,holidays!$2:$2,0)+64)&amp;":"&amp;CHAR(MATCH(Country,holidays!$2:$2,0)+64)),1,0)),IF(ISERROR(VLOOKUP($E55,INDIRECT("holidays!"&amp;CHAR(MATCH(Country,holidays!$3:$3,0)+64)&amp;":"&amp;CHAR(MATCH(Country,holidays!$3:$3,0)+64)),1,0)),IF(WEEKDAY($E55,2)&gt;5,TRUE,FALSE),FALSE),TRUE),TRUE)</f>
        <v>1</v>
      </c>
      <c r="H55" s="141">
        <f t="shared" ref="H55" si="44">IF(H53&lt;&gt;"",IF(H53+1&gt;$B$6,"",H53+1),"")</f>
        <v>26</v>
      </c>
      <c r="I55" s="26"/>
      <c r="J55" s="26"/>
      <c r="K55" s="27"/>
      <c r="L55" s="28"/>
      <c r="M55" s="132"/>
      <c r="N55" s="29"/>
      <c r="O55" s="109" t="str">
        <f>IF(AND($I55&lt;&gt;"Vacation or sickness",$I55&lt;&gt;"Other absence"), IF($I55&lt;&gt;"",IF(_xlfn.XLOOKUP(TEXT($I55,"0"),tblProjectlist[Workday ID],tblProjectlist[Object],"")&lt;&gt;"Cost center",IFERROR("BL "&amp;_xlfn.XLOOKUP(TEXT($I55,"0"),tblProjectlist[Workday ID],tblProjectlist[Business Line]),"Cost center not found. Please check your entry."),IFERROR(_xlfn.XLOOKUP(TEXT($I55,"0"),tblProjectlist[Workday ID],tblProjectlist[Workday Title]),"Cost center not found. Please check your entry.")),""),"")</f>
        <v/>
      </c>
      <c r="Z55" s="11" t="str">
        <f>SUBSTITUTE(IF(OR($I55="Vacation or sickness",$I55="Other absence"), "overhead", _xlfn.XLOOKUP(TEXT($I55,"0"),tblProjectlist[Workday ID], tblProjectlist[Business Line], "4flow")), " ", "")</f>
        <v>4flow</v>
      </c>
      <c r="AA55" s="11" t="str">
        <f>IF(NOT(OR($I55="Vacation or sickness",$I55="Other absence")), IF(_xlfn.XLOOKUP(TEXT($I55,"0"),tblProjectlist[Workday ID], tblProjectlist[Object], "na")="Project", "proj", IF(_xlfn.XLOOKUP(TEXT($I55,"0"),tblProjectlist[Workday ID], tblProjectlist[Object], "na")="Cost center", "cc", "na")), "na")</f>
        <v>na</v>
      </c>
      <c r="AB55" s="1" t="str">
        <f t="shared" si="33"/>
        <v/>
      </c>
      <c r="AC55" s="11" t="b">
        <f t="shared" ca="1" si="3"/>
        <v>1</v>
      </c>
    </row>
    <row r="56" spans="2:29">
      <c r="C56" s="30" t="str">
        <f t="shared" si="1"/>
        <v/>
      </c>
      <c r="D56" s="144"/>
      <c r="E56" s="24">
        <f t="shared" si="5"/>
        <v>46138</v>
      </c>
      <c r="F56" s="25">
        <f t="shared" si="2"/>
        <v>17</v>
      </c>
      <c r="G56" s="24" t="b">
        <f ca="1">IF($E56&lt;&gt;"",IF(ISERROR(VLOOKUP($E56,INDIRECT("holidays!"&amp;CHAR(MATCH(Country,holidays!$2:$2,0)+64)&amp;":"&amp;CHAR(MATCH(Country,holidays!$2:$2,0)+64)),1,0)),IF(ISERROR(VLOOKUP($E56,INDIRECT("holidays!"&amp;CHAR(MATCH(Country,holidays!$3:$3,0)+64)&amp;":"&amp;CHAR(MATCH(Country,holidays!$3:$3,0)+64)),1,0)),IF(WEEKDAY($E56,2)&gt;5,TRUE,FALSE),FALSE),TRUE),TRUE)</f>
        <v>1</v>
      </c>
      <c r="H56" s="141"/>
      <c r="I56" s="26"/>
      <c r="J56" s="26"/>
      <c r="K56" s="27"/>
      <c r="L56" s="28"/>
      <c r="M56" s="132"/>
      <c r="N56" s="29"/>
      <c r="O56" s="109" t="str">
        <f>IF(AND($I56&lt;&gt;"Vacation or sickness",$I56&lt;&gt;"Other absence"), IF($I56&lt;&gt;"",IF(_xlfn.XLOOKUP(TEXT($I56,"0"),tblProjectlist[Workday ID],tblProjectlist[Object],"")&lt;&gt;"Cost center",IFERROR("BL "&amp;_xlfn.XLOOKUP(TEXT($I56,"0"),tblProjectlist[Workday ID],tblProjectlist[Business Line]),"Cost center not found. Please check your entry."),IFERROR(_xlfn.XLOOKUP(TEXT($I56,"0"),tblProjectlist[Workday ID],tblProjectlist[Workday Title]),"Cost center not found. Please check your entry.")),""),"")</f>
        <v/>
      </c>
      <c r="Z56" s="11" t="str">
        <f>SUBSTITUTE(IF(OR($I56="Vacation or sickness",$I56="Other absence"), "overhead", _xlfn.XLOOKUP(TEXT($I56,"0"),tblProjectlist[Workday ID], tblProjectlist[Business Line], "4flow")), " ", "")</f>
        <v>4flow</v>
      </c>
      <c r="AA56" s="11" t="str">
        <f>IF(NOT(OR($I56="Vacation or sickness",$I56="Other absence")), IF(_xlfn.XLOOKUP(TEXT($I56,"0"),tblProjectlist[Workday ID], tblProjectlist[Object], "na")="Project", "proj", IF(_xlfn.XLOOKUP(TEXT($I56,"0"),tblProjectlist[Workday ID], tblProjectlist[Object], "na")="Cost center", "cc", "na")), "na")</f>
        <v>na</v>
      </c>
      <c r="AB56" s="1" t="str">
        <f t="shared" si="33"/>
        <v/>
      </c>
      <c r="AC56" s="11" t="b">
        <f t="shared" ca="1" si="3"/>
        <v>1</v>
      </c>
    </row>
    <row r="57" spans="2:29">
      <c r="C57" s="30" t="str">
        <f t="shared" si="1"/>
        <v/>
      </c>
      <c r="D57" s="144">
        <f t="shared" si="19"/>
        <v>2</v>
      </c>
      <c r="E57" s="24">
        <f t="shared" si="5"/>
        <v>46139</v>
      </c>
      <c r="F57" s="25">
        <f t="shared" si="2"/>
        <v>18</v>
      </c>
      <c r="G57" s="24" t="b">
        <f ca="1">IF($E57&lt;&gt;"",IF(ISERROR(VLOOKUP($E57,INDIRECT("holidays!"&amp;CHAR(MATCH(Country,holidays!$2:$2,0)+64)&amp;":"&amp;CHAR(MATCH(Country,holidays!$2:$2,0)+64)),1,0)),IF(ISERROR(VLOOKUP($E57,INDIRECT("holidays!"&amp;CHAR(MATCH(Country,holidays!$3:$3,0)+64)&amp;":"&amp;CHAR(MATCH(Country,holidays!$3:$3,0)+64)),1,0)),IF(WEEKDAY($E57,2)&gt;5,TRUE,FALSE),FALSE),TRUE),TRUE)</f>
        <v>0</v>
      </c>
      <c r="H57" s="141">
        <f t="shared" ref="H57" si="45">IF(H55&lt;&gt;"",IF(H55+1&gt;$B$6,"",H55+1),"")</f>
        <v>27</v>
      </c>
      <c r="I57" s="26"/>
      <c r="J57" s="26"/>
      <c r="K57" s="27"/>
      <c r="L57" s="28"/>
      <c r="M57" s="132"/>
      <c r="N57" s="29"/>
      <c r="O57" s="109" t="str">
        <f>IF(AND($I57&lt;&gt;"Vacation or sickness",$I57&lt;&gt;"Other absence"), IF($I57&lt;&gt;"",IF(_xlfn.XLOOKUP(TEXT($I57,"0"),tblProjectlist[Workday ID],tblProjectlist[Object],"")&lt;&gt;"Cost center",IFERROR("BL "&amp;_xlfn.XLOOKUP(TEXT($I57,"0"),tblProjectlist[Workday ID],tblProjectlist[Business Line]),"Cost center not found. Please check your entry."),IFERROR(_xlfn.XLOOKUP(TEXT($I57,"0"),tblProjectlist[Workday ID],tblProjectlist[Workday Title]),"Cost center not found. Please check your entry.")),""),"")</f>
        <v/>
      </c>
      <c r="Z57" s="11" t="str">
        <f>SUBSTITUTE(IF(OR($I57="Vacation or sickness",$I57="Other absence"), "overhead", _xlfn.XLOOKUP(TEXT($I57,"0"),tblProjectlist[Workday ID], tblProjectlist[Business Line], "4flow")), " ", "")</f>
        <v>4flow</v>
      </c>
      <c r="AA57" s="11" t="str">
        <f>IF(NOT(OR($I57="Vacation or sickness",$I57="Other absence")), IF(_xlfn.XLOOKUP(TEXT($I57,"0"),tblProjectlist[Workday ID], tblProjectlist[Object], "na")="Project", "proj", IF(_xlfn.XLOOKUP(TEXT($I57,"0"),tblProjectlist[Workday ID], tblProjectlist[Object], "na")="Cost center", "cc", "na")), "na")</f>
        <v>na</v>
      </c>
      <c r="AB57" s="1" t="str">
        <f t="shared" si="33"/>
        <v/>
      </c>
      <c r="AC57" s="11" t="b">
        <f t="shared" ca="1" si="3"/>
        <v>1</v>
      </c>
    </row>
    <row r="58" spans="2:29">
      <c r="C58" s="30" t="str">
        <f t="shared" si="1"/>
        <v/>
      </c>
      <c r="D58" s="144"/>
      <c r="E58" s="24">
        <f t="shared" si="5"/>
        <v>46139</v>
      </c>
      <c r="F58" s="25">
        <f t="shared" si="2"/>
        <v>18</v>
      </c>
      <c r="G58" s="24" t="b">
        <f ca="1">IF($E58&lt;&gt;"",IF(ISERROR(VLOOKUP($E58,INDIRECT("holidays!"&amp;CHAR(MATCH(Country,holidays!$2:$2,0)+64)&amp;":"&amp;CHAR(MATCH(Country,holidays!$2:$2,0)+64)),1,0)),IF(ISERROR(VLOOKUP($E58,INDIRECT("holidays!"&amp;CHAR(MATCH(Country,holidays!$3:$3,0)+64)&amp;":"&amp;CHAR(MATCH(Country,holidays!$3:$3,0)+64)),1,0)),IF(WEEKDAY($E58,2)&gt;5,TRUE,FALSE),FALSE),TRUE),TRUE)</f>
        <v>0</v>
      </c>
      <c r="H58" s="141"/>
      <c r="I58" s="26"/>
      <c r="J58" s="26" t="s">
        <v>4466</v>
      </c>
      <c r="K58" s="27">
        <v>1</v>
      </c>
      <c r="L58" s="28"/>
      <c r="M58" s="132"/>
      <c r="N58" s="29"/>
      <c r="O58" s="109" t="str">
        <f>IF(AND($I58&lt;&gt;"Vacation or sickness",$I58&lt;&gt;"Other absence"), IF($I58&lt;&gt;"",IF(_xlfn.XLOOKUP(TEXT($I58,"0"),tblProjectlist[Workday ID],tblProjectlist[Object],"")&lt;&gt;"Cost center",IFERROR("BL "&amp;_xlfn.XLOOKUP(TEXT($I58,"0"),tblProjectlist[Workday ID],tblProjectlist[Business Line]),"Cost center not found. Please check your entry."),IFERROR(_xlfn.XLOOKUP(TEXT($I58,"0"),tblProjectlist[Workday ID],tblProjectlist[Workday Title]),"Cost center not found. Please check your entry.")),""),"")</f>
        <v/>
      </c>
      <c r="Z58" s="11" t="str">
        <f>SUBSTITUTE(IF(OR($I58="Vacation or sickness",$I58="Other absence"), "overhead", _xlfn.XLOOKUP(TEXT($I58,"0"),tblProjectlist[Workday ID], tblProjectlist[Business Line], "4flow")), " ", "")</f>
        <v>4flow</v>
      </c>
      <c r="AA58" s="11" t="str">
        <f>IF(NOT(OR($I58="Vacation or sickness",$I58="Other absence")), IF(_xlfn.XLOOKUP(TEXT($I58,"0"),tblProjectlist[Workday ID], tblProjectlist[Object], "na")="Project", "proj", IF(_xlfn.XLOOKUP(TEXT($I58,"0"),tblProjectlist[Workday ID], tblProjectlist[Object], "na")="Cost center", "cc", "na")), "na")</f>
        <v>na</v>
      </c>
      <c r="AB58" s="1" t="str">
        <f t="shared" si="33"/>
        <v xml:space="preserve"> - 4s_Overheads_Concept &amp; development</v>
      </c>
      <c r="AC58" s="11" t="b">
        <f t="shared" ca="1" si="3"/>
        <v>1</v>
      </c>
    </row>
    <row r="59" spans="2:29">
      <c r="B59" s="11"/>
      <c r="C59" s="30" t="str">
        <f t="shared" si="1"/>
        <v/>
      </c>
      <c r="D59" s="144">
        <f t="shared" si="21"/>
        <v>3</v>
      </c>
      <c r="E59" s="24">
        <f t="shared" si="5"/>
        <v>46140</v>
      </c>
      <c r="F59" s="25">
        <f t="shared" si="2"/>
        <v>18</v>
      </c>
      <c r="G59" s="24" t="b">
        <f ca="1">IF($E59&lt;&gt;"",IF(ISERROR(VLOOKUP($E59,INDIRECT("holidays!"&amp;CHAR(MATCH(Country,holidays!$2:$2,0)+64)&amp;":"&amp;CHAR(MATCH(Country,holidays!$2:$2,0)+64)),1,0)),IF(ISERROR(VLOOKUP($E59,INDIRECT("holidays!"&amp;CHAR(MATCH(Country,holidays!$3:$3,0)+64)&amp;":"&amp;CHAR(MATCH(Country,holidays!$3:$3,0)+64)),1,0)),IF(WEEKDAY($E59,2)&gt;5,TRUE,FALSE),FALSE),TRUE),TRUE)</f>
        <v>0</v>
      </c>
      <c r="H59" s="141">
        <f t="shared" ref="H59" si="46">IF(H57&lt;&gt;"",IF(H57+1&gt;$B$6,"",H57+1),"")</f>
        <v>28</v>
      </c>
      <c r="I59" s="26"/>
      <c r="J59" s="26"/>
      <c r="K59" s="27"/>
      <c r="L59" s="28"/>
      <c r="M59" s="132"/>
      <c r="N59" s="29"/>
      <c r="O59" s="109" t="str">
        <f>IF(AND($I59&lt;&gt;"Vacation or sickness",$I59&lt;&gt;"Other absence"), IF($I59&lt;&gt;"",IF(_xlfn.XLOOKUP(TEXT($I59,"0"),tblProjectlist[Workday ID],tblProjectlist[Object],"")&lt;&gt;"Cost center",IFERROR("BL "&amp;_xlfn.XLOOKUP(TEXT($I59,"0"),tblProjectlist[Workday ID],tblProjectlist[Business Line]),"Cost center not found. Please check your entry."),IFERROR(_xlfn.XLOOKUP(TEXT($I59,"0"),tblProjectlist[Workday ID],tblProjectlist[Workday Title]),"Cost center not found. Please check your entry.")),""),"")</f>
        <v/>
      </c>
      <c r="Z59" s="11" t="str">
        <f>SUBSTITUTE(IF(OR($I59="Vacation or sickness",$I59="Other absence"), "overhead", _xlfn.XLOOKUP(TEXT($I59,"0"),tblProjectlist[Workday ID], tblProjectlist[Business Line], "4flow")), " ", "")</f>
        <v>4flow</v>
      </c>
      <c r="AA59" s="11" t="str">
        <f>IF(NOT(OR($I59="Vacation or sickness",$I59="Other absence")), IF(_xlfn.XLOOKUP(TEXT($I59,"0"),tblProjectlist[Workday ID], tblProjectlist[Object], "na")="Project", "proj", IF(_xlfn.XLOOKUP(TEXT($I59,"0"),tblProjectlist[Workday ID], tblProjectlist[Object], "na")="Cost center", "cc", "na")), "na")</f>
        <v>na</v>
      </c>
      <c r="AB59" s="1" t="str">
        <f t="shared" si="33"/>
        <v/>
      </c>
      <c r="AC59" s="11" t="b">
        <f t="shared" ca="1" si="3"/>
        <v>1</v>
      </c>
    </row>
    <row r="60" spans="2:29">
      <c r="B60" s="11"/>
      <c r="C60" s="30" t="str">
        <f t="shared" si="1"/>
        <v/>
      </c>
      <c r="D60" s="144"/>
      <c r="E60" s="24">
        <f t="shared" si="5"/>
        <v>46140</v>
      </c>
      <c r="F60" s="25">
        <f t="shared" si="2"/>
        <v>18</v>
      </c>
      <c r="G60" s="24" t="b">
        <f ca="1">IF($E60&lt;&gt;"",IF(ISERROR(VLOOKUP($E60,INDIRECT("holidays!"&amp;CHAR(MATCH(Country,holidays!$2:$2,0)+64)&amp;":"&amp;CHAR(MATCH(Country,holidays!$2:$2,0)+64)),1,0)),IF(ISERROR(VLOOKUP($E60,INDIRECT("holidays!"&amp;CHAR(MATCH(Country,holidays!$3:$3,0)+64)&amp;":"&amp;CHAR(MATCH(Country,holidays!$3:$3,0)+64)),1,0)),IF(WEEKDAY($E60,2)&gt;5,TRUE,FALSE),FALSE),TRUE),TRUE)</f>
        <v>0</v>
      </c>
      <c r="H60" s="141"/>
      <c r="I60" s="26"/>
      <c r="J60" s="26" t="s">
        <v>4466</v>
      </c>
      <c r="K60" s="27">
        <v>1</v>
      </c>
      <c r="L60" s="28"/>
      <c r="M60" s="132"/>
      <c r="N60" s="29"/>
      <c r="O60" s="109" t="str">
        <f>IF(AND($I60&lt;&gt;"Vacation or sickness",$I60&lt;&gt;"Other absence"), IF($I60&lt;&gt;"",IF(_xlfn.XLOOKUP(TEXT($I60,"0"),tblProjectlist[Workday ID],tblProjectlist[Object],"")&lt;&gt;"Cost center",IFERROR("BL "&amp;_xlfn.XLOOKUP(TEXT($I60,"0"),tblProjectlist[Workday ID],tblProjectlist[Business Line]),"Cost center not found. Please check your entry."),IFERROR(_xlfn.XLOOKUP(TEXT($I60,"0"),tblProjectlist[Workday ID],tblProjectlist[Workday Title]),"Cost center not found. Please check your entry.")),""),"")</f>
        <v/>
      </c>
      <c r="Z60" s="11" t="str">
        <f>SUBSTITUTE(IF(OR($I60="Vacation or sickness",$I60="Other absence"), "overhead", _xlfn.XLOOKUP(TEXT($I60,"0"),tblProjectlist[Workday ID], tblProjectlist[Business Line], "4flow")), " ", "")</f>
        <v>4flow</v>
      </c>
      <c r="AA60" s="11" t="str">
        <f>IF(NOT(OR($I60="Vacation or sickness",$I60="Other absence")), IF(_xlfn.XLOOKUP(TEXT($I60,"0"),tblProjectlist[Workday ID], tblProjectlist[Object], "na")="Project", "proj", IF(_xlfn.XLOOKUP(TEXT($I60,"0"),tblProjectlist[Workday ID], tblProjectlist[Object], "na")="Cost center", "cc", "na")), "na")</f>
        <v>na</v>
      </c>
      <c r="AB60" s="1" t="str">
        <f t="shared" si="33"/>
        <v xml:space="preserve"> - 4s_Overheads_Concept &amp; development</v>
      </c>
      <c r="AC60" s="11" t="b">
        <f t="shared" ca="1" si="3"/>
        <v>1</v>
      </c>
    </row>
    <row r="61" spans="2:29">
      <c r="B61" s="11"/>
      <c r="C61" s="30" t="str">
        <f t="shared" si="1"/>
        <v/>
      </c>
      <c r="D61" s="144">
        <f t="shared" si="23"/>
        <v>4</v>
      </c>
      <c r="E61" s="24">
        <f t="shared" si="5"/>
        <v>46141</v>
      </c>
      <c r="F61" s="25">
        <f t="shared" si="2"/>
        <v>18</v>
      </c>
      <c r="G61" s="24" t="b">
        <f ca="1">IF($E61&lt;&gt;"",IF(ISERROR(VLOOKUP($E61,INDIRECT("holidays!"&amp;CHAR(MATCH(Country,holidays!$2:$2,0)+64)&amp;":"&amp;CHAR(MATCH(Country,holidays!$2:$2,0)+64)),1,0)),IF(ISERROR(VLOOKUP($E61,INDIRECT("holidays!"&amp;CHAR(MATCH(Country,holidays!$3:$3,0)+64)&amp;":"&amp;CHAR(MATCH(Country,holidays!$3:$3,0)+64)),1,0)),IF(WEEKDAY($E61,2)&gt;5,TRUE,FALSE),FALSE),TRUE),TRUE)</f>
        <v>0</v>
      </c>
      <c r="H61" s="141">
        <f t="shared" ref="H61" si="47">IF(H59&lt;&gt;"",IF(H59+1&gt;$B$6,"",H59+1),"")</f>
        <v>29</v>
      </c>
      <c r="I61" s="26"/>
      <c r="J61" s="26"/>
      <c r="K61" s="27"/>
      <c r="L61" s="28"/>
      <c r="M61" s="132"/>
      <c r="N61" s="29"/>
      <c r="O61" s="109" t="str">
        <f>IF(AND($I61&lt;&gt;"Vacation or sickness",$I61&lt;&gt;"Other absence"), IF($I61&lt;&gt;"",IF(_xlfn.XLOOKUP(TEXT($I61,"0"),tblProjectlist[Workday ID],tblProjectlist[Object],"")&lt;&gt;"Cost center",IFERROR("BL "&amp;_xlfn.XLOOKUP(TEXT($I61,"0"),tblProjectlist[Workday ID],tblProjectlist[Business Line]),"Cost center not found. Please check your entry."),IFERROR(_xlfn.XLOOKUP(TEXT($I61,"0"),tblProjectlist[Workday ID],tblProjectlist[Workday Title]),"Cost center not found. Please check your entry.")),""),"")</f>
        <v/>
      </c>
      <c r="Z61" s="11" t="str">
        <f>SUBSTITUTE(IF(OR($I61="Vacation or sickness",$I61="Other absence"), "overhead", _xlfn.XLOOKUP(TEXT($I61,"0"),tblProjectlist[Workday ID], tblProjectlist[Business Line], "4flow")), " ", "")</f>
        <v>4flow</v>
      </c>
      <c r="AA61" s="11" t="str">
        <f>IF(NOT(OR($I61="Vacation or sickness",$I61="Other absence")), IF(_xlfn.XLOOKUP(TEXT($I61,"0"),tblProjectlist[Workday ID], tblProjectlist[Object], "na")="Project", "proj", IF(_xlfn.XLOOKUP(TEXT($I61,"0"),tblProjectlist[Workday ID], tblProjectlist[Object], "na")="Cost center", "cc", "na")), "na")</f>
        <v>na</v>
      </c>
      <c r="AB61" s="1" t="str">
        <f t="shared" si="33"/>
        <v/>
      </c>
      <c r="AC61" s="11" t="b">
        <f t="shared" ca="1" si="3"/>
        <v>1</v>
      </c>
    </row>
    <row r="62" spans="2:29">
      <c r="B62" s="11"/>
      <c r="C62" s="30" t="str">
        <f t="shared" si="1"/>
        <v/>
      </c>
      <c r="D62" s="144"/>
      <c r="E62" s="24">
        <f t="shared" si="5"/>
        <v>46141</v>
      </c>
      <c r="F62" s="25">
        <f t="shared" si="2"/>
        <v>18</v>
      </c>
      <c r="G62" s="24" t="b">
        <f ca="1">IF($E62&lt;&gt;"",IF(ISERROR(VLOOKUP($E62,INDIRECT("holidays!"&amp;CHAR(MATCH(Country,holidays!$2:$2,0)+64)&amp;":"&amp;CHAR(MATCH(Country,holidays!$2:$2,0)+64)),1,0)),IF(ISERROR(VLOOKUP($E62,INDIRECT("holidays!"&amp;CHAR(MATCH(Country,holidays!$3:$3,0)+64)&amp;":"&amp;CHAR(MATCH(Country,holidays!$3:$3,0)+64)),1,0)),IF(WEEKDAY($E62,2)&gt;5,TRUE,FALSE),FALSE),TRUE),TRUE)</f>
        <v>0</v>
      </c>
      <c r="H62" s="141"/>
      <c r="I62" s="26"/>
      <c r="J62" s="26" t="s">
        <v>4466</v>
      </c>
      <c r="K62" s="27">
        <v>1</v>
      </c>
      <c r="L62" s="28"/>
      <c r="M62" s="132"/>
      <c r="N62" s="29"/>
      <c r="O62" s="109" t="str">
        <f>IF(AND($I62&lt;&gt;"Vacation or sickness",$I62&lt;&gt;"Other absence"), IF($I62&lt;&gt;"",IF(_xlfn.XLOOKUP(TEXT($I62,"0"),tblProjectlist[Workday ID],tblProjectlist[Object],"")&lt;&gt;"Cost center",IFERROR("BL "&amp;_xlfn.XLOOKUP(TEXT($I62,"0"),tblProjectlist[Workday ID],tblProjectlist[Business Line]),"Cost center not found. Please check your entry."),IFERROR(_xlfn.XLOOKUP(TEXT($I62,"0"),tblProjectlist[Workday ID],tblProjectlist[Workday Title]),"Cost center not found. Please check your entry.")),""),"")</f>
        <v/>
      </c>
      <c r="Z62" s="11" t="str">
        <f>SUBSTITUTE(IF(OR($I62="Vacation or sickness",$I62="Other absence"), "overhead", _xlfn.XLOOKUP(TEXT($I62,"0"),tblProjectlist[Workday ID], tblProjectlist[Business Line], "4flow")), " ", "")</f>
        <v>4flow</v>
      </c>
      <c r="AA62" s="11" t="str">
        <f>IF(NOT(OR($I62="Vacation or sickness",$I62="Other absence")), IF(_xlfn.XLOOKUP(TEXT($I62,"0"),tblProjectlist[Workday ID], tblProjectlist[Object], "na")="Project", "proj", IF(_xlfn.XLOOKUP(TEXT($I62,"0"),tblProjectlist[Workday ID], tblProjectlist[Object], "na")="Cost center", "cc", "na")), "na")</f>
        <v>na</v>
      </c>
      <c r="AB62" s="1" t="str">
        <f t="shared" si="33"/>
        <v xml:space="preserve"> - 4s_Overheads_Concept &amp; development</v>
      </c>
      <c r="AC62" s="11" t="b">
        <f t="shared" ca="1" si="3"/>
        <v>1</v>
      </c>
    </row>
    <row r="63" spans="2:29">
      <c r="B63" s="11"/>
      <c r="C63" s="30">
        <f t="shared" si="1"/>
        <v>18</v>
      </c>
      <c r="D63" s="144">
        <f t="shared" si="25"/>
        <v>5</v>
      </c>
      <c r="E63" s="24">
        <f t="shared" si="5"/>
        <v>46142</v>
      </c>
      <c r="F63" s="25">
        <f t="shared" si="2"/>
        <v>18</v>
      </c>
      <c r="G63" s="24" t="b">
        <f ca="1">IF($E63&lt;&gt;"",IF(ISERROR(VLOOKUP($E63,INDIRECT("holidays!"&amp;CHAR(MATCH(Country,holidays!$2:$2,0)+64)&amp;":"&amp;CHAR(MATCH(Country,holidays!$2:$2,0)+64)),1,0)),IF(ISERROR(VLOOKUP($E63,INDIRECT("holidays!"&amp;CHAR(MATCH(Country,holidays!$3:$3,0)+64)&amp;":"&amp;CHAR(MATCH(Country,holidays!$3:$3,0)+64)),1,0)),IF(WEEKDAY($E63,2)&gt;5,TRUE,FALSE),FALSE),TRUE),TRUE)</f>
        <v>0</v>
      </c>
      <c r="H63" s="141">
        <f t="shared" ref="H63" si="48">IF(H61&lt;&gt;"",IF(H61+1&gt;$B$6,"",H61+1),"")</f>
        <v>30</v>
      </c>
      <c r="I63" s="26"/>
      <c r="J63" s="26"/>
      <c r="K63" s="27"/>
      <c r="L63" s="28"/>
      <c r="M63" s="132"/>
      <c r="N63" s="29"/>
      <c r="O63" s="109" t="str">
        <f>IF(AND($I63&lt;&gt;"Vacation or sickness",$I63&lt;&gt;"Other absence"), IF($I63&lt;&gt;"",IF(_xlfn.XLOOKUP(TEXT($I63,"0"),tblProjectlist[Workday ID],tblProjectlist[Object],"")&lt;&gt;"Cost center",IFERROR("BL "&amp;_xlfn.XLOOKUP(TEXT($I63,"0"),tblProjectlist[Workday ID],tblProjectlist[Business Line]),"Cost center not found. Please check your entry."),IFERROR(_xlfn.XLOOKUP(TEXT($I63,"0"),tblProjectlist[Workday ID],tblProjectlist[Workday Title]),"Cost center not found. Please check your entry.")),""),"")</f>
        <v/>
      </c>
      <c r="Z63" s="11" t="str">
        <f>SUBSTITUTE(IF(OR($I63="Vacation or sickness",$I63="Other absence"), "overhead", _xlfn.XLOOKUP(TEXT($I63,"0"),tblProjectlist[Workday ID], tblProjectlist[Business Line], "4flow")), " ", "")</f>
        <v>4flow</v>
      </c>
      <c r="AA63" s="11" t="str">
        <f>IF(NOT(OR($I63="Vacation or sickness",$I63="Other absence")), IF(_xlfn.XLOOKUP(TEXT($I63,"0"),tblProjectlist[Workday ID], tblProjectlist[Object], "na")="Project", "proj", IF(_xlfn.XLOOKUP(TEXT($I63,"0"),tblProjectlist[Workday ID], tblProjectlist[Object], "na")="Cost center", "cc", "na")), "na")</f>
        <v>na</v>
      </c>
      <c r="AB63" s="1" t="str">
        <f t="shared" si="33"/>
        <v/>
      </c>
      <c r="AC63" s="11" t="b">
        <f t="shared" ca="1" si="3"/>
        <v>1</v>
      </c>
    </row>
    <row r="64" spans="2:29">
      <c r="B64" s="11"/>
      <c r="C64" s="30" t="str">
        <f t="shared" si="1"/>
        <v/>
      </c>
      <c r="D64" s="144"/>
      <c r="E64" s="24">
        <f t="shared" si="5"/>
        <v>46142</v>
      </c>
      <c r="F64" s="25">
        <f t="shared" si="2"/>
        <v>18</v>
      </c>
      <c r="G64" s="24" t="b">
        <f ca="1">IF($E64&lt;&gt;"",IF(ISERROR(VLOOKUP($E64,INDIRECT("holidays!"&amp;CHAR(MATCH(Country,holidays!$2:$2,0)+64)&amp;":"&amp;CHAR(MATCH(Country,holidays!$2:$2,0)+64)),1,0)),IF(ISERROR(VLOOKUP($E64,INDIRECT("holidays!"&amp;CHAR(MATCH(Country,holidays!$3:$3,0)+64)&amp;":"&amp;CHAR(MATCH(Country,holidays!$3:$3,0)+64)),1,0)),IF(WEEKDAY($E64,2)&gt;5,TRUE,FALSE),FALSE),TRUE),TRUE)</f>
        <v>0</v>
      </c>
      <c r="H64" s="141"/>
      <c r="I64" s="26" t="s">
        <v>34</v>
      </c>
      <c r="J64" s="26" t="s">
        <v>4477</v>
      </c>
      <c r="K64" s="27">
        <v>1</v>
      </c>
      <c r="L64" s="28"/>
      <c r="M64" s="132"/>
      <c r="N64" s="29"/>
      <c r="O64" s="109" t="str">
        <f>IF(AND($I64&lt;&gt;"Vacation or sickness",$I64&lt;&gt;"Other absence"), IF($I64&lt;&gt;"",IF(_xlfn.XLOOKUP(TEXT($I64,"0"),tblProjectlist[Workday ID],tblProjectlist[Object],"")&lt;&gt;"Cost center",IFERROR("BL "&amp;_xlfn.XLOOKUP(TEXT($I64,"0"),tblProjectlist[Workday ID],tblProjectlist[Business Line]),"Cost center not found. Please check your entry."),IFERROR(_xlfn.XLOOKUP(TEXT($I64,"0"),tblProjectlist[Workday ID],tblProjectlist[Workday Title]),"Cost center not found. Please check your entry.")),""),"")</f>
        <v/>
      </c>
      <c r="Z64" s="11" t="str">
        <f>SUBSTITUTE(IF(OR($I64="Vacation or sickness",$I64="Other absence"), "overhead", _xlfn.XLOOKUP(TEXT($I64,"0"),tblProjectlist[Workday ID], tblProjectlist[Business Line], "4flow")), " ", "")</f>
        <v>overhead</v>
      </c>
      <c r="AA64" s="11" t="str">
        <f>IF(NOT(OR($I64="Vacation or sickness",$I64="Other absence")), IF(_xlfn.XLOOKUP(TEXT($I64,"0"),tblProjectlist[Workday ID], tblProjectlist[Object], "na")="Project", "proj", IF(_xlfn.XLOOKUP(TEXT($I64,"0"),tblProjectlist[Workday ID], tblProjectlist[Object], "na")="Cost center", "cc", "na")), "na")</f>
        <v>na</v>
      </c>
      <c r="AB64" s="1" t="str">
        <f t="shared" si="33"/>
        <v>Other absence - 4s_Overheads_Absence</v>
      </c>
      <c r="AC64" s="11" t="b">
        <f t="shared" ca="1" si="3"/>
        <v>1</v>
      </c>
    </row>
    <row r="65" spans="2:29">
      <c r="B65" s="11"/>
      <c r="C65" s="30" t="str">
        <f t="shared" si="1"/>
        <v/>
      </c>
      <c r="D65" s="144" t="str">
        <f t="shared" ref="D65" si="49">IF($H65&lt;&gt;"",WEEKDAY(DATE($B$4,$B$5,H65),1),"")</f>
        <v/>
      </c>
      <c r="E65" s="24" t="str">
        <f t="shared" si="5"/>
        <v/>
      </c>
      <c r="F65" s="25" t="str">
        <f t="shared" si="2"/>
        <v/>
      </c>
      <c r="G65" s="24" t="b">
        <f ca="1">IF($E65&lt;&gt;"",IF(ISERROR(VLOOKUP($E65,INDIRECT("holidays!"&amp;CHAR(MATCH(Country,holidays!$2:$2,0)+64)&amp;":"&amp;CHAR(MATCH(Country,holidays!$2:$2,0)+64)),1,0)),IF(ISERROR(VLOOKUP($E65,INDIRECT("holidays!"&amp;CHAR(MATCH(Country,holidays!$3:$3,0)+64)&amp;":"&amp;CHAR(MATCH(Country,holidays!$3:$3,0)+64)),1,0)),IF(WEEKDAY($E65,2)&gt;5,TRUE,FALSE),FALSE),TRUE),TRUE)</f>
        <v>1</v>
      </c>
      <c r="H65" s="141" t="str">
        <f t="shared" ref="H65" si="50">IF(H63&lt;&gt;"",IF(H63+1&gt;$B$6,"",H63+1),"")</f>
        <v/>
      </c>
      <c r="I65" s="26"/>
      <c r="J65" s="26"/>
      <c r="K65" s="27"/>
      <c r="L65" s="28"/>
      <c r="M65" s="109"/>
      <c r="N65" s="29"/>
      <c r="O65" s="109" t="str">
        <f>IF(AND($I65&lt;&gt;"Vacation or sickness",$I65&lt;&gt;"Other absence"), IF($I65&lt;&gt;"",IF(_xlfn.XLOOKUP(TEXT($I65,"0"),tblProjectlist[Workday ID],tblProjectlist[Object],"")&lt;&gt;"Cost center",IFERROR("BL "&amp;_xlfn.XLOOKUP(TEXT($I65,"0"),tblProjectlist[Workday ID],tblProjectlist[Business Line]),"Cost center not found. Please check your entry."),IFERROR(_xlfn.XLOOKUP(TEXT($I65,"0"),tblProjectlist[Workday ID],tblProjectlist[Workday Title]),"Cost center not found. Please check your entry.")),""),"")</f>
        <v/>
      </c>
      <c r="Z65" s="11" t="str">
        <f>SUBSTITUTE(IF(OR($I65="Vacation or sickness",$I65="Other absence"), "overhead", _xlfn.XLOOKUP(TEXT($I65,"0"),tblProjectlist[Workday ID], tblProjectlist[Business Line], "4flow")), " ", "")</f>
        <v>4flow</v>
      </c>
      <c r="AA65" s="11" t="str">
        <f>IF(NOT(OR($I65="Vacation or sickness",$I65="Other absence")), IF(_xlfn.XLOOKUP(TEXT($I65,"0"),tblProjectlist[Workday ID], tblProjectlist[Object], "na")="Project", "proj", IF(_xlfn.XLOOKUP(TEXT($I65,"0"),tblProjectlist[Workday ID], tblProjectlist[Object], "na")="Cost center", "cc", "na")), "na")</f>
        <v>na</v>
      </c>
      <c r="AB65" s="1" t="str">
        <f t="shared" si="33"/>
        <v/>
      </c>
      <c r="AC65" s="11" t="b">
        <f t="shared" ca="1" si="3"/>
        <v>1</v>
      </c>
    </row>
    <row r="66" spans="2:29">
      <c r="B66" s="11"/>
      <c r="C66" s="42" t="str">
        <f t="shared" si="1"/>
        <v/>
      </c>
      <c r="D66" s="144"/>
      <c r="E66" s="24" t="str">
        <f t="shared" si="5"/>
        <v/>
      </c>
      <c r="F66" s="25" t="str">
        <f t="shared" si="2"/>
        <v/>
      </c>
      <c r="G66" s="24" t="b">
        <f ca="1">IF($E66&lt;&gt;"",IF(ISERROR(VLOOKUP($E66,INDIRECT("holidays!"&amp;CHAR(MATCH(Country,holidays!$2:$2,0)+64)&amp;":"&amp;CHAR(MATCH(Country,holidays!$2:$2,0)+64)),1,0)),IF(ISERROR(VLOOKUP($E66,INDIRECT("holidays!"&amp;CHAR(MATCH(Country,holidays!$3:$3,0)+64)&amp;":"&amp;CHAR(MATCH(Country,holidays!$3:$3,0)+64)),1,0)),IF(WEEKDAY($E66,2)&gt;5,TRUE,FALSE),FALSE),TRUE),TRUE)</f>
        <v>1</v>
      </c>
      <c r="H66" s="141"/>
      <c r="I66" s="26"/>
      <c r="J66" s="26"/>
      <c r="K66" s="27"/>
      <c r="L66" s="28"/>
      <c r="M66" s="132"/>
      <c r="N66" s="29"/>
      <c r="O66" s="109" t="str">
        <f>IF(AND($I66&lt;&gt;"Vacation or sickness",$I66&lt;&gt;"Other absence"), IF($I66&lt;&gt;"",IF(_xlfn.XLOOKUP(TEXT($I66,"0"),tblProjectlist[Workday ID],tblProjectlist[Object],"")&lt;&gt;"Cost center",IFERROR("BL "&amp;_xlfn.XLOOKUP(TEXT($I66,"0"),tblProjectlist[Workday ID],tblProjectlist[Business Line]),"Cost center not found. Please check your entry."),IFERROR(_xlfn.XLOOKUP(TEXT($I66,"0"),tblProjectlist[Workday ID],tblProjectlist[Workday Title]),"Cost center not found. Please check your entry.")),""),"")</f>
        <v/>
      </c>
      <c r="Z66" s="11" t="str">
        <f>SUBSTITUTE(IF(OR($I66="Vacation or sickness",$I66="Other absence"), "overhead", _xlfn.XLOOKUP(TEXT($I66,"0"),tblProjectlist[Workday ID], tblProjectlist[Business Line], "4flow")), " ", "")</f>
        <v>4flow</v>
      </c>
      <c r="AA66" s="11" t="str">
        <f>IF(NOT(OR($I66="Vacation or sickness",$I66="Other absence")), IF(_xlfn.XLOOKUP(TEXT($I66,"0"),tblProjectlist[Workday ID], tblProjectlist[Object], "na")="Project", "proj", IF(_xlfn.XLOOKUP(TEXT($I66,"0"),tblProjectlist[Workday ID], tblProjectlist[Object], "na")="Cost center", "cc", "na")), "na")</f>
        <v>na</v>
      </c>
      <c r="AB66" s="1" t="str">
        <f t="shared" si="33"/>
        <v/>
      </c>
      <c r="AC66" s="11" t="b">
        <f t="shared" ca="1" si="3"/>
        <v>1</v>
      </c>
    </row>
    <row r="67" spans="2:29">
      <c r="B67" s="11"/>
      <c r="D67" s="43"/>
      <c r="E67" s="43"/>
      <c r="F67" s="43"/>
      <c r="G67" s="43"/>
      <c r="H67" s="44"/>
      <c r="K67" s="45"/>
      <c r="AB67" s="1"/>
    </row>
    <row r="68" spans="2:29">
      <c r="B68" s="11"/>
      <c r="C68" s="47" t="s">
        <v>74</v>
      </c>
      <c r="D68" s="48"/>
      <c r="E68" s="48"/>
      <c r="F68" s="48"/>
      <c r="G68" s="48"/>
      <c r="H68" s="49"/>
      <c r="I68" s="50"/>
      <c r="J68" s="50"/>
      <c r="K68" s="51"/>
      <c r="L68" s="52"/>
      <c r="M68" s="53"/>
      <c r="N68" s="53"/>
      <c r="O68" s="54"/>
      <c r="AB68" s="1"/>
    </row>
    <row r="69" spans="2:29">
      <c r="B69" s="11"/>
      <c r="C69" s="55"/>
      <c r="L69" s="11"/>
      <c r="O69" s="56" t="s">
        <v>18</v>
      </c>
      <c r="AB69" s="1"/>
    </row>
    <row r="70" spans="2:29">
      <c r="B70" s="11"/>
      <c r="C70" s="57"/>
      <c r="I70" s="58" t="s">
        <v>2171</v>
      </c>
      <c r="J70" s="58" t="s">
        <v>135</v>
      </c>
      <c r="K70" s="58" t="s">
        <v>14</v>
      </c>
      <c r="L70" s="58" t="s">
        <v>37</v>
      </c>
      <c r="M70" s="58" t="s">
        <v>75</v>
      </c>
      <c r="N70" s="59" t="b">
        <v>0</v>
      </c>
      <c r="O70" s="60" t="s">
        <v>51</v>
      </c>
      <c r="V70" s="1"/>
      <c r="AB70" s="1" t="s">
        <v>139</v>
      </c>
    </row>
    <row r="71" spans="2:29">
      <c r="B71" s="11"/>
      <c r="C71" s="57"/>
      <c r="I71" s="124"/>
      <c r="J71" s="124" t="s">
        <v>4466</v>
      </c>
      <c r="K71" s="125" t="str">
        <f>IF($I71&lt;&gt;"",SUMIF($AB$5:$AB$66,AB71,$K$5:$K$66),"0")</f>
        <v>0</v>
      </c>
      <c r="L71" s="61" t="str">
        <f>IF(I71&lt;&gt;"",IFERROR(IF((_xlfn.XLOOKUP($I71,tblProjectlist[Workday ID],tblProjectlist[Customer])&lt;&gt;0),_xlfn.XLOOKUP($I71,tblProjectlist[Workday ID],tblProjectlist[Customer]),"-"),"n.a."),"")</f>
        <v/>
      </c>
      <c r="M71" s="61" t="str" cm="1">
        <f t="array" ref="M71">IF(I71&lt;&gt;"",IFERROR(_xlfn.XLOOKUP(TEXT($I71,"0"),tblProjectlist[Workday ID],tblProjectlist[Workday Title]&amp;" ") &amp; "[BL " &amp; _xlfn.XLOOKUP(TEXT($I71,"0"),tblProjectlist[Workday ID],tblProjectlist[Business Line]) &amp; "]","Cost center not found. Please check your entry."),"")</f>
        <v/>
      </c>
      <c r="N71" s="62" t="str">
        <f>IF(AND($I71&lt;&gt;"",export_mode=TRUE),CHAR(224),"")</f>
        <v/>
      </c>
      <c r="O71" s="63"/>
      <c r="V71" s="1"/>
      <c r="AB71" s="1" t="str">
        <f t="shared" ref="AB71:AB85" si="51">IF(_xlfn.CONCAT(I71," - ",J71) &lt;&gt; " - ", _xlfn.CONCAT(I71," - ",J71), "")</f>
        <v xml:space="preserve"> - 4s_Overheads_Concept &amp; development</v>
      </c>
    </row>
    <row r="72" spans="2:29">
      <c r="B72" s="11"/>
      <c r="C72" s="57"/>
      <c r="I72" s="124"/>
      <c r="J72" s="124"/>
      <c r="K72" s="125" t="str">
        <f t="shared" ref="K72:K85" si="52">IF($I72&lt;&gt;"",SUMIF($AB$5:$AB$66,AB72,$K$5:$K$66),"0")</f>
        <v>0</v>
      </c>
      <c r="L72" s="61" t="str">
        <f>IF(I72&lt;&gt;"",IFERROR(IF((_xlfn.XLOOKUP($I72,tblProjectlist[Workday ID],tblProjectlist[Customer])&lt;&gt;0),_xlfn.XLOOKUP($I72,tblProjectlist[Workday ID],tblProjectlist[Customer]),"-"),"n.a."),"")</f>
        <v/>
      </c>
      <c r="M72" s="61" t="str" cm="1">
        <f t="array" ref="M72">IF(I72&lt;&gt;"",IFERROR(_xlfn.XLOOKUP(TEXT($I72,"0"),tblProjectlist[Workday ID],tblProjectlist[Workday Title]&amp;" ") &amp; "[BL " &amp; _xlfn.XLOOKUP(TEXT($I72,"0"),tblProjectlist[Workday ID],tblProjectlist[Business Line]) &amp; "]","Cost center not found. Please check your entry."),"")</f>
        <v/>
      </c>
      <c r="N72" s="62" t="str">
        <f t="shared" ref="N72:N85" si="53">IF(AND($I72&lt;&gt;"",export_mode=TRUE),CHAR(224),"")</f>
        <v/>
      </c>
      <c r="O72" s="63"/>
      <c r="AB72" s="1" t="str">
        <f t="shared" si="51"/>
        <v/>
      </c>
    </row>
    <row r="73" spans="2:29">
      <c r="B73" s="11"/>
      <c r="C73" s="57"/>
      <c r="I73" s="124"/>
      <c r="J73" s="124"/>
      <c r="K73" s="125" t="str">
        <f t="shared" si="52"/>
        <v>0</v>
      </c>
      <c r="L73" s="61" t="str">
        <f>IF(I73&lt;&gt;"",IFERROR(IF((_xlfn.XLOOKUP($I73,tblProjectlist[Workday ID],tblProjectlist[Customer])&lt;&gt;0),_xlfn.XLOOKUP($I73,tblProjectlist[Workday ID],tblProjectlist[Customer]),"-"),"n.a."),"")</f>
        <v/>
      </c>
      <c r="M73" s="61" t="str" cm="1">
        <f t="array" ref="M73">IF(I73&lt;&gt;"",IFERROR(_xlfn.XLOOKUP(TEXT($I73,"0"),tblProjectlist[Workday ID],tblProjectlist[Workday Title]&amp;" ") &amp; "[BL " &amp; _xlfn.XLOOKUP(TEXT($I73,"0"),tblProjectlist[Workday ID],tblProjectlist[Business Line]) &amp; "]","Cost center not found. Please check your entry."),"")</f>
        <v/>
      </c>
      <c r="N73" s="62" t="str">
        <f t="shared" si="53"/>
        <v/>
      </c>
      <c r="O73" s="63"/>
      <c r="AB73" s="1" t="str">
        <f t="shared" si="51"/>
        <v/>
      </c>
    </row>
    <row r="74" spans="2:29">
      <c r="B74" s="11"/>
      <c r="C74" s="57"/>
      <c r="I74" s="124"/>
      <c r="J74" s="124"/>
      <c r="K74" s="125" t="str">
        <f t="shared" si="52"/>
        <v>0</v>
      </c>
      <c r="L74" s="61" t="str">
        <f>IF(I74&lt;&gt;"",IFERROR(IF((_xlfn.XLOOKUP($I74,tblProjectlist[Workday ID],tblProjectlist[Customer])&lt;&gt;0),_xlfn.XLOOKUP($I74,tblProjectlist[Workday ID],tblProjectlist[Customer]),"-"),"n.a."),"")</f>
        <v/>
      </c>
      <c r="M74" s="61" t="str" cm="1">
        <f t="array" ref="M74">IF(I74&lt;&gt;"",IFERROR(_xlfn.XLOOKUP(TEXT($I74,"0"),tblProjectlist[Workday ID],tblProjectlist[Workday Title]&amp;" ") &amp; "[BL " &amp; _xlfn.XLOOKUP(TEXT($I74,"0"),tblProjectlist[Workday ID],tblProjectlist[Business Line]) &amp; "]","Cost center not found. Please check your entry."),"")</f>
        <v/>
      </c>
      <c r="N74" s="62" t="str">
        <f t="shared" si="53"/>
        <v/>
      </c>
      <c r="O74" s="63"/>
      <c r="AB74" s="1" t="str">
        <f t="shared" si="51"/>
        <v/>
      </c>
    </row>
    <row r="75" spans="2:29">
      <c r="B75" s="11"/>
      <c r="C75" s="57"/>
      <c r="I75" s="124"/>
      <c r="J75" s="124"/>
      <c r="K75" s="125" t="str">
        <f t="shared" si="52"/>
        <v>0</v>
      </c>
      <c r="L75" s="61" t="str">
        <f>IF(I75&lt;&gt;"",IFERROR(IF((_xlfn.XLOOKUP($I75,tblProjectlist[Workday ID],tblProjectlist[Customer])&lt;&gt;0),_xlfn.XLOOKUP($I75,tblProjectlist[Workday ID],tblProjectlist[Customer]),"-"),"n.a."),"")</f>
        <v/>
      </c>
      <c r="M75" s="61" t="str" cm="1">
        <f t="array" ref="M75">IF(I75&lt;&gt;"",IFERROR(_xlfn.XLOOKUP(TEXT($I75,"0"),tblProjectlist[Workday ID],tblProjectlist[Workday Title]&amp;" ") &amp; "[BL " &amp; _xlfn.XLOOKUP(TEXT($I75,"0"),tblProjectlist[Workday ID],tblProjectlist[Business Line]) &amp; "]","Cost center not found. Please check your entry."),"")</f>
        <v/>
      </c>
      <c r="N75" s="62" t="str">
        <f t="shared" si="53"/>
        <v/>
      </c>
      <c r="O75" s="63"/>
      <c r="AB75" s="1" t="str">
        <f t="shared" si="51"/>
        <v/>
      </c>
    </row>
    <row r="76" spans="2:29">
      <c r="B76" s="11"/>
      <c r="C76" s="57"/>
      <c r="I76" s="124"/>
      <c r="J76" s="124"/>
      <c r="K76" s="125" t="str">
        <f t="shared" si="52"/>
        <v>0</v>
      </c>
      <c r="L76" s="61" t="str">
        <f>IF(I76&lt;&gt;"",IFERROR(IF((_xlfn.XLOOKUP($I76,tblProjectlist[Workday ID],tblProjectlist[Customer])&lt;&gt;0),_xlfn.XLOOKUP($I76,tblProjectlist[Workday ID],tblProjectlist[Customer]),"-"),"n.a."),"")</f>
        <v/>
      </c>
      <c r="M76" s="61" t="str" cm="1">
        <f t="array" ref="M76">IF(I76&lt;&gt;"",IFERROR(_xlfn.XLOOKUP(TEXT($I76,"0"),tblProjectlist[Workday ID],tblProjectlist[Workday Title]&amp;" ") &amp; "[BL " &amp; _xlfn.XLOOKUP(TEXT($I76,"0"),tblProjectlist[Workday ID],tblProjectlist[Business Line]) &amp; "]","Cost center not found. Please check your entry."),"")</f>
        <v/>
      </c>
      <c r="N76" s="62" t="str">
        <f t="shared" si="53"/>
        <v/>
      </c>
      <c r="O76" s="63"/>
      <c r="AB76" s="1" t="str">
        <f t="shared" si="51"/>
        <v/>
      </c>
    </row>
    <row r="77" spans="2:29">
      <c r="B77" s="11"/>
      <c r="C77" s="57"/>
      <c r="I77" s="124"/>
      <c r="J77" s="124"/>
      <c r="K77" s="125" t="str">
        <f t="shared" si="52"/>
        <v>0</v>
      </c>
      <c r="L77" s="61" t="str">
        <f>IF(I77&lt;&gt;"",IFERROR(IF((_xlfn.XLOOKUP($I77,tblProjectlist[Workday ID],tblProjectlist[Customer])&lt;&gt;0),_xlfn.XLOOKUP($I77,tblProjectlist[Workday ID],tblProjectlist[Customer]),"-"),"n.a."),"")</f>
        <v/>
      </c>
      <c r="M77" s="61" t="str" cm="1">
        <f t="array" ref="M77">IF(I77&lt;&gt;"",IFERROR(_xlfn.XLOOKUP(TEXT($I77,"0"),tblProjectlist[Workday ID],tblProjectlist[Workday Title]&amp;" ") &amp; "[BL " &amp; _xlfn.XLOOKUP(TEXT($I77,"0"),tblProjectlist[Workday ID],tblProjectlist[Business Line]) &amp; "]","Cost center not found. Please check your entry."),"")</f>
        <v/>
      </c>
      <c r="N77" s="62" t="str">
        <f t="shared" si="53"/>
        <v/>
      </c>
      <c r="O77" s="63"/>
      <c r="AB77" s="1" t="str">
        <f t="shared" si="51"/>
        <v/>
      </c>
    </row>
    <row r="78" spans="2:29">
      <c r="B78" s="11"/>
      <c r="C78" s="57"/>
      <c r="I78" s="124"/>
      <c r="J78" s="124"/>
      <c r="K78" s="125" t="str">
        <f t="shared" si="52"/>
        <v>0</v>
      </c>
      <c r="L78" s="61" t="str">
        <f>IF(I78&lt;&gt;"",IFERROR(IF((_xlfn.XLOOKUP($I78,tblProjectlist[Workday ID],tblProjectlist[Customer])&lt;&gt;0),_xlfn.XLOOKUP($I78,tblProjectlist[Workday ID],tblProjectlist[Customer]),"-"),"n.a."),"")</f>
        <v/>
      </c>
      <c r="M78" s="61" t="str" cm="1">
        <f t="array" ref="M78">IF(I78&lt;&gt;"",IFERROR(_xlfn.XLOOKUP(TEXT($I78,"0"),tblProjectlist[Workday ID],tblProjectlist[Workday Title]&amp;" ") &amp; "[BL " &amp; _xlfn.XLOOKUP(TEXT($I78,"0"),tblProjectlist[Workday ID],tblProjectlist[Business Line]) &amp; "]","Cost center not found. Please check your entry."),"")</f>
        <v/>
      </c>
      <c r="N78" s="62" t="str">
        <f t="shared" si="53"/>
        <v/>
      </c>
      <c r="O78" s="63"/>
      <c r="AB78" s="1" t="str">
        <f t="shared" si="51"/>
        <v/>
      </c>
    </row>
    <row r="79" spans="2:29">
      <c r="B79" s="11"/>
      <c r="C79" s="57"/>
      <c r="I79" s="124"/>
      <c r="J79" s="124"/>
      <c r="K79" s="125" t="str">
        <f t="shared" si="52"/>
        <v>0</v>
      </c>
      <c r="L79" s="61" t="str">
        <f>IF(I79&lt;&gt;"",IFERROR(IF((_xlfn.XLOOKUP($I79,tblProjectlist[Workday ID],tblProjectlist[Customer])&lt;&gt;0),_xlfn.XLOOKUP($I79,tblProjectlist[Workday ID],tblProjectlist[Customer]),"-"),"n.a."),"")</f>
        <v/>
      </c>
      <c r="M79" s="61" t="str" cm="1">
        <f t="array" ref="M79">IF(I79&lt;&gt;"",IFERROR(_xlfn.XLOOKUP(TEXT($I79,"0"),tblProjectlist[Workday ID],tblProjectlist[Workday Title]&amp;" ") &amp; "[BL " &amp; _xlfn.XLOOKUP(TEXT($I79,"0"),tblProjectlist[Workday ID],tblProjectlist[Business Line]) &amp; "]","Cost center not found. Please check your entry."),"")</f>
        <v/>
      </c>
      <c r="N79" s="62" t="str">
        <f t="shared" si="53"/>
        <v/>
      </c>
      <c r="O79" s="63"/>
      <c r="AB79" s="1" t="str">
        <f t="shared" si="51"/>
        <v/>
      </c>
    </row>
    <row r="80" spans="2:29">
      <c r="B80" s="11"/>
      <c r="C80" s="57"/>
      <c r="I80" s="124"/>
      <c r="J80" s="124"/>
      <c r="K80" s="125" t="str">
        <f t="shared" si="52"/>
        <v>0</v>
      </c>
      <c r="L80" s="61" t="str">
        <f>IF(I80&lt;&gt;"",IFERROR(IF((_xlfn.XLOOKUP($I80,tblProjectlist[Workday ID],tblProjectlist[Customer])&lt;&gt;0),_xlfn.XLOOKUP($I80,tblProjectlist[Workday ID],tblProjectlist[Customer]),"-"),"n.a."),"")</f>
        <v/>
      </c>
      <c r="M80" s="61" t="str" cm="1">
        <f t="array" ref="M80">IF(I80&lt;&gt;"",IFERROR(_xlfn.XLOOKUP(TEXT($I80,"0"),tblProjectlist[Workday ID],tblProjectlist[Workday Title]&amp;" ") &amp; "[BL " &amp; _xlfn.XLOOKUP(TEXT($I80,"0"),tblProjectlist[Workday ID],tblProjectlist[Business Line]) &amp; "]","Cost center not found. Please check your entry."),"")</f>
        <v/>
      </c>
      <c r="N80" s="62" t="str">
        <f t="shared" si="53"/>
        <v/>
      </c>
      <c r="O80" s="63"/>
      <c r="AB80" s="1" t="str">
        <f t="shared" si="51"/>
        <v/>
      </c>
    </row>
    <row r="81" spans="2:28">
      <c r="B81" s="11"/>
      <c r="C81" s="57"/>
      <c r="I81" s="124"/>
      <c r="J81" s="124"/>
      <c r="K81" s="125" t="str">
        <f t="shared" si="52"/>
        <v>0</v>
      </c>
      <c r="L81" s="61" t="str">
        <f>IF(I81&lt;&gt;"",IFERROR(IF((_xlfn.XLOOKUP($I81,tblProjectlist[Workday ID],tblProjectlist[Customer])&lt;&gt;0),_xlfn.XLOOKUP($I81,tblProjectlist[Workday ID],tblProjectlist[Customer]),"-"),"n.a."),"")</f>
        <v/>
      </c>
      <c r="M81" s="61" t="str" cm="1">
        <f t="array" ref="M81">IF(I81&lt;&gt;"",IFERROR(_xlfn.XLOOKUP(TEXT($I81,"0"),tblProjectlist[Workday ID],tblProjectlist[Workday Title]&amp;" ") &amp; "[BL " &amp; _xlfn.XLOOKUP(TEXT($I81,"0"),tblProjectlist[Workday ID],tblProjectlist[Business Line]) &amp; "]","Cost center not found. Please check your entry."),"")</f>
        <v/>
      </c>
      <c r="N81" s="62" t="str">
        <f t="shared" si="53"/>
        <v/>
      </c>
      <c r="O81" s="63"/>
      <c r="AB81" s="1" t="str">
        <f t="shared" si="51"/>
        <v/>
      </c>
    </row>
    <row r="82" spans="2:28">
      <c r="B82" s="11"/>
      <c r="C82" s="57"/>
      <c r="I82" s="124"/>
      <c r="J82" s="124"/>
      <c r="K82" s="125" t="str">
        <f t="shared" si="52"/>
        <v>0</v>
      </c>
      <c r="L82" s="61" t="str">
        <f>IF(I82&lt;&gt;"",IFERROR(IF((_xlfn.XLOOKUP($I82,tblProjectlist[Workday ID],tblProjectlist[Customer])&lt;&gt;0),_xlfn.XLOOKUP($I82,tblProjectlist[Workday ID],tblProjectlist[Customer]),"-"),"n.a."),"")</f>
        <v/>
      </c>
      <c r="M82" s="61" t="str" cm="1">
        <f t="array" ref="M82">IF(I82&lt;&gt;"",IFERROR(_xlfn.XLOOKUP(TEXT($I82,"0"),tblProjectlist[Workday ID],tblProjectlist[Workday Title]&amp;" ") &amp; "[BL " &amp; _xlfn.XLOOKUP(TEXT($I82,"0"),tblProjectlist[Workday ID],tblProjectlist[Business Line]) &amp; "]","Cost center not found. Please check your entry."),"")</f>
        <v/>
      </c>
      <c r="N82" s="62" t="str">
        <f t="shared" si="53"/>
        <v/>
      </c>
      <c r="O82" s="63"/>
      <c r="AB82" s="1" t="str">
        <f t="shared" si="51"/>
        <v/>
      </c>
    </row>
    <row r="83" spans="2:28">
      <c r="B83" s="11"/>
      <c r="C83" s="57"/>
      <c r="I83" s="124"/>
      <c r="J83" s="124"/>
      <c r="K83" s="125" t="str">
        <f t="shared" si="52"/>
        <v>0</v>
      </c>
      <c r="L83" s="61" t="str">
        <f>IF(I83&lt;&gt;"",IFERROR(IF((_xlfn.XLOOKUP($I83,tblProjectlist[Workday ID],tblProjectlist[Customer])&lt;&gt;0),_xlfn.XLOOKUP($I83,tblProjectlist[Workday ID],tblProjectlist[Customer]),"-"),"n.a."),"")</f>
        <v/>
      </c>
      <c r="M83" s="61" t="str" cm="1">
        <f t="array" ref="M83">IF(I83&lt;&gt;"",IFERROR(_xlfn.XLOOKUP(TEXT($I83,"0"),tblProjectlist[Workday ID],tblProjectlist[Workday Title]&amp;" ") &amp; "[BL " &amp; _xlfn.XLOOKUP(TEXT($I83,"0"),tblProjectlist[Workday ID],tblProjectlist[Business Line]) &amp; "]","Cost center not found. Please check your entry."),"")</f>
        <v/>
      </c>
      <c r="N83" s="62" t="str">
        <f t="shared" si="53"/>
        <v/>
      </c>
      <c r="O83" s="63"/>
      <c r="AB83" s="1" t="str">
        <f t="shared" si="51"/>
        <v/>
      </c>
    </row>
    <row r="84" spans="2:28">
      <c r="B84" s="11"/>
      <c r="C84" s="57"/>
      <c r="I84" s="124"/>
      <c r="J84" s="124"/>
      <c r="K84" s="125" t="str">
        <f t="shared" si="52"/>
        <v>0</v>
      </c>
      <c r="L84" s="61" t="str">
        <f>IF(I84&lt;&gt;"",IFERROR(IF((_xlfn.XLOOKUP($I84,tblProjectlist[Workday ID],tblProjectlist[Customer])&lt;&gt;0),_xlfn.XLOOKUP($I84,tblProjectlist[Workday ID],tblProjectlist[Customer]),"-"),"n.a."),"")</f>
        <v/>
      </c>
      <c r="M84" s="61" t="str" cm="1">
        <f t="array" ref="M84">IF(I84&lt;&gt;"",IFERROR(_xlfn.XLOOKUP(TEXT($I84,"0"),tblProjectlist[Workday ID],tblProjectlist[Workday Title]&amp;" ") &amp; "[BL " &amp; _xlfn.XLOOKUP(TEXT($I84,"0"),tblProjectlist[Workday ID],tblProjectlist[Business Line]) &amp; "]","Cost center not found. Please check your entry."),"")</f>
        <v/>
      </c>
      <c r="N84" s="62" t="str">
        <f t="shared" si="53"/>
        <v/>
      </c>
      <c r="O84" s="63"/>
      <c r="AB84" s="1" t="str">
        <f t="shared" si="51"/>
        <v/>
      </c>
    </row>
    <row r="85" spans="2:28">
      <c r="B85" s="11"/>
      <c r="C85" s="57"/>
      <c r="I85" s="124"/>
      <c r="J85" s="124"/>
      <c r="K85" s="125" t="str">
        <f t="shared" si="52"/>
        <v>0</v>
      </c>
      <c r="L85" s="61" t="str">
        <f>IF(I85&lt;&gt;"",IFERROR(IF((_xlfn.XLOOKUP($I85,tblProjectlist[Workday ID],tblProjectlist[Customer])&lt;&gt;0),_xlfn.XLOOKUP($I85,tblProjectlist[Workday ID],tblProjectlist[Customer]),"-"),"n.a."),"")</f>
        <v/>
      </c>
      <c r="M85" s="61" t="str" cm="1">
        <f t="array" ref="M85">IF(I85&lt;&gt;"",IFERROR(_xlfn.XLOOKUP(TEXT($I85,"0"),tblProjectlist[Workday ID],tblProjectlist[Workday Title]&amp;" ") &amp; "[BL " &amp; _xlfn.XLOOKUP(TEXT($I85,"0"),tblProjectlist[Workday ID],tblProjectlist[Business Line]) &amp; "]","Cost center not found. Please check your entry."),"")</f>
        <v/>
      </c>
      <c r="N85" s="62" t="str">
        <f t="shared" si="53"/>
        <v/>
      </c>
      <c r="O85" s="63"/>
      <c r="AB85" s="1" t="str">
        <f t="shared" si="51"/>
        <v/>
      </c>
    </row>
    <row r="86" spans="2:28" ht="24" customHeight="1">
      <c r="B86" s="11"/>
      <c r="C86" s="64"/>
      <c r="I86" s="126" t="s">
        <v>102</v>
      </c>
      <c r="J86" s="126"/>
      <c r="K86" s="19">
        <f>SUMIF($I$5:$I$66,"Urlaub",$K$5:$K$66)+SUMIF($I$5:$I$66,"vacation or sickness",$K$5:$K$66)</f>
        <v>0</v>
      </c>
      <c r="L86" s="31"/>
      <c r="M86" s="31"/>
      <c r="O86" s="63"/>
      <c r="AB86" s="1"/>
    </row>
    <row r="87" spans="2:28">
      <c r="B87" s="11"/>
      <c r="C87" s="64"/>
      <c r="I87" s="31" t="s">
        <v>54</v>
      </c>
      <c r="J87" s="31"/>
      <c r="K87" s="19">
        <f>SUMIF($I$5:$I$66,"*ther absence*",$K$5:$K$66)+SUMIF($I$5:$I$66,"*onstige Abwesenheit*",$K$5:$K$66)</f>
        <v>6</v>
      </c>
      <c r="L87" s="31"/>
      <c r="M87" s="31"/>
      <c r="O87" s="63"/>
      <c r="AB87" s="1"/>
    </row>
    <row r="88" spans="2:28">
      <c r="B88" s="11"/>
      <c r="C88" s="64"/>
      <c r="D88" s="18"/>
      <c r="E88" s="18"/>
      <c r="F88" s="18"/>
      <c r="G88" s="18"/>
      <c r="H88" s="18"/>
      <c r="L88" s="66" t="s">
        <v>21</v>
      </c>
      <c r="M88" s="65">
        <f>SUM(K71:K87)</f>
        <v>6</v>
      </c>
      <c r="O88" s="63"/>
      <c r="AB88" s="1"/>
    </row>
    <row r="89" spans="2:28">
      <c r="B89" s="11"/>
      <c r="C89" s="67"/>
      <c r="D89" s="68"/>
      <c r="E89" s="68"/>
      <c r="F89" s="68"/>
      <c r="G89" s="68"/>
      <c r="H89" s="68"/>
      <c r="I89" s="69"/>
      <c r="J89" s="69"/>
      <c r="K89" s="69"/>
      <c r="L89" s="69"/>
      <c r="M89" s="68"/>
      <c r="N89" s="68"/>
      <c r="O89" s="70"/>
      <c r="AB89" s="1"/>
    </row>
    <row r="90" spans="2:28">
      <c r="B90" s="11"/>
      <c r="C90" s="71" t="s">
        <v>52</v>
      </c>
      <c r="D90" s="72"/>
      <c r="E90" s="72"/>
      <c r="F90" s="72"/>
      <c r="G90" s="72"/>
      <c r="H90" s="72"/>
      <c r="I90" s="73"/>
      <c r="J90" s="73"/>
      <c r="K90" s="72"/>
      <c r="L90" s="72"/>
      <c r="M90" s="74" t="s">
        <v>28</v>
      </c>
      <c r="N90" s="53"/>
      <c r="O90" s="54"/>
      <c r="AB90" s="1"/>
    </row>
    <row r="91" spans="2:28" ht="12.75" customHeight="1">
      <c r="B91" s="11"/>
      <c r="C91" s="75"/>
      <c r="D91" s="31"/>
      <c r="E91" s="31"/>
      <c r="F91" s="31"/>
      <c r="G91" s="31"/>
      <c r="H91" s="31"/>
      <c r="I91" s="65"/>
      <c r="J91" s="65"/>
      <c r="K91" s="31"/>
      <c r="M91" s="113"/>
      <c r="O91" s="63"/>
      <c r="AB91" s="1"/>
    </row>
    <row r="92" spans="2:28">
      <c r="B92" s="11"/>
      <c r="C92" s="75"/>
      <c r="D92" s="31"/>
      <c r="E92" s="31"/>
      <c r="F92" s="31"/>
      <c r="G92" s="31"/>
      <c r="H92" s="149" t="s">
        <v>24</v>
      </c>
      <c r="I92" s="149" t="s">
        <v>22</v>
      </c>
      <c r="J92" s="149" t="s">
        <v>25</v>
      </c>
      <c r="K92" s="149" t="s">
        <v>23</v>
      </c>
      <c r="M92" s="135" t="str">
        <f ca="1">O2</f>
        <v>6 working day(s) too much</v>
      </c>
      <c r="O92" s="138"/>
      <c r="AB92" s="1"/>
    </row>
    <row r="93" spans="2:28" ht="12.75" customHeight="1">
      <c r="B93" s="11"/>
      <c r="C93" s="75"/>
      <c r="D93" s="31"/>
      <c r="E93" s="31"/>
      <c r="F93" s="31"/>
      <c r="G93" s="31"/>
      <c r="H93" s="150" t="s">
        <v>24</v>
      </c>
      <c r="I93" s="150"/>
      <c r="J93" s="150"/>
      <c r="K93" s="150"/>
      <c r="M93" s="135" t="str">
        <f ca="1">O3</f>
        <v>Missing or invalid entries, 
please check the cells marked orange</v>
      </c>
      <c r="O93" s="138"/>
      <c r="AB93" s="1"/>
    </row>
    <row r="94" spans="2:28">
      <c r="B94" s="11"/>
      <c r="C94" s="75"/>
      <c r="D94" s="31"/>
      <c r="E94" s="31"/>
      <c r="F94" s="31"/>
      <c r="G94" s="31"/>
      <c r="H94" s="151"/>
      <c r="I94" s="151"/>
      <c r="J94" s="151"/>
      <c r="K94" s="151"/>
      <c r="M94" s="105" t="s">
        <v>4607</v>
      </c>
      <c r="O94" s="138"/>
      <c r="AB94" s="1"/>
    </row>
    <row r="95" spans="2:28">
      <c r="C95" s="77"/>
      <c r="D95" s="78"/>
      <c r="E95" s="78"/>
      <c r="F95" s="78"/>
      <c r="G95" s="31"/>
      <c r="H95" s="79">
        <f ca="1">FROM_CALENDAR_WEEK</f>
        <v>14</v>
      </c>
      <c r="I95" s="28">
        <f t="shared" ref="I95:I100" ca="1" si="54">IF($H95&lt;&gt;"",SUMIFS(OFFSET(ProjectNumberList,0,2),OFFSET(ProjectNumberList,0,-3),$H95,OFFSET(ProjectNumberList,0,-2),FALSE),"")</f>
        <v>0</v>
      </c>
      <c r="J95" s="28">
        <f t="shared" ref="J95:J100" ca="1" si="55">IF($H95&lt;&gt;"",SUMIFS(OFFSET(ProjectNumberList,0,2),OFFSET(ProjectNumberList,0,-3),$H95,OFFSET(ProjectNumberList,0,-2),TRUE),"")</f>
        <v>0</v>
      </c>
      <c r="K95" s="28">
        <f t="shared" ref="K95:K100" ca="1" si="56">IF(H95&lt;&gt;"",I95+J95,"")</f>
        <v>0</v>
      </c>
      <c r="M95" s="76"/>
      <c r="O95" s="138"/>
      <c r="AB95" s="1"/>
    </row>
    <row r="96" spans="2:28">
      <c r="C96" s="77"/>
      <c r="D96" s="78"/>
      <c r="E96" s="78"/>
      <c r="F96" s="78"/>
      <c r="G96" s="31"/>
      <c r="H96" s="79">
        <f t="shared" ref="H96:H100" ca="1" si="57">IF($H95+1&lt;=TO_CALENDAR_WEEK,$H95+1,"")</f>
        <v>15</v>
      </c>
      <c r="I96" s="28">
        <f t="shared" ca="1" si="54"/>
        <v>0</v>
      </c>
      <c r="J96" s="28">
        <f t="shared" ca="1" si="55"/>
        <v>0</v>
      </c>
      <c r="K96" s="28">
        <f t="shared" ca="1" si="56"/>
        <v>0</v>
      </c>
      <c r="M96" s="76"/>
      <c r="O96" s="138"/>
      <c r="AB96" s="1"/>
    </row>
    <row r="97" spans="3:28">
      <c r="C97" s="77"/>
      <c r="D97" s="78"/>
      <c r="E97" s="78"/>
      <c r="F97" s="78"/>
      <c r="G97" s="31"/>
      <c r="H97" s="79">
        <f t="shared" ca="1" si="57"/>
        <v>16</v>
      </c>
      <c r="I97" s="28">
        <f t="shared" ca="1" si="54"/>
        <v>5</v>
      </c>
      <c r="J97" s="28">
        <f t="shared" ca="1" si="55"/>
        <v>0</v>
      </c>
      <c r="K97" s="28">
        <f t="shared" ca="1" si="56"/>
        <v>5</v>
      </c>
      <c r="M97" s="105"/>
      <c r="O97" s="138"/>
      <c r="AB97" s="1"/>
    </row>
    <row r="98" spans="3:28">
      <c r="C98" s="77"/>
      <c r="D98" s="78"/>
      <c r="E98" s="78"/>
      <c r="F98" s="78"/>
      <c r="G98" s="31"/>
      <c r="H98" s="79">
        <f t="shared" ca="1" si="57"/>
        <v>17</v>
      </c>
      <c r="I98" s="28">
        <f t="shared" ca="1" si="54"/>
        <v>5</v>
      </c>
      <c r="J98" s="28">
        <f t="shared" ca="1" si="55"/>
        <v>0</v>
      </c>
      <c r="K98" s="28">
        <f t="shared" ca="1" si="56"/>
        <v>5</v>
      </c>
      <c r="M98" s="105"/>
      <c r="O98" s="63"/>
      <c r="AB98" s="1"/>
    </row>
    <row r="99" spans="3:28">
      <c r="C99" s="77"/>
      <c r="D99" s="78"/>
      <c r="E99" s="78"/>
      <c r="F99" s="78"/>
      <c r="G99" s="31"/>
      <c r="H99" s="79">
        <f t="shared" ca="1" si="57"/>
        <v>18</v>
      </c>
      <c r="I99" s="28">
        <f t="shared" ca="1" si="54"/>
        <v>4</v>
      </c>
      <c r="J99" s="28">
        <f t="shared" ca="1" si="55"/>
        <v>0</v>
      </c>
      <c r="K99" s="28">
        <f t="shared" ca="1" si="56"/>
        <v>4</v>
      </c>
      <c r="M99" s="76"/>
      <c r="O99" s="63"/>
      <c r="AB99" s="1"/>
    </row>
    <row r="100" spans="3:28">
      <c r="C100" s="77"/>
      <c r="D100" s="78"/>
      <c r="E100" s="78"/>
      <c r="F100" s="78"/>
      <c r="G100" s="31"/>
      <c r="H100" s="79" t="str">
        <f t="shared" ca="1" si="57"/>
        <v/>
      </c>
      <c r="I100" s="28" t="str">
        <f t="shared" ca="1" si="54"/>
        <v/>
      </c>
      <c r="J100" s="28" t="str">
        <f t="shared" ca="1" si="55"/>
        <v/>
      </c>
      <c r="K100" s="28" t="str">
        <f t="shared" ca="1" si="56"/>
        <v/>
      </c>
      <c r="M100" s="76"/>
      <c r="O100" s="63"/>
      <c r="AB100" s="1"/>
    </row>
    <row r="101" spans="3:28">
      <c r="C101" s="80"/>
      <c r="D101" s="31"/>
      <c r="E101" s="31"/>
      <c r="F101" s="31"/>
      <c r="G101" s="19"/>
      <c r="H101" s="147" t="s">
        <v>21</v>
      </c>
      <c r="I101" s="148"/>
      <c r="J101" s="148"/>
      <c r="K101" s="106">
        <f ca="1">SUM(K95:K100)</f>
        <v>14</v>
      </c>
      <c r="M101" s="76"/>
      <c r="O101" s="63"/>
      <c r="AB101" s="1"/>
    </row>
    <row r="102" spans="3:28">
      <c r="C102" s="81"/>
      <c r="D102" s="82"/>
      <c r="E102" s="82"/>
      <c r="F102" s="82"/>
      <c r="G102" s="82"/>
      <c r="H102" s="82"/>
      <c r="I102" s="83"/>
      <c r="J102" s="87" t="s">
        <v>56</v>
      </c>
      <c r="K102" s="88">
        <f>IF(B8&lt;&gt;"",B8,B7)</f>
        <v>8</v>
      </c>
      <c r="L102" s="88"/>
      <c r="M102" s="84"/>
      <c r="N102" s="68"/>
      <c r="O102" s="70"/>
      <c r="AB102" s="1"/>
    </row>
    <row r="103" spans="3:28">
      <c r="C103" s="31" t="s">
        <v>26</v>
      </c>
      <c r="AB103" s="1"/>
    </row>
    <row r="104" spans="3:28">
      <c r="AB104" s="1"/>
    </row>
  </sheetData>
  <dataConsolidate/>
  <mergeCells count="71">
    <mergeCell ref="D53:D54"/>
    <mergeCell ref="D55:D56"/>
    <mergeCell ref="D57:D58"/>
    <mergeCell ref="K92:K94"/>
    <mergeCell ref="D59:D60"/>
    <mergeCell ref="D61:D62"/>
    <mergeCell ref="D63:D64"/>
    <mergeCell ref="D65:D66"/>
    <mergeCell ref="I92:I94"/>
    <mergeCell ref="J92:J94"/>
    <mergeCell ref="D41:D42"/>
    <mergeCell ref="D43:D44"/>
    <mergeCell ref="H43:H44"/>
    <mergeCell ref="H45:H46"/>
    <mergeCell ref="H92:H94"/>
    <mergeCell ref="H59:H60"/>
    <mergeCell ref="H61:H62"/>
    <mergeCell ref="H63:H64"/>
    <mergeCell ref="H65:H66"/>
    <mergeCell ref="H49:H50"/>
    <mergeCell ref="H51:H52"/>
    <mergeCell ref="H53:H54"/>
    <mergeCell ref="H55:H56"/>
    <mergeCell ref="H57:H58"/>
    <mergeCell ref="D49:D50"/>
    <mergeCell ref="D51:D52"/>
    <mergeCell ref="D15:D16"/>
    <mergeCell ref="D17:D18"/>
    <mergeCell ref="D19:D20"/>
    <mergeCell ref="D21:D22"/>
    <mergeCell ref="H101:J101"/>
    <mergeCell ref="D23:D24"/>
    <mergeCell ref="D25:D26"/>
    <mergeCell ref="D27:D28"/>
    <mergeCell ref="D45:D46"/>
    <mergeCell ref="D47:D48"/>
    <mergeCell ref="D29:D30"/>
    <mergeCell ref="D31:D32"/>
    <mergeCell ref="D33:D34"/>
    <mergeCell ref="D35:D36"/>
    <mergeCell ref="D37:D38"/>
    <mergeCell ref="D39:D40"/>
    <mergeCell ref="H25:H26"/>
    <mergeCell ref="H27:H28"/>
    <mergeCell ref="H29:H30"/>
    <mergeCell ref="H31:H32"/>
    <mergeCell ref="H47:H48"/>
    <mergeCell ref="H33:H34"/>
    <mergeCell ref="H35:H36"/>
    <mergeCell ref="H37:H38"/>
    <mergeCell ref="H39:H40"/>
    <mergeCell ref="H41:H42"/>
    <mergeCell ref="H15:H16"/>
    <mergeCell ref="H17:H18"/>
    <mergeCell ref="H19:H20"/>
    <mergeCell ref="H21:H22"/>
    <mergeCell ref="H23:H24"/>
    <mergeCell ref="H9:H10"/>
    <mergeCell ref="H11:H12"/>
    <mergeCell ref="D9:D10"/>
    <mergeCell ref="D11:D12"/>
    <mergeCell ref="H13:H14"/>
    <mergeCell ref="D13:D14"/>
    <mergeCell ref="A2:B2"/>
    <mergeCell ref="A1:B1"/>
    <mergeCell ref="H5:H6"/>
    <mergeCell ref="Q2:U2"/>
    <mergeCell ref="H7:H8"/>
    <mergeCell ref="D5:D6"/>
    <mergeCell ref="D7:D8"/>
    <mergeCell ref="C1:N1"/>
  </mergeCells>
  <conditionalFormatting sqref="C5:C66">
    <cfRule type="expression" dxfId="501" priority="5565">
      <formula>OR($D4=1,AND($D4&lt;&gt;"",$D6=""))</formula>
    </cfRule>
  </conditionalFormatting>
  <conditionalFormatting sqref="L6 J25:J66 J6:J14">
    <cfRule type="expression" dxfId="500" priority="5570">
      <formula>$G6=TRUE</formula>
    </cfRule>
  </conditionalFormatting>
  <conditionalFormatting sqref="H5:H6">
    <cfRule type="expression" dxfId="499" priority="5555">
      <formula>$G5=TRUE</formula>
    </cfRule>
  </conditionalFormatting>
  <conditionalFormatting sqref="L10 L12 L14 L8">
    <cfRule type="expression" dxfId="498" priority="5560">
      <formula>$G8=TRUE</formula>
    </cfRule>
  </conditionalFormatting>
  <conditionalFormatting sqref="H7:H14">
    <cfRule type="expression" dxfId="497" priority="5525">
      <formula>$G7=TRUE</formula>
    </cfRule>
  </conditionalFormatting>
  <conditionalFormatting sqref="L32 L36 L34 L44 L48 L50 L58 L60 L62 L64 L46 L42 L54 L56 L16 L18 L20 L22 L24 L28 L38 L52 L66">
    <cfRule type="expression" dxfId="496" priority="5527">
      <formula>$G16=TRUE</formula>
    </cfRule>
  </conditionalFormatting>
  <conditionalFormatting sqref="H15:H66">
    <cfRule type="expression" dxfId="495" priority="5520">
      <formula>$G15=TRUE</formula>
    </cfRule>
  </conditionalFormatting>
  <conditionalFormatting sqref="O5:O66">
    <cfRule type="expression" dxfId="494" priority="5361">
      <formula>$G5=TRUE</formula>
    </cfRule>
  </conditionalFormatting>
  <conditionalFormatting sqref="L9">
    <cfRule type="expression" dxfId="493" priority="5342">
      <formula>$G9=TRUE</formula>
    </cfRule>
  </conditionalFormatting>
  <conditionalFormatting sqref="K12 K14">
    <cfRule type="expression" dxfId="492" priority="5250">
      <formula>$G12=TRUE</formula>
    </cfRule>
  </conditionalFormatting>
  <conditionalFormatting sqref="I12:J12">
    <cfRule type="expression" dxfId="491" priority="5202">
      <formula>$G12=TRUE</formula>
    </cfRule>
  </conditionalFormatting>
  <conditionalFormatting sqref="L23">
    <cfRule type="expression" dxfId="490" priority="5160">
      <formula>$G23=TRUE</formula>
    </cfRule>
  </conditionalFormatting>
  <conditionalFormatting sqref="L26">
    <cfRule type="expression" dxfId="489" priority="5155">
      <formula>$G26=TRUE</formula>
    </cfRule>
  </conditionalFormatting>
  <conditionalFormatting sqref="L37">
    <cfRule type="expression" dxfId="488" priority="5145">
      <formula>$G37=TRUE</formula>
    </cfRule>
  </conditionalFormatting>
  <conditionalFormatting sqref="L40">
    <cfRule type="expression" dxfId="487" priority="5140">
      <formula>$G40=TRUE</formula>
    </cfRule>
  </conditionalFormatting>
  <conditionalFormatting sqref="L63">
    <cfRule type="expression" dxfId="486" priority="5095">
      <formula>$G63=TRUE</formula>
    </cfRule>
  </conditionalFormatting>
  <conditionalFormatting sqref="L30">
    <cfRule type="expression" dxfId="485" priority="5085">
      <formula>$G30=TRUE</formula>
    </cfRule>
  </conditionalFormatting>
  <conditionalFormatting sqref="L19">
    <cfRule type="expression" dxfId="484" priority="5084">
      <formula>$G19=TRUE</formula>
    </cfRule>
  </conditionalFormatting>
  <conditionalFormatting sqref="L21">
    <cfRule type="expression" dxfId="483" priority="5079">
      <formula>$G21=TRUE</formula>
    </cfRule>
  </conditionalFormatting>
  <conditionalFormatting sqref="L35">
    <cfRule type="expression" dxfId="482" priority="5064">
      <formula>$G35=TRUE</formula>
    </cfRule>
  </conditionalFormatting>
  <conditionalFormatting sqref="L49">
    <cfRule type="expression" dxfId="481" priority="5049">
      <formula>$G49=TRUE</formula>
    </cfRule>
  </conditionalFormatting>
  <conditionalFormatting sqref="L51">
    <cfRule type="expression" dxfId="480" priority="5044">
      <formula>$G51=TRUE</formula>
    </cfRule>
  </conditionalFormatting>
  <conditionalFormatting sqref="L65">
    <cfRule type="expression" dxfId="479" priority="5039">
      <formula>$G65=TRUE</formula>
    </cfRule>
  </conditionalFormatting>
  <conditionalFormatting sqref="L5">
    <cfRule type="expression" dxfId="478" priority="5034">
      <formula>$G5=TRUE</formula>
    </cfRule>
  </conditionalFormatting>
  <conditionalFormatting sqref="L7">
    <cfRule type="expression" dxfId="477" priority="5029">
      <formula>$G7=TRUE</formula>
    </cfRule>
  </conditionalFormatting>
  <conditionalFormatting sqref="L11">
    <cfRule type="expression" dxfId="476" priority="4815">
      <formula>$G11=TRUE</formula>
    </cfRule>
  </conditionalFormatting>
  <conditionalFormatting sqref="L13">
    <cfRule type="expression" dxfId="475" priority="4810">
      <formula>$G13=TRUE</formula>
    </cfRule>
  </conditionalFormatting>
  <conditionalFormatting sqref="L15">
    <cfRule type="expression" dxfId="474" priority="4805">
      <formula>$G15=TRUE</formula>
    </cfRule>
  </conditionalFormatting>
  <conditionalFormatting sqref="L17">
    <cfRule type="expression" dxfId="473" priority="4800">
      <formula>$G17=TRUE</formula>
    </cfRule>
  </conditionalFormatting>
  <conditionalFormatting sqref="L25">
    <cfRule type="expression" dxfId="472" priority="4795">
      <formula>$G25=TRUE</formula>
    </cfRule>
  </conditionalFormatting>
  <conditionalFormatting sqref="L33">
    <cfRule type="expression" dxfId="471" priority="4775">
      <formula>$G33=TRUE</formula>
    </cfRule>
  </conditionalFormatting>
  <conditionalFormatting sqref="L27">
    <cfRule type="expression" dxfId="470" priority="4770">
      <formula>$G27=TRUE</formula>
    </cfRule>
  </conditionalFormatting>
  <conditionalFormatting sqref="L29">
    <cfRule type="expression" dxfId="469" priority="4769">
      <formula>$G29=TRUE</formula>
    </cfRule>
  </conditionalFormatting>
  <conditionalFormatting sqref="L31">
    <cfRule type="expression" dxfId="468" priority="4768">
      <formula>$G31=TRUE</formula>
    </cfRule>
  </conditionalFormatting>
  <conditionalFormatting sqref="L39">
    <cfRule type="expression" dxfId="467" priority="4767">
      <formula>$G39=TRUE</formula>
    </cfRule>
  </conditionalFormatting>
  <conditionalFormatting sqref="L41">
    <cfRule type="expression" dxfId="466" priority="4762">
      <formula>$G41=TRUE</formula>
    </cfRule>
  </conditionalFormatting>
  <conditionalFormatting sqref="L43">
    <cfRule type="expression" dxfId="465" priority="4757">
      <formula>$G43=TRUE</formula>
    </cfRule>
  </conditionalFormatting>
  <conditionalFormatting sqref="L45">
    <cfRule type="expression" dxfId="464" priority="4752">
      <formula>$G45=TRUE</formula>
    </cfRule>
  </conditionalFormatting>
  <conditionalFormatting sqref="L47">
    <cfRule type="expression" dxfId="463" priority="4747">
      <formula>$G47=TRUE</formula>
    </cfRule>
  </conditionalFormatting>
  <conditionalFormatting sqref="L53">
    <cfRule type="expression" dxfId="462" priority="4742">
      <formula>$G53=TRUE</formula>
    </cfRule>
  </conditionalFormatting>
  <conditionalFormatting sqref="L55">
    <cfRule type="expression" dxfId="461" priority="4737">
      <formula>$G55=TRUE</formula>
    </cfRule>
  </conditionalFormatting>
  <conditionalFormatting sqref="L57">
    <cfRule type="expression" dxfId="460" priority="4732">
      <formula>$G57=TRUE</formula>
    </cfRule>
  </conditionalFormatting>
  <conditionalFormatting sqref="L59">
    <cfRule type="expression" dxfId="459" priority="4727">
      <formula>$G59=TRUE</formula>
    </cfRule>
  </conditionalFormatting>
  <conditionalFormatting sqref="L61">
    <cfRule type="expression" dxfId="458" priority="4722">
      <formula>$G61=TRUE</formula>
    </cfRule>
  </conditionalFormatting>
  <conditionalFormatting sqref="K5">
    <cfRule type="expression" dxfId="457" priority="4603">
      <formula>$G5=TRUE</formula>
    </cfRule>
  </conditionalFormatting>
  <conditionalFormatting sqref="I5:J5">
    <cfRule type="expression" dxfId="456" priority="4812">
      <formula>$G5=TRUE</formula>
    </cfRule>
  </conditionalFormatting>
  <conditionalFormatting sqref="M71:M85 O5:O66">
    <cfRule type="cellIs" dxfId="455" priority="4085" operator="equal">
      <formula>"Cost center not found. Please check your entry."</formula>
    </cfRule>
  </conditionalFormatting>
  <conditionalFormatting sqref="M93 M99:M101">
    <cfRule type="expression" dxfId="454" priority="5566">
      <formula>OR($K$101&lt;$B$7,$M$88&lt;&gt;$K$101)</formula>
    </cfRule>
  </conditionalFormatting>
  <conditionalFormatting sqref="O2">
    <cfRule type="expression" dxfId="453" priority="5567">
      <formula>$K$101-varTarget=0</formula>
    </cfRule>
    <cfRule type="expression" dxfId="452" priority="5568">
      <formula>varTarget-$K$101&lt;&gt;0</formula>
    </cfRule>
  </conditionalFormatting>
  <conditionalFormatting sqref="O3">
    <cfRule type="expression" dxfId="451" priority="5569">
      <formula>$K$101&lt;&gt;$M$88</formula>
    </cfRule>
  </conditionalFormatting>
  <conditionalFormatting sqref="M91:M92">
    <cfRule type="expression" dxfId="450" priority="4076">
      <formula>$K$101=$K$102</formula>
    </cfRule>
    <cfRule type="expression" dxfId="449" priority="4083">
      <formula>OR($K$101&lt;$B$7,$K$11&lt;&gt;$K$102)</formula>
    </cfRule>
  </conditionalFormatting>
  <conditionalFormatting sqref="I25:I66 I5:I23">
    <cfRule type="expression" dxfId="448" priority="4099">
      <formula>AND($I5="",OR($J5&lt;&gt;"",$K5&lt;&gt;""))</formula>
    </cfRule>
  </conditionalFormatting>
  <conditionalFormatting sqref="K25:K66 K5:K23">
    <cfRule type="expression" dxfId="447" priority="5572">
      <formula>AND($K5="",OR($I5&lt;&gt;"",$J5&lt;&gt;""))</formula>
    </cfRule>
  </conditionalFormatting>
  <conditionalFormatting sqref="J12 J28:J32 J26 J40 J54 J42:J46 J56:J60 J10 J38 J52 J64:J66">
    <cfRule type="expression" dxfId="446" priority="4055">
      <formula>$G10=TRUE</formula>
    </cfRule>
  </conditionalFormatting>
  <conditionalFormatting sqref="M5:M66">
    <cfRule type="expression" dxfId="445" priority="3690">
      <formula>$G5=TRUE</formula>
    </cfRule>
  </conditionalFormatting>
  <conditionalFormatting sqref="J5:J14 J25:J66">
    <cfRule type="expression" dxfId="444" priority="3220">
      <formula>OR(AND($J5="",OR($I5&lt;&gt;"",$K5&lt;&gt;"")),$AC5=FALSE)</formula>
    </cfRule>
  </conditionalFormatting>
  <conditionalFormatting sqref="K5">
    <cfRule type="expression" dxfId="443" priority="3112">
      <formula>$G5=TRUE</formula>
    </cfRule>
  </conditionalFormatting>
  <conditionalFormatting sqref="K5">
    <cfRule type="expression" dxfId="442" priority="3107">
      <formula>$G5=TRUE</formula>
    </cfRule>
  </conditionalFormatting>
  <conditionalFormatting sqref="K5">
    <cfRule type="expression" dxfId="441" priority="3100">
      <formula>$G5=TRUE</formula>
    </cfRule>
  </conditionalFormatting>
  <conditionalFormatting sqref="K5">
    <cfRule type="expression" dxfId="440" priority="3097">
      <formula>$G5=TRUE</formula>
    </cfRule>
  </conditionalFormatting>
  <conditionalFormatting sqref="K5">
    <cfRule type="expression" dxfId="439" priority="3092">
      <formula>$G5=TRUE</formula>
    </cfRule>
  </conditionalFormatting>
  <conditionalFormatting sqref="I5">
    <cfRule type="expression" dxfId="438" priority="3088">
      <formula>$G5=TRUE</formula>
    </cfRule>
  </conditionalFormatting>
  <conditionalFormatting sqref="I5">
    <cfRule type="expression" dxfId="437" priority="3084">
      <formula>$G5=TRUE</formula>
    </cfRule>
  </conditionalFormatting>
  <conditionalFormatting sqref="I5">
    <cfRule type="expression" dxfId="436" priority="3080">
      <formula>$G5=TRUE</formula>
    </cfRule>
  </conditionalFormatting>
  <conditionalFormatting sqref="I5">
    <cfRule type="expression" dxfId="435" priority="3076">
      <formula>$G5=TRUE</formula>
    </cfRule>
  </conditionalFormatting>
  <conditionalFormatting sqref="I5">
    <cfRule type="expression" dxfId="434" priority="3072">
      <formula>$G5=TRUE</formula>
    </cfRule>
  </conditionalFormatting>
  <conditionalFormatting sqref="I5">
    <cfRule type="expression" dxfId="433" priority="3068">
      <formula>$G5=TRUE</formula>
    </cfRule>
  </conditionalFormatting>
  <conditionalFormatting sqref="I5">
    <cfRule type="expression" dxfId="432" priority="3064">
      <formula>$G5=TRUE</formula>
    </cfRule>
  </conditionalFormatting>
  <conditionalFormatting sqref="I5">
    <cfRule type="expression" dxfId="431" priority="3060">
      <formula>$G5=TRUE</formula>
    </cfRule>
  </conditionalFormatting>
  <conditionalFormatting sqref="I14:J14">
    <cfRule type="expression" dxfId="430" priority="506">
      <formula>$G14=TRUE</formula>
    </cfRule>
  </conditionalFormatting>
  <conditionalFormatting sqref="I16:K16 J15:J23">
    <cfRule type="expression" dxfId="429" priority="503">
      <formula>$G16=TRUE</formula>
    </cfRule>
  </conditionalFormatting>
  <conditionalFormatting sqref="K28:K32">
    <cfRule type="expression" dxfId="428" priority="502">
      <formula>$G28=TRUE</formula>
    </cfRule>
  </conditionalFormatting>
  <conditionalFormatting sqref="I30:J30">
    <cfRule type="expression" dxfId="427" priority="498">
      <formula>$G30=TRUE</formula>
    </cfRule>
  </conditionalFormatting>
  <conditionalFormatting sqref="I32:J32">
    <cfRule type="expression" dxfId="426" priority="497">
      <formula>$G32=TRUE</formula>
    </cfRule>
  </conditionalFormatting>
  <conditionalFormatting sqref="I28:J28">
    <cfRule type="expression" dxfId="425" priority="496">
      <formula>$G28=TRUE</formula>
    </cfRule>
  </conditionalFormatting>
  <conditionalFormatting sqref="I29:J29">
    <cfRule type="expression" dxfId="424" priority="494">
      <formula>$G29=TRUE</formula>
    </cfRule>
  </conditionalFormatting>
  <conditionalFormatting sqref="I31:J31">
    <cfRule type="expression" dxfId="423" priority="493">
      <formula>$G31=TRUE</formula>
    </cfRule>
  </conditionalFormatting>
  <conditionalFormatting sqref="K42:K46">
    <cfRule type="expression" dxfId="422" priority="492">
      <formula>$G42=TRUE</formula>
    </cfRule>
  </conditionalFormatting>
  <conditionalFormatting sqref="I44:J44">
    <cfRule type="expression" dxfId="421" priority="488">
      <formula>$G44=TRUE</formula>
    </cfRule>
  </conditionalFormatting>
  <conditionalFormatting sqref="I46:J46">
    <cfRule type="expression" dxfId="420" priority="487">
      <formula>$G46=TRUE</formula>
    </cfRule>
  </conditionalFormatting>
  <conditionalFormatting sqref="I42:J42">
    <cfRule type="expression" dxfId="419" priority="486">
      <formula>$G42=TRUE</formula>
    </cfRule>
  </conditionalFormatting>
  <conditionalFormatting sqref="I43:J43">
    <cfRule type="expression" dxfId="418" priority="484">
      <formula>$G43=TRUE</formula>
    </cfRule>
  </conditionalFormatting>
  <conditionalFormatting sqref="I45:J45">
    <cfRule type="expression" dxfId="417" priority="483">
      <formula>$G45=TRUE</formula>
    </cfRule>
  </conditionalFormatting>
  <conditionalFormatting sqref="K56:K60">
    <cfRule type="expression" dxfId="416" priority="482">
      <formula>$G56=TRUE</formula>
    </cfRule>
  </conditionalFormatting>
  <conditionalFormatting sqref="I58:J58">
    <cfRule type="expression" dxfId="415" priority="478">
      <formula>$G58=TRUE</formula>
    </cfRule>
  </conditionalFormatting>
  <conditionalFormatting sqref="I60:J60">
    <cfRule type="expression" dxfId="414" priority="477">
      <formula>$G60=TRUE</formula>
    </cfRule>
  </conditionalFormatting>
  <conditionalFormatting sqref="I56:J56">
    <cfRule type="expression" dxfId="413" priority="476">
      <formula>$G56=TRUE</formula>
    </cfRule>
  </conditionalFormatting>
  <conditionalFormatting sqref="I57:J57">
    <cfRule type="expression" dxfId="412" priority="474">
      <formula>$G57=TRUE</formula>
    </cfRule>
  </conditionalFormatting>
  <conditionalFormatting sqref="I59:J59">
    <cfRule type="expression" dxfId="411" priority="473">
      <formula>$G59=TRUE</formula>
    </cfRule>
  </conditionalFormatting>
  <conditionalFormatting sqref="K65:K66">
    <cfRule type="expression" dxfId="410" priority="472">
      <formula>$G65=TRUE</formula>
    </cfRule>
  </conditionalFormatting>
  <conditionalFormatting sqref="I66:J66">
    <cfRule type="expression" dxfId="409" priority="471">
      <formula>$G66=TRUE</formula>
    </cfRule>
  </conditionalFormatting>
  <conditionalFormatting sqref="I65:J65">
    <cfRule type="expression" dxfId="408" priority="470">
      <formula>$G65=TRUE</formula>
    </cfRule>
  </conditionalFormatting>
  <conditionalFormatting sqref="K7">
    <cfRule type="expression" dxfId="407" priority="468">
      <formula>$G7=TRUE</formula>
    </cfRule>
  </conditionalFormatting>
  <conditionalFormatting sqref="I7:J7">
    <cfRule type="expression" dxfId="406" priority="469">
      <formula>$G7=TRUE</formula>
    </cfRule>
  </conditionalFormatting>
  <conditionalFormatting sqref="K7">
    <cfRule type="expression" dxfId="405" priority="467">
      <formula>$G7=TRUE</formula>
    </cfRule>
  </conditionalFormatting>
  <conditionalFormatting sqref="K7">
    <cfRule type="expression" dxfId="404" priority="466">
      <formula>$G7=TRUE</formula>
    </cfRule>
  </conditionalFormatting>
  <conditionalFormatting sqref="K7">
    <cfRule type="expression" dxfId="403" priority="465">
      <formula>$G7=TRUE</formula>
    </cfRule>
  </conditionalFormatting>
  <conditionalFormatting sqref="K7">
    <cfRule type="expression" dxfId="402" priority="464">
      <formula>$G7=TRUE</formula>
    </cfRule>
  </conditionalFormatting>
  <conditionalFormatting sqref="K7">
    <cfRule type="expression" dxfId="401" priority="463">
      <formula>$G7=TRUE</formula>
    </cfRule>
  </conditionalFormatting>
  <conditionalFormatting sqref="I7">
    <cfRule type="expression" dxfId="400" priority="462">
      <formula>$G7=TRUE</formula>
    </cfRule>
  </conditionalFormatting>
  <conditionalFormatting sqref="I7">
    <cfRule type="expression" dxfId="399" priority="461">
      <formula>$G7=TRUE</formula>
    </cfRule>
  </conditionalFormatting>
  <conditionalFormatting sqref="I7">
    <cfRule type="expression" dxfId="398" priority="460">
      <formula>$G7=TRUE</formula>
    </cfRule>
  </conditionalFormatting>
  <conditionalFormatting sqref="I7">
    <cfRule type="expression" dxfId="397" priority="459">
      <formula>$G7=TRUE</formula>
    </cfRule>
  </conditionalFormatting>
  <conditionalFormatting sqref="I7">
    <cfRule type="expression" dxfId="396" priority="458">
      <formula>$G7=TRUE</formula>
    </cfRule>
  </conditionalFormatting>
  <conditionalFormatting sqref="I7">
    <cfRule type="expression" dxfId="395" priority="457">
      <formula>$G7=TRUE</formula>
    </cfRule>
  </conditionalFormatting>
  <conditionalFormatting sqref="I7">
    <cfRule type="expression" dxfId="394" priority="456">
      <formula>$G7=TRUE</formula>
    </cfRule>
  </conditionalFormatting>
  <conditionalFormatting sqref="I7">
    <cfRule type="expression" dxfId="393" priority="455">
      <formula>$G7=TRUE</formula>
    </cfRule>
  </conditionalFormatting>
  <conditionalFormatting sqref="K9">
    <cfRule type="expression" dxfId="392" priority="453">
      <formula>$G9=TRUE</formula>
    </cfRule>
  </conditionalFormatting>
  <conditionalFormatting sqref="I9:J9">
    <cfRule type="expression" dxfId="391" priority="454">
      <formula>$G9=TRUE</formula>
    </cfRule>
  </conditionalFormatting>
  <conditionalFormatting sqref="K9">
    <cfRule type="expression" dxfId="390" priority="452">
      <formula>$G9=TRUE</formula>
    </cfRule>
  </conditionalFormatting>
  <conditionalFormatting sqref="K9">
    <cfRule type="expression" dxfId="389" priority="451">
      <formula>$G9=TRUE</formula>
    </cfRule>
  </conditionalFormatting>
  <conditionalFormatting sqref="K9">
    <cfRule type="expression" dxfId="388" priority="450">
      <formula>$G9=TRUE</formula>
    </cfRule>
  </conditionalFormatting>
  <conditionalFormatting sqref="K9">
    <cfRule type="expression" dxfId="387" priority="449">
      <formula>$G9=TRUE</formula>
    </cfRule>
  </conditionalFormatting>
  <conditionalFormatting sqref="K9">
    <cfRule type="expression" dxfId="386" priority="448">
      <formula>$G9=TRUE</formula>
    </cfRule>
  </conditionalFormatting>
  <conditionalFormatting sqref="I9">
    <cfRule type="expression" dxfId="385" priority="447">
      <formula>$G9=TRUE</formula>
    </cfRule>
  </conditionalFormatting>
  <conditionalFormatting sqref="I9">
    <cfRule type="expression" dxfId="384" priority="446">
      <formula>$G9=TRUE</formula>
    </cfRule>
  </conditionalFormatting>
  <conditionalFormatting sqref="I9">
    <cfRule type="expression" dxfId="383" priority="445">
      <formula>$G9=TRUE</formula>
    </cfRule>
  </conditionalFormatting>
  <conditionalFormatting sqref="I9">
    <cfRule type="expression" dxfId="382" priority="444">
      <formula>$G9=TRUE</formula>
    </cfRule>
  </conditionalFormatting>
  <conditionalFormatting sqref="I9">
    <cfRule type="expression" dxfId="381" priority="443">
      <formula>$G9=TRUE</formula>
    </cfRule>
  </conditionalFormatting>
  <conditionalFormatting sqref="I9">
    <cfRule type="expression" dxfId="380" priority="442">
      <formula>$G9=TRUE</formula>
    </cfRule>
  </conditionalFormatting>
  <conditionalFormatting sqref="I9">
    <cfRule type="expression" dxfId="379" priority="441">
      <formula>$G9=TRUE</formula>
    </cfRule>
  </conditionalFormatting>
  <conditionalFormatting sqref="I9">
    <cfRule type="expression" dxfId="378" priority="440">
      <formula>$G9=TRUE</formula>
    </cfRule>
  </conditionalFormatting>
  <conditionalFormatting sqref="K11">
    <cfRule type="expression" dxfId="377" priority="438">
      <formula>$G11=TRUE</formula>
    </cfRule>
  </conditionalFormatting>
  <conditionalFormatting sqref="I11:J11">
    <cfRule type="expression" dxfId="376" priority="439">
      <formula>$G11=TRUE</formula>
    </cfRule>
  </conditionalFormatting>
  <conditionalFormatting sqref="K11">
    <cfRule type="expression" dxfId="375" priority="437">
      <formula>$G11=TRUE</formula>
    </cfRule>
  </conditionalFormatting>
  <conditionalFormatting sqref="K11">
    <cfRule type="expression" dxfId="374" priority="436">
      <formula>$G11=TRUE</formula>
    </cfRule>
  </conditionalFormatting>
  <conditionalFormatting sqref="K11">
    <cfRule type="expression" dxfId="373" priority="435">
      <formula>$G11=TRUE</formula>
    </cfRule>
  </conditionalFormatting>
  <conditionalFormatting sqref="K11">
    <cfRule type="expression" dxfId="372" priority="434">
      <formula>$G11=TRUE</formula>
    </cfRule>
  </conditionalFormatting>
  <conditionalFormatting sqref="K11">
    <cfRule type="expression" dxfId="371" priority="433">
      <formula>$G11=TRUE</formula>
    </cfRule>
  </conditionalFormatting>
  <conditionalFormatting sqref="I11">
    <cfRule type="expression" dxfId="370" priority="432">
      <formula>$G11=TRUE</formula>
    </cfRule>
  </conditionalFormatting>
  <conditionalFormatting sqref="I11">
    <cfRule type="expression" dxfId="369" priority="431">
      <formula>$G11=TRUE</formula>
    </cfRule>
  </conditionalFormatting>
  <conditionalFormatting sqref="I11">
    <cfRule type="expression" dxfId="368" priority="430">
      <formula>$G11=TRUE</formula>
    </cfRule>
  </conditionalFormatting>
  <conditionalFormatting sqref="I11">
    <cfRule type="expression" dxfId="367" priority="429">
      <formula>$G11=TRUE</formula>
    </cfRule>
  </conditionalFormatting>
  <conditionalFormatting sqref="I11">
    <cfRule type="expression" dxfId="366" priority="428">
      <formula>$G11=TRUE</formula>
    </cfRule>
  </conditionalFormatting>
  <conditionalFormatting sqref="I11">
    <cfRule type="expression" dxfId="365" priority="427">
      <formula>$G11=TRUE</formula>
    </cfRule>
  </conditionalFormatting>
  <conditionalFormatting sqref="I11">
    <cfRule type="expression" dxfId="364" priority="426">
      <formula>$G11=TRUE</formula>
    </cfRule>
  </conditionalFormatting>
  <conditionalFormatting sqref="I11">
    <cfRule type="expression" dxfId="363" priority="425">
      <formula>$G11=TRUE</formula>
    </cfRule>
  </conditionalFormatting>
  <conditionalFormatting sqref="K13">
    <cfRule type="expression" dxfId="362" priority="423">
      <formula>$G13=TRUE</formula>
    </cfRule>
  </conditionalFormatting>
  <conditionalFormatting sqref="I13:J13">
    <cfRule type="expression" dxfId="361" priority="424">
      <formula>$G13=TRUE</formula>
    </cfRule>
  </conditionalFormatting>
  <conditionalFormatting sqref="K13">
    <cfRule type="expression" dxfId="360" priority="422">
      <formula>$G13=TRUE</formula>
    </cfRule>
  </conditionalFormatting>
  <conditionalFormatting sqref="K13">
    <cfRule type="expression" dxfId="359" priority="421">
      <formula>$G13=TRUE</formula>
    </cfRule>
  </conditionalFormatting>
  <conditionalFormatting sqref="K13">
    <cfRule type="expression" dxfId="358" priority="420">
      <formula>$G13=TRUE</formula>
    </cfRule>
  </conditionalFormatting>
  <conditionalFormatting sqref="K13">
    <cfRule type="expression" dxfId="357" priority="419">
      <formula>$G13=TRUE</formula>
    </cfRule>
  </conditionalFormatting>
  <conditionalFormatting sqref="K13">
    <cfRule type="expression" dxfId="356" priority="418">
      <formula>$G13=TRUE</formula>
    </cfRule>
  </conditionalFormatting>
  <conditionalFormatting sqref="I13">
    <cfRule type="expression" dxfId="355" priority="417">
      <formula>$G13=TRUE</formula>
    </cfRule>
  </conditionalFormatting>
  <conditionalFormatting sqref="I13">
    <cfRule type="expression" dxfId="354" priority="416">
      <formula>$G13=TRUE</formula>
    </cfRule>
  </conditionalFormatting>
  <conditionalFormatting sqref="I13">
    <cfRule type="expression" dxfId="353" priority="415">
      <formula>$G13=TRUE</formula>
    </cfRule>
  </conditionalFormatting>
  <conditionalFormatting sqref="I13">
    <cfRule type="expression" dxfId="352" priority="414">
      <formula>$G13=TRUE</formula>
    </cfRule>
  </conditionalFormatting>
  <conditionalFormatting sqref="I13">
    <cfRule type="expression" dxfId="351" priority="413">
      <formula>$G13=TRUE</formula>
    </cfRule>
  </conditionalFormatting>
  <conditionalFormatting sqref="I13">
    <cfRule type="expression" dxfId="350" priority="412">
      <formula>$G13=TRUE</formula>
    </cfRule>
  </conditionalFormatting>
  <conditionalFormatting sqref="I13">
    <cfRule type="expression" dxfId="349" priority="411">
      <formula>$G13=TRUE</formula>
    </cfRule>
  </conditionalFormatting>
  <conditionalFormatting sqref="I13">
    <cfRule type="expression" dxfId="348" priority="410">
      <formula>$G13=TRUE</formula>
    </cfRule>
  </conditionalFormatting>
  <conditionalFormatting sqref="K26">
    <cfRule type="expression" dxfId="347" priority="407">
      <formula>$G26=TRUE</formula>
    </cfRule>
  </conditionalFormatting>
  <conditionalFormatting sqref="I26:J26">
    <cfRule type="expression" dxfId="346" priority="406">
      <formula>$G26=TRUE</formula>
    </cfRule>
  </conditionalFormatting>
  <conditionalFormatting sqref="K18">
    <cfRule type="expression" dxfId="345" priority="404">
      <formula>$G19=TRUE</formula>
    </cfRule>
  </conditionalFormatting>
  <conditionalFormatting sqref="I18:J18">
    <cfRule type="expression" dxfId="344" priority="405">
      <formula>$G19=TRUE</formula>
    </cfRule>
  </conditionalFormatting>
  <conditionalFormatting sqref="K18">
    <cfRule type="expression" dxfId="343" priority="399">
      <formula>$G19=TRUE</formula>
    </cfRule>
  </conditionalFormatting>
  <conditionalFormatting sqref="K18">
    <cfRule type="expression" dxfId="342" priority="396">
      <formula>$G19=TRUE</formula>
    </cfRule>
  </conditionalFormatting>
  <conditionalFormatting sqref="K18">
    <cfRule type="expression" dxfId="341" priority="393">
      <formula>$G19=TRUE</formula>
    </cfRule>
  </conditionalFormatting>
  <conditionalFormatting sqref="K18">
    <cfRule type="expression" dxfId="340" priority="390">
      <formula>$G19=TRUE</formula>
    </cfRule>
  </conditionalFormatting>
  <conditionalFormatting sqref="K18">
    <cfRule type="expression" dxfId="339" priority="387">
      <formula>$G19=TRUE</formula>
    </cfRule>
  </conditionalFormatting>
  <conditionalFormatting sqref="I18">
    <cfRule type="expression" dxfId="338" priority="385">
      <formula>$G19=TRUE</formula>
    </cfRule>
  </conditionalFormatting>
  <conditionalFormatting sqref="I18">
    <cfRule type="expression" dxfId="337" priority="382">
      <formula>$G19=TRUE</formula>
    </cfRule>
  </conditionalFormatting>
  <conditionalFormatting sqref="I18">
    <cfRule type="expression" dxfId="336" priority="379">
      <formula>$G19=TRUE</formula>
    </cfRule>
  </conditionalFormatting>
  <conditionalFormatting sqref="I18">
    <cfRule type="expression" dxfId="335" priority="376">
      <formula>$G19=TRUE</formula>
    </cfRule>
  </conditionalFormatting>
  <conditionalFormatting sqref="I18">
    <cfRule type="expression" dxfId="334" priority="373">
      <formula>$G19=TRUE</formula>
    </cfRule>
  </conditionalFormatting>
  <conditionalFormatting sqref="I18">
    <cfRule type="expression" dxfId="333" priority="370">
      <formula>$G19=TRUE</formula>
    </cfRule>
  </conditionalFormatting>
  <conditionalFormatting sqref="I18">
    <cfRule type="expression" dxfId="332" priority="367">
      <formula>$G19=TRUE</formula>
    </cfRule>
  </conditionalFormatting>
  <conditionalFormatting sqref="I18">
    <cfRule type="expression" dxfId="331" priority="364">
      <formula>$G19=TRUE</formula>
    </cfRule>
  </conditionalFormatting>
  <conditionalFormatting sqref="K20">
    <cfRule type="expression" dxfId="330" priority="361">
      <formula>$G21=TRUE</formula>
    </cfRule>
  </conditionalFormatting>
  <conditionalFormatting sqref="I20:J20">
    <cfRule type="expression" dxfId="329" priority="362">
      <formula>$G21=TRUE</formula>
    </cfRule>
  </conditionalFormatting>
  <conditionalFormatting sqref="K20">
    <cfRule type="expression" dxfId="328" priority="360">
      <formula>$G21=TRUE</formula>
    </cfRule>
  </conditionalFormatting>
  <conditionalFormatting sqref="K20">
    <cfRule type="expression" dxfId="327" priority="359">
      <formula>$G21=TRUE</formula>
    </cfRule>
  </conditionalFormatting>
  <conditionalFormatting sqref="K20">
    <cfRule type="expression" dxfId="326" priority="358">
      <formula>$G21=TRUE</formula>
    </cfRule>
  </conditionalFormatting>
  <conditionalFormatting sqref="K20">
    <cfRule type="expression" dxfId="325" priority="357">
      <formula>$G21=TRUE</formula>
    </cfRule>
  </conditionalFormatting>
  <conditionalFormatting sqref="K20">
    <cfRule type="expression" dxfId="324" priority="356">
      <formula>$G21=TRUE</formula>
    </cfRule>
  </conditionalFormatting>
  <conditionalFormatting sqref="I20">
    <cfRule type="expression" dxfId="323" priority="355">
      <formula>$G21=TRUE</formula>
    </cfRule>
  </conditionalFormatting>
  <conditionalFormatting sqref="I20">
    <cfRule type="expression" dxfId="322" priority="354">
      <formula>$G21=TRUE</formula>
    </cfRule>
  </conditionalFormatting>
  <conditionalFormatting sqref="I20">
    <cfRule type="expression" dxfId="321" priority="353">
      <formula>$G21=TRUE</formula>
    </cfRule>
  </conditionalFormatting>
  <conditionalFormatting sqref="I20">
    <cfRule type="expression" dxfId="320" priority="352">
      <formula>$G21=TRUE</formula>
    </cfRule>
  </conditionalFormatting>
  <conditionalFormatting sqref="I20">
    <cfRule type="expression" dxfId="319" priority="351">
      <formula>$G21=TRUE</formula>
    </cfRule>
  </conditionalFormatting>
  <conditionalFormatting sqref="I20">
    <cfRule type="expression" dxfId="318" priority="350">
      <formula>$G21=TRUE</formula>
    </cfRule>
  </conditionalFormatting>
  <conditionalFormatting sqref="I20">
    <cfRule type="expression" dxfId="317" priority="349">
      <formula>$G21=TRUE</formula>
    </cfRule>
  </conditionalFormatting>
  <conditionalFormatting sqref="I20">
    <cfRule type="expression" dxfId="316" priority="348">
      <formula>$G21=TRUE</formula>
    </cfRule>
  </conditionalFormatting>
  <conditionalFormatting sqref="K22">
    <cfRule type="expression" dxfId="315" priority="346">
      <formula>$G23=TRUE</formula>
    </cfRule>
  </conditionalFormatting>
  <conditionalFormatting sqref="I22:J22">
    <cfRule type="expression" dxfId="314" priority="347">
      <formula>$G23=TRUE</formula>
    </cfRule>
  </conditionalFormatting>
  <conditionalFormatting sqref="K22">
    <cfRule type="expression" dxfId="313" priority="345">
      <formula>$G23=TRUE</formula>
    </cfRule>
  </conditionalFormatting>
  <conditionalFormatting sqref="K22">
    <cfRule type="expression" dxfId="312" priority="344">
      <formula>$G23=TRUE</formula>
    </cfRule>
  </conditionalFormatting>
  <conditionalFormatting sqref="K22">
    <cfRule type="expression" dxfId="311" priority="343">
      <formula>$G23=TRUE</formula>
    </cfRule>
  </conditionalFormatting>
  <conditionalFormatting sqref="K22">
    <cfRule type="expression" dxfId="310" priority="342">
      <formula>$G23=TRUE</formula>
    </cfRule>
  </conditionalFormatting>
  <conditionalFormatting sqref="K22">
    <cfRule type="expression" dxfId="309" priority="341">
      <formula>$G23=TRUE</formula>
    </cfRule>
  </conditionalFormatting>
  <conditionalFormatting sqref="I22">
    <cfRule type="expression" dxfId="308" priority="340">
      <formula>$G23=TRUE</formula>
    </cfRule>
  </conditionalFormatting>
  <conditionalFormatting sqref="I22">
    <cfRule type="expression" dxfId="307" priority="339">
      <formula>$G23=TRUE</formula>
    </cfRule>
  </conditionalFormatting>
  <conditionalFormatting sqref="I22">
    <cfRule type="expression" dxfId="306" priority="338">
      <formula>$G23=TRUE</formula>
    </cfRule>
  </conditionalFormatting>
  <conditionalFormatting sqref="I22">
    <cfRule type="expression" dxfId="305" priority="337">
      <formula>$G23=TRUE</formula>
    </cfRule>
  </conditionalFormatting>
  <conditionalFormatting sqref="I22">
    <cfRule type="expression" dxfId="304" priority="336">
      <formula>$G23=TRUE</formula>
    </cfRule>
  </conditionalFormatting>
  <conditionalFormatting sqref="I22">
    <cfRule type="expression" dxfId="303" priority="335">
      <formula>$G23=TRUE</formula>
    </cfRule>
  </conditionalFormatting>
  <conditionalFormatting sqref="I22">
    <cfRule type="expression" dxfId="302" priority="334">
      <formula>$G23=TRUE</formula>
    </cfRule>
  </conditionalFormatting>
  <conditionalFormatting sqref="I22">
    <cfRule type="expression" dxfId="301" priority="333">
      <formula>$G23=TRUE</formula>
    </cfRule>
  </conditionalFormatting>
  <conditionalFormatting sqref="K25">
    <cfRule type="expression" dxfId="300" priority="331">
      <formula>$G25=TRUE</formula>
    </cfRule>
  </conditionalFormatting>
  <conditionalFormatting sqref="I25:J25">
    <cfRule type="expression" dxfId="299" priority="332">
      <formula>$G25=TRUE</formula>
    </cfRule>
  </conditionalFormatting>
  <conditionalFormatting sqref="K25">
    <cfRule type="expression" dxfId="298" priority="330">
      <formula>$G25=TRUE</formula>
    </cfRule>
  </conditionalFormatting>
  <conditionalFormatting sqref="K25">
    <cfRule type="expression" dxfId="297" priority="329">
      <formula>$G25=TRUE</formula>
    </cfRule>
  </conditionalFormatting>
  <conditionalFormatting sqref="K25">
    <cfRule type="expression" dxfId="296" priority="328">
      <formula>$G25=TRUE</formula>
    </cfRule>
  </conditionalFormatting>
  <conditionalFormatting sqref="K25">
    <cfRule type="expression" dxfId="295" priority="327">
      <formula>$G25=TRUE</formula>
    </cfRule>
  </conditionalFormatting>
  <conditionalFormatting sqref="K25">
    <cfRule type="expression" dxfId="294" priority="326">
      <formula>$G25=TRUE</formula>
    </cfRule>
  </conditionalFormatting>
  <conditionalFormatting sqref="I25">
    <cfRule type="expression" dxfId="293" priority="325">
      <formula>$G25=TRUE</formula>
    </cfRule>
  </conditionalFormatting>
  <conditionalFormatting sqref="I25">
    <cfRule type="expression" dxfId="292" priority="324">
      <formula>$G25=TRUE</formula>
    </cfRule>
  </conditionalFormatting>
  <conditionalFormatting sqref="I25">
    <cfRule type="expression" dxfId="291" priority="323">
      <formula>$G25=TRUE</formula>
    </cfRule>
  </conditionalFormatting>
  <conditionalFormatting sqref="I25">
    <cfRule type="expression" dxfId="290" priority="322">
      <formula>$G25=TRUE</formula>
    </cfRule>
  </conditionalFormatting>
  <conditionalFormatting sqref="I25">
    <cfRule type="expression" dxfId="289" priority="321">
      <formula>$G25=TRUE</formula>
    </cfRule>
  </conditionalFormatting>
  <conditionalFormatting sqref="I25">
    <cfRule type="expression" dxfId="288" priority="320">
      <formula>$G25=TRUE</formula>
    </cfRule>
  </conditionalFormatting>
  <conditionalFormatting sqref="I25">
    <cfRule type="expression" dxfId="287" priority="319">
      <formula>$G25=TRUE</formula>
    </cfRule>
  </conditionalFormatting>
  <conditionalFormatting sqref="I25">
    <cfRule type="expression" dxfId="286" priority="318">
      <formula>$G25=TRUE</formula>
    </cfRule>
  </conditionalFormatting>
  <conditionalFormatting sqref="K27">
    <cfRule type="expression" dxfId="285" priority="316">
      <formula>$G27=TRUE</formula>
    </cfRule>
  </conditionalFormatting>
  <conditionalFormatting sqref="I27:J27">
    <cfRule type="expression" dxfId="284" priority="317">
      <formula>$G27=TRUE</formula>
    </cfRule>
  </conditionalFormatting>
  <conditionalFormatting sqref="K27">
    <cfRule type="expression" dxfId="283" priority="315">
      <formula>$G27=TRUE</formula>
    </cfRule>
  </conditionalFormatting>
  <conditionalFormatting sqref="K27">
    <cfRule type="expression" dxfId="282" priority="314">
      <formula>$G27=TRUE</formula>
    </cfRule>
  </conditionalFormatting>
  <conditionalFormatting sqref="K27">
    <cfRule type="expression" dxfId="281" priority="313">
      <formula>$G27=TRUE</formula>
    </cfRule>
  </conditionalFormatting>
  <conditionalFormatting sqref="K27">
    <cfRule type="expression" dxfId="280" priority="312">
      <formula>$G27=TRUE</formula>
    </cfRule>
  </conditionalFormatting>
  <conditionalFormatting sqref="K27">
    <cfRule type="expression" dxfId="279" priority="311">
      <formula>$G27=TRUE</formula>
    </cfRule>
  </conditionalFormatting>
  <conditionalFormatting sqref="I27">
    <cfRule type="expression" dxfId="278" priority="310">
      <formula>$G27=TRUE</formula>
    </cfRule>
  </conditionalFormatting>
  <conditionalFormatting sqref="I27">
    <cfRule type="expression" dxfId="277" priority="309">
      <formula>$G27=TRUE</formula>
    </cfRule>
  </conditionalFormatting>
  <conditionalFormatting sqref="I27">
    <cfRule type="expression" dxfId="276" priority="308">
      <formula>$G27=TRUE</formula>
    </cfRule>
  </conditionalFormatting>
  <conditionalFormatting sqref="I27">
    <cfRule type="expression" dxfId="275" priority="307">
      <formula>$G27=TRUE</formula>
    </cfRule>
  </conditionalFormatting>
  <conditionalFormatting sqref="I27">
    <cfRule type="expression" dxfId="274" priority="306">
      <formula>$G27=TRUE</formula>
    </cfRule>
  </conditionalFormatting>
  <conditionalFormatting sqref="I27">
    <cfRule type="expression" dxfId="273" priority="305">
      <formula>$G27=TRUE</formula>
    </cfRule>
  </conditionalFormatting>
  <conditionalFormatting sqref="I27">
    <cfRule type="expression" dxfId="272" priority="304">
      <formula>$G27=TRUE</formula>
    </cfRule>
  </conditionalFormatting>
  <conditionalFormatting sqref="I27">
    <cfRule type="expression" dxfId="271" priority="303">
      <formula>$G27=TRUE</formula>
    </cfRule>
  </conditionalFormatting>
  <conditionalFormatting sqref="I34:K34">
    <cfRule type="expression" dxfId="270" priority="302">
      <formula>$G34=TRUE</formula>
    </cfRule>
  </conditionalFormatting>
  <conditionalFormatting sqref="K40">
    <cfRule type="expression" dxfId="269" priority="300">
      <formula>$G40=TRUE</formula>
    </cfRule>
  </conditionalFormatting>
  <conditionalFormatting sqref="I40:J40">
    <cfRule type="expression" dxfId="268" priority="299">
      <formula>$G40=TRUE</formula>
    </cfRule>
  </conditionalFormatting>
  <conditionalFormatting sqref="K33">
    <cfRule type="expression" dxfId="267" priority="297">
      <formula>$G33=TRUE</formula>
    </cfRule>
  </conditionalFormatting>
  <conditionalFormatting sqref="I33:J33">
    <cfRule type="expression" dxfId="266" priority="298">
      <formula>$G33=TRUE</formula>
    </cfRule>
  </conditionalFormatting>
  <conditionalFormatting sqref="K34">
    <cfRule type="expression" dxfId="265" priority="294">
      <formula>$G34=TRUE</formula>
    </cfRule>
  </conditionalFormatting>
  <conditionalFormatting sqref="K33">
    <cfRule type="expression" dxfId="264" priority="292">
      <formula>$G33=TRUE</formula>
    </cfRule>
  </conditionalFormatting>
  <conditionalFormatting sqref="K34">
    <cfRule type="expression" dxfId="263" priority="291">
      <formula>$G34=TRUE</formula>
    </cfRule>
  </conditionalFormatting>
  <conditionalFormatting sqref="K33">
    <cfRule type="expression" dxfId="262" priority="289">
      <formula>$G33=TRUE</formula>
    </cfRule>
  </conditionalFormatting>
  <conditionalFormatting sqref="K34">
    <cfRule type="expression" dxfId="261" priority="288">
      <formula>$G34=TRUE</formula>
    </cfRule>
  </conditionalFormatting>
  <conditionalFormatting sqref="K33">
    <cfRule type="expression" dxfId="260" priority="286">
      <formula>$G33=TRUE</formula>
    </cfRule>
  </conditionalFormatting>
  <conditionalFormatting sqref="K34">
    <cfRule type="expression" dxfId="259" priority="285">
      <formula>$G34=TRUE</formula>
    </cfRule>
  </conditionalFormatting>
  <conditionalFormatting sqref="K33">
    <cfRule type="expression" dxfId="258" priority="283">
      <formula>$G33=TRUE</formula>
    </cfRule>
  </conditionalFormatting>
  <conditionalFormatting sqref="K34">
    <cfRule type="expression" dxfId="257" priority="282">
      <formula>$G34=TRUE</formula>
    </cfRule>
  </conditionalFormatting>
  <conditionalFormatting sqref="K33">
    <cfRule type="expression" dxfId="256" priority="280">
      <formula>$G33=TRUE</formula>
    </cfRule>
  </conditionalFormatting>
  <conditionalFormatting sqref="I34">
    <cfRule type="expression" dxfId="255" priority="279">
      <formula>$G34=TRUE</formula>
    </cfRule>
  </conditionalFormatting>
  <conditionalFormatting sqref="I33">
    <cfRule type="expression" dxfId="254" priority="278">
      <formula>$G33=TRUE</formula>
    </cfRule>
  </conditionalFormatting>
  <conditionalFormatting sqref="I34">
    <cfRule type="expression" dxfId="253" priority="276">
      <formula>$G34=TRUE</formula>
    </cfRule>
  </conditionalFormatting>
  <conditionalFormatting sqref="I33">
    <cfRule type="expression" dxfId="252" priority="275">
      <formula>$G33=TRUE</formula>
    </cfRule>
  </conditionalFormatting>
  <conditionalFormatting sqref="I34">
    <cfRule type="expression" dxfId="251" priority="273">
      <formula>$G34=TRUE</formula>
    </cfRule>
  </conditionalFormatting>
  <conditionalFormatting sqref="I33">
    <cfRule type="expression" dxfId="250" priority="272">
      <formula>$G33=TRUE</formula>
    </cfRule>
  </conditionalFormatting>
  <conditionalFormatting sqref="I34">
    <cfRule type="expression" dxfId="249" priority="270">
      <formula>$G34=TRUE</formula>
    </cfRule>
  </conditionalFormatting>
  <conditionalFormatting sqref="I33">
    <cfRule type="expression" dxfId="248" priority="269">
      <formula>$G33=TRUE</formula>
    </cfRule>
  </conditionalFormatting>
  <conditionalFormatting sqref="I34">
    <cfRule type="expression" dxfId="247" priority="267">
      <formula>$G34=TRUE</formula>
    </cfRule>
  </conditionalFormatting>
  <conditionalFormatting sqref="I33">
    <cfRule type="expression" dxfId="246" priority="266">
      <formula>$G33=TRUE</formula>
    </cfRule>
  </conditionalFormatting>
  <conditionalFormatting sqref="I34">
    <cfRule type="expression" dxfId="245" priority="264">
      <formula>$G34=TRUE</formula>
    </cfRule>
  </conditionalFormatting>
  <conditionalFormatting sqref="I33">
    <cfRule type="expression" dxfId="244" priority="263">
      <formula>$G33=TRUE</formula>
    </cfRule>
  </conditionalFormatting>
  <conditionalFormatting sqref="I34">
    <cfRule type="expression" dxfId="243" priority="261">
      <formula>$G34=TRUE</formula>
    </cfRule>
  </conditionalFormatting>
  <conditionalFormatting sqref="I33">
    <cfRule type="expression" dxfId="242" priority="260">
      <formula>$G33=TRUE</formula>
    </cfRule>
  </conditionalFormatting>
  <conditionalFormatting sqref="I34">
    <cfRule type="expression" dxfId="241" priority="258">
      <formula>$G34=TRUE</formula>
    </cfRule>
  </conditionalFormatting>
  <conditionalFormatting sqref="I33">
    <cfRule type="expression" dxfId="240" priority="257">
      <formula>$G33=TRUE</formula>
    </cfRule>
  </conditionalFormatting>
  <conditionalFormatting sqref="K35">
    <cfRule type="expression" dxfId="239" priority="254">
      <formula>$G35=TRUE</formula>
    </cfRule>
  </conditionalFormatting>
  <conditionalFormatting sqref="I35:J35">
    <cfRule type="expression" dxfId="238" priority="255">
      <formula>$G35=TRUE</formula>
    </cfRule>
  </conditionalFormatting>
  <conditionalFormatting sqref="K35">
    <cfRule type="expression" dxfId="237" priority="253">
      <formula>$G35=TRUE</formula>
    </cfRule>
  </conditionalFormatting>
  <conditionalFormatting sqref="K35">
    <cfRule type="expression" dxfId="236" priority="252">
      <formula>$G35=TRUE</formula>
    </cfRule>
  </conditionalFormatting>
  <conditionalFormatting sqref="K35">
    <cfRule type="expression" dxfId="235" priority="251">
      <formula>$G35=TRUE</formula>
    </cfRule>
  </conditionalFormatting>
  <conditionalFormatting sqref="K35">
    <cfRule type="expression" dxfId="234" priority="250">
      <formula>$G35=TRUE</formula>
    </cfRule>
  </conditionalFormatting>
  <conditionalFormatting sqref="K35">
    <cfRule type="expression" dxfId="233" priority="249">
      <formula>$G35=TRUE</formula>
    </cfRule>
  </conditionalFormatting>
  <conditionalFormatting sqref="I35">
    <cfRule type="expression" dxfId="232" priority="248">
      <formula>$G35=TRUE</formula>
    </cfRule>
  </conditionalFormatting>
  <conditionalFormatting sqref="I35">
    <cfRule type="expression" dxfId="231" priority="247">
      <formula>$G35=TRUE</formula>
    </cfRule>
  </conditionalFormatting>
  <conditionalFormatting sqref="I35">
    <cfRule type="expression" dxfId="230" priority="246">
      <formula>$G35=TRUE</formula>
    </cfRule>
  </conditionalFormatting>
  <conditionalFormatting sqref="I35">
    <cfRule type="expression" dxfId="229" priority="245">
      <formula>$G35=TRUE</formula>
    </cfRule>
  </conditionalFormatting>
  <conditionalFormatting sqref="I35">
    <cfRule type="expression" dxfId="228" priority="244">
      <formula>$G35=TRUE</formula>
    </cfRule>
  </conditionalFormatting>
  <conditionalFormatting sqref="I35">
    <cfRule type="expression" dxfId="227" priority="243">
      <formula>$G35=TRUE</formula>
    </cfRule>
  </conditionalFormatting>
  <conditionalFormatting sqref="I35">
    <cfRule type="expression" dxfId="226" priority="242">
      <formula>$G35=TRUE</formula>
    </cfRule>
  </conditionalFormatting>
  <conditionalFormatting sqref="I35">
    <cfRule type="expression" dxfId="225" priority="241">
      <formula>$G35=TRUE</formula>
    </cfRule>
  </conditionalFormatting>
  <conditionalFormatting sqref="K37">
    <cfRule type="expression" dxfId="224" priority="239">
      <formula>$G37=TRUE</formula>
    </cfRule>
  </conditionalFormatting>
  <conditionalFormatting sqref="I37:J37">
    <cfRule type="expression" dxfId="223" priority="240">
      <formula>$G37=TRUE</formula>
    </cfRule>
  </conditionalFormatting>
  <conditionalFormatting sqref="K37">
    <cfRule type="expression" dxfId="222" priority="238">
      <formula>$G37=TRUE</formula>
    </cfRule>
  </conditionalFormatting>
  <conditionalFormatting sqref="K37">
    <cfRule type="expression" dxfId="221" priority="237">
      <formula>$G37=TRUE</formula>
    </cfRule>
  </conditionalFormatting>
  <conditionalFormatting sqref="K37">
    <cfRule type="expression" dxfId="220" priority="236">
      <formula>$G37=TRUE</formula>
    </cfRule>
  </conditionalFormatting>
  <conditionalFormatting sqref="K37">
    <cfRule type="expression" dxfId="219" priority="235">
      <formula>$G37=TRUE</formula>
    </cfRule>
  </conditionalFormatting>
  <conditionalFormatting sqref="K37">
    <cfRule type="expression" dxfId="218" priority="234">
      <formula>$G37=TRUE</formula>
    </cfRule>
  </conditionalFormatting>
  <conditionalFormatting sqref="I37">
    <cfRule type="expression" dxfId="217" priority="233">
      <formula>$G37=TRUE</formula>
    </cfRule>
  </conditionalFormatting>
  <conditionalFormatting sqref="I37">
    <cfRule type="expression" dxfId="216" priority="232">
      <formula>$G37=TRUE</formula>
    </cfRule>
  </conditionalFormatting>
  <conditionalFormatting sqref="I37">
    <cfRule type="expression" dxfId="215" priority="231">
      <formula>$G37=TRUE</formula>
    </cfRule>
  </conditionalFormatting>
  <conditionalFormatting sqref="I37">
    <cfRule type="expression" dxfId="214" priority="230">
      <formula>$G37=TRUE</formula>
    </cfRule>
  </conditionalFormatting>
  <conditionalFormatting sqref="I37">
    <cfRule type="expression" dxfId="213" priority="229">
      <formula>$G37=TRUE</formula>
    </cfRule>
  </conditionalFormatting>
  <conditionalFormatting sqref="I37">
    <cfRule type="expression" dxfId="212" priority="228">
      <formula>$G37=TRUE</formula>
    </cfRule>
  </conditionalFormatting>
  <conditionalFormatting sqref="I37">
    <cfRule type="expression" dxfId="211" priority="227">
      <formula>$G37=TRUE</formula>
    </cfRule>
  </conditionalFormatting>
  <conditionalFormatting sqref="I37">
    <cfRule type="expression" dxfId="210" priority="226">
      <formula>$G37=TRUE</formula>
    </cfRule>
  </conditionalFormatting>
  <conditionalFormatting sqref="K39">
    <cfRule type="expression" dxfId="209" priority="224">
      <formula>$G39=TRUE</formula>
    </cfRule>
  </conditionalFormatting>
  <conditionalFormatting sqref="I39:J39">
    <cfRule type="expression" dxfId="208" priority="225">
      <formula>$G39=TRUE</formula>
    </cfRule>
  </conditionalFormatting>
  <conditionalFormatting sqref="K39">
    <cfRule type="expression" dxfId="207" priority="223">
      <formula>$G39=TRUE</formula>
    </cfRule>
  </conditionalFormatting>
  <conditionalFormatting sqref="K39">
    <cfRule type="expression" dxfId="206" priority="222">
      <formula>$G39=TRUE</formula>
    </cfRule>
  </conditionalFormatting>
  <conditionalFormatting sqref="K39">
    <cfRule type="expression" dxfId="205" priority="221">
      <formula>$G39=TRUE</formula>
    </cfRule>
  </conditionalFormatting>
  <conditionalFormatting sqref="K39">
    <cfRule type="expression" dxfId="204" priority="220">
      <formula>$G39=TRUE</formula>
    </cfRule>
  </conditionalFormatting>
  <conditionalFormatting sqref="K39">
    <cfRule type="expression" dxfId="203" priority="219">
      <formula>$G39=TRUE</formula>
    </cfRule>
  </conditionalFormatting>
  <conditionalFormatting sqref="I39">
    <cfRule type="expression" dxfId="202" priority="218">
      <formula>$G39=TRUE</formula>
    </cfRule>
  </conditionalFormatting>
  <conditionalFormatting sqref="I39">
    <cfRule type="expression" dxfId="201" priority="217">
      <formula>$G39=TRUE</formula>
    </cfRule>
  </conditionalFormatting>
  <conditionalFormatting sqref="I39">
    <cfRule type="expression" dxfId="200" priority="216">
      <formula>$G39=TRUE</formula>
    </cfRule>
  </conditionalFormatting>
  <conditionalFormatting sqref="I39">
    <cfRule type="expression" dxfId="199" priority="215">
      <formula>$G39=TRUE</formula>
    </cfRule>
  </conditionalFormatting>
  <conditionalFormatting sqref="I39">
    <cfRule type="expression" dxfId="198" priority="214">
      <formula>$G39=TRUE</formula>
    </cfRule>
  </conditionalFormatting>
  <conditionalFormatting sqref="I39">
    <cfRule type="expression" dxfId="197" priority="213">
      <formula>$G39=TRUE</formula>
    </cfRule>
  </conditionalFormatting>
  <conditionalFormatting sqref="I39">
    <cfRule type="expression" dxfId="196" priority="212">
      <formula>$G39=TRUE</formula>
    </cfRule>
  </conditionalFormatting>
  <conditionalFormatting sqref="I39">
    <cfRule type="expression" dxfId="195" priority="211">
      <formula>$G39=TRUE</formula>
    </cfRule>
  </conditionalFormatting>
  <conditionalFormatting sqref="K41">
    <cfRule type="expression" dxfId="194" priority="209">
      <formula>$G41=TRUE</formula>
    </cfRule>
  </conditionalFormatting>
  <conditionalFormatting sqref="I41:J41">
    <cfRule type="expression" dxfId="193" priority="210">
      <formula>$G41=TRUE</formula>
    </cfRule>
  </conditionalFormatting>
  <conditionalFormatting sqref="K41">
    <cfRule type="expression" dxfId="192" priority="208">
      <formula>$G41=TRUE</formula>
    </cfRule>
  </conditionalFormatting>
  <conditionalFormatting sqref="K41">
    <cfRule type="expression" dxfId="191" priority="207">
      <formula>$G41=TRUE</formula>
    </cfRule>
  </conditionalFormatting>
  <conditionalFormatting sqref="K41">
    <cfRule type="expression" dxfId="190" priority="206">
      <formula>$G41=TRUE</formula>
    </cfRule>
  </conditionalFormatting>
  <conditionalFormatting sqref="K41">
    <cfRule type="expression" dxfId="189" priority="205">
      <formula>$G41=TRUE</formula>
    </cfRule>
  </conditionalFormatting>
  <conditionalFormatting sqref="K41">
    <cfRule type="expression" dxfId="188" priority="204">
      <formula>$G41=TRUE</formula>
    </cfRule>
  </conditionalFormatting>
  <conditionalFormatting sqref="I41">
    <cfRule type="expression" dxfId="187" priority="203">
      <formula>$G41=TRUE</formula>
    </cfRule>
  </conditionalFormatting>
  <conditionalFormatting sqref="I41">
    <cfRule type="expression" dxfId="186" priority="202">
      <formula>$G41=TRUE</formula>
    </cfRule>
  </conditionalFormatting>
  <conditionalFormatting sqref="I41">
    <cfRule type="expression" dxfId="185" priority="201">
      <formula>$G41=TRUE</formula>
    </cfRule>
  </conditionalFormatting>
  <conditionalFormatting sqref="I41">
    <cfRule type="expression" dxfId="184" priority="200">
      <formula>$G41=TRUE</formula>
    </cfRule>
  </conditionalFormatting>
  <conditionalFormatting sqref="I41">
    <cfRule type="expression" dxfId="183" priority="199">
      <formula>$G41=TRUE</formula>
    </cfRule>
  </conditionalFormatting>
  <conditionalFormatting sqref="I41">
    <cfRule type="expression" dxfId="182" priority="198">
      <formula>$G41=TRUE</formula>
    </cfRule>
  </conditionalFormatting>
  <conditionalFormatting sqref="I41">
    <cfRule type="expression" dxfId="181" priority="197">
      <formula>$G41=TRUE</formula>
    </cfRule>
  </conditionalFormatting>
  <conditionalFormatting sqref="I41">
    <cfRule type="expression" dxfId="180" priority="196">
      <formula>$G41=TRUE</formula>
    </cfRule>
  </conditionalFormatting>
  <conditionalFormatting sqref="I48:K48">
    <cfRule type="expression" dxfId="179" priority="195">
      <formula>$G48=TRUE</formula>
    </cfRule>
  </conditionalFormatting>
  <conditionalFormatting sqref="K54">
    <cfRule type="expression" dxfId="178" priority="193">
      <formula>$G54=TRUE</formula>
    </cfRule>
  </conditionalFormatting>
  <conditionalFormatting sqref="I54:J54">
    <cfRule type="expression" dxfId="177" priority="192">
      <formula>$G54=TRUE</formula>
    </cfRule>
  </conditionalFormatting>
  <conditionalFormatting sqref="K47">
    <cfRule type="expression" dxfId="176" priority="190">
      <formula>$G47=TRUE</formula>
    </cfRule>
  </conditionalFormatting>
  <conditionalFormatting sqref="I47:J47">
    <cfRule type="expression" dxfId="175" priority="191">
      <formula>$G47=TRUE</formula>
    </cfRule>
  </conditionalFormatting>
  <conditionalFormatting sqref="K48">
    <cfRule type="expression" dxfId="174" priority="187">
      <formula>$G48=TRUE</formula>
    </cfRule>
  </conditionalFormatting>
  <conditionalFormatting sqref="K47">
    <cfRule type="expression" dxfId="173" priority="185">
      <formula>$G47=TRUE</formula>
    </cfRule>
  </conditionalFormatting>
  <conditionalFormatting sqref="K48">
    <cfRule type="expression" dxfId="172" priority="184">
      <formula>$G48=TRUE</formula>
    </cfRule>
  </conditionalFormatting>
  <conditionalFormatting sqref="K47">
    <cfRule type="expression" dxfId="171" priority="182">
      <formula>$G47=TRUE</formula>
    </cfRule>
  </conditionalFormatting>
  <conditionalFormatting sqref="K48">
    <cfRule type="expression" dxfId="170" priority="181">
      <formula>$G48=TRUE</formula>
    </cfRule>
  </conditionalFormatting>
  <conditionalFormatting sqref="K47">
    <cfRule type="expression" dxfId="169" priority="179">
      <formula>$G47=TRUE</formula>
    </cfRule>
  </conditionalFormatting>
  <conditionalFormatting sqref="K48">
    <cfRule type="expression" dxfId="168" priority="178">
      <formula>$G48=TRUE</formula>
    </cfRule>
  </conditionalFormatting>
  <conditionalFormatting sqref="K47">
    <cfRule type="expression" dxfId="167" priority="176">
      <formula>$G47=TRUE</formula>
    </cfRule>
  </conditionalFormatting>
  <conditionalFormatting sqref="K48">
    <cfRule type="expression" dxfId="166" priority="175">
      <formula>$G48=TRUE</formula>
    </cfRule>
  </conditionalFormatting>
  <conditionalFormatting sqref="K47">
    <cfRule type="expression" dxfId="165" priority="173">
      <formula>$G47=TRUE</formula>
    </cfRule>
  </conditionalFormatting>
  <conditionalFormatting sqref="I48">
    <cfRule type="expression" dxfId="164" priority="172">
      <formula>$G48=TRUE</formula>
    </cfRule>
  </conditionalFormatting>
  <conditionalFormatting sqref="I47">
    <cfRule type="expression" dxfId="163" priority="171">
      <formula>$G47=TRUE</formula>
    </cfRule>
  </conditionalFormatting>
  <conditionalFormatting sqref="I48">
    <cfRule type="expression" dxfId="162" priority="169">
      <formula>$G48=TRUE</formula>
    </cfRule>
  </conditionalFormatting>
  <conditionalFormatting sqref="I47">
    <cfRule type="expression" dxfId="161" priority="168">
      <formula>$G47=TRUE</formula>
    </cfRule>
  </conditionalFormatting>
  <conditionalFormatting sqref="I48">
    <cfRule type="expression" dxfId="160" priority="166">
      <formula>$G48=TRUE</formula>
    </cfRule>
  </conditionalFormatting>
  <conditionalFormatting sqref="I47">
    <cfRule type="expression" dxfId="159" priority="165">
      <formula>$G47=TRUE</formula>
    </cfRule>
  </conditionalFormatting>
  <conditionalFormatting sqref="I48">
    <cfRule type="expression" dxfId="158" priority="163">
      <formula>$G48=TRUE</formula>
    </cfRule>
  </conditionalFormatting>
  <conditionalFormatting sqref="I47">
    <cfRule type="expression" dxfId="157" priority="162">
      <formula>$G47=TRUE</formula>
    </cfRule>
  </conditionalFormatting>
  <conditionalFormatting sqref="I48">
    <cfRule type="expression" dxfId="156" priority="160">
      <formula>$G48=TRUE</formula>
    </cfRule>
  </conditionalFormatting>
  <conditionalFormatting sqref="I47">
    <cfRule type="expression" dxfId="155" priority="159">
      <formula>$G47=TRUE</formula>
    </cfRule>
  </conditionalFormatting>
  <conditionalFormatting sqref="I48">
    <cfRule type="expression" dxfId="154" priority="157">
      <formula>$G48=TRUE</formula>
    </cfRule>
  </conditionalFormatting>
  <conditionalFormatting sqref="I47">
    <cfRule type="expression" dxfId="153" priority="156">
      <formula>$G47=TRUE</formula>
    </cfRule>
  </conditionalFormatting>
  <conditionalFormatting sqref="I48">
    <cfRule type="expression" dxfId="152" priority="154">
      <formula>$G48=TRUE</formula>
    </cfRule>
  </conditionalFormatting>
  <conditionalFormatting sqref="I47">
    <cfRule type="expression" dxfId="151" priority="153">
      <formula>$G47=TRUE</formula>
    </cfRule>
  </conditionalFormatting>
  <conditionalFormatting sqref="I48">
    <cfRule type="expression" dxfId="150" priority="151">
      <formula>$G48=TRUE</formula>
    </cfRule>
  </conditionalFormatting>
  <conditionalFormatting sqref="I47">
    <cfRule type="expression" dxfId="149" priority="150">
      <formula>$G47=TRUE</formula>
    </cfRule>
  </conditionalFormatting>
  <conditionalFormatting sqref="K49">
    <cfRule type="expression" dxfId="148" priority="147">
      <formula>$G49=TRUE</formula>
    </cfRule>
  </conditionalFormatting>
  <conditionalFormatting sqref="I49:J49">
    <cfRule type="expression" dxfId="147" priority="148">
      <formula>$G49=TRUE</formula>
    </cfRule>
  </conditionalFormatting>
  <conditionalFormatting sqref="K49">
    <cfRule type="expression" dxfId="146" priority="146">
      <formula>$G49=TRUE</formula>
    </cfRule>
  </conditionalFormatting>
  <conditionalFormatting sqref="K49">
    <cfRule type="expression" dxfId="145" priority="145">
      <formula>$G49=TRUE</formula>
    </cfRule>
  </conditionalFormatting>
  <conditionalFormatting sqref="K49">
    <cfRule type="expression" dxfId="144" priority="144">
      <formula>$G49=TRUE</formula>
    </cfRule>
  </conditionalFormatting>
  <conditionalFormatting sqref="K49">
    <cfRule type="expression" dxfId="143" priority="143">
      <formula>$G49=TRUE</formula>
    </cfRule>
  </conditionalFormatting>
  <conditionalFormatting sqref="K49">
    <cfRule type="expression" dxfId="142" priority="142">
      <formula>$G49=TRUE</formula>
    </cfRule>
  </conditionalFormatting>
  <conditionalFormatting sqref="I49">
    <cfRule type="expression" dxfId="141" priority="141">
      <formula>$G49=TRUE</formula>
    </cfRule>
  </conditionalFormatting>
  <conditionalFormatting sqref="I49">
    <cfRule type="expression" dxfId="140" priority="140">
      <formula>$G49=TRUE</formula>
    </cfRule>
  </conditionalFormatting>
  <conditionalFormatting sqref="I49">
    <cfRule type="expression" dxfId="139" priority="139">
      <formula>$G49=TRUE</formula>
    </cfRule>
  </conditionalFormatting>
  <conditionalFormatting sqref="I49">
    <cfRule type="expression" dxfId="138" priority="138">
      <formula>$G49=TRUE</formula>
    </cfRule>
  </conditionalFormatting>
  <conditionalFormatting sqref="I49">
    <cfRule type="expression" dxfId="137" priority="137">
      <formula>$G49=TRUE</formula>
    </cfRule>
  </conditionalFormatting>
  <conditionalFormatting sqref="I49">
    <cfRule type="expression" dxfId="136" priority="136">
      <formula>$G49=TRUE</formula>
    </cfRule>
  </conditionalFormatting>
  <conditionalFormatting sqref="I49">
    <cfRule type="expression" dxfId="135" priority="135">
      <formula>$G49=TRUE</formula>
    </cfRule>
  </conditionalFormatting>
  <conditionalFormatting sqref="I49">
    <cfRule type="expression" dxfId="134" priority="134">
      <formula>$G49=TRUE</formula>
    </cfRule>
  </conditionalFormatting>
  <conditionalFormatting sqref="K51">
    <cfRule type="expression" dxfId="133" priority="132">
      <formula>$G51=TRUE</formula>
    </cfRule>
  </conditionalFormatting>
  <conditionalFormatting sqref="I51:J51">
    <cfRule type="expression" dxfId="132" priority="133">
      <formula>$G51=TRUE</formula>
    </cfRule>
  </conditionalFormatting>
  <conditionalFormatting sqref="K51">
    <cfRule type="expression" dxfId="131" priority="131">
      <formula>$G51=TRUE</formula>
    </cfRule>
  </conditionalFormatting>
  <conditionalFormatting sqref="K51">
    <cfRule type="expression" dxfId="130" priority="130">
      <formula>$G51=TRUE</formula>
    </cfRule>
  </conditionalFormatting>
  <conditionalFormatting sqref="K51">
    <cfRule type="expression" dxfId="129" priority="129">
      <formula>$G51=TRUE</formula>
    </cfRule>
  </conditionalFormatting>
  <conditionalFormatting sqref="K51">
    <cfRule type="expression" dxfId="128" priority="128">
      <formula>$G51=TRUE</formula>
    </cfRule>
  </conditionalFormatting>
  <conditionalFormatting sqref="K51">
    <cfRule type="expression" dxfId="127" priority="127">
      <formula>$G51=TRUE</formula>
    </cfRule>
  </conditionalFormatting>
  <conditionalFormatting sqref="I51">
    <cfRule type="expression" dxfId="126" priority="126">
      <formula>$G51=TRUE</formula>
    </cfRule>
  </conditionalFormatting>
  <conditionalFormatting sqref="I51">
    <cfRule type="expression" dxfId="125" priority="125">
      <formula>$G51=TRUE</formula>
    </cfRule>
  </conditionalFormatting>
  <conditionalFormatting sqref="I51">
    <cfRule type="expression" dxfId="124" priority="124">
      <formula>$G51=TRUE</formula>
    </cfRule>
  </conditionalFormatting>
  <conditionalFormatting sqref="I51">
    <cfRule type="expression" dxfId="123" priority="123">
      <formula>$G51=TRUE</formula>
    </cfRule>
  </conditionalFormatting>
  <conditionalFormatting sqref="I51">
    <cfRule type="expression" dxfId="122" priority="122">
      <formula>$G51=TRUE</formula>
    </cfRule>
  </conditionalFormatting>
  <conditionalFormatting sqref="I51">
    <cfRule type="expression" dxfId="121" priority="121">
      <formula>$G51=TRUE</formula>
    </cfRule>
  </conditionalFormatting>
  <conditionalFormatting sqref="I51">
    <cfRule type="expression" dxfId="120" priority="120">
      <formula>$G51=TRUE</formula>
    </cfRule>
  </conditionalFormatting>
  <conditionalFormatting sqref="I51">
    <cfRule type="expression" dxfId="119" priority="119">
      <formula>$G51=TRUE</formula>
    </cfRule>
  </conditionalFormatting>
  <conditionalFormatting sqref="K53">
    <cfRule type="expression" dxfId="118" priority="117">
      <formula>$G53=TRUE</formula>
    </cfRule>
  </conditionalFormatting>
  <conditionalFormatting sqref="I53:J53">
    <cfRule type="expression" dxfId="117" priority="118">
      <formula>$G53=TRUE</formula>
    </cfRule>
  </conditionalFormatting>
  <conditionalFormatting sqref="K53">
    <cfRule type="expression" dxfId="116" priority="116">
      <formula>$G53=TRUE</formula>
    </cfRule>
  </conditionalFormatting>
  <conditionalFormatting sqref="K53">
    <cfRule type="expression" dxfId="115" priority="115">
      <formula>$G53=TRUE</formula>
    </cfRule>
  </conditionalFormatting>
  <conditionalFormatting sqref="K53">
    <cfRule type="expression" dxfId="114" priority="114">
      <formula>$G53=TRUE</formula>
    </cfRule>
  </conditionalFormatting>
  <conditionalFormatting sqref="K53">
    <cfRule type="expression" dxfId="113" priority="113">
      <formula>$G53=TRUE</formula>
    </cfRule>
  </conditionalFormatting>
  <conditionalFormatting sqref="K53">
    <cfRule type="expression" dxfId="112" priority="112">
      <formula>$G53=TRUE</formula>
    </cfRule>
  </conditionalFormatting>
  <conditionalFormatting sqref="I53">
    <cfRule type="expression" dxfId="111" priority="111">
      <formula>$G53=TRUE</formula>
    </cfRule>
  </conditionalFormatting>
  <conditionalFormatting sqref="I53">
    <cfRule type="expression" dxfId="110" priority="110">
      <formula>$G53=TRUE</formula>
    </cfRule>
  </conditionalFormatting>
  <conditionalFormatting sqref="I53">
    <cfRule type="expression" dxfId="109" priority="109">
      <formula>$G53=TRUE</formula>
    </cfRule>
  </conditionalFormatting>
  <conditionalFormatting sqref="I53">
    <cfRule type="expression" dxfId="108" priority="108">
      <formula>$G53=TRUE</formula>
    </cfRule>
  </conditionalFormatting>
  <conditionalFormatting sqref="I53">
    <cfRule type="expression" dxfId="107" priority="107">
      <formula>$G53=TRUE</formula>
    </cfRule>
  </conditionalFormatting>
  <conditionalFormatting sqref="I53">
    <cfRule type="expression" dxfId="106" priority="106">
      <formula>$G53=TRUE</formula>
    </cfRule>
  </conditionalFormatting>
  <conditionalFormatting sqref="I53">
    <cfRule type="expression" dxfId="105" priority="105">
      <formula>$G53=TRUE</formula>
    </cfRule>
  </conditionalFormatting>
  <conditionalFormatting sqref="I53">
    <cfRule type="expression" dxfId="104" priority="104">
      <formula>$G53=TRUE</formula>
    </cfRule>
  </conditionalFormatting>
  <conditionalFormatting sqref="K55">
    <cfRule type="expression" dxfId="103" priority="102">
      <formula>$G55=TRUE</formula>
    </cfRule>
  </conditionalFormatting>
  <conditionalFormatting sqref="I55:J55">
    <cfRule type="expression" dxfId="102" priority="103">
      <formula>$G55=TRUE</formula>
    </cfRule>
  </conditionalFormatting>
  <conditionalFormatting sqref="K55">
    <cfRule type="expression" dxfId="101" priority="101">
      <formula>$G55=TRUE</formula>
    </cfRule>
  </conditionalFormatting>
  <conditionalFormatting sqref="K55">
    <cfRule type="expression" dxfId="100" priority="100">
      <formula>$G55=TRUE</formula>
    </cfRule>
  </conditionalFormatting>
  <conditionalFormatting sqref="K55">
    <cfRule type="expression" dxfId="99" priority="99">
      <formula>$G55=TRUE</formula>
    </cfRule>
  </conditionalFormatting>
  <conditionalFormatting sqref="K55">
    <cfRule type="expression" dxfId="98" priority="98">
      <formula>$G55=TRUE</formula>
    </cfRule>
  </conditionalFormatting>
  <conditionalFormatting sqref="K55">
    <cfRule type="expression" dxfId="97" priority="97">
      <formula>$G55=TRUE</formula>
    </cfRule>
  </conditionalFormatting>
  <conditionalFormatting sqref="I55">
    <cfRule type="expression" dxfId="96" priority="96">
      <formula>$G55=TRUE</formula>
    </cfRule>
  </conditionalFormatting>
  <conditionalFormatting sqref="I55">
    <cfRule type="expression" dxfId="95" priority="95">
      <formula>$G55=TRUE</formula>
    </cfRule>
  </conditionalFormatting>
  <conditionalFormatting sqref="I55">
    <cfRule type="expression" dxfId="94" priority="94">
      <formula>$G55=TRUE</formula>
    </cfRule>
  </conditionalFormatting>
  <conditionalFormatting sqref="I55">
    <cfRule type="expression" dxfId="93" priority="93">
      <formula>$G55=TRUE</formula>
    </cfRule>
  </conditionalFormatting>
  <conditionalFormatting sqref="I55">
    <cfRule type="expression" dxfId="92" priority="92">
      <formula>$G55=TRUE</formula>
    </cfRule>
  </conditionalFormatting>
  <conditionalFormatting sqref="I55">
    <cfRule type="expression" dxfId="91" priority="91">
      <formula>$G55=TRUE</formula>
    </cfRule>
  </conditionalFormatting>
  <conditionalFormatting sqref="I55">
    <cfRule type="expression" dxfId="90" priority="90">
      <formula>$G55=TRUE</formula>
    </cfRule>
  </conditionalFormatting>
  <conditionalFormatting sqref="I55">
    <cfRule type="expression" dxfId="89" priority="89">
      <formula>$G55=TRUE</formula>
    </cfRule>
  </conditionalFormatting>
  <conditionalFormatting sqref="I62:K62">
    <cfRule type="expression" dxfId="88" priority="88">
      <formula>$G62=TRUE</formula>
    </cfRule>
  </conditionalFormatting>
  <conditionalFormatting sqref="K61">
    <cfRule type="expression" dxfId="87" priority="86">
      <formula>$G61=TRUE</formula>
    </cfRule>
  </conditionalFormatting>
  <conditionalFormatting sqref="I61:J61">
    <cfRule type="expression" dxfId="86" priority="87">
      <formula>$G61=TRUE</formula>
    </cfRule>
  </conditionalFormatting>
  <conditionalFormatting sqref="K62">
    <cfRule type="expression" dxfId="85" priority="85">
      <formula>$G62=TRUE</formula>
    </cfRule>
  </conditionalFormatting>
  <conditionalFormatting sqref="K61">
    <cfRule type="expression" dxfId="84" priority="84">
      <formula>$G61=TRUE</formula>
    </cfRule>
  </conditionalFormatting>
  <conditionalFormatting sqref="K62">
    <cfRule type="expression" dxfId="83" priority="83">
      <formula>$G62=TRUE</formula>
    </cfRule>
  </conditionalFormatting>
  <conditionalFormatting sqref="K61">
    <cfRule type="expression" dxfId="82" priority="82">
      <formula>$G61=TRUE</formula>
    </cfRule>
  </conditionalFormatting>
  <conditionalFormatting sqref="K62">
    <cfRule type="expression" dxfId="81" priority="81">
      <formula>$G62=TRUE</formula>
    </cfRule>
  </conditionalFormatting>
  <conditionalFormatting sqref="K61">
    <cfRule type="expression" dxfId="80" priority="80">
      <formula>$G61=TRUE</formula>
    </cfRule>
  </conditionalFormatting>
  <conditionalFormatting sqref="K62">
    <cfRule type="expression" dxfId="79" priority="79">
      <formula>$G62=TRUE</formula>
    </cfRule>
  </conditionalFormatting>
  <conditionalFormatting sqref="K61">
    <cfRule type="expression" dxfId="78" priority="78">
      <formula>$G61=TRUE</formula>
    </cfRule>
  </conditionalFormatting>
  <conditionalFormatting sqref="K62">
    <cfRule type="expression" dxfId="77" priority="77">
      <formula>$G62=TRUE</formula>
    </cfRule>
  </conditionalFormatting>
  <conditionalFormatting sqref="K61">
    <cfRule type="expression" dxfId="76" priority="76">
      <formula>$G61=TRUE</formula>
    </cfRule>
  </conditionalFormatting>
  <conditionalFormatting sqref="I62">
    <cfRule type="expression" dxfId="75" priority="75">
      <formula>$G62=TRUE</formula>
    </cfRule>
  </conditionalFormatting>
  <conditionalFormatting sqref="I61">
    <cfRule type="expression" dxfId="74" priority="74">
      <formula>$G61=TRUE</formula>
    </cfRule>
  </conditionalFormatting>
  <conditionalFormatting sqref="I62">
    <cfRule type="expression" dxfId="73" priority="73">
      <formula>$G62=TRUE</formula>
    </cfRule>
  </conditionalFormatting>
  <conditionalFormatting sqref="I61">
    <cfRule type="expression" dxfId="72" priority="72">
      <formula>$G61=TRUE</formula>
    </cfRule>
  </conditionalFormatting>
  <conditionalFormatting sqref="I62">
    <cfRule type="expression" dxfId="71" priority="71">
      <formula>$G62=TRUE</formula>
    </cfRule>
  </conditionalFormatting>
  <conditionalFormatting sqref="I61">
    <cfRule type="expression" dxfId="70" priority="70">
      <formula>$G61=TRUE</formula>
    </cfRule>
  </conditionalFormatting>
  <conditionalFormatting sqref="I62">
    <cfRule type="expression" dxfId="69" priority="69">
      <formula>$G62=TRUE</formula>
    </cfRule>
  </conditionalFormatting>
  <conditionalFormatting sqref="I61">
    <cfRule type="expression" dxfId="68" priority="68">
      <formula>$G61=TRUE</formula>
    </cfRule>
  </conditionalFormatting>
  <conditionalFormatting sqref="I62">
    <cfRule type="expression" dxfId="67" priority="67">
      <formula>$G62=TRUE</formula>
    </cfRule>
  </conditionalFormatting>
  <conditionalFormatting sqref="I61">
    <cfRule type="expression" dxfId="66" priority="66">
      <formula>$G61=TRUE</formula>
    </cfRule>
  </conditionalFormatting>
  <conditionalFormatting sqref="I62">
    <cfRule type="expression" dxfId="65" priority="65">
      <formula>$G62=TRUE</formula>
    </cfRule>
  </conditionalFormatting>
  <conditionalFormatting sqref="I61">
    <cfRule type="expression" dxfId="64" priority="64">
      <formula>$G61=TRUE</formula>
    </cfRule>
  </conditionalFormatting>
  <conditionalFormatting sqref="I62">
    <cfRule type="expression" dxfId="63" priority="63">
      <formula>$G62=TRUE</formula>
    </cfRule>
  </conditionalFormatting>
  <conditionalFormatting sqref="I61">
    <cfRule type="expression" dxfId="62" priority="62">
      <formula>$G61=TRUE</formula>
    </cfRule>
  </conditionalFormatting>
  <conditionalFormatting sqref="I62">
    <cfRule type="expression" dxfId="61" priority="61">
      <formula>$G62=TRUE</formula>
    </cfRule>
  </conditionalFormatting>
  <conditionalFormatting sqref="I61">
    <cfRule type="expression" dxfId="60" priority="60">
      <formula>$G61=TRUE</formula>
    </cfRule>
  </conditionalFormatting>
  <conditionalFormatting sqref="K63">
    <cfRule type="expression" dxfId="59" priority="58">
      <formula>$G63=TRUE</formula>
    </cfRule>
  </conditionalFormatting>
  <conditionalFormatting sqref="I63:J63">
    <cfRule type="expression" dxfId="58" priority="59">
      <formula>$G63=TRUE</formula>
    </cfRule>
  </conditionalFormatting>
  <conditionalFormatting sqref="K63">
    <cfRule type="expression" dxfId="57" priority="57">
      <formula>$G63=TRUE</formula>
    </cfRule>
  </conditionalFormatting>
  <conditionalFormatting sqref="K63">
    <cfRule type="expression" dxfId="56" priority="56">
      <formula>$G63=TRUE</formula>
    </cfRule>
  </conditionalFormatting>
  <conditionalFormatting sqref="K63">
    <cfRule type="expression" dxfId="55" priority="55">
      <formula>$G63=TRUE</formula>
    </cfRule>
  </conditionalFormatting>
  <conditionalFormatting sqref="K63">
    <cfRule type="expression" dxfId="54" priority="54">
      <formula>$G63=TRUE</formula>
    </cfRule>
  </conditionalFormatting>
  <conditionalFormatting sqref="K63">
    <cfRule type="expression" dxfId="53" priority="53">
      <formula>$G63=TRUE</formula>
    </cfRule>
  </conditionalFormatting>
  <conditionalFormatting sqref="I63">
    <cfRule type="expression" dxfId="52" priority="52">
      <formula>$G63=TRUE</formula>
    </cfRule>
  </conditionalFormatting>
  <conditionalFormatting sqref="I63">
    <cfRule type="expression" dxfId="51" priority="51">
      <formula>$G63=TRUE</formula>
    </cfRule>
  </conditionalFormatting>
  <conditionalFormatting sqref="I63">
    <cfRule type="expression" dxfId="50" priority="50">
      <formula>$G63=TRUE</formula>
    </cfRule>
  </conditionalFormatting>
  <conditionalFormatting sqref="I63">
    <cfRule type="expression" dxfId="49" priority="49">
      <formula>$G63=TRUE</formula>
    </cfRule>
  </conditionalFormatting>
  <conditionalFormatting sqref="I63">
    <cfRule type="expression" dxfId="48" priority="48">
      <formula>$G63=TRUE</formula>
    </cfRule>
  </conditionalFormatting>
  <conditionalFormatting sqref="I63">
    <cfRule type="expression" dxfId="47" priority="47">
      <formula>$G63=TRUE</formula>
    </cfRule>
  </conditionalFormatting>
  <conditionalFormatting sqref="I63">
    <cfRule type="expression" dxfId="46" priority="46">
      <formula>$G63=TRUE</formula>
    </cfRule>
  </conditionalFormatting>
  <conditionalFormatting sqref="I63">
    <cfRule type="expression" dxfId="45" priority="45">
      <formula>$G63=TRUE</formula>
    </cfRule>
  </conditionalFormatting>
  <conditionalFormatting sqref="J7">
    <cfRule type="expression" dxfId="44" priority="44">
      <formula>$G7=TRUE</formula>
    </cfRule>
  </conditionalFormatting>
  <conditionalFormatting sqref="J34">
    <cfRule type="expression" dxfId="43" priority="43">
      <formula>$G34=TRUE</formula>
    </cfRule>
  </conditionalFormatting>
  <conditionalFormatting sqref="J34">
    <cfRule type="expression" dxfId="42" priority="42">
      <formula>$G34=TRUE</formula>
    </cfRule>
  </conditionalFormatting>
  <conditionalFormatting sqref="J44">
    <cfRule type="expression" dxfId="41" priority="41">
      <formula>$G44=TRUE</formula>
    </cfRule>
  </conditionalFormatting>
  <conditionalFormatting sqref="J46">
    <cfRule type="expression" dxfId="40" priority="40">
      <formula>$G46=TRUE</formula>
    </cfRule>
  </conditionalFormatting>
  <conditionalFormatting sqref="J48">
    <cfRule type="expression" dxfId="39" priority="39">
      <formula>$G48=TRUE</formula>
    </cfRule>
  </conditionalFormatting>
  <conditionalFormatting sqref="J48">
    <cfRule type="expression" dxfId="38" priority="38">
      <formula>$G48=TRUE</formula>
    </cfRule>
  </conditionalFormatting>
  <conditionalFormatting sqref="J58">
    <cfRule type="expression" dxfId="37" priority="37">
      <formula>$G58=TRUE</formula>
    </cfRule>
  </conditionalFormatting>
  <conditionalFormatting sqref="J60">
    <cfRule type="expression" dxfId="36" priority="36">
      <formula>$G60=TRUE</formula>
    </cfRule>
  </conditionalFormatting>
  <conditionalFormatting sqref="J62">
    <cfRule type="expression" dxfId="35" priority="35">
      <formula>$G62=TRUE</formula>
    </cfRule>
  </conditionalFormatting>
  <conditionalFormatting sqref="J62">
    <cfRule type="expression" dxfId="34" priority="34">
      <formula>$G62=TRUE</formula>
    </cfRule>
  </conditionalFormatting>
  <conditionalFormatting sqref="I32">
    <cfRule type="expression" dxfId="33" priority="33">
      <formula>$G32=TRUE</formula>
    </cfRule>
  </conditionalFormatting>
  <conditionalFormatting sqref="K23">
    <cfRule type="expression" dxfId="32" priority="32">
      <formula>$G24=TRUE</formula>
    </cfRule>
  </conditionalFormatting>
  <conditionalFormatting sqref="I23:J23">
    <cfRule type="expression" dxfId="31" priority="31">
      <formula>$G24=TRUE</formula>
    </cfRule>
  </conditionalFormatting>
  <conditionalFormatting sqref="J21">
    <cfRule type="expression" dxfId="30" priority="30">
      <formula>$G22=TRUE</formula>
    </cfRule>
  </conditionalFormatting>
  <conditionalFormatting sqref="K21">
    <cfRule type="expression" dxfId="29" priority="29">
      <formula>$G22=TRUE</formula>
    </cfRule>
  </conditionalFormatting>
  <conditionalFormatting sqref="I21:J21">
    <cfRule type="expression" dxfId="28" priority="28">
      <formula>$G22=TRUE</formula>
    </cfRule>
  </conditionalFormatting>
  <conditionalFormatting sqref="J19">
    <cfRule type="expression" dxfId="27" priority="27">
      <formula>$G20=TRUE</formula>
    </cfRule>
  </conditionalFormatting>
  <conditionalFormatting sqref="K19">
    <cfRule type="expression" dxfId="26" priority="26">
      <formula>$G20=TRUE</formula>
    </cfRule>
  </conditionalFormatting>
  <conditionalFormatting sqref="I19:J19">
    <cfRule type="expression" dxfId="25" priority="25">
      <formula>$G20=TRUE</formula>
    </cfRule>
  </conditionalFormatting>
  <conditionalFormatting sqref="K17">
    <cfRule type="expression" dxfId="24" priority="24">
      <formula>$G18=TRUE</formula>
    </cfRule>
  </conditionalFormatting>
  <conditionalFormatting sqref="I17:J17">
    <cfRule type="expression" dxfId="23" priority="23">
      <formula>$G18=TRUE</formula>
    </cfRule>
  </conditionalFormatting>
  <conditionalFormatting sqref="K15">
    <cfRule type="expression" dxfId="22" priority="22">
      <formula>$G16=TRUE</formula>
    </cfRule>
  </conditionalFormatting>
  <conditionalFormatting sqref="I15:J15">
    <cfRule type="expression" dxfId="21" priority="21">
      <formula>$G16=TRUE</formula>
    </cfRule>
  </conditionalFormatting>
  <conditionalFormatting sqref="K10">
    <cfRule type="expression" dxfId="20" priority="20">
      <formula>$G10=TRUE</formula>
    </cfRule>
  </conditionalFormatting>
  <conditionalFormatting sqref="I10:J10">
    <cfRule type="expression" dxfId="19" priority="19">
      <formula>$G10=TRUE</formula>
    </cfRule>
  </conditionalFormatting>
  <conditionalFormatting sqref="J8">
    <cfRule type="expression" dxfId="18" priority="18">
      <formula>$G8=TRUE</formula>
    </cfRule>
  </conditionalFormatting>
  <conditionalFormatting sqref="K8">
    <cfRule type="expression" dxfId="17" priority="17">
      <formula>$G8=TRUE</formula>
    </cfRule>
  </conditionalFormatting>
  <conditionalFormatting sqref="I8:J8">
    <cfRule type="expression" dxfId="16" priority="16">
      <formula>$G8=TRUE</formula>
    </cfRule>
  </conditionalFormatting>
  <conditionalFormatting sqref="J6">
    <cfRule type="expression" dxfId="15" priority="15">
      <formula>$G6=TRUE</formula>
    </cfRule>
  </conditionalFormatting>
  <conditionalFormatting sqref="K6">
    <cfRule type="expression" dxfId="14" priority="14">
      <formula>$G6=TRUE</formula>
    </cfRule>
  </conditionalFormatting>
  <conditionalFormatting sqref="I6:J6">
    <cfRule type="expression" dxfId="13" priority="13">
      <formula>$G6=TRUE</formula>
    </cfRule>
  </conditionalFormatting>
  <conditionalFormatting sqref="J36">
    <cfRule type="expression" dxfId="12" priority="12">
      <formula>$G36=TRUE</formula>
    </cfRule>
  </conditionalFormatting>
  <conditionalFormatting sqref="K36">
    <cfRule type="expression" dxfId="11" priority="11">
      <formula>$G36=TRUE</formula>
    </cfRule>
  </conditionalFormatting>
  <conditionalFormatting sqref="I36:J36">
    <cfRule type="expression" dxfId="10" priority="10">
      <formula>$G36=TRUE</formula>
    </cfRule>
  </conditionalFormatting>
  <conditionalFormatting sqref="K38">
    <cfRule type="expression" dxfId="9" priority="9">
      <formula>$G38=TRUE</formula>
    </cfRule>
  </conditionalFormatting>
  <conditionalFormatting sqref="I38:J38">
    <cfRule type="expression" dxfId="8" priority="8">
      <formula>$G38=TRUE</formula>
    </cfRule>
  </conditionalFormatting>
  <conditionalFormatting sqref="J50">
    <cfRule type="expression" dxfId="7" priority="7">
      <formula>$G50=TRUE</formula>
    </cfRule>
  </conditionalFormatting>
  <conditionalFormatting sqref="K50">
    <cfRule type="expression" dxfId="6" priority="6">
      <formula>$G50=TRUE</formula>
    </cfRule>
  </conditionalFormatting>
  <conditionalFormatting sqref="I50:J50">
    <cfRule type="expression" dxfId="5" priority="5">
      <formula>$G50=TRUE</formula>
    </cfRule>
  </conditionalFormatting>
  <conditionalFormatting sqref="K52">
    <cfRule type="expression" dxfId="4" priority="4">
      <formula>$G52=TRUE</formula>
    </cfRule>
  </conditionalFormatting>
  <conditionalFormatting sqref="I52:J52">
    <cfRule type="expression" dxfId="3" priority="3">
      <formula>$G52=TRUE</formula>
    </cfRule>
  </conditionalFormatting>
  <conditionalFormatting sqref="K64">
    <cfRule type="expression" dxfId="2" priority="2">
      <formula>$G64=TRUE</formula>
    </cfRule>
  </conditionalFormatting>
  <conditionalFormatting sqref="I64:J64">
    <cfRule type="expression" dxfId="1" priority="1">
      <formula>$G64=TRUE</formula>
    </cfRule>
  </conditionalFormatting>
  <conditionalFormatting sqref="J15:J23">
    <cfRule type="expression" dxfId="0" priority="5591">
      <formula>OR(AND($J15="",OR($I15&lt;&gt;"",$K15&lt;&gt;"")),$AC16=FALSE)</formula>
    </cfRule>
  </conditionalFormatting>
  <dataValidations count="8">
    <dataValidation type="list" allowBlank="1" showInputMessage="1" showErrorMessage="1" sqref="B4" xr:uid="{93C95B8B-757D-4FD9-9275-1AE36221FA82}">
      <formula1>"2024,2025,2026"</formula1>
    </dataValidation>
    <dataValidation type="list" allowBlank="1" showInputMessage="1" showErrorMessage="1" sqref="B5" xr:uid="{9C2D11B5-483D-4E97-952B-3E24F584B6A4}">
      <formula1>"1,2,3,4,5,6,7,8,9,10,11,12"</formula1>
    </dataValidation>
    <dataValidation type="list" allowBlank="1" showInputMessage="1" showErrorMessage="1" sqref="A2:B2" xr:uid="{442E9619-3D0E-4326-BAB2-A235D2E628C9}">
      <formula1>ddLocation</formula1>
    </dataValidation>
    <dataValidation allowBlank="1" showInputMessage="1" sqref="AB5:AB66" xr:uid="{4F878779-FF30-4273-AABB-76191DC76541}"/>
    <dataValidation type="list" allowBlank="1" showInputMessage="1" sqref="I25:I66 I5:I23" xr:uid="{A8ECC3D5-82C7-40EF-9BB0-6222E9CC0332}">
      <formula1>INDIRECT("parameters!$C$3:$C$" &amp; drp_cc + 2)</formula1>
    </dataValidation>
    <dataValidation type="list" allowBlank="1" showInputMessage="1" showErrorMessage="1" error="The value has to be 1 or 0.5 (0,5)!" sqref="K25:K66 K5:K23" xr:uid="{16FC5BF9-23E5-4805-A877-776D98AB9ADA}">
      <formula1>para_time</formula1>
    </dataValidation>
    <dataValidation type="list" allowBlank="1" showInputMessage="1" showErrorMessage="1" sqref="J5:J14 J25:J66" xr:uid="{14C789F5-55C3-4B13-B364-8960A5731792}">
      <formula1>INDIRECT("spec_"&amp;$Z5&amp;"_"&amp;$AA5)</formula1>
    </dataValidation>
    <dataValidation type="list" allowBlank="1" showInputMessage="1" showErrorMessage="1" sqref="J15:J23" xr:uid="{0108B441-73ED-42D1-B515-A545416CAC97}">
      <formula1>INDIRECT("spec_"&amp;$Z16&amp;"_"&amp;$AA16)</formula1>
    </dataValidation>
  </dataValidations>
  <hyperlinks>
    <hyperlink ref="Q2" r:id="rId1" display="Open Intranet (project tracker)" xr:uid="{00000000-0004-0000-0000-000000000000}"/>
    <hyperlink ref="Q2:U2" r:id="rId2" display="download latest version (Sharepoint)" xr:uid="{00000000-0004-0000-0000-000001000000}"/>
  </hyperlinks>
  <pageMargins left="0.5" right="0.39370078740157483" top="0.98425196850393704" bottom="0.98425196850393704" header="0.51181102362204722" footer="0.51181102362204722"/>
  <pageSetup paperSize="9" scale="56" orientation="portrait" r:id="rId3"/>
  <headerFooter alignWithMargins="0">
    <oddFooter>&amp;C_x000D_&amp;1#&amp;"Calibri"&amp;10&amp;K000000 Internal</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7172" r:id="rId6" name="update_pn_summary">
              <controlPr defaultSize="0" print="0" autoFill="0" autoPict="0" macro="[0]!validate">
                <anchor moveWithCells="1" sizeWithCells="1">
                  <from>
                    <xdr:col>2</xdr:col>
                    <xdr:colOff>76200</xdr:colOff>
                    <xdr:row>70</xdr:row>
                    <xdr:rowOff>19050</xdr:rowOff>
                  </from>
                  <to>
                    <xdr:col>7</xdr:col>
                    <xdr:colOff>152400</xdr:colOff>
                    <xdr:row>85</xdr:row>
                    <xdr:rowOff>0</xdr:rowOff>
                  </to>
                </anchor>
              </controlPr>
            </control>
          </mc:Choice>
        </mc:AlternateContent>
        <mc:AlternateContent xmlns:mc="http://schemas.openxmlformats.org/markup-compatibility/2006">
          <mc:Choice Requires="x14">
            <control shapeId="7176" r:id="rId7" name="Check Box 8">
              <controlPr defaultSize="0" autoFill="0" autoLine="0" autoPict="0">
                <anchor moveWithCells="1">
                  <from>
                    <xdr:col>13</xdr:col>
                    <xdr:colOff>28575</xdr:colOff>
                    <xdr:row>68</xdr:row>
                    <xdr:rowOff>142875</xdr:rowOff>
                  </from>
                  <to>
                    <xdr:col>14</xdr:col>
                    <xdr:colOff>57150</xdr:colOff>
                    <xdr:row>70</xdr:row>
                    <xdr:rowOff>28575</xdr:rowOff>
                  </to>
                </anchor>
              </controlPr>
            </control>
          </mc:Choice>
        </mc:AlternateContent>
        <mc:AlternateContent xmlns:mc="http://schemas.openxmlformats.org/markup-compatibility/2006">
          <mc:Choice Requires="x14">
            <control shapeId="7178" r:id="rId8" name="Button 10">
              <controlPr defaultSize="0" print="0" autoFill="0" autoPict="0" macro="[0]!DieseArbeitsmappe.setMyName">
                <anchor moveWithCells="1" sizeWithCells="1">
                  <from>
                    <xdr:col>8</xdr:col>
                    <xdr:colOff>95250</xdr:colOff>
                    <xdr:row>0</xdr:row>
                    <xdr:rowOff>209550</xdr:rowOff>
                  </from>
                  <to>
                    <xdr:col>8</xdr:col>
                    <xdr:colOff>1171575</xdr:colOff>
                    <xdr:row>1</xdr:row>
                    <xdr:rowOff>104775</xdr:rowOff>
                  </to>
                </anchor>
              </controlPr>
            </control>
          </mc:Choice>
        </mc:AlternateContent>
        <mc:AlternateContent xmlns:mc="http://schemas.openxmlformats.org/markup-compatibility/2006">
          <mc:Choice Requires="x14">
            <control shapeId="7186" r:id="rId9" name="Button 18">
              <controlPr defaultSize="0" print="0" autoFill="0" autoPict="0" macro="[0]!sendEmailsoftware">
                <anchor moveWithCells="1" sizeWithCells="1">
                  <from>
                    <xdr:col>12</xdr:col>
                    <xdr:colOff>238125</xdr:colOff>
                    <xdr:row>94</xdr:row>
                    <xdr:rowOff>85725</xdr:rowOff>
                  </from>
                  <to>
                    <xdr:col>12</xdr:col>
                    <xdr:colOff>2133600</xdr:colOff>
                    <xdr:row>96</xdr:row>
                    <xdr:rowOff>57150</xdr:rowOff>
                  </to>
                </anchor>
              </controlPr>
            </control>
          </mc:Choice>
        </mc:AlternateContent>
        <mc:AlternateContent xmlns:mc="http://schemas.openxmlformats.org/markup-compatibility/2006">
          <mc:Choice Requires="x14">
            <control shapeId="7189" r:id="rId10" name="Button 21">
              <controlPr defaultSize="0" print="0" autoFill="0" autoPict="0" macro="[0]!DieseArbeitsmappe.update_projectnumber_suggestions">
                <anchor moveWithCells="1" sizeWithCells="1">
                  <from>
                    <xdr:col>18</xdr:col>
                    <xdr:colOff>314325</xdr:colOff>
                    <xdr:row>22</xdr:row>
                    <xdr:rowOff>85725</xdr:rowOff>
                  </from>
                  <to>
                    <xdr:col>19</xdr:col>
                    <xdr:colOff>9525</xdr:colOff>
                    <xdr:row>26</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tabColor rgb="FF4E6A87"/>
  </sheetPr>
  <dimension ref="A1:W5145"/>
  <sheetViews>
    <sheetView showGridLines="0" zoomScaleNormal="100" workbookViewId="0">
      <pane ySplit="3" topLeftCell="A4" activePane="bottomLeft" state="frozen"/>
      <selection activeCell="F1" sqref="F1"/>
      <selection pane="bottomLeft" activeCell="B3" sqref="B3"/>
    </sheetView>
  </sheetViews>
  <sheetFormatPr defaultColWidth="9.28515625" defaultRowHeight="12.75"/>
  <cols>
    <col min="1" max="1" width="16" style="91" customWidth="1"/>
    <col min="2" max="2" width="23" style="91" customWidth="1"/>
    <col min="3" max="3" width="23.5703125" style="91" customWidth="1"/>
    <col min="4" max="4" width="38.42578125" style="91" customWidth="1"/>
    <col min="5" max="5" width="19.7109375" style="91" customWidth="1"/>
    <col min="6" max="6" width="23.5703125" style="91" customWidth="1"/>
    <col min="7" max="7" width="14.28515625" style="91" customWidth="1"/>
    <col min="8" max="8" width="11.5703125" style="91" customWidth="1"/>
    <col min="9" max="10" width="11.7109375" style="91" customWidth="1"/>
    <col min="11" max="11" width="21" style="93" bestFit="1" customWidth="1"/>
    <col min="12" max="12" width="24.5703125" style="91" customWidth="1"/>
    <col min="13" max="13" width="14.42578125" style="91" customWidth="1"/>
    <col min="14" max="14" width="20" style="91" bestFit="1" customWidth="1"/>
    <col min="15" max="15" width="72.85546875" style="91" bestFit="1" customWidth="1"/>
    <col min="16" max="16" width="49.42578125" style="117" customWidth="1"/>
    <col min="17" max="17" width="114.28515625" style="95" bestFit="1" customWidth="1"/>
    <col min="18" max="18" width="18.7109375" style="91" customWidth="1"/>
    <col min="19" max="19" width="15.42578125" style="91" customWidth="1"/>
    <col min="20" max="20" width="16.140625" style="91" customWidth="1"/>
    <col min="21" max="21" width="78.85546875" style="91" bestFit="1" customWidth="1"/>
    <col min="22" max="22" width="14.140625" style="91" bestFit="1" customWidth="1"/>
    <col min="23" max="23" width="28.85546875" style="91" bestFit="1" customWidth="1"/>
    <col min="24" max="16384" width="9.28515625" style="91"/>
  </cols>
  <sheetData>
    <row r="1" spans="1:23" ht="20.25">
      <c r="A1" s="90" t="s">
        <v>68</v>
      </c>
      <c r="D1" s="92" t="s">
        <v>4742</v>
      </c>
      <c r="E1" s="96" t="s">
        <v>71</v>
      </c>
      <c r="F1" s="108" t="s">
        <v>76</v>
      </c>
      <c r="L1" s="112"/>
      <c r="M1" s="112"/>
      <c r="N1" s="112"/>
      <c r="O1" s="112"/>
      <c r="Q1" s="91"/>
    </row>
    <row r="2" spans="1:23">
      <c r="E2" s="96" t="s">
        <v>72</v>
      </c>
      <c r="F2" s="108" t="s">
        <v>3590</v>
      </c>
      <c r="L2" s="112"/>
      <c r="M2" s="112"/>
      <c r="N2" s="112"/>
      <c r="O2" s="112"/>
      <c r="Q2" s="91"/>
    </row>
    <row r="3" spans="1:23">
      <c r="A3" s="94" t="s">
        <v>69</v>
      </c>
      <c r="B3" s="100" t="s">
        <v>137</v>
      </c>
      <c r="C3" s="100" t="s">
        <v>95</v>
      </c>
      <c r="D3" s="100" t="s">
        <v>37</v>
      </c>
      <c r="E3" s="94" t="s">
        <v>80</v>
      </c>
      <c r="F3" s="94" t="s">
        <v>81</v>
      </c>
      <c r="G3" s="94" t="s">
        <v>82</v>
      </c>
      <c r="H3" s="100" t="s">
        <v>85</v>
      </c>
      <c r="I3" s="94" t="s">
        <v>83</v>
      </c>
      <c r="J3" s="94" t="s">
        <v>179</v>
      </c>
      <c r="K3" s="100" t="s">
        <v>40</v>
      </c>
      <c r="L3" s="123" t="s">
        <v>140</v>
      </c>
      <c r="M3" s="97" t="s">
        <v>73</v>
      </c>
      <c r="N3" s="100" t="s">
        <v>70</v>
      </c>
      <c r="O3" s="100" t="s">
        <v>96</v>
      </c>
      <c r="P3" s="118" t="s">
        <v>84</v>
      </c>
      <c r="Q3" s="116" t="s">
        <v>141</v>
      </c>
      <c r="R3" s="100" t="s">
        <v>47</v>
      </c>
      <c r="S3" s="100" t="s">
        <v>174</v>
      </c>
      <c r="T3" s="100" t="s">
        <v>142</v>
      </c>
      <c r="U3" s="100" t="s">
        <v>3722</v>
      </c>
      <c r="V3" s="100" t="s">
        <v>136</v>
      </c>
      <c r="W3" s="100" t="s">
        <v>176</v>
      </c>
    </row>
    <row r="4" spans="1:23">
      <c r="A4" s="93" t="str">
        <f>TEXT(tblProjectlist[[#This Row],[project-no]],"0")</f>
        <v>0</v>
      </c>
      <c r="H4" s="91">
        <v>6093</v>
      </c>
      <c r="I4" s="91">
        <v>4</v>
      </c>
      <c r="J4" s="91">
        <v>2</v>
      </c>
      <c r="K4" s="91"/>
      <c r="L4" s="91" t="s">
        <v>2175</v>
      </c>
      <c r="M4" s="91" t="s">
        <v>4</v>
      </c>
      <c r="Q4" s="91"/>
      <c r="S4" s="91" t="s">
        <v>143</v>
      </c>
      <c r="T4" s="91" t="s">
        <v>4042</v>
      </c>
      <c r="V4" s="91" t="s">
        <v>155</v>
      </c>
      <c r="W4" s="91" t="s">
        <v>180</v>
      </c>
    </row>
    <row r="5" spans="1:23">
      <c r="A5" s="93" t="str">
        <f>TEXT(tblProjectlist[[#This Row],[project-no]],"0")</f>
        <v>0</v>
      </c>
      <c r="H5" s="91">
        <v>6093</v>
      </c>
      <c r="I5" s="91">
        <v>9</v>
      </c>
      <c r="J5" s="91">
        <v>2</v>
      </c>
      <c r="K5" s="91"/>
      <c r="L5" s="91" t="s">
        <v>2175</v>
      </c>
      <c r="M5" s="91" t="s">
        <v>4</v>
      </c>
      <c r="Q5" s="91"/>
      <c r="S5" s="91" t="s">
        <v>143</v>
      </c>
      <c r="T5" s="91" t="s">
        <v>4553</v>
      </c>
      <c r="V5" s="91" t="s">
        <v>155</v>
      </c>
      <c r="W5" s="91" t="s">
        <v>180</v>
      </c>
    </row>
    <row r="6" spans="1:23">
      <c r="A6" s="93" t="str">
        <f>TEXT(tblProjectlist[[#This Row],[project-no]],"0")</f>
        <v>60930228</v>
      </c>
      <c r="H6" s="91">
        <v>6093</v>
      </c>
      <c r="I6" s="91">
        <v>2</v>
      </c>
      <c r="J6" s="91">
        <v>2</v>
      </c>
      <c r="K6" s="91" t="s">
        <v>822</v>
      </c>
      <c r="L6" s="91" t="s">
        <v>2175</v>
      </c>
      <c r="M6" s="91" t="s">
        <v>4</v>
      </c>
      <c r="Q6" s="91"/>
      <c r="S6" s="91" t="s">
        <v>143</v>
      </c>
      <c r="T6" s="91" t="s">
        <v>2708</v>
      </c>
      <c r="V6" s="91" t="s">
        <v>155</v>
      </c>
      <c r="W6" s="91" t="s">
        <v>180</v>
      </c>
    </row>
    <row r="7" spans="1:23">
      <c r="A7" s="93" t="str">
        <f>TEXT(tblProjectlist[[#This Row],[project-no]],"0")</f>
        <v>60930328</v>
      </c>
      <c r="H7" s="91">
        <v>6093</v>
      </c>
      <c r="I7" s="91">
        <v>3</v>
      </c>
      <c r="J7" s="91">
        <v>2</v>
      </c>
      <c r="K7" s="91" t="s">
        <v>823</v>
      </c>
      <c r="L7" s="91" t="s">
        <v>2175</v>
      </c>
      <c r="M7" s="91" t="s">
        <v>4</v>
      </c>
      <c r="Q7" s="91"/>
      <c r="S7" s="91" t="s">
        <v>143</v>
      </c>
      <c r="T7" s="91" t="s">
        <v>2709</v>
      </c>
      <c r="V7" s="91" t="s">
        <v>155</v>
      </c>
      <c r="W7" s="91" t="s">
        <v>180</v>
      </c>
    </row>
    <row r="8" spans="1:23">
      <c r="A8" s="93" t="str">
        <f>TEXT(tblProjectlist[[#This Row],[project-no]],"0")</f>
        <v>0</v>
      </c>
      <c r="H8" s="91">
        <v>6093</v>
      </c>
      <c r="I8" s="91">
        <v>5</v>
      </c>
      <c r="J8" s="91">
        <v>2</v>
      </c>
      <c r="K8" s="91"/>
      <c r="L8" s="91" t="s">
        <v>2175</v>
      </c>
      <c r="M8" s="91" t="s">
        <v>4</v>
      </c>
      <c r="Q8" s="91"/>
      <c r="S8" s="91" t="s">
        <v>143</v>
      </c>
      <c r="T8" s="91" t="s">
        <v>4077</v>
      </c>
      <c r="V8" s="91" t="s">
        <v>155</v>
      </c>
      <c r="W8" s="91" t="s">
        <v>180</v>
      </c>
    </row>
    <row r="9" spans="1:23">
      <c r="A9" s="93" t="str">
        <f>TEXT(tblProjectlist[[#This Row],[project-no]],"0")</f>
        <v>0</v>
      </c>
      <c r="H9" s="91">
        <v>6093</v>
      </c>
      <c r="I9" s="91">
        <v>6</v>
      </c>
      <c r="J9" s="91">
        <v>2</v>
      </c>
      <c r="K9" s="91"/>
      <c r="L9" s="91" t="s">
        <v>2175</v>
      </c>
      <c r="M9" s="91" t="s">
        <v>4</v>
      </c>
      <c r="Q9" s="91"/>
      <c r="S9" s="91" t="s">
        <v>143</v>
      </c>
      <c r="T9" s="91" t="s">
        <v>4078</v>
      </c>
      <c r="V9" s="91" t="s">
        <v>155</v>
      </c>
      <c r="W9" s="91" t="s">
        <v>180</v>
      </c>
    </row>
    <row r="10" spans="1:23">
      <c r="A10" s="93" t="str">
        <f>TEXT(tblProjectlist[[#This Row],[project-no]],"0")</f>
        <v>0</v>
      </c>
      <c r="H10" s="91">
        <v>6093</v>
      </c>
      <c r="I10" s="91">
        <v>7</v>
      </c>
      <c r="J10" s="91">
        <v>2</v>
      </c>
      <c r="K10" s="91"/>
      <c r="L10" s="91" t="s">
        <v>2175</v>
      </c>
      <c r="M10" s="91" t="s">
        <v>4</v>
      </c>
      <c r="Q10" s="91"/>
      <c r="S10" s="91" t="s">
        <v>143</v>
      </c>
      <c r="T10" s="91" t="s">
        <v>4079</v>
      </c>
      <c r="V10" s="91" t="s">
        <v>155</v>
      </c>
      <c r="W10" s="91" t="s">
        <v>180</v>
      </c>
    </row>
    <row r="11" spans="1:23">
      <c r="A11" s="93" t="str">
        <f>TEXT(tblProjectlist[[#This Row],[project-no]],"0")</f>
        <v>0</v>
      </c>
      <c r="H11" s="91">
        <v>6093</v>
      </c>
      <c r="I11" s="91">
        <v>8</v>
      </c>
      <c r="J11" s="91">
        <v>4</v>
      </c>
      <c r="K11" s="91"/>
      <c r="L11" s="91" t="s">
        <v>58</v>
      </c>
      <c r="M11" s="91" t="s">
        <v>1</v>
      </c>
      <c r="Q11" s="91"/>
      <c r="S11" s="91" t="s">
        <v>143</v>
      </c>
      <c r="T11" s="91" t="s">
        <v>4539</v>
      </c>
      <c r="V11" s="91" t="s">
        <v>164</v>
      </c>
      <c r="W11" s="91" t="s">
        <v>180</v>
      </c>
    </row>
    <row r="12" spans="1:23">
      <c r="A12" s="93" t="str">
        <f>TEXT(tblProjectlist[[#This Row],[project-no]],"0")</f>
        <v>0</v>
      </c>
      <c r="H12" s="91">
        <v>6093</v>
      </c>
      <c r="I12" s="91">
        <v>8</v>
      </c>
      <c r="J12" s="91">
        <v>4</v>
      </c>
      <c r="K12" s="91"/>
      <c r="L12" s="91" t="s">
        <v>58</v>
      </c>
      <c r="M12" s="91" t="s">
        <v>1</v>
      </c>
      <c r="Q12" s="91"/>
      <c r="S12" s="91" t="s">
        <v>143</v>
      </c>
      <c r="T12" s="91" t="s">
        <v>4539</v>
      </c>
      <c r="V12" s="91" t="s">
        <v>160</v>
      </c>
      <c r="W12" s="91" t="s">
        <v>180</v>
      </c>
    </row>
    <row r="13" spans="1:23">
      <c r="A13" s="93" t="str">
        <f>TEXT(tblProjectlist[[#This Row],[project-no]],"0")</f>
        <v>99980000</v>
      </c>
      <c r="B13" s="91" t="s">
        <v>100</v>
      </c>
      <c r="C13" s="91" t="s">
        <v>100</v>
      </c>
      <c r="D13" s="91" t="s">
        <v>100</v>
      </c>
      <c r="E13" s="91" t="s">
        <v>1972</v>
      </c>
      <c r="F13" s="91" t="s">
        <v>1973</v>
      </c>
      <c r="G13" s="91" t="s">
        <v>87</v>
      </c>
      <c r="H13" s="91">
        <v>1</v>
      </c>
      <c r="I13" s="91">
        <v>0</v>
      </c>
      <c r="J13" s="91">
        <v>0</v>
      </c>
      <c r="K13" s="91" t="s">
        <v>1805</v>
      </c>
      <c r="L13" s="91" t="s">
        <v>43</v>
      </c>
      <c r="M13" s="91" t="s">
        <v>1994</v>
      </c>
      <c r="N13" s="91" t="s">
        <v>2008</v>
      </c>
      <c r="O13" s="91" t="s">
        <v>1972</v>
      </c>
      <c r="Q13" s="91"/>
      <c r="S13" s="91" t="s">
        <v>138</v>
      </c>
      <c r="T13" s="91" t="s">
        <v>3355</v>
      </c>
      <c r="U13" s="91" t="s">
        <v>3356</v>
      </c>
      <c r="V13" s="91" t="s">
        <v>145</v>
      </c>
      <c r="W13" s="91" t="s">
        <v>177</v>
      </c>
    </row>
    <row r="14" spans="1:23">
      <c r="A14" s="93" t="str">
        <f>TEXT(tblProjectlist[[#This Row],[project-no]],"0")</f>
        <v>99980100</v>
      </c>
      <c r="B14" s="91" t="s">
        <v>100</v>
      </c>
      <c r="C14" s="91" t="s">
        <v>100</v>
      </c>
      <c r="D14" s="91" t="s">
        <v>100</v>
      </c>
      <c r="E14" s="91" t="s">
        <v>1972</v>
      </c>
      <c r="F14" s="91" t="s">
        <v>1974</v>
      </c>
      <c r="G14" s="91" t="s">
        <v>87</v>
      </c>
      <c r="H14" s="91">
        <v>1</v>
      </c>
      <c r="I14" s="91">
        <v>1</v>
      </c>
      <c r="J14" s="91">
        <v>0</v>
      </c>
      <c r="K14" s="91" t="s">
        <v>1806</v>
      </c>
      <c r="L14" s="91" t="s">
        <v>43</v>
      </c>
      <c r="M14" s="91" t="s">
        <v>1994</v>
      </c>
      <c r="N14" s="91" t="s">
        <v>2008</v>
      </c>
      <c r="O14" s="91" t="s">
        <v>2009</v>
      </c>
      <c r="Q14" s="91"/>
      <c r="S14" s="91" t="s">
        <v>138</v>
      </c>
      <c r="T14" s="91" t="s">
        <v>3357</v>
      </c>
      <c r="U14" s="91" t="s">
        <v>3358</v>
      </c>
      <c r="V14" s="91" t="s">
        <v>145</v>
      </c>
      <c r="W14" s="91" t="s">
        <v>180</v>
      </c>
    </row>
    <row r="15" spans="1:23">
      <c r="A15" s="93" t="str">
        <f>TEXT(tblProjectlist[[#This Row],[project-no]],"0")</f>
        <v>99980200</v>
      </c>
      <c r="B15" s="91" t="s">
        <v>100</v>
      </c>
      <c r="C15" s="91" t="s">
        <v>100</v>
      </c>
      <c r="D15" s="91" t="s">
        <v>100</v>
      </c>
      <c r="E15" s="91" t="s">
        <v>1972</v>
      </c>
      <c r="F15" s="91" t="s">
        <v>1974</v>
      </c>
      <c r="G15" s="91" t="s">
        <v>87</v>
      </c>
      <c r="H15" s="91">
        <v>1</v>
      </c>
      <c r="I15" s="91">
        <v>2</v>
      </c>
      <c r="J15" s="91">
        <v>0</v>
      </c>
      <c r="K15" s="91" t="s">
        <v>1807</v>
      </c>
      <c r="L15" s="91" t="s">
        <v>43</v>
      </c>
      <c r="M15" s="91" t="s">
        <v>1994</v>
      </c>
      <c r="N15" s="91" t="s">
        <v>2008</v>
      </c>
      <c r="O15" s="91" t="s">
        <v>2010</v>
      </c>
      <c r="Q15" s="91"/>
      <c r="S15" s="91" t="s">
        <v>138</v>
      </c>
      <c r="T15" s="91" t="s">
        <v>3359</v>
      </c>
      <c r="U15" s="91" t="s">
        <v>2010</v>
      </c>
      <c r="V15" s="91" t="s">
        <v>145</v>
      </c>
      <c r="W15" s="91" t="s">
        <v>177</v>
      </c>
    </row>
    <row r="16" spans="1:23">
      <c r="A16" s="93" t="str">
        <f>TEXT(tblProjectlist[[#This Row],[project-no]],"0")</f>
        <v>99980300</v>
      </c>
      <c r="B16" s="91" t="s">
        <v>100</v>
      </c>
      <c r="C16" s="91" t="s">
        <v>100</v>
      </c>
      <c r="D16" s="91" t="s">
        <v>100</v>
      </c>
      <c r="E16" s="91" t="s">
        <v>1972</v>
      </c>
      <c r="F16" s="91" t="s">
        <v>1973</v>
      </c>
      <c r="G16" s="91" t="s">
        <v>87</v>
      </c>
      <c r="H16" s="91">
        <v>1</v>
      </c>
      <c r="I16" s="91">
        <v>3</v>
      </c>
      <c r="J16" s="91">
        <v>0</v>
      </c>
      <c r="K16" s="91" t="s">
        <v>1808</v>
      </c>
      <c r="L16" s="91" t="s">
        <v>43</v>
      </c>
      <c r="M16" s="91" t="s">
        <v>1994</v>
      </c>
      <c r="N16" s="91" t="s">
        <v>2008</v>
      </c>
      <c r="O16" s="91" t="s">
        <v>2011</v>
      </c>
      <c r="Q16" s="91"/>
      <c r="S16" s="91" t="s">
        <v>138</v>
      </c>
      <c r="T16" s="91" t="s">
        <v>3360</v>
      </c>
      <c r="U16" s="91" t="s">
        <v>2011</v>
      </c>
      <c r="V16" s="91" t="s">
        <v>145</v>
      </c>
      <c r="W16" s="91" t="s">
        <v>177</v>
      </c>
    </row>
    <row r="17" spans="1:23">
      <c r="A17" s="93" t="str">
        <f>TEXT(tblProjectlist[[#This Row],[project-no]],"0")</f>
        <v>99981000</v>
      </c>
      <c r="B17" s="91" t="s">
        <v>100</v>
      </c>
      <c r="C17" s="91" t="s">
        <v>100</v>
      </c>
      <c r="D17" s="91" t="s">
        <v>100</v>
      </c>
      <c r="E17" s="91" t="s">
        <v>46</v>
      </c>
      <c r="F17" s="91" t="s">
        <v>1970</v>
      </c>
      <c r="G17" s="91" t="s">
        <v>87</v>
      </c>
      <c r="H17" s="91">
        <v>1</v>
      </c>
      <c r="I17" s="91">
        <v>10</v>
      </c>
      <c r="J17" s="91">
        <v>0</v>
      </c>
      <c r="K17" s="91" t="s">
        <v>1809</v>
      </c>
      <c r="L17" s="91" t="s">
        <v>43</v>
      </c>
      <c r="M17" s="91" t="s">
        <v>1994</v>
      </c>
      <c r="N17" s="91" t="s">
        <v>2008</v>
      </c>
      <c r="O17" s="91" t="s">
        <v>2012</v>
      </c>
      <c r="Q17" s="91"/>
      <c r="S17" s="91" t="s">
        <v>138</v>
      </c>
      <c r="T17" s="91" t="s">
        <v>3361</v>
      </c>
      <c r="U17" s="91" t="s">
        <v>2159</v>
      </c>
      <c r="V17" s="91" t="s">
        <v>145</v>
      </c>
      <c r="W17" s="91" t="s">
        <v>177</v>
      </c>
    </row>
    <row r="18" spans="1:23">
      <c r="A18" s="93" t="str">
        <f>TEXT(tblProjectlist[[#This Row],[project-no]],"0")</f>
        <v>99981029</v>
      </c>
      <c r="B18" s="91" t="s">
        <v>100</v>
      </c>
      <c r="C18" s="91" t="s">
        <v>100</v>
      </c>
      <c r="D18" s="91" t="s">
        <v>100</v>
      </c>
      <c r="E18" s="91" t="s">
        <v>1976</v>
      </c>
      <c r="F18" s="91" t="s">
        <v>1965</v>
      </c>
      <c r="G18" s="91" t="s">
        <v>87</v>
      </c>
      <c r="H18" s="91">
        <v>1</v>
      </c>
      <c r="I18" s="91">
        <v>10</v>
      </c>
      <c r="J18" s="91">
        <v>29</v>
      </c>
      <c r="K18" s="91" t="s">
        <v>1810</v>
      </c>
      <c r="L18" s="91" t="s">
        <v>43</v>
      </c>
      <c r="M18" s="91" t="s">
        <v>4</v>
      </c>
      <c r="N18" s="91" t="s">
        <v>4161</v>
      </c>
      <c r="O18" s="91" t="s">
        <v>2013</v>
      </c>
      <c r="Q18" s="91"/>
      <c r="S18" s="91" t="s">
        <v>138</v>
      </c>
      <c r="T18" s="91" t="s">
        <v>3362</v>
      </c>
      <c r="U18" s="91" t="s">
        <v>3363</v>
      </c>
      <c r="V18" s="91" t="s">
        <v>145</v>
      </c>
      <c r="W18" s="91" t="s">
        <v>177</v>
      </c>
    </row>
    <row r="19" spans="1:23">
      <c r="A19" s="93" t="str">
        <f>TEXT(tblProjectlist[[#This Row],[project-no]],"0")</f>
        <v>99981049</v>
      </c>
      <c r="B19" s="91" t="s">
        <v>100</v>
      </c>
      <c r="C19" s="91" t="s">
        <v>100</v>
      </c>
      <c r="D19" s="91" t="s">
        <v>100</v>
      </c>
      <c r="E19" s="91" t="s">
        <v>1971</v>
      </c>
      <c r="F19" s="91" t="s">
        <v>87</v>
      </c>
      <c r="G19" s="91" t="s">
        <v>87</v>
      </c>
      <c r="H19" s="91">
        <v>1</v>
      </c>
      <c r="I19" s="91">
        <v>10</v>
      </c>
      <c r="J19" s="91">
        <v>49</v>
      </c>
      <c r="K19" s="91" t="s">
        <v>1811</v>
      </c>
      <c r="L19" s="91" t="s">
        <v>43</v>
      </c>
      <c r="M19" s="91" t="s">
        <v>1</v>
      </c>
      <c r="N19" s="91" t="s">
        <v>4034</v>
      </c>
      <c r="O19" s="91" t="s">
        <v>2014</v>
      </c>
      <c r="Q19" s="91"/>
      <c r="S19" s="91" t="s">
        <v>138</v>
      </c>
      <c r="T19" s="91" t="s">
        <v>3364</v>
      </c>
      <c r="U19" s="91" t="s">
        <v>3365</v>
      </c>
      <c r="V19" s="91" t="s">
        <v>145</v>
      </c>
      <c r="W19" s="91" t="s">
        <v>177</v>
      </c>
    </row>
    <row r="20" spans="1:23">
      <c r="A20" s="93" t="str">
        <f>TEXT(tblProjectlist[[#This Row],[project-no]],"0")</f>
        <v>99981500</v>
      </c>
      <c r="B20" s="91" t="s">
        <v>100</v>
      </c>
      <c r="C20" s="91" t="s">
        <v>100</v>
      </c>
      <c r="D20" s="91" t="s">
        <v>100</v>
      </c>
      <c r="E20" s="91" t="s">
        <v>3602</v>
      </c>
      <c r="G20" s="91" t="s">
        <v>87</v>
      </c>
      <c r="H20" s="91">
        <v>1</v>
      </c>
      <c r="I20" s="91">
        <v>15</v>
      </c>
      <c r="J20" s="91">
        <v>0</v>
      </c>
      <c r="K20" s="91" t="s">
        <v>1812</v>
      </c>
      <c r="L20" s="91" t="s">
        <v>43</v>
      </c>
      <c r="M20" s="91" t="s">
        <v>1994</v>
      </c>
      <c r="N20" s="91" t="s">
        <v>3604</v>
      </c>
      <c r="O20" s="91" t="s">
        <v>2015</v>
      </c>
      <c r="Q20" s="91"/>
      <c r="S20" s="91" t="s">
        <v>138</v>
      </c>
      <c r="T20" s="91" t="s">
        <v>3366</v>
      </c>
      <c r="U20" s="91" t="s">
        <v>3606</v>
      </c>
      <c r="V20" s="91" t="s">
        <v>145</v>
      </c>
      <c r="W20" s="91" t="s">
        <v>177</v>
      </c>
    </row>
    <row r="21" spans="1:23">
      <c r="A21" s="93" t="str">
        <f>TEXT(tblProjectlist[[#This Row],[project-no]],"0")</f>
        <v>99981600</v>
      </c>
      <c r="B21" s="91" t="s">
        <v>100</v>
      </c>
      <c r="C21" s="91" t="s">
        <v>100</v>
      </c>
      <c r="D21" s="91" t="s">
        <v>100</v>
      </c>
      <c r="E21" s="91" t="s">
        <v>1977</v>
      </c>
      <c r="G21" s="91" t="s">
        <v>87</v>
      </c>
      <c r="H21" s="91">
        <v>1</v>
      </c>
      <c r="I21" s="91">
        <v>16</v>
      </c>
      <c r="J21" s="91">
        <v>0</v>
      </c>
      <c r="K21" s="91">
        <v>99981600</v>
      </c>
      <c r="L21" s="91" t="s">
        <v>43</v>
      </c>
      <c r="M21" s="91" t="s">
        <v>1994</v>
      </c>
      <c r="N21" s="91" t="s">
        <v>1970</v>
      </c>
      <c r="Q21" s="91"/>
      <c r="S21" s="91" t="s">
        <v>138</v>
      </c>
      <c r="T21" s="91" t="s">
        <v>3607</v>
      </c>
      <c r="U21" s="91" t="s">
        <v>1970</v>
      </c>
      <c r="V21" s="91" t="s">
        <v>145</v>
      </c>
      <c r="W21" s="91" t="s">
        <v>177</v>
      </c>
    </row>
    <row r="22" spans="1:23">
      <c r="A22" s="93" t="str">
        <f>TEXT(tblProjectlist[[#This Row],[project-no]],"0")</f>
        <v>99982000</v>
      </c>
      <c r="B22" s="91" t="s">
        <v>100</v>
      </c>
      <c r="C22" s="91" t="s">
        <v>100</v>
      </c>
      <c r="D22" s="91" t="s">
        <v>100</v>
      </c>
      <c r="E22" s="91" t="s">
        <v>1978</v>
      </c>
      <c r="G22" s="91" t="s">
        <v>87</v>
      </c>
      <c r="H22" s="91">
        <v>1</v>
      </c>
      <c r="I22" s="91">
        <v>20</v>
      </c>
      <c r="J22" s="91">
        <v>0</v>
      </c>
      <c r="K22" s="91" t="s">
        <v>1813</v>
      </c>
      <c r="L22" s="91" t="s">
        <v>43</v>
      </c>
      <c r="M22" s="91" t="s">
        <v>1994</v>
      </c>
      <c r="N22" s="91" t="s">
        <v>2016</v>
      </c>
      <c r="O22" s="91" t="s">
        <v>2017</v>
      </c>
      <c r="Q22" s="91"/>
      <c r="S22" s="91" t="s">
        <v>138</v>
      </c>
      <c r="T22" s="91" t="s">
        <v>3367</v>
      </c>
      <c r="U22" s="91" t="s">
        <v>3368</v>
      </c>
      <c r="V22" s="91" t="s">
        <v>145</v>
      </c>
      <c r="W22" s="91" t="s">
        <v>177</v>
      </c>
    </row>
    <row r="23" spans="1:23">
      <c r="A23" s="93" t="str">
        <f>TEXT(tblProjectlist[[#This Row],[project-no]],"0")</f>
        <v>99982009</v>
      </c>
      <c r="B23" s="91" t="s">
        <v>100</v>
      </c>
      <c r="C23" s="91" t="s">
        <v>100</v>
      </c>
      <c r="D23" s="91" t="s">
        <v>100</v>
      </c>
      <c r="E23" s="91" t="s">
        <v>1978</v>
      </c>
      <c r="G23" s="91" t="s">
        <v>87</v>
      </c>
      <c r="H23" s="91">
        <v>1</v>
      </c>
      <c r="I23" s="91">
        <v>20</v>
      </c>
      <c r="J23" s="91">
        <v>0</v>
      </c>
      <c r="K23" s="91" t="s">
        <v>1814</v>
      </c>
      <c r="L23" s="91" t="s">
        <v>43</v>
      </c>
      <c r="M23" s="91" t="s">
        <v>1994</v>
      </c>
      <c r="N23" s="91" t="s">
        <v>2016</v>
      </c>
      <c r="O23" s="91" t="s">
        <v>2018</v>
      </c>
      <c r="Q23" s="91"/>
      <c r="S23" s="91" t="s">
        <v>138</v>
      </c>
      <c r="T23" s="91" t="s">
        <v>3367</v>
      </c>
      <c r="U23" s="91" t="s">
        <v>3368</v>
      </c>
      <c r="V23" s="91" t="s">
        <v>145</v>
      </c>
      <c r="W23" s="91" t="s">
        <v>180</v>
      </c>
    </row>
    <row r="24" spans="1:23">
      <c r="A24" s="93" t="str">
        <f>TEXT(tblProjectlist[[#This Row],[project-no]],"0")</f>
        <v>99982029</v>
      </c>
      <c r="B24" s="91" t="s">
        <v>100</v>
      </c>
      <c r="C24" s="91" t="s">
        <v>100</v>
      </c>
      <c r="D24" s="91" t="s">
        <v>100</v>
      </c>
      <c r="E24" s="91" t="s">
        <v>1976</v>
      </c>
      <c r="F24" s="91" t="s">
        <v>1965</v>
      </c>
      <c r="G24" s="91" t="s">
        <v>87</v>
      </c>
      <c r="H24" s="91">
        <v>1</v>
      </c>
      <c r="I24" s="91">
        <v>20</v>
      </c>
      <c r="J24" s="91">
        <v>29</v>
      </c>
      <c r="K24" s="91" t="s">
        <v>1815</v>
      </c>
      <c r="L24" s="91" t="s">
        <v>43</v>
      </c>
      <c r="M24" s="91" t="s">
        <v>4</v>
      </c>
      <c r="N24" s="91" t="s">
        <v>4161</v>
      </c>
      <c r="O24" s="91" t="s">
        <v>2019</v>
      </c>
      <c r="Q24" s="91"/>
      <c r="S24" s="91" t="s">
        <v>138</v>
      </c>
      <c r="T24" s="91" t="s">
        <v>3369</v>
      </c>
      <c r="U24" s="91" t="s">
        <v>3370</v>
      </c>
      <c r="V24" s="91" t="s">
        <v>145</v>
      </c>
      <c r="W24" s="91" t="s">
        <v>177</v>
      </c>
    </row>
    <row r="25" spans="1:23">
      <c r="A25" s="93" t="str">
        <f>TEXT(tblProjectlist[[#This Row],[project-no]],"0")</f>
        <v>99982049</v>
      </c>
      <c r="B25" s="91" t="s">
        <v>100</v>
      </c>
      <c r="C25" s="91" t="s">
        <v>100</v>
      </c>
      <c r="D25" s="91" t="s">
        <v>100</v>
      </c>
      <c r="E25" s="91" t="s">
        <v>1971</v>
      </c>
      <c r="F25" s="91" t="s">
        <v>87</v>
      </c>
      <c r="G25" s="91" t="s">
        <v>87</v>
      </c>
      <c r="H25" s="91">
        <v>1</v>
      </c>
      <c r="I25" s="91">
        <v>20</v>
      </c>
      <c r="J25" s="91">
        <v>49</v>
      </c>
      <c r="K25" s="91" t="s">
        <v>1816</v>
      </c>
      <c r="L25" s="91" t="s">
        <v>43</v>
      </c>
      <c r="M25" s="91" t="s">
        <v>1</v>
      </c>
      <c r="N25" s="91" t="s">
        <v>4034</v>
      </c>
      <c r="O25" s="91" t="s">
        <v>2020</v>
      </c>
      <c r="Q25" s="91"/>
      <c r="S25" s="91" t="s">
        <v>138</v>
      </c>
      <c r="T25" s="91" t="s">
        <v>3371</v>
      </c>
      <c r="U25" s="91" t="s">
        <v>3372</v>
      </c>
      <c r="V25" s="91" t="s">
        <v>145</v>
      </c>
      <c r="W25" s="91" t="s">
        <v>177</v>
      </c>
    </row>
    <row r="26" spans="1:23">
      <c r="A26" s="93" t="str">
        <f>TEXT(tblProjectlist[[#This Row],[project-no]],"0")</f>
        <v>99982059</v>
      </c>
      <c r="B26" s="91" t="s">
        <v>100</v>
      </c>
      <c r="C26" s="91" t="s">
        <v>100</v>
      </c>
      <c r="D26" s="91" t="s">
        <v>100</v>
      </c>
      <c r="E26" s="91" t="s">
        <v>45</v>
      </c>
      <c r="G26" s="91" t="s">
        <v>87</v>
      </c>
      <c r="H26" s="91">
        <v>1</v>
      </c>
      <c r="I26" s="91">
        <v>20</v>
      </c>
      <c r="J26" s="91">
        <v>59</v>
      </c>
      <c r="K26" s="91" t="s">
        <v>1817</v>
      </c>
      <c r="L26" s="91" t="s">
        <v>43</v>
      </c>
      <c r="M26" s="91" t="s">
        <v>5</v>
      </c>
      <c r="O26" s="91" t="s">
        <v>132</v>
      </c>
      <c r="Q26" s="91"/>
      <c r="S26" s="91" t="s">
        <v>138</v>
      </c>
      <c r="T26" s="91" t="s">
        <v>3373</v>
      </c>
      <c r="U26" s="91" t="s">
        <v>3374</v>
      </c>
      <c r="V26" s="91" t="s">
        <v>145</v>
      </c>
      <c r="W26" s="91" t="s">
        <v>177</v>
      </c>
    </row>
    <row r="27" spans="1:23">
      <c r="A27" s="93" t="str">
        <f>TEXT(tblProjectlist[[#This Row],[project-no]],"0")</f>
        <v>99982100</v>
      </c>
      <c r="B27" s="91" t="s">
        <v>100</v>
      </c>
      <c r="C27" s="91" t="s">
        <v>100</v>
      </c>
      <c r="D27" s="91" t="s">
        <v>100</v>
      </c>
      <c r="E27" s="91" t="s">
        <v>46</v>
      </c>
      <c r="G27" s="91" t="s">
        <v>87</v>
      </c>
      <c r="H27" s="91">
        <v>1</v>
      </c>
      <c r="I27" s="91">
        <v>21</v>
      </c>
      <c r="J27" s="91">
        <v>0</v>
      </c>
      <c r="K27" s="91" t="s">
        <v>1818</v>
      </c>
      <c r="L27" s="91" t="s">
        <v>43</v>
      </c>
      <c r="M27" s="91" t="s">
        <v>1994</v>
      </c>
      <c r="N27" s="91" t="s">
        <v>2021</v>
      </c>
      <c r="O27" s="91" t="s">
        <v>2022</v>
      </c>
      <c r="Q27" s="91"/>
      <c r="S27" s="91" t="s">
        <v>138</v>
      </c>
      <c r="T27" s="91" t="s">
        <v>3375</v>
      </c>
      <c r="U27" s="91" t="s">
        <v>2021</v>
      </c>
      <c r="V27" s="91" t="s">
        <v>145</v>
      </c>
      <c r="W27" s="91" t="s">
        <v>177</v>
      </c>
    </row>
    <row r="28" spans="1:23">
      <c r="A28" s="93" t="str">
        <f>TEXT(tblProjectlist[[#This Row],[project-no]],"0")</f>
        <v>99982149</v>
      </c>
      <c r="B28" s="91" t="s">
        <v>100</v>
      </c>
      <c r="C28" s="91" t="s">
        <v>100</v>
      </c>
      <c r="D28" s="91" t="s">
        <v>1969</v>
      </c>
      <c r="E28" s="91" t="s">
        <v>1971</v>
      </c>
      <c r="F28" s="91" t="s">
        <v>1979</v>
      </c>
      <c r="G28" s="91" t="s">
        <v>87</v>
      </c>
      <c r="H28" s="91">
        <v>1</v>
      </c>
      <c r="I28" s="91">
        <v>25</v>
      </c>
      <c r="J28" s="91">
        <v>49</v>
      </c>
      <c r="K28" s="91" t="s">
        <v>1819</v>
      </c>
      <c r="L28" s="91" t="s">
        <v>43</v>
      </c>
      <c r="M28" s="91" t="s">
        <v>1</v>
      </c>
      <c r="N28" s="91" t="s">
        <v>3746</v>
      </c>
      <c r="O28" s="91" t="s">
        <v>2023</v>
      </c>
      <c r="Q28" s="91"/>
      <c r="S28" s="91" t="s">
        <v>138</v>
      </c>
      <c r="T28" s="91" t="s">
        <v>3376</v>
      </c>
      <c r="U28" s="91" t="s">
        <v>3377</v>
      </c>
      <c r="V28" s="91" t="s">
        <v>145</v>
      </c>
      <c r="W28" s="91" t="s">
        <v>177</v>
      </c>
    </row>
    <row r="29" spans="1:23">
      <c r="A29" s="93" t="str">
        <f>TEXT(tblProjectlist[[#This Row],[project-no]],"0")</f>
        <v>99982200</v>
      </c>
      <c r="B29" s="91" t="s">
        <v>100</v>
      </c>
      <c r="C29" s="91" t="s">
        <v>100</v>
      </c>
      <c r="D29" s="91" t="s">
        <v>100</v>
      </c>
      <c r="E29" s="91" t="s">
        <v>46</v>
      </c>
      <c r="G29" s="91" t="s">
        <v>87</v>
      </c>
      <c r="H29" s="91">
        <v>1</v>
      </c>
      <c r="I29" s="91">
        <v>22</v>
      </c>
      <c r="J29" s="91">
        <v>0</v>
      </c>
      <c r="K29" s="91">
        <v>99982200</v>
      </c>
      <c r="L29" s="91" t="s">
        <v>43</v>
      </c>
      <c r="M29" s="91" t="s">
        <v>1994</v>
      </c>
      <c r="N29" s="91" t="s">
        <v>2021</v>
      </c>
      <c r="O29" s="91" t="s">
        <v>3898</v>
      </c>
      <c r="Q29" s="91"/>
      <c r="S29" s="91" t="s">
        <v>138</v>
      </c>
      <c r="T29" s="91" t="s">
        <v>3901</v>
      </c>
      <c r="U29" s="91" t="s">
        <v>3898</v>
      </c>
      <c r="V29" s="91" t="s">
        <v>145</v>
      </c>
      <c r="W29" s="91" t="s">
        <v>177</v>
      </c>
    </row>
    <row r="30" spans="1:23">
      <c r="A30" s="93" t="str">
        <f>TEXT(tblProjectlist[[#This Row],[project-no]],"0")</f>
        <v>99983000</v>
      </c>
      <c r="B30" s="91" t="s">
        <v>100</v>
      </c>
      <c r="C30" s="91" t="s">
        <v>100</v>
      </c>
      <c r="D30" s="91" t="s">
        <v>100</v>
      </c>
      <c r="E30" s="91" t="s">
        <v>1978</v>
      </c>
      <c r="F30" s="91" t="s">
        <v>1980</v>
      </c>
      <c r="G30" s="91" t="s">
        <v>87</v>
      </c>
      <c r="H30" s="91">
        <v>1</v>
      </c>
      <c r="I30" s="91">
        <v>30</v>
      </c>
      <c r="J30" s="91">
        <v>0</v>
      </c>
      <c r="K30" s="91" t="s">
        <v>1820</v>
      </c>
      <c r="L30" s="91" t="s">
        <v>43</v>
      </c>
      <c r="M30" s="91" t="s">
        <v>1994</v>
      </c>
      <c r="N30" s="91" t="s">
        <v>2024</v>
      </c>
      <c r="O30" s="91" t="s">
        <v>2025</v>
      </c>
      <c r="Q30" s="91"/>
      <c r="S30" s="91" t="s">
        <v>138</v>
      </c>
      <c r="T30" s="91" t="s">
        <v>3378</v>
      </c>
      <c r="U30" s="91" t="s">
        <v>3379</v>
      </c>
      <c r="V30" s="91" t="s">
        <v>145</v>
      </c>
      <c r="W30" s="91" t="s">
        <v>177</v>
      </c>
    </row>
    <row r="31" spans="1:23">
      <c r="A31" s="93" t="str">
        <f>TEXT(tblProjectlist[[#This Row],[project-no]],"0")</f>
        <v>99983009</v>
      </c>
      <c r="B31" s="91" t="s">
        <v>100</v>
      </c>
      <c r="C31" s="91" t="s">
        <v>100</v>
      </c>
      <c r="D31" s="91" t="s">
        <v>100</v>
      </c>
      <c r="E31" s="91" t="s">
        <v>1978</v>
      </c>
      <c r="F31" s="91" t="s">
        <v>1980</v>
      </c>
      <c r="G31" s="91" t="s">
        <v>87</v>
      </c>
      <c r="H31" s="91">
        <v>1</v>
      </c>
      <c r="I31" s="91">
        <v>30</v>
      </c>
      <c r="J31" s="91">
        <v>0</v>
      </c>
      <c r="K31" s="91" t="s">
        <v>1821</v>
      </c>
      <c r="L31" s="91" t="s">
        <v>43</v>
      </c>
      <c r="M31" s="91" t="s">
        <v>1994</v>
      </c>
      <c r="N31" s="91" t="s">
        <v>2024</v>
      </c>
      <c r="O31" s="91" t="s">
        <v>2026</v>
      </c>
      <c r="Q31" s="91"/>
      <c r="S31" s="91" t="s">
        <v>138</v>
      </c>
      <c r="T31" s="91" t="s">
        <v>3378</v>
      </c>
      <c r="U31" s="91" t="s">
        <v>3379</v>
      </c>
      <c r="V31" s="91" t="s">
        <v>145</v>
      </c>
      <c r="W31" s="91" t="s">
        <v>180</v>
      </c>
    </row>
    <row r="32" spans="1:23">
      <c r="A32" s="93" t="str">
        <f>TEXT(tblProjectlist[[#This Row],[project-no]],"0")</f>
        <v>99983100</v>
      </c>
      <c r="B32" s="91" t="s">
        <v>100</v>
      </c>
      <c r="C32" s="91" t="s">
        <v>100</v>
      </c>
      <c r="D32" s="91" t="s">
        <v>100</v>
      </c>
      <c r="E32" s="91" t="s">
        <v>1978</v>
      </c>
      <c r="F32" s="91" t="s">
        <v>1981</v>
      </c>
      <c r="G32" s="91" t="s">
        <v>87</v>
      </c>
      <c r="H32" s="91">
        <v>1</v>
      </c>
      <c r="I32" s="91">
        <v>31</v>
      </c>
      <c r="J32" s="91">
        <v>0</v>
      </c>
      <c r="K32" s="91" t="s">
        <v>1822</v>
      </c>
      <c r="L32" s="91" t="s">
        <v>43</v>
      </c>
      <c r="M32" s="91" t="s">
        <v>1994</v>
      </c>
      <c r="N32" s="91" t="s">
        <v>2024</v>
      </c>
      <c r="O32" s="91" t="s">
        <v>2027</v>
      </c>
      <c r="Q32" s="91"/>
      <c r="S32" s="91" t="s">
        <v>138</v>
      </c>
      <c r="T32" s="91" t="s">
        <v>3380</v>
      </c>
      <c r="U32" s="91" t="s">
        <v>3381</v>
      </c>
      <c r="V32" s="91" t="s">
        <v>145</v>
      </c>
      <c r="W32" s="91" t="s">
        <v>177</v>
      </c>
    </row>
    <row r="33" spans="1:23">
      <c r="A33" s="93" t="str">
        <f>TEXT(tblProjectlist[[#This Row],[project-no]],"0")</f>
        <v>99983200</v>
      </c>
      <c r="B33" s="91" t="s">
        <v>100</v>
      </c>
      <c r="C33" s="91" t="s">
        <v>100</v>
      </c>
      <c r="D33" s="91" t="s">
        <v>100</v>
      </c>
      <c r="E33" s="91" t="s">
        <v>1978</v>
      </c>
      <c r="F33" s="91" t="s">
        <v>1981</v>
      </c>
      <c r="G33" s="91" t="s">
        <v>87</v>
      </c>
      <c r="H33" s="91">
        <v>1</v>
      </c>
      <c r="I33" s="91">
        <v>32</v>
      </c>
      <c r="J33" s="91">
        <v>0</v>
      </c>
      <c r="K33" s="91" t="s">
        <v>1823</v>
      </c>
      <c r="L33" s="91" t="s">
        <v>43</v>
      </c>
      <c r="M33" s="91" t="s">
        <v>1994</v>
      </c>
      <c r="N33" s="91" t="s">
        <v>2024</v>
      </c>
      <c r="O33" s="91" t="s">
        <v>2028</v>
      </c>
      <c r="Q33" s="91"/>
      <c r="S33" s="91" t="s">
        <v>138</v>
      </c>
      <c r="T33" s="91" t="s">
        <v>3382</v>
      </c>
      <c r="U33" s="91" t="s">
        <v>3383</v>
      </c>
      <c r="V33" s="91" t="s">
        <v>145</v>
      </c>
      <c r="W33" s="91" t="s">
        <v>177</v>
      </c>
    </row>
    <row r="34" spans="1:23">
      <c r="A34" s="93" t="str">
        <f>TEXT(tblProjectlist[[#This Row],[project-no]],"0")</f>
        <v>99983229</v>
      </c>
      <c r="B34" s="91" t="s">
        <v>100</v>
      </c>
      <c r="C34" s="91" t="s">
        <v>100</v>
      </c>
      <c r="D34" s="91" t="s">
        <v>100</v>
      </c>
      <c r="E34" s="91" t="s">
        <v>1976</v>
      </c>
      <c r="F34" s="91" t="s">
        <v>1965</v>
      </c>
      <c r="G34" s="91" t="s">
        <v>87</v>
      </c>
      <c r="H34" s="91">
        <v>1</v>
      </c>
      <c r="I34" s="91">
        <v>32</v>
      </c>
      <c r="J34" s="91">
        <v>29</v>
      </c>
      <c r="K34" s="91" t="s">
        <v>1824</v>
      </c>
      <c r="L34" s="91" t="s">
        <v>43</v>
      </c>
      <c r="M34" s="91" t="s">
        <v>4</v>
      </c>
      <c r="N34" s="91" t="s">
        <v>4162</v>
      </c>
      <c r="O34" s="91" t="s">
        <v>2029</v>
      </c>
      <c r="Q34" s="91"/>
      <c r="S34" s="91" t="s">
        <v>138</v>
      </c>
      <c r="T34" s="91" t="s">
        <v>3384</v>
      </c>
      <c r="U34" s="91" t="s">
        <v>3385</v>
      </c>
      <c r="V34" s="91" t="s">
        <v>145</v>
      </c>
      <c r="W34" s="91" t="s">
        <v>177</v>
      </c>
    </row>
    <row r="35" spans="1:23">
      <c r="A35" s="93" t="str">
        <f>TEXT(tblProjectlist[[#This Row],[project-no]],"0")</f>
        <v>99983259</v>
      </c>
      <c r="B35" s="91" t="s">
        <v>100</v>
      </c>
      <c r="C35" s="91" t="s">
        <v>100</v>
      </c>
      <c r="D35" s="91" t="s">
        <v>100</v>
      </c>
      <c r="E35" s="91" t="s">
        <v>45</v>
      </c>
      <c r="F35" s="91" t="s">
        <v>3975</v>
      </c>
      <c r="G35" s="91" t="s">
        <v>87</v>
      </c>
      <c r="H35" s="91">
        <v>1</v>
      </c>
      <c r="I35" s="91">
        <v>83</v>
      </c>
      <c r="J35" s="91">
        <v>59</v>
      </c>
      <c r="K35" s="91" t="s">
        <v>3976</v>
      </c>
      <c r="L35" s="91" t="s">
        <v>43</v>
      </c>
      <c r="M35" s="91" t="s">
        <v>5</v>
      </c>
      <c r="O35" s="91" t="s">
        <v>3977</v>
      </c>
      <c r="Q35" s="91"/>
      <c r="S35" s="91" t="s">
        <v>138</v>
      </c>
      <c r="T35" s="91" t="s">
        <v>3987</v>
      </c>
      <c r="U35" s="91" t="s">
        <v>3988</v>
      </c>
      <c r="V35" s="91" t="s">
        <v>145</v>
      </c>
      <c r="W35" s="91" t="s">
        <v>177</v>
      </c>
    </row>
    <row r="36" spans="1:23">
      <c r="A36" s="93" t="str">
        <f>TEXT(tblProjectlist[[#This Row],[project-no]],"0")</f>
        <v>99983400</v>
      </c>
      <c r="B36" s="91" t="s">
        <v>100</v>
      </c>
      <c r="C36" s="91" t="s">
        <v>100</v>
      </c>
      <c r="D36" s="91" t="s">
        <v>100</v>
      </c>
      <c r="E36" s="91" t="s">
        <v>1978</v>
      </c>
      <c r="F36" s="91" t="s">
        <v>1982</v>
      </c>
      <c r="G36" s="91" t="s">
        <v>87</v>
      </c>
      <c r="H36" s="91">
        <v>1</v>
      </c>
      <c r="I36" s="91">
        <v>34</v>
      </c>
      <c r="J36" s="91">
        <v>0</v>
      </c>
      <c r="K36" s="91" t="s">
        <v>1825</v>
      </c>
      <c r="L36" s="91" t="s">
        <v>43</v>
      </c>
      <c r="M36" s="91" t="s">
        <v>1994</v>
      </c>
      <c r="N36" s="91" t="s">
        <v>2024</v>
      </c>
      <c r="O36" s="91" t="s">
        <v>2030</v>
      </c>
      <c r="Q36" s="91"/>
      <c r="S36" s="91" t="s">
        <v>138</v>
      </c>
      <c r="T36" s="91" t="s">
        <v>3386</v>
      </c>
      <c r="U36" s="91" t="s">
        <v>3387</v>
      </c>
      <c r="V36" s="91" t="s">
        <v>145</v>
      </c>
      <c r="W36" s="91" t="s">
        <v>177</v>
      </c>
    </row>
    <row r="37" spans="1:23">
      <c r="A37" s="93" t="str">
        <f>TEXT(tblProjectlist[[#This Row],[project-no]],"0")</f>
        <v>99983429</v>
      </c>
      <c r="B37" s="91" t="s">
        <v>100</v>
      </c>
      <c r="C37" s="91" t="s">
        <v>100</v>
      </c>
      <c r="D37" s="91" t="s">
        <v>100</v>
      </c>
      <c r="E37" s="91" t="s">
        <v>1976</v>
      </c>
      <c r="F37" s="91" t="s">
        <v>1965</v>
      </c>
      <c r="G37" s="91" t="s">
        <v>87</v>
      </c>
      <c r="H37" s="91">
        <v>1</v>
      </c>
      <c r="I37" s="91">
        <v>34</v>
      </c>
      <c r="J37" s="91">
        <v>29</v>
      </c>
      <c r="K37" s="91" t="s">
        <v>1826</v>
      </c>
      <c r="L37" s="91" t="s">
        <v>43</v>
      </c>
      <c r="M37" s="91" t="s">
        <v>4</v>
      </c>
      <c r="N37" s="91" t="s">
        <v>4162</v>
      </c>
      <c r="O37" s="91" t="s">
        <v>2031</v>
      </c>
      <c r="Q37" s="91"/>
      <c r="S37" s="91" t="s">
        <v>138</v>
      </c>
      <c r="T37" s="91" t="s">
        <v>3388</v>
      </c>
      <c r="U37" s="91" t="s">
        <v>3389</v>
      </c>
      <c r="V37" s="91" t="s">
        <v>145</v>
      </c>
      <c r="W37" s="91" t="s">
        <v>177</v>
      </c>
    </row>
    <row r="38" spans="1:23">
      <c r="A38" s="93" t="str">
        <f>TEXT(tblProjectlist[[#This Row],[project-no]],"0")</f>
        <v>99983449</v>
      </c>
      <c r="B38" s="91" t="s">
        <v>100</v>
      </c>
      <c r="C38" s="91" t="s">
        <v>100</v>
      </c>
      <c r="D38" s="91" t="s">
        <v>100</v>
      </c>
      <c r="E38" s="91" t="s">
        <v>1971</v>
      </c>
      <c r="F38" s="91" t="s">
        <v>87</v>
      </c>
      <c r="G38" s="91" t="s">
        <v>87</v>
      </c>
      <c r="H38" s="91">
        <v>1</v>
      </c>
      <c r="I38" s="91">
        <v>34</v>
      </c>
      <c r="J38" s="91">
        <v>49</v>
      </c>
      <c r="K38" s="91" t="s">
        <v>1827</v>
      </c>
      <c r="L38" s="91" t="s">
        <v>43</v>
      </c>
      <c r="M38" s="91" t="s">
        <v>1</v>
      </c>
      <c r="N38" s="91" t="s">
        <v>4034</v>
      </c>
      <c r="O38" s="91" t="s">
        <v>2032</v>
      </c>
      <c r="Q38" s="91"/>
      <c r="S38" s="91" t="s">
        <v>138</v>
      </c>
      <c r="T38" s="91" t="s">
        <v>3390</v>
      </c>
      <c r="U38" s="91" t="s">
        <v>3391</v>
      </c>
      <c r="V38" s="91" t="s">
        <v>145</v>
      </c>
      <c r="W38" s="91" t="s">
        <v>177</v>
      </c>
    </row>
    <row r="39" spans="1:23">
      <c r="A39" s="93" t="str">
        <f>TEXT(tblProjectlist[[#This Row],[project-no]],"0")</f>
        <v>99983500</v>
      </c>
      <c r="B39" s="91" t="s">
        <v>100</v>
      </c>
      <c r="C39" s="91" t="s">
        <v>100</v>
      </c>
      <c r="D39" s="91" t="s">
        <v>100</v>
      </c>
      <c r="E39" s="91" t="s">
        <v>1978</v>
      </c>
      <c r="F39" s="91" t="s">
        <v>1983</v>
      </c>
      <c r="G39" s="91" t="s">
        <v>87</v>
      </c>
      <c r="H39" s="91">
        <v>1</v>
      </c>
      <c r="I39" s="91">
        <v>35</v>
      </c>
      <c r="J39" s="91">
        <v>0</v>
      </c>
      <c r="K39" s="91" t="s">
        <v>1828</v>
      </c>
      <c r="L39" s="91" t="s">
        <v>43</v>
      </c>
      <c r="M39" s="91" t="s">
        <v>1994</v>
      </c>
      <c r="N39" s="91" t="s">
        <v>2024</v>
      </c>
      <c r="O39" s="91" t="s">
        <v>2033</v>
      </c>
      <c r="Q39" s="91"/>
      <c r="S39" s="91" t="s">
        <v>138</v>
      </c>
      <c r="T39" s="91" t="s">
        <v>3392</v>
      </c>
      <c r="U39" s="91" t="s">
        <v>3393</v>
      </c>
      <c r="V39" s="91" t="s">
        <v>145</v>
      </c>
      <c r="W39" s="91" t="s">
        <v>177</v>
      </c>
    </row>
    <row r="40" spans="1:23">
      <c r="A40" s="93" t="str">
        <f>TEXT(tblProjectlist[[#This Row],[project-no]],"0")</f>
        <v>99983600</v>
      </c>
      <c r="B40" s="91" t="s">
        <v>100</v>
      </c>
      <c r="C40" s="91" t="s">
        <v>100</v>
      </c>
      <c r="D40" s="91" t="s">
        <v>100</v>
      </c>
      <c r="E40" s="91" t="s">
        <v>1978</v>
      </c>
      <c r="F40" s="91" t="s">
        <v>1984</v>
      </c>
      <c r="G40" s="91" t="s">
        <v>87</v>
      </c>
      <c r="H40" s="91">
        <v>1</v>
      </c>
      <c r="I40" s="91">
        <v>36</v>
      </c>
      <c r="J40" s="91">
        <v>0</v>
      </c>
      <c r="K40" s="91" t="s">
        <v>1829</v>
      </c>
      <c r="L40" s="91" t="s">
        <v>43</v>
      </c>
      <c r="M40" s="91" t="s">
        <v>1994</v>
      </c>
      <c r="N40" s="91" t="s">
        <v>2024</v>
      </c>
      <c r="O40" s="91" t="s">
        <v>2034</v>
      </c>
      <c r="Q40" s="91"/>
      <c r="S40" s="91" t="s">
        <v>138</v>
      </c>
      <c r="T40" s="91" t="s">
        <v>3394</v>
      </c>
      <c r="U40" s="91" t="s">
        <v>3395</v>
      </c>
      <c r="V40" s="91" t="s">
        <v>145</v>
      </c>
      <c r="W40" s="91" t="s">
        <v>177</v>
      </c>
    </row>
    <row r="41" spans="1:23">
      <c r="A41" s="93" t="str">
        <f>TEXT(tblProjectlist[[#This Row],[project-no]],"0")</f>
        <v>99983700</v>
      </c>
      <c r="B41" s="91" t="s">
        <v>100</v>
      </c>
      <c r="C41" s="91" t="s">
        <v>100</v>
      </c>
      <c r="D41" s="91" t="s">
        <v>100</v>
      </c>
      <c r="E41" s="91" t="s">
        <v>46</v>
      </c>
      <c r="F41" s="91" t="s">
        <v>1981</v>
      </c>
      <c r="G41" s="91" t="s">
        <v>87</v>
      </c>
      <c r="H41" s="91">
        <v>1</v>
      </c>
      <c r="I41" s="91">
        <v>37</v>
      </c>
      <c r="J41" s="91">
        <v>0</v>
      </c>
      <c r="K41" s="91" t="s">
        <v>1830</v>
      </c>
      <c r="L41" s="91" t="s">
        <v>43</v>
      </c>
      <c r="M41" s="91" t="s">
        <v>1994</v>
      </c>
      <c r="N41" s="91" t="s">
        <v>2024</v>
      </c>
      <c r="O41" s="91" t="s">
        <v>2035</v>
      </c>
      <c r="Q41" s="91"/>
      <c r="S41" s="91" t="s">
        <v>138</v>
      </c>
      <c r="T41" s="91" t="s">
        <v>3396</v>
      </c>
      <c r="U41" s="91" t="s">
        <v>3397</v>
      </c>
      <c r="V41" s="91" t="s">
        <v>145</v>
      </c>
      <c r="W41" s="91" t="s">
        <v>177</v>
      </c>
    </row>
    <row r="42" spans="1:23">
      <c r="A42" s="93" t="str">
        <f>TEXT(tblProjectlist[[#This Row],[project-no]],"0")</f>
        <v>99983800</v>
      </c>
      <c r="B42" s="91" t="s">
        <v>100</v>
      </c>
      <c r="C42" s="91" t="s">
        <v>100</v>
      </c>
      <c r="D42" s="91" t="s">
        <v>100</v>
      </c>
      <c r="E42" s="91" t="s">
        <v>46</v>
      </c>
      <c r="F42" s="91" t="s">
        <v>1981</v>
      </c>
      <c r="G42" s="91" t="s">
        <v>87</v>
      </c>
      <c r="H42" s="91">
        <v>1</v>
      </c>
      <c r="I42" s="91">
        <v>38</v>
      </c>
      <c r="J42" s="91">
        <v>0</v>
      </c>
      <c r="K42" s="91" t="s">
        <v>1831</v>
      </c>
      <c r="L42" s="91" t="s">
        <v>43</v>
      </c>
      <c r="M42" s="91" t="s">
        <v>1994</v>
      </c>
      <c r="N42" s="91" t="s">
        <v>2024</v>
      </c>
      <c r="O42" s="91" t="s">
        <v>2036</v>
      </c>
      <c r="Q42" s="91"/>
      <c r="S42" s="91" t="s">
        <v>138</v>
      </c>
      <c r="T42" s="91" t="s">
        <v>3398</v>
      </c>
      <c r="U42" s="91" t="s">
        <v>3399</v>
      </c>
      <c r="V42" s="91" t="s">
        <v>145</v>
      </c>
      <c r="W42" s="91" t="s">
        <v>177</v>
      </c>
    </row>
    <row r="43" spans="1:23">
      <c r="A43" s="93" t="str">
        <f>TEXT(tblProjectlist[[#This Row],[project-no]],"0")</f>
        <v>99983900</v>
      </c>
      <c r="B43" s="91" t="s">
        <v>100</v>
      </c>
      <c r="C43" s="91" t="s">
        <v>100</v>
      </c>
      <c r="D43" s="91" t="s">
        <v>100</v>
      </c>
      <c r="E43" s="91" t="s">
        <v>46</v>
      </c>
      <c r="F43" s="91" t="s">
        <v>1985</v>
      </c>
      <c r="G43" s="91" t="s">
        <v>87</v>
      </c>
      <c r="H43" s="91">
        <v>1</v>
      </c>
      <c r="I43" s="91">
        <v>39</v>
      </c>
      <c r="J43" s="91">
        <v>0</v>
      </c>
      <c r="K43" s="91" t="s">
        <v>1832</v>
      </c>
      <c r="L43" s="91" t="s">
        <v>43</v>
      </c>
      <c r="M43" s="91" t="s">
        <v>1994</v>
      </c>
      <c r="N43" s="91" t="s">
        <v>2024</v>
      </c>
      <c r="O43" s="91" t="s">
        <v>2037</v>
      </c>
      <c r="Q43" s="91"/>
      <c r="S43" s="91" t="s">
        <v>138</v>
      </c>
      <c r="T43" s="91" t="s">
        <v>3400</v>
      </c>
      <c r="U43" s="91" t="s">
        <v>3401</v>
      </c>
      <c r="V43" s="91" t="s">
        <v>145</v>
      </c>
      <c r="W43" s="91" t="s">
        <v>177</v>
      </c>
    </row>
    <row r="44" spans="1:23">
      <c r="A44" s="93" t="str">
        <f>TEXT(tblProjectlist[[#This Row],[project-no]],"0")</f>
        <v>99984029</v>
      </c>
      <c r="B44" s="91" t="s">
        <v>100</v>
      </c>
      <c r="C44" s="91" t="s">
        <v>100</v>
      </c>
      <c r="D44" s="91" t="s">
        <v>100</v>
      </c>
      <c r="E44" s="91" t="s">
        <v>1976</v>
      </c>
      <c r="F44" s="91" t="s">
        <v>1965</v>
      </c>
      <c r="G44" s="91" t="s">
        <v>87</v>
      </c>
      <c r="H44" s="91">
        <v>1</v>
      </c>
      <c r="I44" s="91">
        <v>40</v>
      </c>
      <c r="J44" s="91">
        <v>29</v>
      </c>
      <c r="K44" s="91" t="s">
        <v>1833</v>
      </c>
      <c r="L44" s="91" t="s">
        <v>43</v>
      </c>
      <c r="M44" s="91" t="s">
        <v>4</v>
      </c>
      <c r="N44" s="91" t="s">
        <v>4161</v>
      </c>
      <c r="O44" s="91" t="s">
        <v>2038</v>
      </c>
      <c r="Q44" s="91"/>
      <c r="S44" s="91" t="s">
        <v>138</v>
      </c>
      <c r="T44" s="91" t="s">
        <v>3402</v>
      </c>
      <c r="U44" s="91" t="s">
        <v>3403</v>
      </c>
      <c r="V44" s="91" t="s">
        <v>145</v>
      </c>
      <c r="W44" s="91" t="s">
        <v>180</v>
      </c>
    </row>
    <row r="45" spans="1:23">
      <c r="A45" s="93" t="str">
        <f>TEXT(tblProjectlist[[#This Row],[project-no]],"0")</f>
        <v>99984049</v>
      </c>
      <c r="B45" s="91" t="s">
        <v>100</v>
      </c>
      <c r="C45" s="91" t="s">
        <v>100</v>
      </c>
      <c r="D45" s="91" t="s">
        <v>100</v>
      </c>
      <c r="E45" s="91" t="s">
        <v>1971</v>
      </c>
      <c r="F45" s="91" t="s">
        <v>87</v>
      </c>
      <c r="G45" s="91" t="s">
        <v>87</v>
      </c>
      <c r="H45" s="91">
        <v>1</v>
      </c>
      <c r="I45" s="91">
        <v>80</v>
      </c>
      <c r="J45" s="91">
        <v>49</v>
      </c>
      <c r="K45" s="91" t="s">
        <v>1834</v>
      </c>
      <c r="L45" s="91" t="s">
        <v>43</v>
      </c>
      <c r="M45" s="91" t="s">
        <v>1</v>
      </c>
      <c r="N45" s="91" t="s">
        <v>4034</v>
      </c>
      <c r="O45" s="91" t="s">
        <v>2039</v>
      </c>
      <c r="Q45" s="91"/>
      <c r="S45" s="91" t="s">
        <v>138</v>
      </c>
      <c r="T45" s="91" t="s">
        <v>3404</v>
      </c>
      <c r="U45" s="91" t="s">
        <v>3610</v>
      </c>
      <c r="V45" s="91" t="s">
        <v>145</v>
      </c>
      <c r="W45" s="91" t="s">
        <v>177</v>
      </c>
    </row>
    <row r="46" spans="1:23">
      <c r="A46" s="93" t="str">
        <f>TEXT(tblProjectlist[[#This Row],[project-no]],"0")</f>
        <v>99984059</v>
      </c>
      <c r="B46" s="91" t="s">
        <v>100</v>
      </c>
      <c r="C46" s="91" t="s">
        <v>100</v>
      </c>
      <c r="D46" s="91" t="s">
        <v>100</v>
      </c>
      <c r="E46" s="91" t="s">
        <v>45</v>
      </c>
      <c r="F46" s="91" t="s">
        <v>1986</v>
      </c>
      <c r="G46" s="91" t="s">
        <v>87</v>
      </c>
      <c r="H46" s="91">
        <v>1</v>
      </c>
      <c r="I46" s="91">
        <v>40</v>
      </c>
      <c r="J46" s="91">
        <v>59</v>
      </c>
      <c r="K46" s="91" t="s">
        <v>1835</v>
      </c>
      <c r="L46" s="91" t="s">
        <v>43</v>
      </c>
      <c r="M46" s="91" t="s">
        <v>5</v>
      </c>
      <c r="O46" s="91" t="s">
        <v>97</v>
      </c>
      <c r="Q46" s="91"/>
      <c r="S46" s="91" t="s">
        <v>138</v>
      </c>
      <c r="T46" s="91" t="s">
        <v>3405</v>
      </c>
      <c r="U46" s="91" t="s">
        <v>3406</v>
      </c>
      <c r="V46" s="91" t="s">
        <v>145</v>
      </c>
      <c r="W46" s="91" t="s">
        <v>180</v>
      </c>
    </row>
    <row r="47" spans="1:23">
      <c r="A47" s="93" t="str">
        <f>TEXT(tblProjectlist[[#This Row],[project-no]],"0")</f>
        <v>99984100</v>
      </c>
      <c r="B47" s="91" t="s">
        <v>100</v>
      </c>
      <c r="C47" s="91" t="s">
        <v>100</v>
      </c>
      <c r="D47" s="91" t="s">
        <v>100</v>
      </c>
      <c r="E47" s="91" t="s">
        <v>1978</v>
      </c>
      <c r="F47" s="91" t="s">
        <v>3732</v>
      </c>
      <c r="G47" s="91" t="s">
        <v>87</v>
      </c>
      <c r="H47" s="91">
        <v>1</v>
      </c>
      <c r="I47" s="91">
        <v>41</v>
      </c>
      <c r="J47" s="91">
        <v>0</v>
      </c>
      <c r="K47" s="91">
        <v>99984100</v>
      </c>
      <c r="L47" s="91" t="s">
        <v>43</v>
      </c>
      <c r="M47" s="91" t="s">
        <v>1994</v>
      </c>
      <c r="N47" s="91" t="s">
        <v>3732</v>
      </c>
      <c r="O47" s="91" t="s">
        <v>3732</v>
      </c>
      <c r="Q47" s="91"/>
      <c r="S47" s="91" t="s">
        <v>138</v>
      </c>
      <c r="T47" s="91" t="s">
        <v>3762</v>
      </c>
      <c r="U47" s="91" t="s">
        <v>3732</v>
      </c>
      <c r="V47" s="91" t="s">
        <v>145</v>
      </c>
      <c r="W47" s="91" t="s">
        <v>177</v>
      </c>
    </row>
    <row r="48" spans="1:23">
      <c r="A48" s="93" t="str">
        <f>TEXT(tblProjectlist[[#This Row],[project-no]],"0")</f>
        <v>99984200</v>
      </c>
      <c r="B48" s="91" t="s">
        <v>100</v>
      </c>
      <c r="C48" s="91" t="s">
        <v>100</v>
      </c>
      <c r="D48" s="91" t="s">
        <v>100</v>
      </c>
      <c r="E48" s="91" t="s">
        <v>46</v>
      </c>
      <c r="F48" s="91" t="s">
        <v>4173</v>
      </c>
      <c r="G48" s="91" t="s">
        <v>87</v>
      </c>
      <c r="H48" s="91">
        <v>1</v>
      </c>
      <c r="I48" s="91">
        <v>42</v>
      </c>
      <c r="J48" s="91">
        <v>0</v>
      </c>
      <c r="K48" s="91">
        <v>99984200</v>
      </c>
      <c r="L48" s="91" t="s">
        <v>43</v>
      </c>
      <c r="M48" s="91" t="s">
        <v>1994</v>
      </c>
      <c r="N48" s="91" t="s">
        <v>2024</v>
      </c>
      <c r="O48" s="91" t="s">
        <v>4173</v>
      </c>
      <c r="Q48" s="91"/>
      <c r="S48" s="91" t="s">
        <v>138</v>
      </c>
      <c r="T48" s="91" t="s">
        <v>4175</v>
      </c>
      <c r="U48" s="91" t="s">
        <v>4173</v>
      </c>
      <c r="V48" s="91" t="s">
        <v>145</v>
      </c>
      <c r="W48" s="91" t="s">
        <v>177</v>
      </c>
    </row>
    <row r="49" spans="1:23">
      <c r="A49" s="93" t="str">
        <f>TEXT(tblProjectlist[[#This Row],[project-no]],"0")</f>
        <v>99985000</v>
      </c>
      <c r="B49" s="91" t="s">
        <v>100</v>
      </c>
      <c r="C49" s="91" t="s">
        <v>100</v>
      </c>
      <c r="D49" s="91" t="s">
        <v>100</v>
      </c>
      <c r="E49" s="91" t="s">
        <v>1978</v>
      </c>
      <c r="G49" s="91" t="s">
        <v>87</v>
      </c>
      <c r="H49" s="91">
        <v>1</v>
      </c>
      <c r="I49" s="91">
        <v>50</v>
      </c>
      <c r="J49" s="91">
        <v>0</v>
      </c>
      <c r="K49" s="91" t="s">
        <v>1836</v>
      </c>
      <c r="L49" s="91" t="s">
        <v>43</v>
      </c>
      <c r="M49" s="91" t="s">
        <v>1994</v>
      </c>
      <c r="N49" s="91" t="s">
        <v>2040</v>
      </c>
      <c r="O49" s="91" t="s">
        <v>2041</v>
      </c>
      <c r="Q49" s="91"/>
      <c r="S49" s="91" t="s">
        <v>138</v>
      </c>
      <c r="T49" s="91" t="s">
        <v>3407</v>
      </c>
      <c r="U49" s="91" t="s">
        <v>3408</v>
      </c>
      <c r="V49" s="91" t="s">
        <v>145</v>
      </c>
      <c r="W49" s="91" t="s">
        <v>177</v>
      </c>
    </row>
    <row r="50" spans="1:23">
      <c r="A50" s="93" t="str">
        <f>TEXT(tblProjectlist[[#This Row],[project-no]],"0")</f>
        <v>99985109</v>
      </c>
      <c r="B50" s="91" t="s">
        <v>100</v>
      </c>
      <c r="C50" s="91" t="s">
        <v>100</v>
      </c>
      <c r="D50" s="91" t="s">
        <v>100</v>
      </c>
      <c r="E50" s="91" t="s">
        <v>1978</v>
      </c>
      <c r="G50" s="91" t="s">
        <v>87</v>
      </c>
      <c r="H50" s="91">
        <v>1</v>
      </c>
      <c r="I50" s="91">
        <v>50</v>
      </c>
      <c r="J50" s="91">
        <v>0</v>
      </c>
      <c r="K50" s="91" t="s">
        <v>1837</v>
      </c>
      <c r="L50" s="91" t="s">
        <v>43</v>
      </c>
      <c r="M50" s="91" t="s">
        <v>1994</v>
      </c>
      <c r="N50" s="91" t="s">
        <v>2040</v>
      </c>
      <c r="O50" s="91" t="s">
        <v>2042</v>
      </c>
      <c r="Q50" s="91"/>
      <c r="S50" s="91" t="s">
        <v>138</v>
      </c>
      <c r="T50" s="91" t="s">
        <v>3407</v>
      </c>
      <c r="U50" s="91" t="s">
        <v>3408</v>
      </c>
      <c r="V50" s="91" t="s">
        <v>145</v>
      </c>
      <c r="W50" s="91" t="s">
        <v>180</v>
      </c>
    </row>
    <row r="51" spans="1:23">
      <c r="A51" s="93" t="str">
        <f>TEXT(tblProjectlist[[#This Row],[project-no]],"0")</f>
        <v>99985200</v>
      </c>
      <c r="B51" s="91" t="s">
        <v>100</v>
      </c>
      <c r="C51" s="91" t="s">
        <v>100</v>
      </c>
      <c r="D51" s="91" t="s">
        <v>100</v>
      </c>
      <c r="E51" s="91" t="s">
        <v>1978</v>
      </c>
      <c r="G51" s="91" t="s">
        <v>87</v>
      </c>
      <c r="H51" s="91">
        <v>1</v>
      </c>
      <c r="I51" s="91">
        <v>52</v>
      </c>
      <c r="J51" s="91">
        <v>0</v>
      </c>
      <c r="K51" s="91" t="s">
        <v>1838</v>
      </c>
      <c r="L51" s="91" t="s">
        <v>43</v>
      </c>
      <c r="M51" s="91" t="s">
        <v>1994</v>
      </c>
      <c r="N51" s="91" t="s">
        <v>2043</v>
      </c>
      <c r="O51" s="91" t="s">
        <v>2044</v>
      </c>
      <c r="Q51" s="91"/>
      <c r="S51" s="91" t="s">
        <v>138</v>
      </c>
      <c r="T51" s="91" t="s">
        <v>3409</v>
      </c>
      <c r="U51" s="91" t="s">
        <v>3410</v>
      </c>
      <c r="V51" s="91" t="s">
        <v>145</v>
      </c>
      <c r="W51" s="91" t="s">
        <v>177</v>
      </c>
    </row>
    <row r="52" spans="1:23">
      <c r="A52" s="93" t="str">
        <f>TEXT(tblProjectlist[[#This Row],[project-no]],"0")</f>
        <v>99985209</v>
      </c>
      <c r="B52" s="91" t="s">
        <v>100</v>
      </c>
      <c r="C52" s="91" t="s">
        <v>100</v>
      </c>
      <c r="D52" s="91" t="s">
        <v>100</v>
      </c>
      <c r="E52" s="91" t="s">
        <v>1978</v>
      </c>
      <c r="G52" s="91" t="s">
        <v>87</v>
      </c>
      <c r="H52" s="91">
        <v>1</v>
      </c>
      <c r="I52" s="91">
        <v>52</v>
      </c>
      <c r="J52" s="91">
        <v>0</v>
      </c>
      <c r="K52" s="91" t="s">
        <v>1839</v>
      </c>
      <c r="L52" s="91" t="s">
        <v>43</v>
      </c>
      <c r="M52" s="91" t="s">
        <v>1994</v>
      </c>
      <c r="N52" s="91" t="s">
        <v>2043</v>
      </c>
      <c r="O52" s="91" t="s">
        <v>2045</v>
      </c>
      <c r="Q52" s="91"/>
      <c r="S52" s="91" t="s">
        <v>138</v>
      </c>
      <c r="T52" s="91" t="s">
        <v>3409</v>
      </c>
      <c r="U52" s="91" t="s">
        <v>3410</v>
      </c>
      <c r="V52" s="91" t="s">
        <v>145</v>
      </c>
      <c r="W52" s="91" t="s">
        <v>180</v>
      </c>
    </row>
    <row r="53" spans="1:23">
      <c r="A53" s="93" t="str">
        <f>TEXT(tblProjectlist[[#This Row],[project-no]],"0")</f>
        <v>99986000</v>
      </c>
      <c r="B53" s="91" t="s">
        <v>100</v>
      </c>
      <c r="C53" s="91" t="s">
        <v>100</v>
      </c>
      <c r="D53" s="91" t="s">
        <v>100</v>
      </c>
      <c r="E53" s="91" t="s">
        <v>1978</v>
      </c>
      <c r="G53" s="91" t="s">
        <v>87</v>
      </c>
      <c r="H53" s="91">
        <v>1</v>
      </c>
      <c r="I53" s="91">
        <v>60</v>
      </c>
      <c r="J53" s="91">
        <v>0</v>
      </c>
      <c r="K53" s="91" t="s">
        <v>1840</v>
      </c>
      <c r="L53" s="91" t="s">
        <v>43</v>
      </c>
      <c r="M53" s="91" t="s">
        <v>1994</v>
      </c>
      <c r="N53" s="91" t="s">
        <v>2046</v>
      </c>
      <c r="O53" s="91" t="s">
        <v>2047</v>
      </c>
      <c r="Q53" s="91"/>
      <c r="S53" s="91" t="s">
        <v>138</v>
      </c>
      <c r="T53" s="91" t="s">
        <v>3411</v>
      </c>
      <c r="U53" s="91" t="s">
        <v>3412</v>
      </c>
      <c r="V53" s="91" t="s">
        <v>145</v>
      </c>
      <c r="W53" s="91" t="s">
        <v>177</v>
      </c>
    </row>
    <row r="54" spans="1:23">
      <c r="A54" s="93" t="str">
        <f>TEXT(tblProjectlist[[#This Row],[project-no]],"0")</f>
        <v>99986100</v>
      </c>
      <c r="B54" s="91" t="s">
        <v>100</v>
      </c>
      <c r="C54" s="91" t="s">
        <v>100</v>
      </c>
      <c r="D54" s="91" t="s">
        <v>100</v>
      </c>
      <c r="E54" s="91" t="s">
        <v>1978</v>
      </c>
      <c r="G54" s="91" t="s">
        <v>87</v>
      </c>
      <c r="H54" s="91">
        <v>1</v>
      </c>
      <c r="I54" s="91">
        <v>61</v>
      </c>
      <c r="J54" s="91">
        <v>0</v>
      </c>
      <c r="K54" s="91" t="s">
        <v>1841</v>
      </c>
      <c r="L54" s="91" t="s">
        <v>43</v>
      </c>
      <c r="M54" s="91" t="s">
        <v>1994</v>
      </c>
      <c r="N54" s="91" t="s">
        <v>2048</v>
      </c>
      <c r="O54" s="91" t="s">
        <v>2049</v>
      </c>
      <c r="Q54" s="91"/>
      <c r="S54" s="91" t="s">
        <v>138</v>
      </c>
      <c r="T54" s="91" t="s">
        <v>3413</v>
      </c>
      <c r="U54" s="91" t="s">
        <v>3414</v>
      </c>
      <c r="V54" s="91" t="s">
        <v>145</v>
      </c>
      <c r="W54" s="91" t="s">
        <v>177</v>
      </c>
    </row>
    <row r="55" spans="1:23">
      <c r="A55" s="93" t="str">
        <f>TEXT(tblProjectlist[[#This Row],[project-no]],"0")</f>
        <v>99986200</v>
      </c>
      <c r="B55" s="91" t="s">
        <v>100</v>
      </c>
      <c r="C55" s="91" t="s">
        <v>100</v>
      </c>
      <c r="D55" s="91" t="s">
        <v>100</v>
      </c>
      <c r="E55" s="91" t="s">
        <v>1978</v>
      </c>
      <c r="G55" s="91" t="s">
        <v>87</v>
      </c>
      <c r="H55" s="91">
        <v>1</v>
      </c>
      <c r="I55" s="91">
        <v>62</v>
      </c>
      <c r="J55" s="91">
        <v>0</v>
      </c>
      <c r="K55" s="91" t="s">
        <v>1842</v>
      </c>
      <c r="L55" s="91" t="s">
        <v>43</v>
      </c>
      <c r="M55" s="91" t="s">
        <v>1994</v>
      </c>
      <c r="N55" s="91" t="s">
        <v>2046</v>
      </c>
      <c r="O55" s="91" t="s">
        <v>2050</v>
      </c>
      <c r="Q55" s="91"/>
      <c r="S55" s="91" t="s">
        <v>138</v>
      </c>
      <c r="T55" s="91" t="s">
        <v>3415</v>
      </c>
      <c r="U55" s="91" t="s">
        <v>2050</v>
      </c>
      <c r="V55" s="91" t="s">
        <v>145</v>
      </c>
      <c r="W55" s="91" t="s">
        <v>177</v>
      </c>
    </row>
    <row r="56" spans="1:23">
      <c r="A56" s="93" t="str">
        <f>TEXT(tblProjectlist[[#This Row],[project-no]],"0")</f>
        <v>99986300</v>
      </c>
      <c r="B56" s="91" t="s">
        <v>100</v>
      </c>
      <c r="C56" s="91" t="s">
        <v>100</v>
      </c>
      <c r="D56" s="91" t="s">
        <v>100</v>
      </c>
      <c r="E56" s="91" t="s">
        <v>1978</v>
      </c>
      <c r="G56" s="91" t="s">
        <v>87</v>
      </c>
      <c r="H56" s="91">
        <v>1</v>
      </c>
      <c r="I56" s="91">
        <v>63</v>
      </c>
      <c r="J56" s="91">
        <v>0</v>
      </c>
      <c r="K56" s="91" t="s">
        <v>1843</v>
      </c>
      <c r="L56" s="91" t="s">
        <v>43</v>
      </c>
      <c r="M56" s="91" t="s">
        <v>1994</v>
      </c>
      <c r="N56" s="91" t="s">
        <v>2046</v>
      </c>
      <c r="O56" s="91" t="s">
        <v>2051</v>
      </c>
      <c r="Q56" s="91"/>
      <c r="S56" s="91" t="s">
        <v>138</v>
      </c>
      <c r="T56" s="91" t="s">
        <v>3416</v>
      </c>
      <c r="U56" s="91" t="s">
        <v>2051</v>
      </c>
      <c r="V56" s="91" t="s">
        <v>145</v>
      </c>
      <c r="W56" s="91" t="s">
        <v>177</v>
      </c>
    </row>
    <row r="57" spans="1:23">
      <c r="A57" s="93" t="str">
        <f>TEXT(tblProjectlist[[#This Row],[project-no]],"0")</f>
        <v>99987000</v>
      </c>
      <c r="B57" s="91" t="s">
        <v>100</v>
      </c>
      <c r="C57" s="91" t="s">
        <v>100</v>
      </c>
      <c r="D57" s="91" t="s">
        <v>100</v>
      </c>
      <c r="E57" s="91" t="s">
        <v>1978</v>
      </c>
      <c r="G57" s="91" t="s">
        <v>87</v>
      </c>
      <c r="H57" s="91">
        <v>1</v>
      </c>
      <c r="I57" s="91">
        <v>70</v>
      </c>
      <c r="J57" s="91">
        <v>0</v>
      </c>
      <c r="K57" s="91" t="s">
        <v>1844</v>
      </c>
      <c r="L57" s="91" t="s">
        <v>43</v>
      </c>
      <c r="M57" s="91" t="s">
        <v>1994</v>
      </c>
      <c r="N57" s="91" t="s">
        <v>2052</v>
      </c>
      <c r="O57" s="91" t="s">
        <v>2053</v>
      </c>
      <c r="Q57" s="91"/>
      <c r="S57" s="91" t="s">
        <v>138</v>
      </c>
      <c r="T57" s="91" t="s">
        <v>3417</v>
      </c>
      <c r="U57" s="91" t="s">
        <v>3418</v>
      </c>
      <c r="V57" s="91" t="s">
        <v>145</v>
      </c>
      <c r="W57" s="91" t="s">
        <v>177</v>
      </c>
    </row>
    <row r="58" spans="1:23">
      <c r="A58" s="93" t="str">
        <f>TEXT(tblProjectlist[[#This Row],[project-no]],"0")</f>
        <v>99987109</v>
      </c>
      <c r="B58" s="91" t="s">
        <v>100</v>
      </c>
      <c r="C58" s="91" t="s">
        <v>100</v>
      </c>
      <c r="D58" s="91" t="s">
        <v>100</v>
      </c>
      <c r="E58" s="91" t="s">
        <v>1978</v>
      </c>
      <c r="G58" s="91" t="s">
        <v>87</v>
      </c>
      <c r="H58" s="91">
        <v>1</v>
      </c>
      <c r="I58" s="91">
        <v>70</v>
      </c>
      <c r="J58" s="91">
        <v>0</v>
      </c>
      <c r="K58" s="91" t="s">
        <v>1845</v>
      </c>
      <c r="L58" s="91" t="s">
        <v>43</v>
      </c>
      <c r="M58" s="91" t="s">
        <v>1994</v>
      </c>
      <c r="N58" s="91" t="s">
        <v>2052</v>
      </c>
      <c r="O58" s="91" t="s">
        <v>2054</v>
      </c>
      <c r="Q58" s="91"/>
      <c r="S58" s="91" t="s">
        <v>138</v>
      </c>
      <c r="T58" s="91" t="s">
        <v>3417</v>
      </c>
      <c r="U58" s="91" t="s">
        <v>3418</v>
      </c>
      <c r="V58" s="91" t="s">
        <v>145</v>
      </c>
      <c r="W58" s="91" t="s">
        <v>180</v>
      </c>
    </row>
    <row r="59" spans="1:23">
      <c r="A59" s="93" t="str">
        <f>TEXT(tblProjectlist[[#This Row],[project-no]],"0")</f>
        <v>99987200</v>
      </c>
      <c r="B59" s="91" t="s">
        <v>100</v>
      </c>
      <c r="C59" s="91" t="s">
        <v>100</v>
      </c>
      <c r="D59" s="91" t="s">
        <v>100</v>
      </c>
      <c r="E59" s="91" t="s">
        <v>1987</v>
      </c>
      <c r="F59" s="91" t="s">
        <v>1988</v>
      </c>
      <c r="G59" s="91" t="s">
        <v>87</v>
      </c>
      <c r="H59" s="91">
        <v>1</v>
      </c>
      <c r="I59" s="91">
        <v>72</v>
      </c>
      <c r="J59" s="91">
        <v>0</v>
      </c>
      <c r="K59" s="91" t="s">
        <v>1846</v>
      </c>
      <c r="L59" s="91" t="s">
        <v>43</v>
      </c>
      <c r="M59" s="91" t="s">
        <v>1994</v>
      </c>
      <c r="N59" s="91" t="s">
        <v>1988</v>
      </c>
      <c r="O59" s="91" t="s">
        <v>2055</v>
      </c>
      <c r="Q59" s="91"/>
      <c r="S59" s="91" t="s">
        <v>138</v>
      </c>
      <c r="T59" s="91" t="s">
        <v>3419</v>
      </c>
      <c r="U59" s="91" t="s">
        <v>3420</v>
      </c>
      <c r="V59" s="91" t="s">
        <v>145</v>
      </c>
      <c r="W59" s="91" t="s">
        <v>180</v>
      </c>
    </row>
    <row r="60" spans="1:23">
      <c r="A60" s="93" t="str">
        <f>TEXT(tblProjectlist[[#This Row],[project-no]],"0")</f>
        <v>99987209</v>
      </c>
      <c r="B60" s="91" t="s">
        <v>100</v>
      </c>
      <c r="C60" s="91" t="s">
        <v>100</v>
      </c>
      <c r="D60" s="91" t="s">
        <v>100</v>
      </c>
      <c r="E60" s="91" t="s">
        <v>1987</v>
      </c>
      <c r="F60" s="91" t="s">
        <v>1989</v>
      </c>
      <c r="G60" s="91" t="s">
        <v>87</v>
      </c>
      <c r="H60" s="91">
        <v>1</v>
      </c>
      <c r="I60" s="91">
        <v>72</v>
      </c>
      <c r="J60" s="91">
        <v>9</v>
      </c>
      <c r="K60" s="91" t="s">
        <v>1847</v>
      </c>
      <c r="L60" s="91" t="s">
        <v>43</v>
      </c>
      <c r="M60" s="91" t="s">
        <v>1994</v>
      </c>
      <c r="N60" s="91" t="s">
        <v>2008</v>
      </c>
      <c r="O60" s="91" t="s">
        <v>2056</v>
      </c>
      <c r="Q60" s="91"/>
      <c r="S60" s="91" t="s">
        <v>138</v>
      </c>
      <c r="T60" s="91" t="s">
        <v>3421</v>
      </c>
      <c r="U60" s="91" t="s">
        <v>3422</v>
      </c>
      <c r="V60" s="91" t="s">
        <v>145</v>
      </c>
      <c r="W60" s="91" t="s">
        <v>180</v>
      </c>
    </row>
    <row r="61" spans="1:23">
      <c r="A61" s="93" t="str">
        <f>TEXT(tblProjectlist[[#This Row],[project-no]],"0")</f>
        <v>99987300</v>
      </c>
      <c r="B61" s="91" t="s">
        <v>100</v>
      </c>
      <c r="C61" s="91" t="s">
        <v>100</v>
      </c>
      <c r="D61" s="91" t="s">
        <v>100</v>
      </c>
      <c r="E61" s="91" t="s">
        <v>1972</v>
      </c>
      <c r="F61" s="91" t="s">
        <v>1973</v>
      </c>
      <c r="G61" s="91" t="s">
        <v>87</v>
      </c>
      <c r="H61" s="91">
        <v>1</v>
      </c>
      <c r="I61" s="91">
        <v>73</v>
      </c>
      <c r="J61" s="91">
        <v>0</v>
      </c>
      <c r="K61" s="91" t="s">
        <v>1848</v>
      </c>
      <c r="L61" s="91" t="s">
        <v>43</v>
      </c>
      <c r="M61" s="91" t="s">
        <v>1994</v>
      </c>
      <c r="N61" s="91" t="s">
        <v>2008</v>
      </c>
      <c r="O61" s="91" t="s">
        <v>2057</v>
      </c>
      <c r="Q61" s="91"/>
      <c r="S61" s="91" t="s">
        <v>138</v>
      </c>
      <c r="T61" s="91" t="s">
        <v>3423</v>
      </c>
      <c r="U61" s="91" t="s">
        <v>3424</v>
      </c>
      <c r="V61" s="91" t="s">
        <v>145</v>
      </c>
      <c r="W61" s="91" t="s">
        <v>180</v>
      </c>
    </row>
    <row r="62" spans="1:23">
      <c r="A62" s="93" t="str">
        <f>TEXT(tblProjectlist[[#This Row],[project-no]],"0")</f>
        <v>99987309</v>
      </c>
      <c r="B62" s="91" t="s">
        <v>100</v>
      </c>
      <c r="C62" s="91" t="s">
        <v>100</v>
      </c>
      <c r="D62" s="91" t="s">
        <v>100</v>
      </c>
      <c r="E62" s="91" t="s">
        <v>1972</v>
      </c>
      <c r="F62" s="91" t="s">
        <v>1973</v>
      </c>
      <c r="G62" s="91" t="s">
        <v>87</v>
      </c>
      <c r="H62" s="91">
        <v>1</v>
      </c>
      <c r="I62" s="91">
        <v>73</v>
      </c>
      <c r="J62" s="91">
        <v>0</v>
      </c>
      <c r="K62" s="91" t="s">
        <v>1849</v>
      </c>
      <c r="L62" s="91" t="s">
        <v>43</v>
      </c>
      <c r="M62" s="91" t="s">
        <v>1994</v>
      </c>
      <c r="N62" s="91" t="s">
        <v>2008</v>
      </c>
      <c r="O62" s="91" t="s">
        <v>2058</v>
      </c>
      <c r="Q62" s="91"/>
      <c r="S62" s="91" t="s">
        <v>138</v>
      </c>
      <c r="T62" s="91" t="s">
        <v>3423</v>
      </c>
      <c r="U62" s="91" t="s">
        <v>3424</v>
      </c>
      <c r="V62" s="91" t="s">
        <v>145</v>
      </c>
      <c r="W62" s="91" t="s">
        <v>180</v>
      </c>
    </row>
    <row r="63" spans="1:23">
      <c r="A63" s="93" t="str">
        <f>TEXT(tblProjectlist[[#This Row],[project-no]],"0")</f>
        <v>99987400</v>
      </c>
      <c r="B63" s="91" t="s">
        <v>100</v>
      </c>
      <c r="C63" s="91" t="s">
        <v>100</v>
      </c>
      <c r="D63" s="91" t="s">
        <v>100</v>
      </c>
      <c r="E63" s="91" t="s">
        <v>1987</v>
      </c>
      <c r="F63" s="91" t="s">
        <v>1990</v>
      </c>
      <c r="G63" s="91" t="s">
        <v>87</v>
      </c>
      <c r="H63" s="91">
        <v>1</v>
      </c>
      <c r="I63" s="91">
        <v>74</v>
      </c>
      <c r="J63" s="91">
        <v>0</v>
      </c>
      <c r="K63" s="91" t="s">
        <v>1850</v>
      </c>
      <c r="L63" s="91" t="s">
        <v>43</v>
      </c>
      <c r="M63" s="91" t="s">
        <v>1994</v>
      </c>
      <c r="N63" s="91" t="s">
        <v>1990</v>
      </c>
      <c r="O63" s="91" t="s">
        <v>2059</v>
      </c>
      <c r="Q63" s="91"/>
      <c r="S63" s="91" t="s">
        <v>138</v>
      </c>
      <c r="T63" s="91" t="s">
        <v>3425</v>
      </c>
      <c r="U63" s="91" t="s">
        <v>3426</v>
      </c>
      <c r="V63" s="91" t="s">
        <v>145</v>
      </c>
      <c r="W63" s="91" t="s">
        <v>177</v>
      </c>
    </row>
    <row r="64" spans="1:23">
      <c r="A64" s="93" t="str">
        <f>TEXT(tblProjectlist[[#This Row],[project-no]],"0")</f>
        <v>99987500</v>
      </c>
      <c r="B64" s="91" t="s">
        <v>100</v>
      </c>
      <c r="C64" s="91" t="s">
        <v>100</v>
      </c>
      <c r="D64" s="91" t="s">
        <v>100</v>
      </c>
      <c r="E64" s="91" t="s">
        <v>1987</v>
      </c>
      <c r="F64" s="91" t="s">
        <v>1991</v>
      </c>
      <c r="G64" s="91" t="s">
        <v>87</v>
      </c>
      <c r="H64" s="91">
        <v>1</v>
      </c>
      <c r="I64" s="91">
        <v>75</v>
      </c>
      <c r="J64" s="91">
        <v>0</v>
      </c>
      <c r="K64" s="91" t="s">
        <v>1851</v>
      </c>
      <c r="L64" s="91" t="s">
        <v>43</v>
      </c>
      <c r="M64" s="91" t="s">
        <v>1994</v>
      </c>
      <c r="N64" s="91" t="s">
        <v>1991</v>
      </c>
      <c r="O64" s="91" t="s">
        <v>1991</v>
      </c>
      <c r="Q64" s="91"/>
      <c r="S64" s="91" t="s">
        <v>138</v>
      </c>
      <c r="T64" s="91" t="s">
        <v>3427</v>
      </c>
      <c r="U64" s="91" t="s">
        <v>1991</v>
      </c>
      <c r="V64" s="91" t="s">
        <v>145</v>
      </c>
      <c r="W64" s="91" t="s">
        <v>177</v>
      </c>
    </row>
    <row r="65" spans="1:23">
      <c r="A65" s="93" t="str">
        <f>TEXT(tblProjectlist[[#This Row],[project-no]],"0")</f>
        <v>99987600</v>
      </c>
      <c r="B65" s="91" t="s">
        <v>100</v>
      </c>
      <c r="C65" s="91" t="s">
        <v>100</v>
      </c>
      <c r="D65" s="91" t="s">
        <v>100</v>
      </c>
      <c r="E65" s="91" t="s">
        <v>1987</v>
      </c>
      <c r="F65" s="91" t="s">
        <v>1992</v>
      </c>
      <c r="G65" s="91" t="s">
        <v>87</v>
      </c>
      <c r="H65" s="91">
        <v>1</v>
      </c>
      <c r="I65" s="91">
        <v>76</v>
      </c>
      <c r="J65" s="91">
        <v>0</v>
      </c>
      <c r="K65" s="91" t="s">
        <v>1852</v>
      </c>
      <c r="L65" s="91" t="s">
        <v>43</v>
      </c>
      <c r="M65" s="91" t="s">
        <v>1994</v>
      </c>
      <c r="N65" s="91" t="s">
        <v>2060</v>
      </c>
      <c r="O65" s="91" t="s">
        <v>1992</v>
      </c>
      <c r="Q65" s="91"/>
      <c r="S65" s="91" t="s">
        <v>138</v>
      </c>
      <c r="T65" s="91" t="s">
        <v>3428</v>
      </c>
      <c r="U65" s="91" t="s">
        <v>1992</v>
      </c>
      <c r="V65" s="91" t="s">
        <v>145</v>
      </c>
      <c r="W65" s="91" t="s">
        <v>177</v>
      </c>
    </row>
    <row r="66" spans="1:23">
      <c r="A66" s="93" t="str">
        <f>TEXT(tblProjectlist[[#This Row],[project-no]],"0")</f>
        <v>99987700</v>
      </c>
      <c r="B66" s="91" t="s">
        <v>100</v>
      </c>
      <c r="C66" s="91" t="s">
        <v>100</v>
      </c>
      <c r="D66" s="91" t="s">
        <v>100</v>
      </c>
      <c r="E66" s="91" t="s">
        <v>1978</v>
      </c>
      <c r="F66" s="91" t="s">
        <v>1993</v>
      </c>
      <c r="G66" s="91" t="s">
        <v>87</v>
      </c>
      <c r="H66" s="91">
        <v>1</v>
      </c>
      <c r="I66" s="91">
        <v>77</v>
      </c>
      <c r="J66" s="91">
        <v>0</v>
      </c>
      <c r="K66" s="91" t="s">
        <v>1853</v>
      </c>
      <c r="L66" s="91" t="s">
        <v>43</v>
      </c>
      <c r="M66" s="91" t="s">
        <v>1994</v>
      </c>
      <c r="N66" s="91" t="s">
        <v>1993</v>
      </c>
      <c r="O66" s="91" t="s">
        <v>1993</v>
      </c>
      <c r="Q66" s="91"/>
      <c r="S66" s="91" t="s">
        <v>138</v>
      </c>
      <c r="T66" s="91" t="s">
        <v>3429</v>
      </c>
      <c r="U66" s="91" t="s">
        <v>3430</v>
      </c>
      <c r="V66" s="91" t="s">
        <v>145</v>
      </c>
      <c r="W66" s="91" t="s">
        <v>177</v>
      </c>
    </row>
    <row r="67" spans="1:23">
      <c r="A67" s="93" t="str">
        <f>TEXT(tblProjectlist[[#This Row],[project-no]],"0")</f>
        <v>99987800</v>
      </c>
      <c r="B67" s="91" t="s">
        <v>100</v>
      </c>
      <c r="C67" s="91" t="s">
        <v>100</v>
      </c>
      <c r="D67" s="91" t="s">
        <v>100</v>
      </c>
      <c r="E67" s="91" t="s">
        <v>1987</v>
      </c>
      <c r="F67" s="91" t="s">
        <v>1991</v>
      </c>
      <c r="G67" s="91" t="s">
        <v>87</v>
      </c>
      <c r="H67" s="91">
        <v>1</v>
      </c>
      <c r="I67" s="91">
        <v>75</v>
      </c>
      <c r="J67" s="91">
        <v>0</v>
      </c>
      <c r="K67" s="91" t="s">
        <v>1854</v>
      </c>
      <c r="L67" s="91" t="s">
        <v>43</v>
      </c>
      <c r="M67" s="91" t="s">
        <v>1994</v>
      </c>
      <c r="N67" s="91" t="s">
        <v>1991</v>
      </c>
      <c r="O67" s="91" t="s">
        <v>2061</v>
      </c>
      <c r="Q67" s="91"/>
      <c r="S67" s="91" t="s">
        <v>138</v>
      </c>
      <c r="T67" s="91" t="s">
        <v>3427</v>
      </c>
      <c r="U67" s="91" t="s">
        <v>1991</v>
      </c>
      <c r="V67" s="91" t="s">
        <v>145</v>
      </c>
      <c r="W67" s="91" t="s">
        <v>177</v>
      </c>
    </row>
    <row r="68" spans="1:23">
      <c r="A68" s="93" t="str">
        <f>TEXT(tblProjectlist[[#This Row],[project-no]],"0")</f>
        <v>99987919</v>
      </c>
      <c r="B68" s="91" t="s">
        <v>100</v>
      </c>
      <c r="C68" s="91" t="s">
        <v>100</v>
      </c>
      <c r="D68" s="91" t="s">
        <v>100</v>
      </c>
      <c r="E68" s="91" t="s">
        <v>1975</v>
      </c>
      <c r="G68" s="91" t="s">
        <v>87</v>
      </c>
      <c r="H68" s="91">
        <v>1</v>
      </c>
      <c r="I68" s="91">
        <v>79</v>
      </c>
      <c r="J68" s="91">
        <v>19</v>
      </c>
      <c r="K68" s="91" t="s">
        <v>1855</v>
      </c>
      <c r="L68" s="91" t="s">
        <v>43</v>
      </c>
      <c r="M68" s="91" t="s">
        <v>0</v>
      </c>
      <c r="N68" s="91" t="s">
        <v>4478</v>
      </c>
      <c r="O68" s="91" t="s">
        <v>2062</v>
      </c>
      <c r="Q68" s="91"/>
      <c r="S68" s="91" t="s">
        <v>138</v>
      </c>
      <c r="T68" s="91" t="s">
        <v>3431</v>
      </c>
      <c r="U68" s="91" t="s">
        <v>2062</v>
      </c>
      <c r="V68" s="91" t="s">
        <v>4476</v>
      </c>
      <c r="W68" s="91" t="s">
        <v>177</v>
      </c>
    </row>
    <row r="69" spans="1:23">
      <c r="A69" s="93" t="str">
        <f>TEXT(tblProjectlist[[#This Row],[project-no]],"0")</f>
        <v>99988000</v>
      </c>
      <c r="B69" s="91" t="s">
        <v>100</v>
      </c>
      <c r="C69" s="91" t="s">
        <v>100</v>
      </c>
      <c r="D69" s="91" t="s">
        <v>100</v>
      </c>
      <c r="E69" s="91" t="s">
        <v>1978</v>
      </c>
      <c r="F69" s="91" t="s">
        <v>1994</v>
      </c>
      <c r="G69" s="91" t="s">
        <v>87</v>
      </c>
      <c r="H69" s="91">
        <v>1</v>
      </c>
      <c r="I69" s="91">
        <v>80</v>
      </c>
      <c r="J69" s="91">
        <v>0</v>
      </c>
      <c r="K69" s="91" t="s">
        <v>1856</v>
      </c>
      <c r="L69" s="91" t="s">
        <v>43</v>
      </c>
      <c r="M69" s="91" t="s">
        <v>1994</v>
      </c>
      <c r="N69" s="91" t="s">
        <v>2060</v>
      </c>
      <c r="O69" s="91" t="s">
        <v>2063</v>
      </c>
      <c r="Q69" s="91"/>
      <c r="S69" s="91" t="s">
        <v>138</v>
      </c>
      <c r="T69" s="91" t="s">
        <v>3432</v>
      </c>
      <c r="U69" s="91" t="s">
        <v>3433</v>
      </c>
      <c r="V69" s="91" t="s">
        <v>145</v>
      </c>
      <c r="W69" s="91" t="s">
        <v>177</v>
      </c>
    </row>
    <row r="70" spans="1:23">
      <c r="A70" s="93" t="str">
        <f>TEXT(tblProjectlist[[#This Row],[project-no]],"0")</f>
        <v>99988019</v>
      </c>
      <c r="B70" s="91" t="s">
        <v>100</v>
      </c>
      <c r="C70" s="91" t="s">
        <v>100</v>
      </c>
      <c r="D70" s="91" t="s">
        <v>1995</v>
      </c>
      <c r="E70" s="91" t="s">
        <v>1975</v>
      </c>
      <c r="F70" s="91" t="s">
        <v>87</v>
      </c>
      <c r="G70" s="91" t="s">
        <v>87</v>
      </c>
      <c r="H70" s="91">
        <v>1</v>
      </c>
      <c r="I70" s="91">
        <v>80</v>
      </c>
      <c r="J70" s="91">
        <v>19</v>
      </c>
      <c r="K70" s="91" t="s">
        <v>1857</v>
      </c>
      <c r="L70" s="91" t="s">
        <v>43</v>
      </c>
      <c r="M70" s="91" t="s">
        <v>0</v>
      </c>
      <c r="N70" s="91" t="s">
        <v>4478</v>
      </c>
      <c r="O70" s="91" t="s">
        <v>2064</v>
      </c>
      <c r="Q70" s="91"/>
      <c r="S70" s="91" t="s">
        <v>138</v>
      </c>
      <c r="T70" s="91" t="s">
        <v>3434</v>
      </c>
      <c r="U70" s="91" t="s">
        <v>3608</v>
      </c>
      <c r="V70" s="91" t="s">
        <v>4476</v>
      </c>
      <c r="W70" s="91" t="s">
        <v>177</v>
      </c>
    </row>
    <row r="71" spans="1:23">
      <c r="A71" s="93" t="str">
        <f>TEXT(tblProjectlist[[#This Row],[project-no]],"0")</f>
        <v>99988019</v>
      </c>
      <c r="B71" s="91" t="s">
        <v>100</v>
      </c>
      <c r="C71" s="91" t="s">
        <v>100</v>
      </c>
      <c r="D71" s="91" t="s">
        <v>1995</v>
      </c>
      <c r="E71" s="91" t="s">
        <v>1975</v>
      </c>
      <c r="F71" s="91" t="s">
        <v>87</v>
      </c>
      <c r="G71" s="91" t="s">
        <v>87</v>
      </c>
      <c r="H71" s="91">
        <v>1</v>
      </c>
      <c r="I71" s="91">
        <v>81</v>
      </c>
      <c r="J71" s="91">
        <v>19</v>
      </c>
      <c r="K71" s="91" t="s">
        <v>1857</v>
      </c>
      <c r="L71" s="91" t="s">
        <v>43</v>
      </c>
      <c r="M71" s="91" t="s">
        <v>0</v>
      </c>
      <c r="N71" s="91" t="s">
        <v>3743</v>
      </c>
      <c r="O71" s="91" t="s">
        <v>2064</v>
      </c>
      <c r="Q71" s="91"/>
      <c r="S71" s="91" t="s">
        <v>138</v>
      </c>
      <c r="T71" s="91" t="s">
        <v>4525</v>
      </c>
      <c r="U71" s="91" t="s">
        <v>3608</v>
      </c>
      <c r="V71" s="91" t="s">
        <v>4476</v>
      </c>
      <c r="W71" s="91" t="s">
        <v>177</v>
      </c>
    </row>
    <row r="72" spans="1:23">
      <c r="A72" s="93" t="str">
        <f>TEXT(tblProjectlist[[#This Row],[project-no]],"0")</f>
        <v>99988029</v>
      </c>
      <c r="B72" s="91" t="s">
        <v>100</v>
      </c>
      <c r="C72" s="91" t="s">
        <v>100</v>
      </c>
      <c r="D72" s="91" t="s">
        <v>1995</v>
      </c>
      <c r="E72" s="91" t="s">
        <v>1976</v>
      </c>
      <c r="F72" s="91" t="s">
        <v>1965</v>
      </c>
      <c r="G72" s="91" t="s">
        <v>87</v>
      </c>
      <c r="H72" s="91">
        <v>1</v>
      </c>
      <c r="I72" s="91">
        <v>80</v>
      </c>
      <c r="J72" s="91">
        <v>29</v>
      </c>
      <c r="K72" s="91" t="s">
        <v>1858</v>
      </c>
      <c r="L72" s="91" t="s">
        <v>43</v>
      </c>
      <c r="M72" s="91" t="s">
        <v>4</v>
      </c>
      <c r="N72" s="91" t="s">
        <v>4161</v>
      </c>
      <c r="O72" s="91" t="s">
        <v>2065</v>
      </c>
      <c r="Q72" s="91"/>
      <c r="S72" s="91" t="s">
        <v>138</v>
      </c>
      <c r="T72" s="91" t="s">
        <v>3435</v>
      </c>
      <c r="U72" s="91" t="s">
        <v>3609</v>
      </c>
      <c r="V72" s="91" t="s">
        <v>145</v>
      </c>
      <c r="W72" s="91" t="s">
        <v>177</v>
      </c>
    </row>
    <row r="73" spans="1:23">
      <c r="A73" s="93" t="str">
        <f>TEXT(tblProjectlist[[#This Row],[project-no]],"0")</f>
        <v>99988049</v>
      </c>
      <c r="B73" s="91" t="s">
        <v>100</v>
      </c>
      <c r="C73" s="91" t="s">
        <v>100</v>
      </c>
      <c r="D73" s="91" t="s">
        <v>1995</v>
      </c>
      <c r="E73" s="91" t="s">
        <v>1971</v>
      </c>
      <c r="F73" s="91" t="s">
        <v>87</v>
      </c>
      <c r="G73" s="91" t="s">
        <v>87</v>
      </c>
      <c r="H73" s="91">
        <v>1</v>
      </c>
      <c r="I73" s="91">
        <v>80</v>
      </c>
      <c r="J73" s="91">
        <v>49</v>
      </c>
      <c r="K73" s="91" t="s">
        <v>1859</v>
      </c>
      <c r="L73" s="91" t="s">
        <v>43</v>
      </c>
      <c r="M73" s="91" t="s">
        <v>1</v>
      </c>
      <c r="N73" s="91" t="s">
        <v>4034</v>
      </c>
      <c r="O73" s="91" t="s">
        <v>2066</v>
      </c>
      <c r="Q73" s="91"/>
      <c r="S73" s="91" t="s">
        <v>138</v>
      </c>
      <c r="T73" s="91" t="s">
        <v>3404</v>
      </c>
      <c r="U73" s="91" t="s">
        <v>3610</v>
      </c>
      <c r="V73" s="91" t="s">
        <v>145</v>
      </c>
      <c r="W73" s="91" t="s">
        <v>177</v>
      </c>
    </row>
    <row r="74" spans="1:23">
      <c r="A74" s="93" t="str">
        <f>TEXT(tblProjectlist[[#This Row],[project-no]],"0")</f>
        <v>99988059</v>
      </c>
      <c r="B74" s="91" t="s">
        <v>100</v>
      </c>
      <c r="C74" s="91" t="s">
        <v>100</v>
      </c>
      <c r="D74" s="91" t="s">
        <v>45</v>
      </c>
      <c r="E74" s="91" t="s">
        <v>45</v>
      </c>
      <c r="F74" s="91" t="s">
        <v>1996</v>
      </c>
      <c r="G74" s="91" t="s">
        <v>87</v>
      </c>
      <c r="H74" s="91">
        <v>1</v>
      </c>
      <c r="I74" s="91">
        <v>80</v>
      </c>
      <c r="J74" s="91">
        <v>59</v>
      </c>
      <c r="K74" s="91" t="s">
        <v>1860</v>
      </c>
      <c r="L74" s="91" t="s">
        <v>43</v>
      </c>
      <c r="M74" s="91" t="s">
        <v>5</v>
      </c>
      <c r="O74" s="91" t="s">
        <v>144</v>
      </c>
      <c r="Q74" s="91"/>
      <c r="S74" s="91" t="s">
        <v>138</v>
      </c>
      <c r="T74" s="91" t="s">
        <v>3436</v>
      </c>
      <c r="U74" s="91" t="s">
        <v>3611</v>
      </c>
      <c r="V74" s="91" t="s">
        <v>145</v>
      </c>
      <c r="W74" s="91" t="s">
        <v>177</v>
      </c>
    </row>
    <row r="75" spans="1:23">
      <c r="A75" s="93" t="str">
        <f>TEXT(tblProjectlist[[#This Row],[project-no]],"0")</f>
        <v>99988129</v>
      </c>
      <c r="B75" s="91" t="s">
        <v>100</v>
      </c>
      <c r="C75" s="91" t="s">
        <v>100</v>
      </c>
      <c r="D75" s="91" t="s">
        <v>1997</v>
      </c>
      <c r="E75" s="91" t="s">
        <v>1976</v>
      </c>
      <c r="F75" s="91" t="s">
        <v>1965</v>
      </c>
      <c r="G75" s="91" t="s">
        <v>87</v>
      </c>
      <c r="H75" s="91">
        <v>1</v>
      </c>
      <c r="I75" s="91">
        <v>81</v>
      </c>
      <c r="J75" s="91">
        <v>29</v>
      </c>
      <c r="K75" s="91" t="s">
        <v>41</v>
      </c>
      <c r="L75" s="91" t="s">
        <v>43</v>
      </c>
      <c r="M75" s="91" t="s">
        <v>4</v>
      </c>
      <c r="N75" s="91" t="s">
        <v>3899</v>
      </c>
      <c r="O75" s="91" t="s">
        <v>2067</v>
      </c>
      <c r="Q75" s="91"/>
      <c r="S75" s="91" t="s">
        <v>138</v>
      </c>
      <c r="T75" s="91" t="s">
        <v>3437</v>
      </c>
      <c r="U75" s="91" t="s">
        <v>3612</v>
      </c>
      <c r="V75" s="91" t="s">
        <v>145</v>
      </c>
      <c r="W75" s="91" t="s">
        <v>177</v>
      </c>
    </row>
    <row r="76" spans="1:23">
      <c r="A76" s="93" t="str">
        <f>TEXT(tblProjectlist[[#This Row],[project-no]],"0")</f>
        <v>99988149</v>
      </c>
      <c r="B76" s="91" t="s">
        <v>100</v>
      </c>
      <c r="C76" s="91" t="s">
        <v>100</v>
      </c>
      <c r="D76" s="91" t="s">
        <v>1969</v>
      </c>
      <c r="E76" s="91" t="s">
        <v>1971</v>
      </c>
      <c r="F76" s="91" t="s">
        <v>87</v>
      </c>
      <c r="G76" s="91" t="s">
        <v>87</v>
      </c>
      <c r="H76" s="91">
        <v>1</v>
      </c>
      <c r="I76" s="91">
        <v>81</v>
      </c>
      <c r="J76" s="91">
        <v>49</v>
      </c>
      <c r="K76" s="91" t="s">
        <v>1861</v>
      </c>
      <c r="L76" s="91" t="s">
        <v>43</v>
      </c>
      <c r="M76" s="91" t="s">
        <v>1</v>
      </c>
      <c r="N76" s="91" t="s">
        <v>3746</v>
      </c>
      <c r="O76" s="91" t="s">
        <v>2068</v>
      </c>
      <c r="Q76" s="91"/>
      <c r="S76" s="91" t="s">
        <v>138</v>
      </c>
      <c r="T76" s="91" t="s">
        <v>3438</v>
      </c>
      <c r="U76" s="91" t="s">
        <v>3439</v>
      </c>
      <c r="V76" s="91" t="s">
        <v>145</v>
      </c>
      <c r="W76" s="91" t="s">
        <v>177</v>
      </c>
    </row>
    <row r="77" spans="1:23">
      <c r="A77" s="93" t="str">
        <f>TEXT(tblProjectlist[[#This Row],[project-no]],"0")</f>
        <v>99988229</v>
      </c>
      <c r="B77" s="91" t="s">
        <v>100</v>
      </c>
      <c r="C77" s="91" t="s">
        <v>100</v>
      </c>
      <c r="D77" s="91" t="s">
        <v>1997</v>
      </c>
      <c r="E77" s="91" t="s">
        <v>1976</v>
      </c>
      <c r="F77" s="91" t="s">
        <v>1965</v>
      </c>
      <c r="G77" s="91" t="s">
        <v>87</v>
      </c>
      <c r="H77" s="91">
        <v>1</v>
      </c>
      <c r="I77" s="91">
        <v>82</v>
      </c>
      <c r="J77" s="91">
        <v>29</v>
      </c>
      <c r="K77" s="91" t="s">
        <v>1862</v>
      </c>
      <c r="L77" s="91" t="s">
        <v>43</v>
      </c>
      <c r="M77" s="91" t="s">
        <v>4</v>
      </c>
      <c r="N77" s="91" t="s">
        <v>3738</v>
      </c>
      <c r="O77" s="91" t="s">
        <v>2069</v>
      </c>
      <c r="Q77" s="91"/>
      <c r="S77" s="91" t="s">
        <v>138</v>
      </c>
      <c r="T77" s="91" t="s">
        <v>3440</v>
      </c>
      <c r="U77" s="91" t="s">
        <v>3613</v>
      </c>
      <c r="V77" s="91" t="s">
        <v>145</v>
      </c>
      <c r="W77" s="91" t="s">
        <v>177</v>
      </c>
    </row>
    <row r="78" spans="1:23">
      <c r="A78" s="93" t="str">
        <f>TEXT(tblProjectlist[[#This Row],[project-no]],"0")</f>
        <v>99988249</v>
      </c>
      <c r="B78" s="91" t="s">
        <v>100</v>
      </c>
      <c r="C78" s="91" t="s">
        <v>100</v>
      </c>
      <c r="D78" s="91" t="s">
        <v>1969</v>
      </c>
      <c r="E78" s="91" t="s">
        <v>1971</v>
      </c>
      <c r="F78" s="91" t="s">
        <v>87</v>
      </c>
      <c r="G78" s="91" t="s">
        <v>87</v>
      </c>
      <c r="H78" s="91">
        <v>1</v>
      </c>
      <c r="I78" s="91">
        <v>82</v>
      </c>
      <c r="J78" s="91">
        <v>49</v>
      </c>
      <c r="K78" s="91" t="s">
        <v>1863</v>
      </c>
      <c r="L78" s="91" t="s">
        <v>43</v>
      </c>
      <c r="M78" s="91" t="s">
        <v>1</v>
      </c>
      <c r="N78" s="91" t="s">
        <v>3749</v>
      </c>
      <c r="O78" s="91" t="s">
        <v>2070</v>
      </c>
      <c r="Q78" s="91"/>
      <c r="S78" s="91" t="s">
        <v>138</v>
      </c>
      <c r="T78" s="91" t="s">
        <v>3441</v>
      </c>
      <c r="U78" s="91" t="s">
        <v>3442</v>
      </c>
      <c r="V78" s="91" t="s">
        <v>145</v>
      </c>
      <c r="W78" s="91" t="s">
        <v>177</v>
      </c>
    </row>
    <row r="79" spans="1:23">
      <c r="A79" s="93" t="str">
        <f>TEXT(tblProjectlist[[#This Row],[project-no]],"0")</f>
        <v>99988349</v>
      </c>
      <c r="B79" s="91" t="s">
        <v>100</v>
      </c>
      <c r="C79" s="91" t="s">
        <v>100</v>
      </c>
      <c r="D79" s="91" t="s">
        <v>1969</v>
      </c>
      <c r="E79" s="91" t="s">
        <v>1971</v>
      </c>
      <c r="F79" s="91" t="s">
        <v>87</v>
      </c>
      <c r="G79" s="91" t="s">
        <v>87</v>
      </c>
      <c r="H79" s="91">
        <v>1</v>
      </c>
      <c r="I79" s="91">
        <v>83</v>
      </c>
      <c r="J79" s="91">
        <v>49</v>
      </c>
      <c r="K79" s="91" t="s">
        <v>1864</v>
      </c>
      <c r="L79" s="91" t="s">
        <v>43</v>
      </c>
      <c r="M79" s="91" t="s">
        <v>1</v>
      </c>
      <c r="N79" s="91" t="s">
        <v>3745</v>
      </c>
      <c r="O79" s="91" t="s">
        <v>2071</v>
      </c>
      <c r="Q79" s="91"/>
      <c r="S79" s="91" t="s">
        <v>138</v>
      </c>
      <c r="T79" s="91" t="s">
        <v>3443</v>
      </c>
      <c r="U79" s="91" t="s">
        <v>3444</v>
      </c>
      <c r="V79" s="91" t="s">
        <v>145</v>
      </c>
      <c r="W79" s="91" t="s">
        <v>177</v>
      </c>
    </row>
    <row r="80" spans="1:23">
      <c r="A80" s="93" t="str">
        <f>TEXT(tblProjectlist[[#This Row],[project-no]],"0")</f>
        <v>99988429</v>
      </c>
      <c r="B80" s="91" t="s">
        <v>100</v>
      </c>
      <c r="C80" s="91" t="s">
        <v>100</v>
      </c>
      <c r="D80" s="91" t="s">
        <v>1997</v>
      </c>
      <c r="E80" s="91" t="s">
        <v>1976</v>
      </c>
      <c r="F80" s="91" t="s">
        <v>1965</v>
      </c>
      <c r="G80" s="91" t="s">
        <v>87</v>
      </c>
      <c r="H80" s="91">
        <v>1</v>
      </c>
      <c r="I80" s="91">
        <v>84</v>
      </c>
      <c r="J80" s="91">
        <v>29</v>
      </c>
      <c r="K80" s="91" t="s">
        <v>1865</v>
      </c>
      <c r="L80" s="91" t="s">
        <v>43</v>
      </c>
      <c r="M80" s="91" t="s">
        <v>4</v>
      </c>
      <c r="N80" s="91" t="s">
        <v>3739</v>
      </c>
      <c r="O80" s="91" t="s">
        <v>2072</v>
      </c>
      <c r="Q80" s="91"/>
      <c r="S80" s="91" t="s">
        <v>138</v>
      </c>
      <c r="T80" s="91" t="s">
        <v>3445</v>
      </c>
      <c r="U80" s="91" t="s">
        <v>3614</v>
      </c>
      <c r="V80" s="91" t="s">
        <v>145</v>
      </c>
      <c r="W80" s="91" t="s">
        <v>177</v>
      </c>
    </row>
    <row r="81" spans="1:23">
      <c r="A81" s="93" t="str">
        <f>TEXT(tblProjectlist[[#This Row],[project-no]],"0")</f>
        <v>99988449</v>
      </c>
      <c r="B81" s="91" t="s">
        <v>100</v>
      </c>
      <c r="C81" s="91" t="s">
        <v>100</v>
      </c>
      <c r="D81" s="91" t="s">
        <v>1995</v>
      </c>
      <c r="E81" s="91" t="s">
        <v>1971</v>
      </c>
      <c r="F81" s="91" t="s">
        <v>87</v>
      </c>
      <c r="G81" s="91" t="s">
        <v>87</v>
      </c>
      <c r="H81" s="91">
        <v>1</v>
      </c>
      <c r="I81" s="91">
        <v>84</v>
      </c>
      <c r="J81" s="91">
        <v>49</v>
      </c>
      <c r="K81" s="91" t="s">
        <v>1866</v>
      </c>
      <c r="L81" s="91" t="s">
        <v>43</v>
      </c>
      <c r="M81" s="91" t="s">
        <v>1</v>
      </c>
      <c r="N81" s="91" t="s">
        <v>4163</v>
      </c>
      <c r="O81" s="91" t="s">
        <v>2073</v>
      </c>
      <c r="Q81" s="91"/>
      <c r="S81" s="91" t="s">
        <v>138</v>
      </c>
      <c r="T81" s="91" t="s">
        <v>3446</v>
      </c>
      <c r="U81" s="91" t="s">
        <v>3447</v>
      </c>
      <c r="V81" s="91" t="s">
        <v>145</v>
      </c>
      <c r="W81" s="91" t="s">
        <v>177</v>
      </c>
    </row>
    <row r="82" spans="1:23">
      <c r="A82" s="93" t="str">
        <f>TEXT(tblProjectlist[[#This Row],[project-no]],"0")</f>
        <v>99988529</v>
      </c>
      <c r="B82" s="91" t="s">
        <v>100</v>
      </c>
      <c r="C82" s="91" t="s">
        <v>100</v>
      </c>
      <c r="D82" s="91" t="s">
        <v>1997</v>
      </c>
      <c r="E82" s="91" t="s">
        <v>1976</v>
      </c>
      <c r="F82" s="91" t="s">
        <v>1965</v>
      </c>
      <c r="G82" s="91" t="s">
        <v>87</v>
      </c>
      <c r="H82" s="91">
        <v>1</v>
      </c>
      <c r="I82" s="91">
        <v>85</v>
      </c>
      <c r="J82" s="91">
        <v>29</v>
      </c>
      <c r="K82" s="91" t="s">
        <v>1867</v>
      </c>
      <c r="L82" s="91" t="s">
        <v>43</v>
      </c>
      <c r="M82" s="91" t="s">
        <v>4</v>
      </c>
      <c r="N82" s="91" t="s">
        <v>3742</v>
      </c>
      <c r="O82" s="91" t="s">
        <v>2074</v>
      </c>
      <c r="Q82" s="91"/>
      <c r="S82" s="91" t="s">
        <v>138</v>
      </c>
      <c r="T82" s="91" t="s">
        <v>3449</v>
      </c>
      <c r="U82" s="91" t="s">
        <v>3615</v>
      </c>
      <c r="V82" s="91" t="s">
        <v>145</v>
      </c>
      <c r="W82" s="91" t="s">
        <v>177</v>
      </c>
    </row>
    <row r="83" spans="1:23">
      <c r="A83" s="93" t="str">
        <f>TEXT(tblProjectlist[[#This Row],[project-no]],"0")</f>
        <v>99988549</v>
      </c>
      <c r="B83" s="91" t="s">
        <v>100</v>
      </c>
      <c r="C83" s="91" t="s">
        <v>100</v>
      </c>
      <c r="D83" s="91" t="s">
        <v>1995</v>
      </c>
      <c r="E83" s="91" t="s">
        <v>1971</v>
      </c>
      <c r="F83" s="91" t="s">
        <v>87</v>
      </c>
      <c r="G83" s="91" t="s">
        <v>87</v>
      </c>
      <c r="H83" s="91">
        <v>1</v>
      </c>
      <c r="I83" s="91">
        <v>85</v>
      </c>
      <c r="J83" s="91">
        <v>49</v>
      </c>
      <c r="K83" s="91" t="s">
        <v>1868</v>
      </c>
      <c r="L83" s="91" t="s">
        <v>43</v>
      </c>
      <c r="M83" s="91" t="s">
        <v>1</v>
      </c>
      <c r="N83" s="91" t="s">
        <v>3900</v>
      </c>
      <c r="O83" s="91" t="s">
        <v>2075</v>
      </c>
      <c r="Q83" s="91"/>
      <c r="S83" s="91" t="s">
        <v>138</v>
      </c>
      <c r="T83" s="91" t="s">
        <v>3450</v>
      </c>
      <c r="U83" s="91" t="s">
        <v>3451</v>
      </c>
      <c r="V83" s="91" t="s">
        <v>145</v>
      </c>
      <c r="W83" s="91" t="s">
        <v>177</v>
      </c>
    </row>
    <row r="84" spans="1:23">
      <c r="A84" s="93" t="str">
        <f>TEXT(tblProjectlist[[#This Row],[project-no]],"0")</f>
        <v>99988619</v>
      </c>
      <c r="B84" s="91" t="s">
        <v>100</v>
      </c>
      <c r="C84" s="91" t="s">
        <v>100</v>
      </c>
      <c r="D84" s="91" t="s">
        <v>100</v>
      </c>
      <c r="E84" s="91" t="s">
        <v>1975</v>
      </c>
      <c r="G84" s="91" t="s">
        <v>87</v>
      </c>
      <c r="H84" s="91">
        <v>1</v>
      </c>
      <c r="I84" s="91">
        <v>86</v>
      </c>
      <c r="J84" s="91">
        <v>19</v>
      </c>
      <c r="K84" s="91" t="s">
        <v>1869</v>
      </c>
      <c r="L84" s="91" t="s">
        <v>43</v>
      </c>
      <c r="M84" s="91" t="s">
        <v>0</v>
      </c>
      <c r="N84" s="91" t="s">
        <v>4478</v>
      </c>
      <c r="O84" s="91" t="s">
        <v>2076</v>
      </c>
      <c r="Q84" s="91"/>
      <c r="S84" s="91" t="s">
        <v>138</v>
      </c>
      <c r="T84" s="91" t="s">
        <v>3452</v>
      </c>
      <c r="U84" s="91" t="s">
        <v>3616</v>
      </c>
      <c r="V84" s="91" t="s">
        <v>4476</v>
      </c>
      <c r="W84" s="91" t="s">
        <v>177</v>
      </c>
    </row>
    <row r="85" spans="1:23">
      <c r="A85" s="93" t="str">
        <f>TEXT(tblProjectlist[[#This Row],[project-no]],"0")</f>
        <v>99988629</v>
      </c>
      <c r="B85" s="91" t="s">
        <v>100</v>
      </c>
      <c r="C85" s="91" t="s">
        <v>100</v>
      </c>
      <c r="D85" s="91" t="s">
        <v>1995</v>
      </c>
      <c r="E85" s="91" t="s">
        <v>1976</v>
      </c>
      <c r="F85" s="91" t="s">
        <v>1965</v>
      </c>
      <c r="G85" s="91" t="s">
        <v>87</v>
      </c>
      <c r="H85" s="91">
        <v>1</v>
      </c>
      <c r="I85" s="91">
        <v>86</v>
      </c>
      <c r="J85" s="91">
        <v>29</v>
      </c>
      <c r="K85" s="91" t="s">
        <v>1870</v>
      </c>
      <c r="L85" s="91" t="s">
        <v>43</v>
      </c>
      <c r="M85" s="91" t="s">
        <v>4</v>
      </c>
      <c r="N85" s="91" t="s">
        <v>4161</v>
      </c>
      <c r="O85" s="91" t="s">
        <v>2077</v>
      </c>
      <c r="Q85" s="91"/>
      <c r="S85" s="91" t="s">
        <v>138</v>
      </c>
      <c r="T85" s="91" t="s">
        <v>3453</v>
      </c>
      <c r="U85" s="91" t="s">
        <v>3454</v>
      </c>
      <c r="V85" s="91" t="s">
        <v>145</v>
      </c>
      <c r="W85" s="91" t="s">
        <v>177</v>
      </c>
    </row>
    <row r="86" spans="1:23">
      <c r="A86" s="93" t="str">
        <f>TEXT(tblProjectlist[[#This Row],[project-no]],"0")</f>
        <v>99988649</v>
      </c>
      <c r="B86" s="91" t="s">
        <v>100</v>
      </c>
      <c r="C86" s="91" t="s">
        <v>100</v>
      </c>
      <c r="D86" s="91" t="s">
        <v>1995</v>
      </c>
      <c r="E86" s="91" t="s">
        <v>1971</v>
      </c>
      <c r="F86" s="91" t="s">
        <v>87</v>
      </c>
      <c r="G86" s="91" t="s">
        <v>87</v>
      </c>
      <c r="H86" s="91">
        <v>1</v>
      </c>
      <c r="I86" s="91">
        <v>86</v>
      </c>
      <c r="J86" s="91">
        <v>49</v>
      </c>
      <c r="K86" s="91" t="s">
        <v>1871</v>
      </c>
      <c r="L86" s="91" t="s">
        <v>43</v>
      </c>
      <c r="M86" s="91" t="s">
        <v>1</v>
      </c>
      <c r="N86" s="91" t="s">
        <v>4034</v>
      </c>
      <c r="O86" s="91" t="s">
        <v>2078</v>
      </c>
      <c r="Q86" s="91"/>
      <c r="S86" s="91" t="s">
        <v>138</v>
      </c>
      <c r="T86" s="91" t="s">
        <v>3455</v>
      </c>
      <c r="U86" s="91" t="s">
        <v>3456</v>
      </c>
      <c r="V86" s="91" t="s">
        <v>145</v>
      </c>
      <c r="W86" s="91" t="s">
        <v>177</v>
      </c>
    </row>
    <row r="87" spans="1:23">
      <c r="A87" s="93" t="str">
        <f>TEXT(tblProjectlist[[#This Row],[project-no]],"0")</f>
        <v>99988719</v>
      </c>
      <c r="B87" s="91" t="s">
        <v>100</v>
      </c>
      <c r="C87" s="91" t="s">
        <v>100</v>
      </c>
      <c r="D87" s="91" t="s">
        <v>100</v>
      </c>
      <c r="E87" s="91" t="s">
        <v>1975</v>
      </c>
      <c r="G87" s="91" t="s">
        <v>87</v>
      </c>
      <c r="H87" s="91">
        <v>1</v>
      </c>
      <c r="I87" s="91">
        <v>87</v>
      </c>
      <c r="J87" s="91">
        <v>19</v>
      </c>
      <c r="K87" s="91" t="s">
        <v>1872</v>
      </c>
      <c r="L87" s="91" t="s">
        <v>43</v>
      </c>
      <c r="M87" s="91" t="s">
        <v>0</v>
      </c>
      <c r="N87" s="91" t="s">
        <v>4478</v>
      </c>
      <c r="O87" s="91" t="s">
        <v>2079</v>
      </c>
      <c r="Q87" s="91"/>
      <c r="S87" s="91" t="s">
        <v>138</v>
      </c>
      <c r="T87" s="91" t="s">
        <v>3457</v>
      </c>
      <c r="U87" s="91" t="s">
        <v>3617</v>
      </c>
      <c r="V87" s="91" t="s">
        <v>4476</v>
      </c>
      <c r="W87" s="91" t="s">
        <v>177</v>
      </c>
    </row>
    <row r="88" spans="1:23">
      <c r="A88" s="93" t="str">
        <f>TEXT(tblProjectlist[[#This Row],[project-no]],"0")</f>
        <v>99988729</v>
      </c>
      <c r="B88" s="91" t="s">
        <v>100</v>
      </c>
      <c r="C88" s="91" t="s">
        <v>100</v>
      </c>
      <c r="D88" s="91" t="s">
        <v>1997</v>
      </c>
      <c r="E88" s="91" t="s">
        <v>1976</v>
      </c>
      <c r="F88" s="91" t="s">
        <v>1965</v>
      </c>
      <c r="G88" s="91" t="s">
        <v>87</v>
      </c>
      <c r="H88" s="91">
        <v>1</v>
      </c>
      <c r="I88" s="91">
        <v>87</v>
      </c>
      <c r="J88" s="91">
        <v>29</v>
      </c>
      <c r="K88" s="91" t="s">
        <v>1873</v>
      </c>
      <c r="L88" s="91" t="s">
        <v>43</v>
      </c>
      <c r="M88" s="91" t="s">
        <v>4</v>
      </c>
      <c r="N88" s="91" t="s">
        <v>3740</v>
      </c>
      <c r="O88" s="91" t="s">
        <v>2080</v>
      </c>
      <c r="Q88" s="91"/>
      <c r="S88" s="91" t="s">
        <v>138</v>
      </c>
      <c r="T88" s="91" t="s">
        <v>3458</v>
      </c>
      <c r="U88" s="91" t="s">
        <v>3618</v>
      </c>
      <c r="V88" s="91" t="s">
        <v>145</v>
      </c>
      <c r="W88" s="91" t="s">
        <v>177</v>
      </c>
    </row>
    <row r="89" spans="1:23">
      <c r="A89" s="93" t="str">
        <f>TEXT(tblProjectlist[[#This Row],[project-no]],"0")</f>
        <v>99988819</v>
      </c>
      <c r="B89" s="91" t="s">
        <v>100</v>
      </c>
      <c r="C89" s="91" t="s">
        <v>100</v>
      </c>
      <c r="D89" s="91" t="s">
        <v>100</v>
      </c>
      <c r="E89" s="91" t="s">
        <v>1975</v>
      </c>
      <c r="G89" s="91" t="s">
        <v>87</v>
      </c>
      <c r="H89" s="91">
        <v>1</v>
      </c>
      <c r="I89" s="91">
        <v>88</v>
      </c>
      <c r="J89" s="91">
        <v>19</v>
      </c>
      <c r="K89" s="91" t="s">
        <v>1874</v>
      </c>
      <c r="L89" s="91" t="s">
        <v>43</v>
      </c>
      <c r="M89" s="91" t="s">
        <v>0</v>
      </c>
      <c r="N89" s="91" t="s">
        <v>4478</v>
      </c>
      <c r="O89" s="91" t="s">
        <v>2081</v>
      </c>
      <c r="Q89" s="91"/>
      <c r="S89" s="91" t="s">
        <v>138</v>
      </c>
      <c r="T89" s="91" t="s">
        <v>3459</v>
      </c>
      <c r="U89" s="91" t="s">
        <v>3619</v>
      </c>
      <c r="V89" s="91" t="s">
        <v>4476</v>
      </c>
      <c r="W89" s="91" t="s">
        <v>177</v>
      </c>
    </row>
    <row r="90" spans="1:23">
      <c r="A90" s="93" t="str">
        <f>TEXT(tblProjectlist[[#This Row],[project-no]],"0")</f>
        <v>99988829</v>
      </c>
      <c r="B90" s="91" t="s">
        <v>100</v>
      </c>
      <c r="C90" s="91" t="s">
        <v>100</v>
      </c>
      <c r="D90" s="91" t="s">
        <v>1969</v>
      </c>
      <c r="E90" s="91" t="s">
        <v>1976</v>
      </c>
      <c r="F90" s="91" t="s">
        <v>1966</v>
      </c>
      <c r="G90" s="91" t="s">
        <v>87</v>
      </c>
      <c r="H90" s="91">
        <v>1</v>
      </c>
      <c r="I90" s="91">
        <v>88</v>
      </c>
      <c r="J90" s="91">
        <v>29</v>
      </c>
      <c r="K90" s="91" t="s">
        <v>1875</v>
      </c>
      <c r="L90" s="91" t="s">
        <v>43</v>
      </c>
      <c r="M90" s="91" t="s">
        <v>4</v>
      </c>
      <c r="N90" s="91" t="s">
        <v>4162</v>
      </c>
      <c r="O90" s="91" t="s">
        <v>2082</v>
      </c>
      <c r="Q90" s="91"/>
      <c r="S90" s="91" t="s">
        <v>138</v>
      </c>
      <c r="T90" s="91" t="s">
        <v>3460</v>
      </c>
      <c r="U90" s="91" t="s">
        <v>3620</v>
      </c>
      <c r="V90" s="91" t="s">
        <v>146</v>
      </c>
      <c r="W90" s="91" t="s">
        <v>177</v>
      </c>
    </row>
    <row r="91" spans="1:23">
      <c r="A91" s="93" t="str">
        <f>TEXT(tblProjectlist[[#This Row],[project-no]],"0")</f>
        <v>99988929</v>
      </c>
      <c r="B91" s="91" t="s">
        <v>100</v>
      </c>
      <c r="C91" s="91" t="s">
        <v>100</v>
      </c>
      <c r="D91" s="91" t="s">
        <v>1998</v>
      </c>
      <c r="E91" s="91" t="s">
        <v>1976</v>
      </c>
      <c r="F91" s="91" t="s">
        <v>1965</v>
      </c>
      <c r="G91" s="91" t="s">
        <v>87</v>
      </c>
      <c r="H91" s="91">
        <v>1</v>
      </c>
      <c r="I91" s="91">
        <v>89</v>
      </c>
      <c r="J91" s="91">
        <v>29</v>
      </c>
      <c r="K91" s="91" t="s">
        <v>1876</v>
      </c>
      <c r="L91" s="91" t="s">
        <v>43</v>
      </c>
      <c r="M91" s="91" t="s">
        <v>4</v>
      </c>
      <c r="N91" s="91" t="s">
        <v>4162</v>
      </c>
      <c r="O91" s="91" t="s">
        <v>2083</v>
      </c>
      <c r="Q91" s="91"/>
      <c r="S91" s="91" t="s">
        <v>138</v>
      </c>
      <c r="T91" s="91" t="s">
        <v>3461</v>
      </c>
      <c r="U91" s="91" t="s">
        <v>3462</v>
      </c>
      <c r="V91" s="91" t="s">
        <v>145</v>
      </c>
      <c r="W91" s="91" t="s">
        <v>177</v>
      </c>
    </row>
    <row r="92" spans="1:23">
      <c r="A92" s="93" t="str">
        <f>TEXT(tblProjectlist[[#This Row],[project-no]],"0")</f>
        <v>99989029</v>
      </c>
      <c r="B92" s="91" t="s">
        <v>100</v>
      </c>
      <c r="C92" s="91" t="s">
        <v>100</v>
      </c>
      <c r="D92" s="91" t="s">
        <v>1997</v>
      </c>
      <c r="E92" s="91" t="s">
        <v>1976</v>
      </c>
      <c r="F92" s="91" t="s">
        <v>1965</v>
      </c>
      <c r="G92" s="91" t="s">
        <v>87</v>
      </c>
      <c r="H92" s="91">
        <v>1</v>
      </c>
      <c r="I92" s="91">
        <v>90</v>
      </c>
      <c r="J92" s="91">
        <v>29</v>
      </c>
      <c r="K92" s="91" t="s">
        <v>1877</v>
      </c>
      <c r="L92" s="91" t="s">
        <v>43</v>
      </c>
      <c r="M92" s="91" t="s">
        <v>4</v>
      </c>
      <c r="N92" s="91" t="s">
        <v>3747</v>
      </c>
      <c r="O92" s="91" t="s">
        <v>2084</v>
      </c>
      <c r="Q92" s="91"/>
      <c r="S92" s="91" t="s">
        <v>138</v>
      </c>
      <c r="T92" s="91" t="s">
        <v>3463</v>
      </c>
      <c r="U92" s="91" t="s">
        <v>3621</v>
      </c>
      <c r="V92" s="91" t="s">
        <v>145</v>
      </c>
      <c r="W92" s="91" t="s">
        <v>177</v>
      </c>
    </row>
    <row r="93" spans="1:23">
      <c r="A93" s="93" t="str">
        <f>TEXT(tblProjectlist[[#This Row],[project-no]],"0")</f>
        <v>99989049</v>
      </c>
      <c r="B93" s="91" t="s">
        <v>100</v>
      </c>
      <c r="C93" s="91" t="s">
        <v>100</v>
      </c>
      <c r="D93" s="91" t="s">
        <v>1999</v>
      </c>
      <c r="F93" s="91" t="s">
        <v>2000</v>
      </c>
      <c r="G93" s="91" t="s">
        <v>87</v>
      </c>
      <c r="H93" s="91">
        <v>1</v>
      </c>
      <c r="I93" s="91">
        <v>90</v>
      </c>
      <c r="J93" s="91">
        <v>49</v>
      </c>
      <c r="K93" s="91" t="s">
        <v>1878</v>
      </c>
      <c r="L93" s="91" t="s">
        <v>43</v>
      </c>
      <c r="M93" s="91" t="s">
        <v>1</v>
      </c>
      <c r="N93" s="91" t="s">
        <v>4034</v>
      </c>
      <c r="O93" s="91" t="s">
        <v>2085</v>
      </c>
      <c r="Q93" s="91"/>
      <c r="S93" s="91" t="s">
        <v>138</v>
      </c>
      <c r="T93" s="91" t="s">
        <v>3464</v>
      </c>
      <c r="U93" s="91" t="s">
        <v>3465</v>
      </c>
      <c r="V93" s="91" t="s">
        <v>145</v>
      </c>
      <c r="W93" s="91" t="s">
        <v>177</v>
      </c>
    </row>
    <row r="94" spans="1:23">
      <c r="A94" s="93" t="str">
        <f>TEXT(tblProjectlist[[#This Row],[project-no]],"0")</f>
        <v>99989129</v>
      </c>
      <c r="B94" s="91" t="s">
        <v>100</v>
      </c>
      <c r="C94" s="91" t="s">
        <v>100</v>
      </c>
      <c r="D94" s="91" t="s">
        <v>1997</v>
      </c>
      <c r="G94" s="91" t="s">
        <v>87</v>
      </c>
      <c r="H94" s="91">
        <v>1</v>
      </c>
      <c r="I94" s="91">
        <v>91</v>
      </c>
      <c r="J94" s="91">
        <v>29</v>
      </c>
      <c r="K94" s="91" t="s">
        <v>1879</v>
      </c>
      <c r="L94" s="91" t="s">
        <v>43</v>
      </c>
      <c r="M94" s="91" t="s">
        <v>4</v>
      </c>
      <c r="N94" s="91" t="s">
        <v>3742</v>
      </c>
      <c r="O94" s="91" t="s">
        <v>2086</v>
      </c>
      <c r="Q94" s="91"/>
      <c r="S94" s="91" t="s">
        <v>138</v>
      </c>
      <c r="T94" s="91" t="s">
        <v>3466</v>
      </c>
      <c r="U94" s="91" t="s">
        <v>3467</v>
      </c>
      <c r="V94" s="91" t="s">
        <v>145</v>
      </c>
      <c r="W94" s="91" t="s">
        <v>177</v>
      </c>
    </row>
    <row r="95" spans="1:23">
      <c r="A95" s="93" t="str">
        <f>TEXT(tblProjectlist[[#This Row],[project-no]],"0")</f>
        <v>99989149</v>
      </c>
      <c r="B95" s="91" t="s">
        <v>100</v>
      </c>
      <c r="C95" s="91" t="s">
        <v>100</v>
      </c>
      <c r="D95" s="91" t="s">
        <v>1969</v>
      </c>
      <c r="F95" s="91" t="s">
        <v>2000</v>
      </c>
      <c r="G95" s="91" t="s">
        <v>87</v>
      </c>
      <c r="H95" s="91">
        <v>1</v>
      </c>
      <c r="I95" s="91">
        <v>94</v>
      </c>
      <c r="J95" s="91">
        <v>49</v>
      </c>
      <c r="K95" s="91" t="s">
        <v>1880</v>
      </c>
      <c r="L95" s="91" t="s">
        <v>43</v>
      </c>
      <c r="M95" s="91" t="s">
        <v>1</v>
      </c>
      <c r="N95" s="91" t="s">
        <v>3746</v>
      </c>
      <c r="O95" s="91" t="s">
        <v>2087</v>
      </c>
      <c r="Q95" s="91"/>
      <c r="S95" s="91" t="s">
        <v>138</v>
      </c>
      <c r="T95" s="91" t="s">
        <v>3468</v>
      </c>
      <c r="U95" s="91" t="s">
        <v>3469</v>
      </c>
      <c r="V95" s="91" t="s">
        <v>145</v>
      </c>
      <c r="W95" s="91" t="s">
        <v>177</v>
      </c>
    </row>
    <row r="96" spans="1:23">
      <c r="A96" s="93" t="str">
        <f>TEXT(tblProjectlist[[#This Row],[project-no]],"0")</f>
        <v>99989159</v>
      </c>
      <c r="B96" s="91" t="s">
        <v>100</v>
      </c>
      <c r="C96" s="91" t="s">
        <v>100</v>
      </c>
      <c r="D96" s="91" t="s">
        <v>45</v>
      </c>
      <c r="E96" s="91" t="s">
        <v>45</v>
      </c>
      <c r="F96" s="91" t="s">
        <v>2001</v>
      </c>
      <c r="G96" s="91" t="s">
        <v>87</v>
      </c>
      <c r="H96" s="91">
        <v>1</v>
      </c>
      <c r="I96" s="91">
        <v>91</v>
      </c>
      <c r="J96" s="91">
        <v>59</v>
      </c>
      <c r="K96" s="91" t="s">
        <v>1881</v>
      </c>
      <c r="L96" s="91" t="s">
        <v>43</v>
      </c>
      <c r="M96" s="91" t="s">
        <v>5</v>
      </c>
      <c r="O96" s="91" t="s">
        <v>44</v>
      </c>
      <c r="Q96" s="91"/>
      <c r="S96" s="91" t="s">
        <v>138</v>
      </c>
      <c r="T96" s="91" t="s">
        <v>3470</v>
      </c>
      <c r="U96" s="91" t="s">
        <v>3471</v>
      </c>
      <c r="V96" s="91" t="s">
        <v>145</v>
      </c>
      <c r="W96" s="91" t="s">
        <v>177</v>
      </c>
    </row>
    <row r="97" spans="1:23">
      <c r="A97" s="93" t="str">
        <f>TEXT(tblProjectlist[[#This Row],[project-no]],"0")</f>
        <v>99989229</v>
      </c>
      <c r="B97" s="91" t="s">
        <v>100</v>
      </c>
      <c r="C97" s="91" t="s">
        <v>100</v>
      </c>
      <c r="D97" s="91" t="s">
        <v>1997</v>
      </c>
      <c r="G97" s="91" t="s">
        <v>87</v>
      </c>
      <c r="H97" s="91">
        <v>1</v>
      </c>
      <c r="I97" s="91">
        <v>92</v>
      </c>
      <c r="J97" s="91">
        <v>29</v>
      </c>
      <c r="K97" s="91" t="s">
        <v>1882</v>
      </c>
      <c r="L97" s="91" t="s">
        <v>43</v>
      </c>
      <c r="M97" s="91" t="s">
        <v>4</v>
      </c>
      <c r="N97" s="91" t="s">
        <v>3740</v>
      </c>
      <c r="O97" s="91" t="s">
        <v>2088</v>
      </c>
      <c r="Q97" s="91"/>
      <c r="S97" s="91" t="s">
        <v>138</v>
      </c>
      <c r="T97" s="91" t="s">
        <v>3472</v>
      </c>
      <c r="U97" s="91" t="s">
        <v>3473</v>
      </c>
      <c r="V97" s="91" t="s">
        <v>145</v>
      </c>
      <c r="W97" s="91" t="s">
        <v>177</v>
      </c>
    </row>
    <row r="98" spans="1:23">
      <c r="A98" s="93" t="str">
        <f>TEXT(tblProjectlist[[#This Row],[project-no]],"0")</f>
        <v>99989249</v>
      </c>
      <c r="B98" s="91" t="s">
        <v>100</v>
      </c>
      <c r="C98" s="91" t="s">
        <v>100</v>
      </c>
      <c r="D98" s="91" t="s">
        <v>1969</v>
      </c>
      <c r="F98" s="91" t="s">
        <v>1970</v>
      </c>
      <c r="G98" s="91" t="s">
        <v>87</v>
      </c>
      <c r="H98" s="91">
        <v>1</v>
      </c>
      <c r="I98" s="91">
        <v>95</v>
      </c>
      <c r="J98" s="91">
        <v>49</v>
      </c>
      <c r="K98" s="91" t="s">
        <v>1883</v>
      </c>
      <c r="L98" s="91" t="s">
        <v>43</v>
      </c>
      <c r="M98" s="91" t="s">
        <v>1</v>
      </c>
      <c r="N98" s="91" t="s">
        <v>3749</v>
      </c>
      <c r="O98" s="91" t="s">
        <v>2089</v>
      </c>
      <c r="Q98" s="91"/>
      <c r="S98" s="91" t="s">
        <v>138</v>
      </c>
      <c r="T98" s="91" t="s">
        <v>3474</v>
      </c>
      <c r="U98" s="91" t="s">
        <v>3475</v>
      </c>
      <c r="V98" s="91" t="s">
        <v>145</v>
      </c>
      <c r="W98" s="91" t="s">
        <v>177</v>
      </c>
    </row>
    <row r="99" spans="1:23">
      <c r="A99" s="93" t="str">
        <f>TEXT(tblProjectlist[[#This Row],[project-no]],"0")</f>
        <v>99989329</v>
      </c>
      <c r="B99" s="91" t="s">
        <v>100</v>
      </c>
      <c r="C99" s="91" t="s">
        <v>100</v>
      </c>
      <c r="D99" s="91" t="s">
        <v>1997</v>
      </c>
      <c r="G99" s="91" t="s">
        <v>87</v>
      </c>
      <c r="H99" s="91">
        <v>1</v>
      </c>
      <c r="I99" s="91">
        <v>93</v>
      </c>
      <c r="J99" s="91">
        <v>29</v>
      </c>
      <c r="K99" s="91" t="s">
        <v>1884</v>
      </c>
      <c r="L99" s="91" t="s">
        <v>43</v>
      </c>
      <c r="M99" s="91" t="s">
        <v>4</v>
      </c>
      <c r="N99" s="91" t="s">
        <v>3899</v>
      </c>
      <c r="O99" s="91" t="s">
        <v>2090</v>
      </c>
      <c r="Q99" s="91"/>
      <c r="S99" s="91" t="s">
        <v>138</v>
      </c>
      <c r="T99" s="91" t="s">
        <v>3476</v>
      </c>
      <c r="U99" s="91" t="s">
        <v>3477</v>
      </c>
      <c r="V99" s="91" t="s">
        <v>145</v>
      </c>
      <c r="W99" s="91" t="s">
        <v>177</v>
      </c>
    </row>
    <row r="100" spans="1:23">
      <c r="A100" s="93" t="str">
        <f>TEXT(tblProjectlist[[#This Row],[project-no]],"0")</f>
        <v>99989349</v>
      </c>
      <c r="B100" s="91" t="s">
        <v>100</v>
      </c>
      <c r="C100" s="91" t="s">
        <v>100</v>
      </c>
      <c r="D100" s="91" t="s">
        <v>1969</v>
      </c>
      <c r="F100" s="91" t="s">
        <v>1970</v>
      </c>
      <c r="G100" s="91" t="s">
        <v>87</v>
      </c>
      <c r="H100" s="91">
        <v>1</v>
      </c>
      <c r="I100" s="91">
        <v>96</v>
      </c>
      <c r="J100" s="91">
        <v>49</v>
      </c>
      <c r="K100" s="91" t="s">
        <v>1885</v>
      </c>
      <c r="L100" s="91" t="s">
        <v>43</v>
      </c>
      <c r="M100" s="91" t="s">
        <v>1</v>
      </c>
      <c r="N100" s="91" t="s">
        <v>3745</v>
      </c>
      <c r="O100" s="91" t="s">
        <v>2091</v>
      </c>
      <c r="Q100" s="91"/>
      <c r="S100" s="91" t="s">
        <v>138</v>
      </c>
      <c r="T100" s="91" t="s">
        <v>3478</v>
      </c>
      <c r="U100" s="91" t="s">
        <v>3479</v>
      </c>
      <c r="V100" s="91" t="s">
        <v>145</v>
      </c>
      <c r="W100" s="91" t="s">
        <v>177</v>
      </c>
    </row>
    <row r="101" spans="1:23">
      <c r="A101" s="93" t="str">
        <f>TEXT(tblProjectlist[[#This Row],[project-no]],"0")</f>
        <v>99989359</v>
      </c>
      <c r="B101" s="91" t="s">
        <v>100</v>
      </c>
      <c r="C101" s="91" t="s">
        <v>100</v>
      </c>
      <c r="D101" s="91" t="s">
        <v>45</v>
      </c>
      <c r="E101" s="91" t="s">
        <v>45</v>
      </c>
      <c r="F101" s="91" t="s">
        <v>2002</v>
      </c>
      <c r="G101" s="91" t="s">
        <v>87</v>
      </c>
      <c r="H101" s="91">
        <v>1</v>
      </c>
      <c r="I101" s="91">
        <v>93</v>
      </c>
      <c r="J101" s="91">
        <v>59</v>
      </c>
      <c r="K101" s="91" t="s">
        <v>1886</v>
      </c>
      <c r="L101" s="91" t="s">
        <v>43</v>
      </c>
      <c r="M101" s="91" t="s">
        <v>5</v>
      </c>
      <c r="O101" s="91" t="s">
        <v>98</v>
      </c>
      <c r="Q101" s="91"/>
      <c r="S101" s="91" t="s">
        <v>138</v>
      </c>
      <c r="T101" s="91" t="s">
        <v>3480</v>
      </c>
      <c r="U101" s="91" t="s">
        <v>3622</v>
      </c>
      <c r="V101" s="91" t="s">
        <v>145</v>
      </c>
      <c r="W101" s="91" t="s">
        <v>177</v>
      </c>
    </row>
    <row r="102" spans="1:23">
      <c r="A102" s="93" t="str">
        <f>TEXT(tblProjectlist[[#This Row],[project-no]],"0")</f>
        <v>99989429</v>
      </c>
      <c r="B102" s="91" t="s">
        <v>100</v>
      </c>
      <c r="C102" s="91" t="s">
        <v>100</v>
      </c>
      <c r="D102" s="91" t="s">
        <v>1997</v>
      </c>
      <c r="G102" s="91" t="s">
        <v>87</v>
      </c>
      <c r="H102" s="91">
        <v>1</v>
      </c>
      <c r="I102" s="91">
        <v>94</v>
      </c>
      <c r="J102" s="91">
        <v>29</v>
      </c>
      <c r="K102" s="91" t="s">
        <v>1887</v>
      </c>
      <c r="L102" s="91" t="s">
        <v>43</v>
      </c>
      <c r="M102" s="91" t="s">
        <v>4</v>
      </c>
      <c r="N102" s="91" t="s">
        <v>3738</v>
      </c>
      <c r="O102" s="91" t="s">
        <v>2092</v>
      </c>
      <c r="Q102" s="91"/>
      <c r="S102" s="91" t="s">
        <v>138</v>
      </c>
      <c r="T102" s="91" t="s">
        <v>3481</v>
      </c>
      <c r="U102" s="91" t="s">
        <v>3482</v>
      </c>
      <c r="V102" s="91" t="s">
        <v>145</v>
      </c>
      <c r="W102" s="91" t="s">
        <v>177</v>
      </c>
    </row>
    <row r="103" spans="1:23">
      <c r="A103" s="93" t="str">
        <f>TEXT(tblProjectlist[[#This Row],[project-no]],"0")</f>
        <v>99989529</v>
      </c>
      <c r="B103" s="91" t="s">
        <v>100</v>
      </c>
      <c r="C103" s="91" t="s">
        <v>100</v>
      </c>
      <c r="D103" s="91" t="s">
        <v>1997</v>
      </c>
      <c r="G103" s="91" t="s">
        <v>87</v>
      </c>
      <c r="H103" s="91">
        <v>1</v>
      </c>
      <c r="I103" s="91">
        <v>95</v>
      </c>
      <c r="J103" s="91">
        <v>29</v>
      </c>
      <c r="K103" s="91" t="s">
        <v>1888</v>
      </c>
      <c r="L103" s="91" t="s">
        <v>43</v>
      </c>
      <c r="M103" s="91" t="s">
        <v>4</v>
      </c>
      <c r="N103" s="91" t="s">
        <v>3739</v>
      </c>
      <c r="O103" s="91" t="s">
        <v>2093</v>
      </c>
      <c r="Q103" s="91"/>
      <c r="S103" s="91" t="s">
        <v>138</v>
      </c>
      <c r="T103" s="91" t="s">
        <v>3483</v>
      </c>
      <c r="U103" s="91" t="s">
        <v>3484</v>
      </c>
      <c r="V103" s="91" t="s">
        <v>145</v>
      </c>
      <c r="W103" s="91" t="s">
        <v>177</v>
      </c>
    </row>
    <row r="104" spans="1:23">
      <c r="A104" s="93" t="str">
        <f>TEXT(tblProjectlist[[#This Row],[project-no]],"0")</f>
        <v>99989559</v>
      </c>
      <c r="B104" s="91" t="s">
        <v>100</v>
      </c>
      <c r="C104" s="91" t="s">
        <v>100</v>
      </c>
      <c r="D104" s="91" t="s">
        <v>45</v>
      </c>
      <c r="E104" s="91" t="s">
        <v>45</v>
      </c>
      <c r="F104" s="91" t="s">
        <v>1968</v>
      </c>
      <c r="G104" s="91" t="s">
        <v>87</v>
      </c>
      <c r="H104" s="91">
        <v>1</v>
      </c>
      <c r="I104" s="91">
        <v>95</v>
      </c>
      <c r="J104" s="91">
        <v>59</v>
      </c>
      <c r="K104" s="91" t="s">
        <v>1889</v>
      </c>
      <c r="L104" s="91" t="s">
        <v>43</v>
      </c>
      <c r="M104" s="91" t="s">
        <v>5</v>
      </c>
      <c r="O104" s="91" t="s">
        <v>99</v>
      </c>
      <c r="Q104" s="91"/>
      <c r="S104" s="91" t="s">
        <v>138</v>
      </c>
      <c r="T104" s="91" t="s">
        <v>3485</v>
      </c>
      <c r="U104" s="91" t="s">
        <v>3486</v>
      </c>
      <c r="V104" s="91" t="s">
        <v>145</v>
      </c>
      <c r="W104" s="91" t="s">
        <v>177</v>
      </c>
    </row>
    <row r="105" spans="1:23">
      <c r="A105" s="93" t="str">
        <f>TEXT(tblProjectlist[[#This Row],[project-no]],"0")</f>
        <v>99989629</v>
      </c>
      <c r="B105" s="91" t="s">
        <v>100</v>
      </c>
      <c r="C105" s="91" t="s">
        <v>100</v>
      </c>
      <c r="D105" s="91" t="s">
        <v>1997</v>
      </c>
      <c r="G105" s="91" t="s">
        <v>87</v>
      </c>
      <c r="H105" s="91">
        <v>1</v>
      </c>
      <c r="I105" s="91">
        <v>96</v>
      </c>
      <c r="J105" s="91">
        <v>29</v>
      </c>
      <c r="K105" s="91" t="s">
        <v>1890</v>
      </c>
      <c r="L105" s="91" t="s">
        <v>43</v>
      </c>
      <c r="M105" s="91" t="s">
        <v>4</v>
      </c>
      <c r="N105" s="91" t="s">
        <v>3747</v>
      </c>
      <c r="O105" s="91" t="s">
        <v>2094</v>
      </c>
      <c r="Q105" s="91"/>
      <c r="S105" s="91" t="s">
        <v>138</v>
      </c>
      <c r="T105" s="91" t="s">
        <v>3487</v>
      </c>
      <c r="U105" s="91" t="s">
        <v>3488</v>
      </c>
      <c r="V105" s="91" t="s">
        <v>145</v>
      </c>
      <c r="W105" s="91" t="s">
        <v>177</v>
      </c>
    </row>
    <row r="106" spans="1:23">
      <c r="A106" s="93" t="str">
        <f>TEXT(tblProjectlist[[#This Row],[project-no]],"0")</f>
        <v>99989659</v>
      </c>
      <c r="B106" s="91" t="s">
        <v>100</v>
      </c>
      <c r="C106" s="91" t="s">
        <v>100</v>
      </c>
      <c r="D106" s="91" t="s">
        <v>45</v>
      </c>
      <c r="E106" s="91" t="s">
        <v>45</v>
      </c>
      <c r="F106" s="91" t="s">
        <v>2001</v>
      </c>
      <c r="G106" s="91" t="s">
        <v>87</v>
      </c>
      <c r="H106" s="91">
        <v>1</v>
      </c>
      <c r="I106" s="91">
        <v>96</v>
      </c>
      <c r="J106" s="91">
        <v>59</v>
      </c>
      <c r="K106" s="91" t="s">
        <v>1891</v>
      </c>
      <c r="L106" s="91" t="s">
        <v>43</v>
      </c>
      <c r="M106" s="91" t="s">
        <v>5</v>
      </c>
      <c r="O106" s="91" t="s">
        <v>103</v>
      </c>
      <c r="Q106" s="91"/>
      <c r="S106" s="91" t="s">
        <v>138</v>
      </c>
      <c r="T106" s="91" t="s">
        <v>3489</v>
      </c>
      <c r="U106" s="91" t="s">
        <v>3490</v>
      </c>
      <c r="V106" s="91" t="s">
        <v>145</v>
      </c>
      <c r="W106" s="91" t="s">
        <v>177</v>
      </c>
    </row>
    <row r="107" spans="1:23">
      <c r="A107" s="93" t="str">
        <f>TEXT(tblProjectlist[[#This Row],[project-no]],"0")</f>
        <v>99989759</v>
      </c>
      <c r="B107" s="91" t="s">
        <v>100</v>
      </c>
      <c r="C107" s="91" t="s">
        <v>100</v>
      </c>
      <c r="D107" s="91" t="s">
        <v>45</v>
      </c>
      <c r="E107" s="91" t="s">
        <v>45</v>
      </c>
      <c r="F107" s="91" t="s">
        <v>2001</v>
      </c>
      <c r="G107" s="91" t="s">
        <v>87</v>
      </c>
      <c r="H107" s="91">
        <v>1</v>
      </c>
      <c r="I107" s="91">
        <v>97</v>
      </c>
      <c r="J107" s="91">
        <v>59</v>
      </c>
      <c r="K107" s="91" t="s">
        <v>1892</v>
      </c>
      <c r="L107" s="91" t="s">
        <v>43</v>
      </c>
      <c r="M107" s="91" t="s">
        <v>5</v>
      </c>
      <c r="O107" s="91" t="s">
        <v>104</v>
      </c>
      <c r="Q107" s="91"/>
      <c r="S107" s="91" t="s">
        <v>138</v>
      </c>
      <c r="T107" s="91" t="s">
        <v>3491</v>
      </c>
      <c r="U107" s="91" t="s">
        <v>3492</v>
      </c>
      <c r="V107" s="91" t="s">
        <v>145</v>
      </c>
      <c r="W107" s="91" t="s">
        <v>177</v>
      </c>
    </row>
    <row r="108" spans="1:23">
      <c r="A108" s="93" t="str">
        <f>TEXT(tblProjectlist[[#This Row],[project-no]],"0")</f>
        <v>99989859</v>
      </c>
      <c r="B108" s="91" t="s">
        <v>100</v>
      </c>
      <c r="C108" s="91" t="s">
        <v>100</v>
      </c>
      <c r="D108" s="91" t="s">
        <v>45</v>
      </c>
      <c r="E108" s="91" t="s">
        <v>45</v>
      </c>
      <c r="F108" s="91" t="s">
        <v>2001</v>
      </c>
      <c r="G108" s="91" t="s">
        <v>87</v>
      </c>
      <c r="H108" s="91">
        <v>1</v>
      </c>
      <c r="I108" s="91">
        <v>98</v>
      </c>
      <c r="J108" s="91">
        <v>59</v>
      </c>
      <c r="K108" s="91" t="s">
        <v>1893</v>
      </c>
      <c r="L108" s="91" t="s">
        <v>43</v>
      </c>
      <c r="M108" s="91" t="s">
        <v>5</v>
      </c>
      <c r="O108" s="91" t="s">
        <v>105</v>
      </c>
      <c r="Q108" s="91"/>
      <c r="S108" s="91" t="s">
        <v>138</v>
      </c>
      <c r="T108" s="91" t="s">
        <v>3493</v>
      </c>
      <c r="U108" s="91" t="s">
        <v>3494</v>
      </c>
      <c r="V108" s="91" t="s">
        <v>145</v>
      </c>
      <c r="W108" s="91" t="s">
        <v>177</v>
      </c>
    </row>
    <row r="109" spans="1:23">
      <c r="A109" s="93" t="str">
        <f>TEXT(tblProjectlist[[#This Row],[project-no]],"0")</f>
        <v>99999999</v>
      </c>
      <c r="B109" s="91" t="s">
        <v>100</v>
      </c>
      <c r="C109" s="91" t="s">
        <v>100</v>
      </c>
      <c r="D109" s="91" t="s">
        <v>100</v>
      </c>
      <c r="E109" s="91" t="s">
        <v>2006</v>
      </c>
      <c r="G109" s="91" t="s">
        <v>87</v>
      </c>
      <c r="H109" s="91">
        <v>1</v>
      </c>
      <c r="I109" s="91">
        <v>50</v>
      </c>
      <c r="J109" s="91">
        <v>0</v>
      </c>
      <c r="K109" s="91" t="s">
        <v>1964</v>
      </c>
      <c r="L109" s="91" t="s">
        <v>43</v>
      </c>
      <c r="M109" s="91" t="s">
        <v>1994</v>
      </c>
      <c r="N109" s="91" t="s">
        <v>2040</v>
      </c>
      <c r="O109" s="91" t="s">
        <v>2158</v>
      </c>
      <c r="Q109" s="91"/>
      <c r="S109" s="91" t="s">
        <v>138</v>
      </c>
      <c r="T109" s="91" t="s">
        <v>3407</v>
      </c>
      <c r="U109" s="91" t="s">
        <v>3408</v>
      </c>
      <c r="V109" s="91" t="s">
        <v>145</v>
      </c>
      <c r="W109" s="91" t="s">
        <v>180</v>
      </c>
    </row>
    <row r="110" spans="1:23">
      <c r="A110" s="93" t="str">
        <f>TEXT(tblProjectlist[[#This Row],[project-no]],"0")</f>
        <v>0</v>
      </c>
      <c r="B110" s="91" t="s">
        <v>100</v>
      </c>
      <c r="C110" s="91" t="s">
        <v>100</v>
      </c>
      <c r="D110" s="91" t="s">
        <v>86</v>
      </c>
      <c r="G110" s="91" t="s">
        <v>87</v>
      </c>
      <c r="H110" s="91">
        <v>2</v>
      </c>
      <c r="I110" s="91">
        <v>41</v>
      </c>
      <c r="J110" s="91">
        <v>12</v>
      </c>
      <c r="K110" s="91"/>
      <c r="L110" s="91" t="s">
        <v>43</v>
      </c>
      <c r="M110" s="91" t="s">
        <v>0</v>
      </c>
      <c r="N110" s="91" t="s">
        <v>3756</v>
      </c>
      <c r="Q110" s="91"/>
      <c r="S110" s="91" t="s">
        <v>138</v>
      </c>
      <c r="T110" s="91" t="s">
        <v>3625</v>
      </c>
      <c r="U110" s="91" t="s">
        <v>4479</v>
      </c>
      <c r="V110" s="91" t="s">
        <v>4476</v>
      </c>
      <c r="W110" s="91" t="s">
        <v>177</v>
      </c>
    </row>
    <row r="111" spans="1:23">
      <c r="A111" s="93" t="str">
        <f>TEXT(tblProjectlist[[#This Row],[project-no]],"0")</f>
        <v>0</v>
      </c>
      <c r="B111" s="91" t="s">
        <v>100</v>
      </c>
      <c r="C111" s="91" t="s">
        <v>100</v>
      </c>
      <c r="D111" s="91" t="s">
        <v>86</v>
      </c>
      <c r="E111" s="91" t="s">
        <v>1975</v>
      </c>
      <c r="G111" s="91" t="s">
        <v>87</v>
      </c>
      <c r="H111" s="91">
        <v>2</v>
      </c>
      <c r="I111" s="91">
        <v>73</v>
      </c>
      <c r="J111" s="91">
        <v>11</v>
      </c>
      <c r="K111" s="91"/>
      <c r="L111" s="91" t="s">
        <v>43</v>
      </c>
      <c r="M111" s="91" t="s">
        <v>0</v>
      </c>
      <c r="N111" s="91" t="s">
        <v>3758</v>
      </c>
      <c r="O111" s="91" t="s">
        <v>4292</v>
      </c>
      <c r="Q111" s="91"/>
      <c r="S111" s="91" t="s">
        <v>138</v>
      </c>
      <c r="T111" s="91" t="s">
        <v>4378</v>
      </c>
      <c r="U111" s="91" t="s">
        <v>4480</v>
      </c>
      <c r="V111" s="91" t="s">
        <v>4476</v>
      </c>
      <c r="W111" s="91" t="s">
        <v>177</v>
      </c>
    </row>
    <row r="112" spans="1:23">
      <c r="A112" s="93" t="str">
        <f>TEXT(tblProjectlist[[#This Row],[project-no]],"0")</f>
        <v>99510756</v>
      </c>
      <c r="B112" s="91" t="s">
        <v>100</v>
      </c>
      <c r="C112" s="91" t="s">
        <v>100</v>
      </c>
      <c r="D112" s="91" t="s">
        <v>86</v>
      </c>
      <c r="E112" s="91" t="s">
        <v>45</v>
      </c>
      <c r="F112" s="91" t="s">
        <v>1968</v>
      </c>
      <c r="G112" s="91" t="s">
        <v>87</v>
      </c>
      <c r="H112" s="91">
        <v>2</v>
      </c>
      <c r="I112" s="91">
        <v>77</v>
      </c>
      <c r="J112" s="91">
        <v>59</v>
      </c>
      <c r="K112" s="91" t="s">
        <v>1281</v>
      </c>
      <c r="L112" s="91" t="s">
        <v>43</v>
      </c>
      <c r="M112" s="91" t="s">
        <v>5</v>
      </c>
      <c r="O112" s="91" t="s">
        <v>3605</v>
      </c>
      <c r="Q112" s="91"/>
      <c r="S112" s="91" t="s">
        <v>138</v>
      </c>
      <c r="T112" s="91" t="s">
        <v>3639</v>
      </c>
      <c r="U112" s="91" t="s">
        <v>3640</v>
      </c>
      <c r="V112" s="91" t="s">
        <v>145</v>
      </c>
      <c r="W112" s="91" t="s">
        <v>177</v>
      </c>
    </row>
    <row r="113" spans="1:23">
      <c r="A113" s="93" t="str">
        <f>TEXT(tblProjectlist[[#This Row],[project-no]],"0")</f>
        <v>99918041</v>
      </c>
      <c r="B113" s="91" t="s">
        <v>100</v>
      </c>
      <c r="C113" s="91" t="s">
        <v>100</v>
      </c>
      <c r="D113" s="91" t="s">
        <v>86</v>
      </c>
      <c r="G113" s="91" t="s">
        <v>87</v>
      </c>
      <c r="H113" s="91">
        <v>2</v>
      </c>
      <c r="I113" s="91">
        <v>41</v>
      </c>
      <c r="J113" s="91">
        <v>41</v>
      </c>
      <c r="K113" s="91" t="s">
        <v>1532</v>
      </c>
      <c r="L113" s="91" t="s">
        <v>43</v>
      </c>
      <c r="M113" s="91" t="s">
        <v>1</v>
      </c>
      <c r="N113" s="91" t="s">
        <v>4034</v>
      </c>
      <c r="O113" s="91" t="s">
        <v>2007</v>
      </c>
      <c r="Q113" s="91"/>
      <c r="S113" s="91" t="s">
        <v>138</v>
      </c>
      <c r="T113" s="91" t="s">
        <v>3256</v>
      </c>
      <c r="U113" s="91" t="s">
        <v>3257</v>
      </c>
      <c r="V113" s="91" t="s">
        <v>145</v>
      </c>
      <c r="W113" s="91" t="s">
        <v>177</v>
      </c>
    </row>
    <row r="114" spans="1:23">
      <c r="A114" s="93" t="str">
        <f>TEXT(tblProjectlist[[#This Row],[project-no]],"0")</f>
        <v>99990249</v>
      </c>
      <c r="B114" s="91" t="s">
        <v>100</v>
      </c>
      <c r="C114" s="91" t="s">
        <v>100</v>
      </c>
      <c r="D114" s="91" t="s">
        <v>86</v>
      </c>
      <c r="G114" s="91" t="s">
        <v>87</v>
      </c>
      <c r="H114" s="91">
        <v>2</v>
      </c>
      <c r="I114" s="91">
        <v>2</v>
      </c>
      <c r="J114" s="91">
        <v>49</v>
      </c>
      <c r="K114" s="91" t="s">
        <v>1894</v>
      </c>
      <c r="L114" s="91" t="s">
        <v>43</v>
      </c>
      <c r="M114" s="91" t="s">
        <v>1</v>
      </c>
      <c r="N114" s="91" t="s">
        <v>4034</v>
      </c>
      <c r="O114" s="91" t="s">
        <v>2095</v>
      </c>
      <c r="Q114" s="91"/>
      <c r="S114" s="91" t="s">
        <v>138</v>
      </c>
      <c r="T114" s="91" t="s">
        <v>3495</v>
      </c>
      <c r="U114" s="91" t="s">
        <v>3496</v>
      </c>
      <c r="V114" s="91" t="s">
        <v>145</v>
      </c>
      <c r="W114" s="91" t="s">
        <v>177</v>
      </c>
    </row>
    <row r="115" spans="1:23">
      <c r="A115" s="93" t="str">
        <f>TEXT(tblProjectlist[[#This Row],[project-no]],"0")</f>
        <v>99990349</v>
      </c>
      <c r="B115" s="91" t="s">
        <v>100</v>
      </c>
      <c r="C115" s="91" t="s">
        <v>100</v>
      </c>
      <c r="D115" s="91" t="s">
        <v>86</v>
      </c>
      <c r="G115" s="91" t="s">
        <v>87</v>
      </c>
      <c r="H115" s="91">
        <v>2</v>
      </c>
      <c r="I115" s="91">
        <v>3</v>
      </c>
      <c r="J115" s="91">
        <v>49</v>
      </c>
      <c r="K115" s="91" t="s">
        <v>1895</v>
      </c>
      <c r="L115" s="91" t="s">
        <v>43</v>
      </c>
      <c r="M115" s="91" t="s">
        <v>1</v>
      </c>
      <c r="N115" s="91" t="s">
        <v>4034</v>
      </c>
      <c r="O115" s="91" t="s">
        <v>2096</v>
      </c>
      <c r="Q115" s="91"/>
      <c r="S115" s="91" t="s">
        <v>138</v>
      </c>
      <c r="T115" s="91" t="s">
        <v>3497</v>
      </c>
      <c r="U115" s="91" t="s">
        <v>3498</v>
      </c>
      <c r="V115" s="91" t="s">
        <v>145</v>
      </c>
      <c r="W115" s="91" t="s">
        <v>177</v>
      </c>
    </row>
    <row r="116" spans="1:23">
      <c r="A116" s="93" t="str">
        <f>TEXT(tblProjectlist[[#This Row],[project-no]],"0")</f>
        <v>99990441</v>
      </c>
      <c r="B116" s="91" t="s">
        <v>100</v>
      </c>
      <c r="C116" s="91" t="s">
        <v>100</v>
      </c>
      <c r="D116" s="91" t="s">
        <v>86</v>
      </c>
      <c r="F116" s="91" t="s">
        <v>2003</v>
      </c>
      <c r="G116" s="91" t="s">
        <v>87</v>
      </c>
      <c r="H116" s="91">
        <v>2</v>
      </c>
      <c r="I116" s="91">
        <v>4</v>
      </c>
      <c r="J116" s="91">
        <v>41</v>
      </c>
      <c r="K116" s="91" t="s">
        <v>1896</v>
      </c>
      <c r="L116" s="91" t="s">
        <v>43</v>
      </c>
      <c r="M116" s="91" t="s">
        <v>1</v>
      </c>
      <c r="N116" s="91" t="s">
        <v>2097</v>
      </c>
      <c r="O116" s="91" t="s">
        <v>2098</v>
      </c>
      <c r="Q116" s="91"/>
      <c r="S116" s="91" t="s">
        <v>138</v>
      </c>
      <c r="T116" s="91" t="s">
        <v>3499</v>
      </c>
      <c r="U116" s="91" t="s">
        <v>2160</v>
      </c>
      <c r="V116" s="91" t="s">
        <v>161</v>
      </c>
      <c r="W116" s="91" t="s">
        <v>177</v>
      </c>
    </row>
    <row r="117" spans="1:23">
      <c r="A117" s="93" t="str">
        <f>TEXT(tblProjectlist[[#This Row],[project-no]],"0")</f>
        <v>99990447</v>
      </c>
      <c r="B117" s="91" t="s">
        <v>100</v>
      </c>
      <c r="C117" s="91" t="s">
        <v>100</v>
      </c>
      <c r="D117" s="91" t="s">
        <v>86</v>
      </c>
      <c r="F117" s="91" t="s">
        <v>2003</v>
      </c>
      <c r="G117" s="91" t="s">
        <v>87</v>
      </c>
      <c r="H117" s="91">
        <v>2</v>
      </c>
      <c r="I117" s="91">
        <v>4</v>
      </c>
      <c r="J117" s="91">
        <v>41</v>
      </c>
      <c r="K117" s="91" t="s">
        <v>1897</v>
      </c>
      <c r="L117" s="91" t="s">
        <v>43</v>
      </c>
      <c r="M117" s="91" t="s">
        <v>1</v>
      </c>
      <c r="N117" s="91" t="s">
        <v>2097</v>
      </c>
      <c r="O117" s="91" t="s">
        <v>2099</v>
      </c>
      <c r="Q117" s="91"/>
      <c r="S117" s="91" t="s">
        <v>138</v>
      </c>
      <c r="T117" s="91" t="s">
        <v>3499</v>
      </c>
      <c r="U117" s="91" t="s">
        <v>2160</v>
      </c>
      <c r="V117" s="91" t="s">
        <v>166</v>
      </c>
      <c r="W117" s="91" t="s">
        <v>177</v>
      </c>
    </row>
    <row r="118" spans="1:23">
      <c r="A118" s="93" t="str">
        <f>TEXT(tblProjectlist[[#This Row],[project-no]],"0")</f>
        <v>99990628</v>
      </c>
      <c r="B118" s="91" t="s">
        <v>100</v>
      </c>
      <c r="C118" s="91" t="s">
        <v>100</v>
      </c>
      <c r="D118" s="91" t="s">
        <v>86</v>
      </c>
      <c r="E118" s="91" t="s">
        <v>1976</v>
      </c>
      <c r="F118" s="91" t="s">
        <v>1965</v>
      </c>
      <c r="G118" s="91" t="s">
        <v>87</v>
      </c>
      <c r="H118" s="91">
        <v>2</v>
      </c>
      <c r="I118" s="91">
        <v>6</v>
      </c>
      <c r="J118" s="91">
        <v>28</v>
      </c>
      <c r="K118" s="91" t="s">
        <v>3734</v>
      </c>
      <c r="L118" s="91" t="s">
        <v>43</v>
      </c>
      <c r="M118" s="91" t="s">
        <v>4</v>
      </c>
      <c r="N118" s="91" t="s">
        <v>4162</v>
      </c>
      <c r="O118" s="91" t="s">
        <v>3752</v>
      </c>
      <c r="Q118" s="91"/>
      <c r="S118" s="91" t="s">
        <v>138</v>
      </c>
      <c r="T118" s="91" t="s">
        <v>3769</v>
      </c>
      <c r="U118" s="91" t="s">
        <v>3770</v>
      </c>
      <c r="V118" s="91" t="s">
        <v>3729</v>
      </c>
      <c r="W118" s="91" t="s">
        <v>177</v>
      </c>
    </row>
    <row r="119" spans="1:23">
      <c r="A119" s="93" t="str">
        <f>TEXT(tblProjectlist[[#This Row],[project-no]],"0")</f>
        <v>99991119</v>
      </c>
      <c r="B119" s="91" t="s">
        <v>100</v>
      </c>
      <c r="C119" s="91" t="s">
        <v>100</v>
      </c>
      <c r="D119" s="91" t="s">
        <v>86</v>
      </c>
      <c r="E119" s="91" t="s">
        <v>1975</v>
      </c>
      <c r="G119" s="91" t="s">
        <v>87</v>
      </c>
      <c r="H119" s="91">
        <v>2</v>
      </c>
      <c r="I119" s="91">
        <v>11</v>
      </c>
      <c r="J119" s="91">
        <v>11</v>
      </c>
      <c r="K119" s="91" t="s">
        <v>1898</v>
      </c>
      <c r="L119" s="91" t="s">
        <v>43</v>
      </c>
      <c r="M119" s="91" t="s">
        <v>0</v>
      </c>
      <c r="N119" s="91" t="s">
        <v>3748</v>
      </c>
      <c r="O119" s="91" t="s">
        <v>2100</v>
      </c>
      <c r="Q119" s="91"/>
      <c r="S119" s="91" t="s">
        <v>138</v>
      </c>
      <c r="T119" s="91" t="s">
        <v>3500</v>
      </c>
      <c r="U119" s="91" t="s">
        <v>4526</v>
      </c>
      <c r="V119" s="91" t="s">
        <v>4476</v>
      </c>
      <c r="W119" s="91" t="s">
        <v>177</v>
      </c>
    </row>
    <row r="120" spans="1:23">
      <c r="A120" s="93" t="str">
        <f>TEXT(tblProjectlist[[#This Row],[project-no]],"0")</f>
        <v>99991319</v>
      </c>
      <c r="B120" s="91" t="s">
        <v>100</v>
      </c>
      <c r="C120" s="91" t="s">
        <v>100</v>
      </c>
      <c r="D120" s="91" t="s">
        <v>86</v>
      </c>
      <c r="E120" s="91" t="s">
        <v>1975</v>
      </c>
      <c r="G120" s="91" t="s">
        <v>87</v>
      </c>
      <c r="H120" s="91">
        <v>2</v>
      </c>
      <c r="I120" s="91">
        <v>11</v>
      </c>
      <c r="J120" s="91">
        <v>12</v>
      </c>
      <c r="K120" s="91" t="s">
        <v>1899</v>
      </c>
      <c r="L120" s="91" t="s">
        <v>43</v>
      </c>
      <c r="M120" s="91" t="s">
        <v>0</v>
      </c>
      <c r="N120" s="91" t="s">
        <v>3750</v>
      </c>
      <c r="O120" s="91" t="s">
        <v>2101</v>
      </c>
      <c r="Q120" s="91"/>
      <c r="S120" s="91" t="s">
        <v>138</v>
      </c>
      <c r="T120" s="91" t="s">
        <v>3501</v>
      </c>
      <c r="U120" s="91" t="s">
        <v>4527</v>
      </c>
      <c r="V120" s="91" t="s">
        <v>4476</v>
      </c>
      <c r="W120" s="91" t="s">
        <v>177</v>
      </c>
    </row>
    <row r="121" spans="1:23">
      <c r="A121" s="93" t="str">
        <f>TEXT(tblProjectlist[[#This Row],[project-no]],"0")</f>
        <v>99991519</v>
      </c>
      <c r="B121" s="91" t="s">
        <v>100</v>
      </c>
      <c r="C121" s="91" t="s">
        <v>100</v>
      </c>
      <c r="D121" s="91" t="s">
        <v>86</v>
      </c>
      <c r="E121" s="91" t="s">
        <v>1975</v>
      </c>
      <c r="G121" s="91" t="s">
        <v>87</v>
      </c>
      <c r="H121" s="91">
        <v>2</v>
      </c>
      <c r="I121" s="91">
        <v>17</v>
      </c>
      <c r="J121" s="91">
        <v>12</v>
      </c>
      <c r="K121" s="91" t="s">
        <v>1900</v>
      </c>
      <c r="L121" s="91" t="s">
        <v>43</v>
      </c>
      <c r="M121" s="91" t="s">
        <v>0</v>
      </c>
      <c r="N121" s="91" t="s">
        <v>3750</v>
      </c>
      <c r="O121" s="91" t="s">
        <v>2102</v>
      </c>
      <c r="Q121" s="91"/>
      <c r="S121" s="91" t="s">
        <v>138</v>
      </c>
      <c r="T121" s="91" t="s">
        <v>3448</v>
      </c>
      <c r="U121" s="91" t="s">
        <v>4528</v>
      </c>
      <c r="V121" s="91" t="s">
        <v>4476</v>
      </c>
      <c r="W121" s="91" t="s">
        <v>177</v>
      </c>
    </row>
    <row r="122" spans="1:23">
      <c r="A122" s="93" t="str">
        <f>TEXT(tblProjectlist[[#This Row],[project-no]],"0")</f>
        <v>99991619</v>
      </c>
      <c r="B122" s="91" t="s">
        <v>100</v>
      </c>
      <c r="C122" s="91" t="s">
        <v>100</v>
      </c>
      <c r="D122" s="91" t="s">
        <v>86</v>
      </c>
      <c r="E122" s="91" t="s">
        <v>1975</v>
      </c>
      <c r="G122" s="91" t="s">
        <v>87</v>
      </c>
      <c r="H122" s="91">
        <v>2</v>
      </c>
      <c r="I122" s="91">
        <v>13</v>
      </c>
      <c r="J122" s="91">
        <v>12</v>
      </c>
      <c r="K122" s="91" t="s">
        <v>1901</v>
      </c>
      <c r="L122" s="91" t="s">
        <v>43</v>
      </c>
      <c r="M122" s="91" t="s">
        <v>0</v>
      </c>
      <c r="N122" s="91" t="s">
        <v>3750</v>
      </c>
      <c r="O122" s="91" t="s">
        <v>2103</v>
      </c>
      <c r="Q122" s="91"/>
      <c r="S122" s="91" t="s">
        <v>138</v>
      </c>
      <c r="T122" s="91" t="s">
        <v>3502</v>
      </c>
      <c r="U122" s="91" t="s">
        <v>3596</v>
      </c>
      <c r="V122" s="91" t="s">
        <v>4476</v>
      </c>
      <c r="W122" s="91" t="s">
        <v>177</v>
      </c>
    </row>
    <row r="123" spans="1:23">
      <c r="A123" s="93" t="str">
        <f>TEXT(tblProjectlist[[#This Row],[project-no]],"0")</f>
        <v>99991719</v>
      </c>
      <c r="B123" s="91" t="s">
        <v>100</v>
      </c>
      <c r="C123" s="91" t="s">
        <v>100</v>
      </c>
      <c r="D123" s="91" t="s">
        <v>86</v>
      </c>
      <c r="E123" s="91" t="s">
        <v>1975</v>
      </c>
      <c r="G123" s="91" t="s">
        <v>87</v>
      </c>
      <c r="H123" s="91">
        <v>2</v>
      </c>
      <c r="I123" s="91">
        <v>14</v>
      </c>
      <c r="J123" s="91">
        <v>12</v>
      </c>
      <c r="K123" s="91" t="s">
        <v>1902</v>
      </c>
      <c r="L123" s="91" t="s">
        <v>43</v>
      </c>
      <c r="M123" s="91" t="s">
        <v>0</v>
      </c>
      <c r="N123" s="91" t="s">
        <v>3750</v>
      </c>
      <c r="O123" s="91" t="s">
        <v>2104</v>
      </c>
      <c r="Q123" s="91"/>
      <c r="S123" s="91" t="s">
        <v>138</v>
      </c>
      <c r="T123" s="91" t="s">
        <v>3503</v>
      </c>
      <c r="U123" s="91" t="s">
        <v>4529</v>
      </c>
      <c r="V123" s="91" t="s">
        <v>4476</v>
      </c>
      <c r="W123" s="91" t="s">
        <v>177</v>
      </c>
    </row>
    <row r="124" spans="1:23">
      <c r="A124" s="93" t="str">
        <f>TEXT(tblProjectlist[[#This Row],[project-no]],"0")</f>
        <v>99991819</v>
      </c>
      <c r="B124" s="91" t="s">
        <v>100</v>
      </c>
      <c r="C124" s="91" t="s">
        <v>100</v>
      </c>
      <c r="D124" s="91" t="s">
        <v>86</v>
      </c>
      <c r="E124" s="91" t="s">
        <v>1975</v>
      </c>
      <c r="G124" s="91" t="s">
        <v>87</v>
      </c>
      <c r="H124" s="91">
        <v>2</v>
      </c>
      <c r="I124" s="91">
        <v>15</v>
      </c>
      <c r="J124" s="91">
        <v>12</v>
      </c>
      <c r="K124" s="91" t="s">
        <v>1903</v>
      </c>
      <c r="L124" s="91" t="s">
        <v>43</v>
      </c>
      <c r="M124" s="91" t="s">
        <v>0</v>
      </c>
      <c r="N124" s="91" t="s">
        <v>3750</v>
      </c>
      <c r="O124" s="91" t="s">
        <v>2105</v>
      </c>
      <c r="Q124" s="91"/>
      <c r="S124" s="91" t="s">
        <v>138</v>
      </c>
      <c r="T124" s="91" t="s">
        <v>3504</v>
      </c>
      <c r="U124" s="91" t="s">
        <v>3597</v>
      </c>
      <c r="V124" s="91" t="s">
        <v>4476</v>
      </c>
      <c r="W124" s="91" t="s">
        <v>177</v>
      </c>
    </row>
    <row r="125" spans="1:23">
      <c r="A125" s="93" t="str">
        <f>TEXT(tblProjectlist[[#This Row],[project-no]],"0")</f>
        <v>99991919</v>
      </c>
      <c r="B125" s="91" t="s">
        <v>100</v>
      </c>
      <c r="C125" s="91" t="s">
        <v>100</v>
      </c>
      <c r="D125" s="91" t="s">
        <v>86</v>
      </c>
      <c r="E125" s="91" t="s">
        <v>1975</v>
      </c>
      <c r="G125" s="91" t="s">
        <v>87</v>
      </c>
      <c r="H125" s="91">
        <v>2</v>
      </c>
      <c r="I125" s="91">
        <v>16</v>
      </c>
      <c r="J125" s="91">
        <v>12</v>
      </c>
      <c r="K125" s="91" t="s">
        <v>1904</v>
      </c>
      <c r="L125" s="91" t="s">
        <v>43</v>
      </c>
      <c r="M125" s="91" t="s">
        <v>0</v>
      </c>
      <c r="N125" s="91" t="s">
        <v>3750</v>
      </c>
      <c r="O125" s="91" t="s">
        <v>2106</v>
      </c>
      <c r="Q125" s="91"/>
      <c r="S125" s="91" t="s">
        <v>138</v>
      </c>
      <c r="T125" s="91" t="s">
        <v>3505</v>
      </c>
      <c r="U125" s="91" t="s">
        <v>3598</v>
      </c>
      <c r="V125" s="91" t="s">
        <v>4476</v>
      </c>
      <c r="W125" s="91" t="s">
        <v>177</v>
      </c>
    </row>
    <row r="126" spans="1:23">
      <c r="A126" s="93" t="str">
        <f>TEXT(tblProjectlist[[#This Row],[project-no]],"0")</f>
        <v>99992119</v>
      </c>
      <c r="B126" s="91" t="s">
        <v>100</v>
      </c>
      <c r="C126" s="91" t="s">
        <v>100</v>
      </c>
      <c r="D126" s="91" t="s">
        <v>86</v>
      </c>
      <c r="E126" s="91" t="s">
        <v>1975</v>
      </c>
      <c r="G126" s="91" t="s">
        <v>87</v>
      </c>
      <c r="H126" s="91">
        <v>2</v>
      </c>
      <c r="I126" s="91">
        <v>11</v>
      </c>
      <c r="J126" s="91">
        <v>13</v>
      </c>
      <c r="K126" s="91" t="s">
        <v>1905</v>
      </c>
      <c r="L126" s="91" t="s">
        <v>43</v>
      </c>
      <c r="M126" s="91" t="s">
        <v>0</v>
      </c>
      <c r="N126" s="91" t="s">
        <v>3754</v>
      </c>
      <c r="O126" s="91" t="s">
        <v>2107</v>
      </c>
      <c r="Q126" s="91"/>
      <c r="S126" s="91" t="s">
        <v>138</v>
      </c>
      <c r="T126" s="91" t="s">
        <v>3506</v>
      </c>
      <c r="U126" s="91" t="s">
        <v>4530</v>
      </c>
      <c r="V126" s="91" t="s">
        <v>4476</v>
      </c>
      <c r="W126" s="91" t="s">
        <v>177</v>
      </c>
    </row>
    <row r="127" spans="1:23">
      <c r="A127" s="93" t="str">
        <f>TEXT(tblProjectlist[[#This Row],[project-no]],"0")</f>
        <v>99992319</v>
      </c>
      <c r="B127" s="91" t="s">
        <v>100</v>
      </c>
      <c r="C127" s="91" t="s">
        <v>100</v>
      </c>
      <c r="D127" s="91" t="s">
        <v>86</v>
      </c>
      <c r="E127" s="91" t="s">
        <v>1975</v>
      </c>
      <c r="G127" s="91" t="s">
        <v>87</v>
      </c>
      <c r="H127" s="91">
        <v>2</v>
      </c>
      <c r="I127" s="91">
        <v>21</v>
      </c>
      <c r="J127" s="91">
        <v>11</v>
      </c>
      <c r="K127" s="91" t="s">
        <v>1906</v>
      </c>
      <c r="L127" s="91" t="s">
        <v>43</v>
      </c>
      <c r="M127" s="91" t="s">
        <v>0</v>
      </c>
      <c r="N127" s="91" t="s">
        <v>3744</v>
      </c>
      <c r="O127" s="91" t="s">
        <v>2108</v>
      </c>
      <c r="Q127" s="91"/>
      <c r="S127" s="91" t="s">
        <v>138</v>
      </c>
      <c r="T127" s="91" t="s">
        <v>3507</v>
      </c>
      <c r="U127" s="91" t="s">
        <v>4531</v>
      </c>
      <c r="V127" s="91" t="s">
        <v>4476</v>
      </c>
      <c r="W127" s="91" t="s">
        <v>177</v>
      </c>
    </row>
    <row r="128" spans="1:23">
      <c r="A128" s="93" t="str">
        <f>TEXT(tblProjectlist[[#This Row],[project-no]],"0")</f>
        <v>99992819</v>
      </c>
      <c r="B128" s="91" t="s">
        <v>100</v>
      </c>
      <c r="C128" s="91" t="s">
        <v>100</v>
      </c>
      <c r="D128" s="91" t="s">
        <v>86</v>
      </c>
      <c r="E128" s="91" t="s">
        <v>1975</v>
      </c>
      <c r="G128" s="91" t="s">
        <v>87</v>
      </c>
      <c r="H128" s="91">
        <v>2</v>
      </c>
      <c r="I128" s="91">
        <v>28</v>
      </c>
      <c r="J128" s="91">
        <v>19</v>
      </c>
      <c r="K128" s="91" t="s">
        <v>1907</v>
      </c>
      <c r="L128" s="91" t="s">
        <v>43</v>
      </c>
      <c r="M128" s="91" t="s">
        <v>0</v>
      </c>
      <c r="N128" s="91" t="s">
        <v>3750</v>
      </c>
      <c r="O128" s="91" t="s">
        <v>2109</v>
      </c>
      <c r="Q128" s="91"/>
      <c r="S128" s="91" t="s">
        <v>138</v>
      </c>
      <c r="T128" s="91" t="s">
        <v>3508</v>
      </c>
      <c r="U128" s="91" t="s">
        <v>3623</v>
      </c>
      <c r="V128" s="91" t="s">
        <v>4476</v>
      </c>
      <c r="W128" s="91" t="s">
        <v>177</v>
      </c>
    </row>
    <row r="129" spans="1:23">
      <c r="A129" s="93" t="str">
        <f>TEXT(tblProjectlist[[#This Row],[project-no]],"0")</f>
        <v>99992919</v>
      </c>
      <c r="B129" s="91" t="s">
        <v>100</v>
      </c>
      <c r="C129" s="91" t="s">
        <v>100</v>
      </c>
      <c r="D129" s="91" t="s">
        <v>86</v>
      </c>
      <c r="E129" s="91" t="s">
        <v>1975</v>
      </c>
      <c r="G129" s="91" t="s">
        <v>87</v>
      </c>
      <c r="H129" s="91">
        <v>2</v>
      </c>
      <c r="I129" s="91">
        <v>29</v>
      </c>
      <c r="J129" s="91">
        <v>19</v>
      </c>
      <c r="K129" s="91" t="s">
        <v>1908</v>
      </c>
      <c r="L129" s="91" t="s">
        <v>43</v>
      </c>
      <c r="M129" s="91" t="s">
        <v>0</v>
      </c>
      <c r="N129" s="91" t="s">
        <v>3750</v>
      </c>
      <c r="O129" s="91" t="s">
        <v>2110</v>
      </c>
      <c r="Q129" s="91"/>
      <c r="S129" s="91" t="s">
        <v>138</v>
      </c>
      <c r="T129" s="91" t="s">
        <v>3509</v>
      </c>
      <c r="U129" s="91" t="s">
        <v>3624</v>
      </c>
      <c r="V129" s="91" t="s">
        <v>4476</v>
      </c>
      <c r="W129" s="91" t="s">
        <v>177</v>
      </c>
    </row>
    <row r="130" spans="1:23">
      <c r="A130" s="93" t="str">
        <f>TEXT(tblProjectlist[[#This Row],[project-no]],"0")</f>
        <v>99993119</v>
      </c>
      <c r="B130" s="91" t="s">
        <v>100</v>
      </c>
      <c r="C130" s="91" t="s">
        <v>100</v>
      </c>
      <c r="D130" s="91" t="s">
        <v>86</v>
      </c>
      <c r="E130" s="91" t="s">
        <v>1975</v>
      </c>
      <c r="G130" s="91" t="s">
        <v>87</v>
      </c>
      <c r="H130" s="91">
        <v>2</v>
      </c>
      <c r="I130" s="91">
        <v>31</v>
      </c>
      <c r="J130" s="91">
        <v>11</v>
      </c>
      <c r="K130" s="91" t="s">
        <v>1909</v>
      </c>
      <c r="L130" s="91" t="s">
        <v>43</v>
      </c>
      <c r="M130" s="91" t="s">
        <v>0</v>
      </c>
      <c r="N130" s="91" t="s">
        <v>3753</v>
      </c>
      <c r="O130" s="91" t="s">
        <v>2111</v>
      </c>
      <c r="Q130" s="91"/>
      <c r="S130" s="91" t="s">
        <v>138</v>
      </c>
      <c r="T130" s="91" t="s">
        <v>3510</v>
      </c>
      <c r="U130" s="91" t="s">
        <v>4532</v>
      </c>
      <c r="V130" s="91" t="s">
        <v>4476</v>
      </c>
      <c r="W130" s="91" t="s">
        <v>177</v>
      </c>
    </row>
    <row r="131" spans="1:23">
      <c r="A131" s="93" t="str">
        <f>TEXT(tblProjectlist[[#This Row],[project-no]],"0")</f>
        <v>99993819</v>
      </c>
      <c r="B131" s="91" t="s">
        <v>100</v>
      </c>
      <c r="C131" s="91" t="s">
        <v>100</v>
      </c>
      <c r="D131" s="91" t="s">
        <v>86</v>
      </c>
      <c r="E131" s="91" t="s">
        <v>1975</v>
      </c>
      <c r="G131" s="91" t="s">
        <v>87</v>
      </c>
      <c r="H131" s="91">
        <v>2</v>
      </c>
      <c r="I131" s="91">
        <v>32</v>
      </c>
      <c r="J131" s="91">
        <v>12</v>
      </c>
      <c r="K131" s="91" t="s">
        <v>1910</v>
      </c>
      <c r="L131" s="91" t="s">
        <v>43</v>
      </c>
      <c r="M131" s="91" t="s">
        <v>0</v>
      </c>
      <c r="N131" s="91" t="s">
        <v>3755</v>
      </c>
      <c r="O131" s="91" t="s">
        <v>2112</v>
      </c>
      <c r="Q131" s="91"/>
      <c r="S131" s="91" t="s">
        <v>138</v>
      </c>
      <c r="T131" s="91" t="s">
        <v>3511</v>
      </c>
      <c r="U131" s="91" t="s">
        <v>4533</v>
      </c>
      <c r="V131" s="91" t="s">
        <v>4476</v>
      </c>
      <c r="W131" s="91" t="s">
        <v>177</v>
      </c>
    </row>
    <row r="132" spans="1:23">
      <c r="A132" s="93" t="str">
        <f>TEXT(tblProjectlist[[#This Row],[project-no]],"0")</f>
        <v>99994041</v>
      </c>
      <c r="B132" s="91" t="s">
        <v>100</v>
      </c>
      <c r="C132" s="91" t="s">
        <v>100</v>
      </c>
      <c r="D132" s="91" t="s">
        <v>86</v>
      </c>
      <c r="F132" s="91" t="s">
        <v>87</v>
      </c>
      <c r="G132" s="91" t="s">
        <v>87</v>
      </c>
      <c r="H132" s="91">
        <v>2</v>
      </c>
      <c r="I132" s="91">
        <v>40</v>
      </c>
      <c r="J132" s="91">
        <v>41</v>
      </c>
      <c r="K132" s="91" t="s">
        <v>1911</v>
      </c>
      <c r="L132" s="91" t="s">
        <v>43</v>
      </c>
      <c r="M132" s="91" t="s">
        <v>1</v>
      </c>
      <c r="N132" s="91" t="s">
        <v>2097</v>
      </c>
      <c r="O132" s="91" t="s">
        <v>2113</v>
      </c>
      <c r="Q132" s="91"/>
      <c r="S132" s="91" t="s">
        <v>138</v>
      </c>
      <c r="T132" s="91" t="s">
        <v>3512</v>
      </c>
      <c r="U132" s="91" t="s">
        <v>2161</v>
      </c>
      <c r="V132" s="91" t="s">
        <v>161</v>
      </c>
      <c r="W132" s="91" t="s">
        <v>177</v>
      </c>
    </row>
    <row r="133" spans="1:23">
      <c r="A133" s="93" t="str">
        <f>TEXT(tblProjectlist[[#This Row],[project-no]],"0")</f>
        <v>99994047</v>
      </c>
      <c r="B133" s="91" t="s">
        <v>100</v>
      </c>
      <c r="C133" s="91" t="s">
        <v>100</v>
      </c>
      <c r="D133" s="91" t="s">
        <v>86</v>
      </c>
      <c r="F133" s="91" t="s">
        <v>87</v>
      </c>
      <c r="G133" s="91" t="s">
        <v>87</v>
      </c>
      <c r="H133" s="91">
        <v>2</v>
      </c>
      <c r="I133" s="91">
        <v>40</v>
      </c>
      <c r="J133" s="91">
        <v>41</v>
      </c>
      <c r="K133" s="91" t="s">
        <v>1912</v>
      </c>
      <c r="L133" s="91" t="s">
        <v>43</v>
      </c>
      <c r="M133" s="91" t="s">
        <v>1</v>
      </c>
      <c r="N133" s="91" t="s">
        <v>2097</v>
      </c>
      <c r="O133" s="91" t="s">
        <v>2114</v>
      </c>
      <c r="Q133" s="91"/>
      <c r="S133" s="91" t="s">
        <v>138</v>
      </c>
      <c r="T133" s="91" t="s">
        <v>3512</v>
      </c>
      <c r="U133" s="91" t="s">
        <v>2161</v>
      </c>
      <c r="V133" s="91" t="s">
        <v>166</v>
      </c>
      <c r="W133" s="91" t="s">
        <v>177</v>
      </c>
    </row>
    <row r="134" spans="1:23">
      <c r="A134" s="93" t="str">
        <f>TEXT(tblProjectlist[[#This Row],[project-no]],"0")</f>
        <v>99994141</v>
      </c>
      <c r="B134" s="91" t="s">
        <v>100</v>
      </c>
      <c r="C134" s="91" t="s">
        <v>100</v>
      </c>
      <c r="D134" s="91" t="s">
        <v>86</v>
      </c>
      <c r="F134" s="91" t="s">
        <v>87</v>
      </c>
      <c r="G134" s="91" t="s">
        <v>87</v>
      </c>
      <c r="H134" s="91">
        <v>2</v>
      </c>
      <c r="I134" s="91">
        <v>41</v>
      </c>
      <c r="J134" s="91">
        <v>41</v>
      </c>
      <c r="K134" s="91" t="s">
        <v>1913</v>
      </c>
      <c r="L134" s="91" t="s">
        <v>43</v>
      </c>
      <c r="M134" s="91" t="s">
        <v>1</v>
      </c>
      <c r="N134" s="91" t="s">
        <v>4034</v>
      </c>
      <c r="O134" s="91" t="s">
        <v>2007</v>
      </c>
      <c r="Q134" s="91"/>
      <c r="S134" s="91" t="s">
        <v>138</v>
      </c>
      <c r="T134" s="91" t="s">
        <v>3256</v>
      </c>
      <c r="U134" s="91" t="s">
        <v>3257</v>
      </c>
      <c r="V134" s="91" t="s">
        <v>145</v>
      </c>
      <c r="W134" s="91" t="s">
        <v>177</v>
      </c>
    </row>
    <row r="135" spans="1:23">
      <c r="A135" s="93" t="str">
        <f>TEXT(tblProjectlist[[#This Row],[project-no]],"0")</f>
        <v>99994241</v>
      </c>
      <c r="B135" s="91" t="s">
        <v>100</v>
      </c>
      <c r="C135" s="91" t="s">
        <v>100</v>
      </c>
      <c r="D135" s="91" t="s">
        <v>86</v>
      </c>
      <c r="F135" s="91" t="s">
        <v>2003</v>
      </c>
      <c r="G135" s="91" t="s">
        <v>87</v>
      </c>
      <c r="H135" s="91">
        <v>2</v>
      </c>
      <c r="I135" s="91">
        <v>42</v>
      </c>
      <c r="J135" s="91">
        <v>41</v>
      </c>
      <c r="K135" s="91" t="s">
        <v>1914</v>
      </c>
      <c r="L135" s="91" t="s">
        <v>43</v>
      </c>
      <c r="M135" s="91" t="s">
        <v>1</v>
      </c>
      <c r="N135" s="91" t="s">
        <v>2097</v>
      </c>
      <c r="O135" s="91" t="s">
        <v>2115</v>
      </c>
      <c r="Q135" s="91"/>
      <c r="S135" s="91" t="s">
        <v>138</v>
      </c>
      <c r="T135" s="91" t="s">
        <v>3513</v>
      </c>
      <c r="U135" s="91" t="s">
        <v>2162</v>
      </c>
      <c r="V135" s="91" t="s">
        <v>166</v>
      </c>
      <c r="W135" s="91" t="s">
        <v>177</v>
      </c>
    </row>
    <row r="136" spans="1:23">
      <c r="A136" s="93" t="str">
        <f>TEXT(tblProjectlist[[#This Row],[project-no]],"0")</f>
        <v>99994249</v>
      </c>
      <c r="B136" s="91" t="s">
        <v>100</v>
      </c>
      <c r="C136" s="91" t="s">
        <v>100</v>
      </c>
      <c r="D136" s="91" t="s">
        <v>86</v>
      </c>
      <c r="F136" s="91" t="s">
        <v>2003</v>
      </c>
      <c r="G136" s="91" t="s">
        <v>87</v>
      </c>
      <c r="H136" s="91">
        <v>2</v>
      </c>
      <c r="I136" s="91">
        <v>42</v>
      </c>
      <c r="J136" s="91">
        <v>41</v>
      </c>
      <c r="K136" s="91" t="s">
        <v>1915</v>
      </c>
      <c r="L136" s="91" t="s">
        <v>43</v>
      </c>
      <c r="M136" s="91" t="s">
        <v>1</v>
      </c>
      <c r="N136" s="91" t="s">
        <v>2097</v>
      </c>
      <c r="O136" s="91" t="s">
        <v>2116</v>
      </c>
      <c r="Q136" s="91"/>
      <c r="S136" s="91" t="s">
        <v>138</v>
      </c>
      <c r="T136" s="91" t="s">
        <v>3513</v>
      </c>
      <c r="U136" s="91" t="s">
        <v>2162</v>
      </c>
      <c r="V136" s="91" t="s">
        <v>161</v>
      </c>
      <c r="W136" s="91" t="s">
        <v>177</v>
      </c>
    </row>
    <row r="137" spans="1:23">
      <c r="A137" s="93" t="str">
        <f>TEXT(tblProjectlist[[#This Row],[project-no]],"0")</f>
        <v>99994729</v>
      </c>
      <c r="B137" s="91" t="s">
        <v>100</v>
      </c>
      <c r="C137" s="91" t="s">
        <v>100</v>
      </c>
      <c r="D137" s="91" t="s">
        <v>86</v>
      </c>
      <c r="E137" s="91" t="s">
        <v>1976</v>
      </c>
      <c r="F137" s="91" t="s">
        <v>1965</v>
      </c>
      <c r="G137" s="91" t="s">
        <v>87</v>
      </c>
      <c r="H137" s="91">
        <v>2</v>
      </c>
      <c r="I137" s="91">
        <v>47</v>
      </c>
      <c r="J137" s="91">
        <v>29</v>
      </c>
      <c r="K137" s="91" t="s">
        <v>1916</v>
      </c>
      <c r="L137" s="91" t="s">
        <v>43</v>
      </c>
      <c r="M137" s="91" t="s">
        <v>4</v>
      </c>
      <c r="N137" s="91" t="s">
        <v>4162</v>
      </c>
      <c r="O137" s="91" t="s">
        <v>2117</v>
      </c>
      <c r="Q137" s="91"/>
      <c r="S137" s="91" t="s">
        <v>138</v>
      </c>
      <c r="T137" s="91" t="s">
        <v>3514</v>
      </c>
      <c r="U137" s="91" t="s">
        <v>3515</v>
      </c>
      <c r="V137" s="91" t="s">
        <v>145</v>
      </c>
      <c r="W137" s="91" t="s">
        <v>177</v>
      </c>
    </row>
    <row r="138" spans="1:23">
      <c r="A138" s="93" t="str">
        <f>TEXT(tblProjectlist[[#This Row],[project-no]],"0")</f>
        <v>99994829</v>
      </c>
      <c r="B138" s="91" t="s">
        <v>100</v>
      </c>
      <c r="C138" s="91" t="s">
        <v>100</v>
      </c>
      <c r="D138" s="91" t="s">
        <v>86</v>
      </c>
      <c r="G138" s="91" t="s">
        <v>87</v>
      </c>
      <c r="H138" s="91">
        <v>2</v>
      </c>
      <c r="I138" s="91">
        <v>48</v>
      </c>
      <c r="J138" s="91">
        <v>29</v>
      </c>
      <c r="K138" s="91" t="s">
        <v>1917</v>
      </c>
      <c r="L138" s="91" t="s">
        <v>43</v>
      </c>
      <c r="M138" s="91" t="s">
        <v>4</v>
      </c>
      <c r="N138" s="91" t="s">
        <v>4162</v>
      </c>
      <c r="O138" s="91" t="s">
        <v>2118</v>
      </c>
      <c r="Q138" s="91"/>
      <c r="S138" s="91" t="s">
        <v>138</v>
      </c>
      <c r="T138" s="91" t="s">
        <v>3516</v>
      </c>
      <c r="U138" s="91" t="s">
        <v>3517</v>
      </c>
      <c r="V138" s="91" t="s">
        <v>145</v>
      </c>
      <c r="W138" s="91" t="s">
        <v>177</v>
      </c>
    </row>
    <row r="139" spans="1:23">
      <c r="A139" s="93" t="str">
        <f>TEXT(tblProjectlist[[#This Row],[project-no]],"0")</f>
        <v>99995119</v>
      </c>
      <c r="B139" s="91" t="s">
        <v>100</v>
      </c>
      <c r="C139" s="91" t="s">
        <v>100</v>
      </c>
      <c r="D139" s="91" t="s">
        <v>86</v>
      </c>
      <c r="E139" s="91" t="s">
        <v>1975</v>
      </c>
      <c r="G139" s="91" t="s">
        <v>87</v>
      </c>
      <c r="H139" s="91">
        <v>2</v>
      </c>
      <c r="I139" s="91">
        <v>41</v>
      </c>
      <c r="J139" s="91">
        <v>11</v>
      </c>
      <c r="K139" s="91" t="s">
        <v>1918</v>
      </c>
      <c r="L139" s="91" t="s">
        <v>43</v>
      </c>
      <c r="M139" s="91" t="s">
        <v>0</v>
      </c>
      <c r="N139" s="91" t="s">
        <v>3741</v>
      </c>
      <c r="O139" s="91" t="s">
        <v>2119</v>
      </c>
      <c r="Q139" s="91"/>
      <c r="S139" s="91" t="s">
        <v>138</v>
      </c>
      <c r="T139" s="91" t="s">
        <v>3518</v>
      </c>
      <c r="U139" s="91" t="s">
        <v>4534</v>
      </c>
      <c r="V139" s="91" t="s">
        <v>4476</v>
      </c>
      <c r="W139" s="91" t="s">
        <v>177</v>
      </c>
    </row>
    <row r="140" spans="1:23">
      <c r="A140" s="93" t="str">
        <f>TEXT(tblProjectlist[[#This Row],[project-no]],"0")</f>
        <v>99995129</v>
      </c>
      <c r="B140" s="91" t="s">
        <v>100</v>
      </c>
      <c r="C140" s="91" t="s">
        <v>100</v>
      </c>
      <c r="D140" s="91" t="s">
        <v>86</v>
      </c>
      <c r="F140" s="91" t="s">
        <v>1965</v>
      </c>
      <c r="G140" s="91" t="s">
        <v>87</v>
      </c>
      <c r="H140" s="91">
        <v>2</v>
      </c>
      <c r="I140" s="91">
        <v>51</v>
      </c>
      <c r="J140" s="91">
        <v>29</v>
      </c>
      <c r="K140" s="93" t="s">
        <v>1919</v>
      </c>
      <c r="L140" s="91" t="s">
        <v>43</v>
      </c>
      <c r="M140" s="91" t="s">
        <v>4</v>
      </c>
      <c r="N140" s="91" t="s">
        <v>4162</v>
      </c>
      <c r="O140" s="91" t="s">
        <v>2120</v>
      </c>
      <c r="Q140" s="91"/>
      <c r="S140" s="91" t="s">
        <v>138</v>
      </c>
      <c r="T140" s="91" t="s">
        <v>3519</v>
      </c>
      <c r="U140" s="91" t="s">
        <v>3626</v>
      </c>
      <c r="V140" s="91" t="s">
        <v>147</v>
      </c>
      <c r="W140" s="91" t="s">
        <v>177</v>
      </c>
    </row>
    <row r="141" spans="1:23">
      <c r="A141" s="93" t="str">
        <f>TEXT(tblProjectlist[[#This Row],[project-no]],"0")</f>
        <v>99995229</v>
      </c>
      <c r="B141" s="91" t="s">
        <v>100</v>
      </c>
      <c r="C141" s="91" t="s">
        <v>100</v>
      </c>
      <c r="D141" s="91" t="s">
        <v>86</v>
      </c>
      <c r="F141" s="91" t="s">
        <v>1965</v>
      </c>
      <c r="G141" s="91" t="s">
        <v>87</v>
      </c>
      <c r="H141" s="91">
        <v>2</v>
      </c>
      <c r="I141" s="91">
        <v>52</v>
      </c>
      <c r="J141" s="91">
        <v>29</v>
      </c>
      <c r="K141" s="91" t="s">
        <v>1920</v>
      </c>
      <c r="L141" s="91" t="s">
        <v>43</v>
      </c>
      <c r="M141" s="91" t="s">
        <v>4</v>
      </c>
      <c r="N141" s="91" t="s">
        <v>4162</v>
      </c>
      <c r="O141" s="91" t="s">
        <v>2121</v>
      </c>
      <c r="Q141" s="91"/>
      <c r="S141" s="91" t="s">
        <v>138</v>
      </c>
      <c r="T141" s="91" t="s">
        <v>3520</v>
      </c>
      <c r="U141" s="91" t="s">
        <v>3627</v>
      </c>
      <c r="V141" s="91" t="s">
        <v>148</v>
      </c>
      <c r="W141" s="91" t="s">
        <v>177</v>
      </c>
    </row>
    <row r="142" spans="1:23">
      <c r="A142" s="93" t="str">
        <f>TEXT(tblProjectlist[[#This Row],[project-no]],"0")</f>
        <v>99995319</v>
      </c>
      <c r="B142" s="91" t="s">
        <v>100</v>
      </c>
      <c r="C142" s="91" t="s">
        <v>100</v>
      </c>
      <c r="D142" s="91" t="s">
        <v>86</v>
      </c>
      <c r="E142" s="91" t="s">
        <v>1975</v>
      </c>
      <c r="G142" s="91" t="s">
        <v>87</v>
      </c>
      <c r="H142" s="91">
        <v>2</v>
      </c>
      <c r="I142" s="91">
        <v>51</v>
      </c>
      <c r="J142" s="91">
        <v>11</v>
      </c>
      <c r="K142" s="91" t="s">
        <v>1921</v>
      </c>
      <c r="L142" s="91" t="s">
        <v>43</v>
      </c>
      <c r="M142" s="91" t="s">
        <v>0</v>
      </c>
      <c r="N142" s="91" t="s">
        <v>3751</v>
      </c>
      <c r="O142" s="91" t="s">
        <v>2122</v>
      </c>
      <c r="Q142" s="91"/>
      <c r="S142" s="91" t="s">
        <v>138</v>
      </c>
      <c r="T142" s="91" t="s">
        <v>3521</v>
      </c>
      <c r="U142" s="91" t="s">
        <v>4535</v>
      </c>
      <c r="V142" s="91" t="s">
        <v>4476</v>
      </c>
      <c r="W142" s="91" t="s">
        <v>177</v>
      </c>
    </row>
    <row r="143" spans="1:23">
      <c r="A143" s="93" t="str">
        <f>TEXT(tblProjectlist[[#This Row],[project-no]],"0")</f>
        <v>99995329</v>
      </c>
      <c r="B143" s="91" t="s">
        <v>100</v>
      </c>
      <c r="C143" s="91" t="s">
        <v>100</v>
      </c>
      <c r="D143" s="91" t="s">
        <v>86</v>
      </c>
      <c r="F143" s="91" t="s">
        <v>1965</v>
      </c>
      <c r="G143" s="91" t="s">
        <v>87</v>
      </c>
      <c r="H143" s="91">
        <v>2</v>
      </c>
      <c r="I143" s="91">
        <v>53</v>
      </c>
      <c r="J143" s="91">
        <v>29</v>
      </c>
      <c r="K143" s="91" t="s">
        <v>1922</v>
      </c>
      <c r="L143" s="91" t="s">
        <v>43</v>
      </c>
      <c r="M143" s="91" t="s">
        <v>4</v>
      </c>
      <c r="N143" s="91" t="s">
        <v>4162</v>
      </c>
      <c r="O143" s="91" t="s">
        <v>2123</v>
      </c>
      <c r="Q143" s="91"/>
      <c r="S143" s="91" t="s">
        <v>138</v>
      </c>
      <c r="T143" s="91" t="s">
        <v>3522</v>
      </c>
      <c r="U143" s="91" t="s">
        <v>3523</v>
      </c>
      <c r="V143" s="91" t="s">
        <v>145</v>
      </c>
      <c r="W143" s="91" t="s">
        <v>177</v>
      </c>
    </row>
    <row r="144" spans="1:23">
      <c r="A144" s="93" t="str">
        <f>TEXT(tblProjectlist[[#This Row],[project-no]],"0")</f>
        <v>99995729</v>
      </c>
      <c r="B144" s="91" t="s">
        <v>100</v>
      </c>
      <c r="C144" s="91" t="s">
        <v>100</v>
      </c>
      <c r="D144" s="91" t="s">
        <v>86</v>
      </c>
      <c r="F144" s="91" t="s">
        <v>1965</v>
      </c>
      <c r="G144" s="91" t="s">
        <v>87</v>
      </c>
      <c r="H144" s="91">
        <v>2</v>
      </c>
      <c r="I144" s="91">
        <v>57</v>
      </c>
      <c r="J144" s="91">
        <v>29</v>
      </c>
      <c r="K144" s="91" t="s">
        <v>1923</v>
      </c>
      <c r="L144" s="91" t="s">
        <v>43</v>
      </c>
      <c r="M144" s="91" t="s">
        <v>4</v>
      </c>
      <c r="N144" s="91" t="s">
        <v>4162</v>
      </c>
      <c r="O144" s="91" t="s">
        <v>2124</v>
      </c>
      <c r="Q144" s="91"/>
      <c r="S144" s="91" t="s">
        <v>138</v>
      </c>
      <c r="T144" s="91" t="s">
        <v>3524</v>
      </c>
      <c r="U144" s="91" t="s">
        <v>3525</v>
      </c>
      <c r="V144" s="91" t="s">
        <v>145</v>
      </c>
      <c r="W144" s="91" t="s">
        <v>177</v>
      </c>
    </row>
    <row r="145" spans="1:23">
      <c r="A145" s="93" t="str">
        <f>TEXT(tblProjectlist[[#This Row],[project-no]],"0")</f>
        <v>99995841</v>
      </c>
      <c r="B145" s="91" t="s">
        <v>100</v>
      </c>
      <c r="C145" s="91" t="s">
        <v>100</v>
      </c>
      <c r="D145" s="91" t="s">
        <v>86</v>
      </c>
      <c r="F145" s="91" t="s">
        <v>2003</v>
      </c>
      <c r="G145" s="91" t="s">
        <v>87</v>
      </c>
      <c r="H145" s="91">
        <v>2</v>
      </c>
      <c r="I145" s="91">
        <v>58</v>
      </c>
      <c r="J145" s="91">
        <v>47</v>
      </c>
      <c r="K145" s="91" t="s">
        <v>1924</v>
      </c>
      <c r="L145" s="91" t="s">
        <v>43</v>
      </c>
      <c r="M145" s="91" t="s">
        <v>1</v>
      </c>
      <c r="N145" s="91" t="s">
        <v>2097</v>
      </c>
      <c r="O145" s="91" t="s">
        <v>2125</v>
      </c>
      <c r="Q145" s="91"/>
      <c r="S145" s="91" t="s">
        <v>138</v>
      </c>
      <c r="T145" s="91" t="s">
        <v>3526</v>
      </c>
      <c r="U145" s="91" t="s">
        <v>2163</v>
      </c>
      <c r="V145" s="91" t="s">
        <v>161</v>
      </c>
      <c r="W145" s="91" t="s">
        <v>177</v>
      </c>
    </row>
    <row r="146" spans="1:23">
      <c r="A146" s="93" t="str">
        <f>TEXT(tblProjectlist[[#This Row],[project-no]],"0")</f>
        <v>99995847</v>
      </c>
      <c r="B146" s="91" t="s">
        <v>100</v>
      </c>
      <c r="C146" s="91" t="s">
        <v>100</v>
      </c>
      <c r="D146" s="91" t="s">
        <v>86</v>
      </c>
      <c r="F146" s="91" t="s">
        <v>2003</v>
      </c>
      <c r="G146" s="91" t="s">
        <v>87</v>
      </c>
      <c r="H146" s="91">
        <v>2</v>
      </c>
      <c r="I146" s="91">
        <v>58</v>
      </c>
      <c r="J146" s="91">
        <v>47</v>
      </c>
      <c r="K146" s="91" t="s">
        <v>1925</v>
      </c>
      <c r="L146" s="91" t="s">
        <v>43</v>
      </c>
      <c r="M146" s="91" t="s">
        <v>1</v>
      </c>
      <c r="N146" s="91" t="s">
        <v>2097</v>
      </c>
      <c r="O146" s="91" t="s">
        <v>2126</v>
      </c>
      <c r="Q146" s="91"/>
      <c r="S146" s="91" t="s">
        <v>138</v>
      </c>
      <c r="T146" s="91" t="s">
        <v>3526</v>
      </c>
      <c r="U146" s="91" t="s">
        <v>2163</v>
      </c>
      <c r="V146" s="91" t="s">
        <v>166</v>
      </c>
      <c r="W146" s="91" t="s">
        <v>177</v>
      </c>
    </row>
    <row r="147" spans="1:23">
      <c r="A147" s="93" t="str">
        <f>TEXT(tblProjectlist[[#This Row],[project-no]],"0")</f>
        <v>99995929</v>
      </c>
      <c r="B147" s="91" t="s">
        <v>100</v>
      </c>
      <c r="C147" s="91" t="s">
        <v>100</v>
      </c>
      <c r="D147" s="91" t="s">
        <v>86</v>
      </c>
      <c r="E147" s="91" t="s">
        <v>1976</v>
      </c>
      <c r="F147" s="91" t="s">
        <v>1965</v>
      </c>
      <c r="G147" s="91" t="s">
        <v>87</v>
      </c>
      <c r="H147" s="91">
        <v>2</v>
      </c>
      <c r="I147" s="91">
        <v>59</v>
      </c>
      <c r="J147" s="91">
        <v>29</v>
      </c>
      <c r="K147" s="91" t="s">
        <v>1926</v>
      </c>
      <c r="L147" s="91" t="s">
        <v>43</v>
      </c>
      <c r="M147" s="91" t="s">
        <v>4</v>
      </c>
      <c r="N147" s="91" t="s">
        <v>4162</v>
      </c>
      <c r="O147" s="91" t="s">
        <v>2127</v>
      </c>
      <c r="Q147" s="91"/>
      <c r="S147" s="91" t="s">
        <v>138</v>
      </c>
      <c r="T147" s="91" t="s">
        <v>3527</v>
      </c>
      <c r="U147" s="91" t="s">
        <v>3628</v>
      </c>
      <c r="V147" s="91" t="s">
        <v>149</v>
      </c>
      <c r="W147" s="91" t="s">
        <v>177</v>
      </c>
    </row>
    <row r="148" spans="1:23">
      <c r="A148" s="93" t="str">
        <f>TEXT(tblProjectlist[[#This Row],[project-no]],"0")</f>
        <v>99995941</v>
      </c>
      <c r="B148" s="91" t="s">
        <v>100</v>
      </c>
      <c r="C148" s="91" t="s">
        <v>100</v>
      </c>
      <c r="D148" s="91" t="s">
        <v>86</v>
      </c>
      <c r="F148" s="91" t="s">
        <v>2003</v>
      </c>
      <c r="G148" s="91" t="s">
        <v>87</v>
      </c>
      <c r="H148" s="91">
        <v>2</v>
      </c>
      <c r="I148" s="91">
        <v>59</v>
      </c>
      <c r="J148" s="91">
        <v>41</v>
      </c>
      <c r="K148" s="91" t="s">
        <v>1927</v>
      </c>
      <c r="L148" s="91" t="s">
        <v>43</v>
      </c>
      <c r="M148" s="91" t="s">
        <v>1</v>
      </c>
      <c r="N148" s="91" t="s">
        <v>2097</v>
      </c>
      <c r="O148" s="91" t="s">
        <v>2128</v>
      </c>
      <c r="Q148" s="91"/>
      <c r="S148" s="91" t="s">
        <v>138</v>
      </c>
      <c r="T148" s="91" t="s">
        <v>3528</v>
      </c>
      <c r="U148" s="91" t="s">
        <v>2164</v>
      </c>
      <c r="V148" s="91" t="s">
        <v>161</v>
      </c>
      <c r="W148" s="91" t="s">
        <v>177</v>
      </c>
    </row>
    <row r="149" spans="1:23">
      <c r="A149" s="93" t="str">
        <f>TEXT(tblProjectlist[[#This Row],[project-no]],"0")</f>
        <v>99995947</v>
      </c>
      <c r="B149" s="91" t="s">
        <v>100</v>
      </c>
      <c r="C149" s="91" t="s">
        <v>100</v>
      </c>
      <c r="D149" s="91" t="s">
        <v>86</v>
      </c>
      <c r="F149" s="91" t="s">
        <v>2003</v>
      </c>
      <c r="G149" s="91" t="s">
        <v>87</v>
      </c>
      <c r="H149" s="91">
        <v>2</v>
      </c>
      <c r="I149" s="91">
        <v>59</v>
      </c>
      <c r="J149" s="91">
        <v>41</v>
      </c>
      <c r="K149" s="91" t="s">
        <v>1928</v>
      </c>
      <c r="L149" s="91" t="s">
        <v>43</v>
      </c>
      <c r="M149" s="91" t="s">
        <v>1</v>
      </c>
      <c r="N149" s="91" t="s">
        <v>2097</v>
      </c>
      <c r="O149" s="91" t="s">
        <v>2129</v>
      </c>
      <c r="Q149" s="91"/>
      <c r="S149" s="91" t="s">
        <v>138</v>
      </c>
      <c r="T149" s="91" t="s">
        <v>3528</v>
      </c>
      <c r="U149" s="91" t="s">
        <v>2164</v>
      </c>
      <c r="V149" s="91" t="s">
        <v>166</v>
      </c>
      <c r="W149" s="91" t="s">
        <v>177</v>
      </c>
    </row>
    <row r="150" spans="1:23">
      <c r="A150" s="93" t="str">
        <f>TEXT(tblProjectlist[[#This Row],[project-no]],"0")</f>
        <v>99996029</v>
      </c>
      <c r="B150" s="91" t="s">
        <v>100</v>
      </c>
      <c r="C150" s="91" t="s">
        <v>100</v>
      </c>
      <c r="D150" s="91" t="s">
        <v>86</v>
      </c>
      <c r="E150" s="91" t="s">
        <v>1976</v>
      </c>
      <c r="F150" s="91" t="s">
        <v>1965</v>
      </c>
      <c r="G150" s="91" t="s">
        <v>87</v>
      </c>
      <c r="H150" s="91">
        <v>2</v>
      </c>
      <c r="I150" s="91">
        <v>60</v>
      </c>
      <c r="J150" s="91">
        <v>29</v>
      </c>
      <c r="K150" s="91" t="s">
        <v>1929</v>
      </c>
      <c r="L150" s="91" t="s">
        <v>43</v>
      </c>
      <c r="M150" s="91" t="s">
        <v>4</v>
      </c>
      <c r="N150" s="91" t="s">
        <v>4162</v>
      </c>
      <c r="O150" s="91" t="s">
        <v>2130</v>
      </c>
      <c r="Q150" s="91"/>
      <c r="S150" s="91" t="s">
        <v>138</v>
      </c>
      <c r="T150" s="91" t="s">
        <v>3529</v>
      </c>
      <c r="U150" s="91" t="s">
        <v>3629</v>
      </c>
      <c r="V150" s="91" t="s">
        <v>150</v>
      </c>
      <c r="W150" s="91" t="s">
        <v>177</v>
      </c>
    </row>
    <row r="151" spans="1:23">
      <c r="A151" s="93" t="str">
        <f>TEXT(tblProjectlist[[#This Row],[project-no]],"0")</f>
        <v>99996041</v>
      </c>
      <c r="B151" s="91" t="s">
        <v>100</v>
      </c>
      <c r="C151" s="91" t="s">
        <v>100</v>
      </c>
      <c r="D151" s="91" t="s">
        <v>86</v>
      </c>
      <c r="F151" s="91" t="s">
        <v>2005</v>
      </c>
      <c r="G151" s="91" t="s">
        <v>87</v>
      </c>
      <c r="H151" s="91">
        <v>2</v>
      </c>
      <c r="I151" s="91">
        <v>60</v>
      </c>
      <c r="J151" s="91">
        <v>41</v>
      </c>
      <c r="K151" s="91" t="s">
        <v>1930</v>
      </c>
      <c r="L151" s="91" t="s">
        <v>43</v>
      </c>
      <c r="M151" s="91" t="s">
        <v>1</v>
      </c>
      <c r="N151" s="91" t="s">
        <v>2097</v>
      </c>
      <c r="O151" s="91" t="s">
        <v>2131</v>
      </c>
      <c r="Q151" s="91"/>
      <c r="S151" s="91" t="s">
        <v>138</v>
      </c>
      <c r="T151" s="91" t="s">
        <v>3530</v>
      </c>
      <c r="U151" s="91" t="s">
        <v>3902</v>
      </c>
      <c r="V151" s="91" t="s">
        <v>161</v>
      </c>
      <c r="W151" s="91" t="s">
        <v>177</v>
      </c>
    </row>
    <row r="152" spans="1:23">
      <c r="A152" s="93" t="str">
        <f>TEXT(tblProjectlist[[#This Row],[project-no]],"0")</f>
        <v>99996047</v>
      </c>
      <c r="B152" s="91" t="s">
        <v>100</v>
      </c>
      <c r="C152" s="91" t="s">
        <v>100</v>
      </c>
      <c r="D152" s="91" t="s">
        <v>86</v>
      </c>
      <c r="F152" s="91" t="s">
        <v>2005</v>
      </c>
      <c r="G152" s="91" t="s">
        <v>87</v>
      </c>
      <c r="H152" s="91">
        <v>2</v>
      </c>
      <c r="I152" s="91">
        <v>60</v>
      </c>
      <c r="J152" s="91">
        <v>41</v>
      </c>
      <c r="K152" s="91" t="s">
        <v>1931</v>
      </c>
      <c r="L152" s="91" t="s">
        <v>43</v>
      </c>
      <c r="M152" s="91" t="s">
        <v>1</v>
      </c>
      <c r="N152" s="91" t="s">
        <v>2097</v>
      </c>
      <c r="O152" s="91" t="s">
        <v>2132</v>
      </c>
      <c r="Q152" s="91"/>
      <c r="S152" s="91" t="s">
        <v>138</v>
      </c>
      <c r="T152" s="91" t="s">
        <v>3530</v>
      </c>
      <c r="U152" s="91" t="s">
        <v>3902</v>
      </c>
      <c r="V152" s="91" t="s">
        <v>166</v>
      </c>
      <c r="W152" s="91" t="s">
        <v>177</v>
      </c>
    </row>
    <row r="153" spans="1:23">
      <c r="A153" s="93" t="str">
        <f>TEXT(tblProjectlist[[#This Row],[project-no]],"0")</f>
        <v>99996129</v>
      </c>
      <c r="B153" s="91" t="s">
        <v>100</v>
      </c>
      <c r="C153" s="91" t="s">
        <v>100</v>
      </c>
      <c r="D153" s="91" t="s">
        <v>86</v>
      </c>
      <c r="E153" s="91" t="s">
        <v>1976</v>
      </c>
      <c r="F153" s="91" t="s">
        <v>1965</v>
      </c>
      <c r="G153" s="91" t="s">
        <v>87</v>
      </c>
      <c r="H153" s="91">
        <v>2</v>
      </c>
      <c r="I153" s="91">
        <v>61</v>
      </c>
      <c r="J153" s="91">
        <v>29</v>
      </c>
      <c r="K153" s="91" t="s">
        <v>1932</v>
      </c>
      <c r="L153" s="91" t="s">
        <v>43</v>
      </c>
      <c r="M153" s="91" t="s">
        <v>4</v>
      </c>
      <c r="N153" s="91" t="s">
        <v>4162</v>
      </c>
      <c r="O153" s="91" t="s">
        <v>2133</v>
      </c>
      <c r="Q153" s="91"/>
      <c r="S153" s="91" t="s">
        <v>138</v>
      </c>
      <c r="T153" s="91" t="s">
        <v>3531</v>
      </c>
      <c r="U153" s="91" t="s">
        <v>3532</v>
      </c>
      <c r="V153" s="91" t="s">
        <v>145</v>
      </c>
      <c r="W153" s="91" t="s">
        <v>177</v>
      </c>
    </row>
    <row r="154" spans="1:23">
      <c r="A154" s="93" t="str">
        <f>TEXT(tblProjectlist[[#This Row],[project-no]],"0")</f>
        <v>99996141</v>
      </c>
      <c r="B154" s="91" t="s">
        <v>100</v>
      </c>
      <c r="C154" s="91" t="s">
        <v>100</v>
      </c>
      <c r="D154" s="91" t="s">
        <v>86</v>
      </c>
      <c r="F154" s="91" t="s">
        <v>2003</v>
      </c>
      <c r="G154" s="91" t="s">
        <v>87</v>
      </c>
      <c r="H154" s="91">
        <v>2</v>
      </c>
      <c r="I154" s="91">
        <v>61</v>
      </c>
      <c r="J154" s="91">
        <v>41</v>
      </c>
      <c r="K154" s="91" t="s">
        <v>1933</v>
      </c>
      <c r="L154" s="91" t="s">
        <v>43</v>
      </c>
      <c r="M154" s="91" t="s">
        <v>1</v>
      </c>
      <c r="N154" s="91" t="s">
        <v>2097</v>
      </c>
      <c r="O154" s="91" t="s">
        <v>2134</v>
      </c>
      <c r="Q154" s="91"/>
      <c r="S154" s="91" t="s">
        <v>138</v>
      </c>
      <c r="T154" s="91" t="s">
        <v>3533</v>
      </c>
      <c r="U154" s="91" t="s">
        <v>2165</v>
      </c>
      <c r="V154" s="91" t="s">
        <v>161</v>
      </c>
      <c r="W154" s="91" t="s">
        <v>177</v>
      </c>
    </row>
    <row r="155" spans="1:23">
      <c r="A155" s="93" t="str">
        <f>TEXT(tblProjectlist[[#This Row],[project-no]],"0")</f>
        <v>99996147</v>
      </c>
      <c r="B155" s="91" t="s">
        <v>100</v>
      </c>
      <c r="C155" s="91" t="s">
        <v>100</v>
      </c>
      <c r="D155" s="91" t="s">
        <v>86</v>
      </c>
      <c r="F155" s="91" t="s">
        <v>2003</v>
      </c>
      <c r="G155" s="91" t="s">
        <v>87</v>
      </c>
      <c r="H155" s="91">
        <v>2</v>
      </c>
      <c r="I155" s="91">
        <v>61</v>
      </c>
      <c r="J155" s="91">
        <v>41</v>
      </c>
      <c r="K155" s="91" t="s">
        <v>1934</v>
      </c>
      <c r="L155" s="91" t="s">
        <v>43</v>
      </c>
      <c r="M155" s="91" t="s">
        <v>1</v>
      </c>
      <c r="N155" s="91" t="s">
        <v>2097</v>
      </c>
      <c r="O155" s="91" t="s">
        <v>2135</v>
      </c>
      <c r="Q155" s="91"/>
      <c r="S155" s="91" t="s">
        <v>138</v>
      </c>
      <c r="T155" s="91" t="s">
        <v>3533</v>
      </c>
      <c r="U155" s="91" t="s">
        <v>2165</v>
      </c>
      <c r="V155" s="91" t="s">
        <v>166</v>
      </c>
      <c r="W155" s="91" t="s">
        <v>177</v>
      </c>
    </row>
    <row r="156" spans="1:23">
      <c r="A156" s="93" t="str">
        <f>TEXT(tblProjectlist[[#This Row],[project-no]],"0")</f>
        <v>99996229</v>
      </c>
      <c r="B156" s="91" t="s">
        <v>100</v>
      </c>
      <c r="C156" s="91" t="s">
        <v>100</v>
      </c>
      <c r="D156" s="91" t="s">
        <v>86</v>
      </c>
      <c r="E156" s="91" t="s">
        <v>1976</v>
      </c>
      <c r="F156" s="91" t="s">
        <v>1965</v>
      </c>
      <c r="G156" s="91" t="s">
        <v>87</v>
      </c>
      <c r="H156" s="91">
        <v>2</v>
      </c>
      <c r="I156" s="91">
        <v>62</v>
      </c>
      <c r="J156" s="91">
        <v>29</v>
      </c>
      <c r="K156" s="91" t="s">
        <v>1935</v>
      </c>
      <c r="L156" s="91" t="s">
        <v>43</v>
      </c>
      <c r="M156" s="91" t="s">
        <v>4</v>
      </c>
      <c r="N156" s="91" t="s">
        <v>4162</v>
      </c>
      <c r="O156" s="91" t="s">
        <v>2136</v>
      </c>
      <c r="Q156" s="91"/>
      <c r="S156" s="91" t="s">
        <v>138</v>
      </c>
      <c r="T156" s="91" t="s">
        <v>3534</v>
      </c>
      <c r="U156" s="91" t="s">
        <v>3630</v>
      </c>
      <c r="V156" s="91" t="s">
        <v>151</v>
      </c>
      <c r="W156" s="91" t="s">
        <v>177</v>
      </c>
    </row>
    <row r="157" spans="1:23">
      <c r="A157" s="93" t="str">
        <f>TEXT(tblProjectlist[[#This Row],[project-no]],"0")</f>
        <v>99996241</v>
      </c>
      <c r="B157" s="91" t="s">
        <v>100</v>
      </c>
      <c r="C157" s="91" t="s">
        <v>100</v>
      </c>
      <c r="D157" s="91" t="s">
        <v>86</v>
      </c>
      <c r="F157" s="91" t="s">
        <v>2004</v>
      </c>
      <c r="G157" s="91" t="s">
        <v>87</v>
      </c>
      <c r="H157" s="91">
        <v>2</v>
      </c>
      <c r="I157" s="91">
        <v>62</v>
      </c>
      <c r="J157" s="91">
        <v>41</v>
      </c>
      <c r="K157" s="91" t="s">
        <v>1936</v>
      </c>
      <c r="L157" s="91" t="s">
        <v>43</v>
      </c>
      <c r="M157" s="91" t="s">
        <v>1</v>
      </c>
      <c r="N157" s="91" t="s">
        <v>2097</v>
      </c>
      <c r="O157" s="91" t="s">
        <v>2137</v>
      </c>
      <c r="Q157" s="91"/>
      <c r="S157" s="91" t="s">
        <v>138</v>
      </c>
      <c r="T157" s="91" t="s">
        <v>3535</v>
      </c>
      <c r="U157" s="91" t="s">
        <v>2138</v>
      </c>
      <c r="V157" s="91" t="s">
        <v>161</v>
      </c>
      <c r="W157" s="91" t="s">
        <v>177</v>
      </c>
    </row>
    <row r="158" spans="1:23">
      <c r="A158" s="93" t="str">
        <f>TEXT(tblProjectlist[[#This Row],[project-no]],"0")</f>
        <v>99996247</v>
      </c>
      <c r="B158" s="91" t="s">
        <v>100</v>
      </c>
      <c r="C158" s="91" t="s">
        <v>100</v>
      </c>
      <c r="D158" s="91" t="s">
        <v>86</v>
      </c>
      <c r="F158" s="91" t="s">
        <v>2004</v>
      </c>
      <c r="G158" s="91" t="s">
        <v>87</v>
      </c>
      <c r="H158" s="91">
        <v>2</v>
      </c>
      <c r="I158" s="91">
        <v>62</v>
      </c>
      <c r="J158" s="91">
        <v>41</v>
      </c>
      <c r="K158" s="91" t="s">
        <v>1937</v>
      </c>
      <c r="L158" s="91" t="s">
        <v>43</v>
      </c>
      <c r="M158" s="91" t="s">
        <v>1</v>
      </c>
      <c r="N158" s="91" t="s">
        <v>2097</v>
      </c>
      <c r="O158" s="91" t="s">
        <v>2138</v>
      </c>
      <c r="Q158" s="91"/>
      <c r="S158" s="91" t="s">
        <v>138</v>
      </c>
      <c r="T158" s="91" t="s">
        <v>3535</v>
      </c>
      <c r="U158" s="91" t="s">
        <v>2138</v>
      </c>
      <c r="V158" s="91" t="s">
        <v>166</v>
      </c>
      <c r="W158" s="91" t="s">
        <v>177</v>
      </c>
    </row>
    <row r="159" spans="1:23">
      <c r="A159" s="93" t="str">
        <f>TEXT(tblProjectlist[[#This Row],[project-no]],"0")</f>
        <v>99996341</v>
      </c>
      <c r="B159" s="91" t="s">
        <v>100</v>
      </c>
      <c r="C159" s="91" t="s">
        <v>100</v>
      </c>
      <c r="D159" s="91" t="s">
        <v>86</v>
      </c>
      <c r="F159" s="91" t="s">
        <v>2004</v>
      </c>
      <c r="G159" s="91" t="s">
        <v>87</v>
      </c>
      <c r="H159" s="91">
        <v>2</v>
      </c>
      <c r="I159" s="91">
        <v>63</v>
      </c>
      <c r="J159" s="91">
        <v>41</v>
      </c>
      <c r="K159" s="91" t="s">
        <v>1938</v>
      </c>
      <c r="L159" s="91" t="s">
        <v>43</v>
      </c>
      <c r="M159" s="91" t="s">
        <v>1</v>
      </c>
      <c r="N159" s="91" t="s">
        <v>2097</v>
      </c>
      <c r="O159" s="91" t="s">
        <v>2139</v>
      </c>
      <c r="Q159" s="91"/>
      <c r="S159" s="91" t="s">
        <v>138</v>
      </c>
      <c r="T159" s="91" t="s">
        <v>3536</v>
      </c>
      <c r="U159" s="91" t="s">
        <v>2166</v>
      </c>
      <c r="V159" s="91" t="s">
        <v>161</v>
      </c>
      <c r="W159" s="91" t="s">
        <v>177</v>
      </c>
    </row>
    <row r="160" spans="1:23">
      <c r="A160" s="93" t="str">
        <f>TEXT(tblProjectlist[[#This Row],[project-no]],"0")</f>
        <v>99996347</v>
      </c>
      <c r="B160" s="91" t="s">
        <v>100</v>
      </c>
      <c r="C160" s="91" t="s">
        <v>100</v>
      </c>
      <c r="D160" s="91" t="s">
        <v>86</v>
      </c>
      <c r="F160" s="91" t="s">
        <v>2004</v>
      </c>
      <c r="G160" s="91" t="s">
        <v>87</v>
      </c>
      <c r="H160" s="91">
        <v>2</v>
      </c>
      <c r="I160" s="91">
        <v>63</v>
      </c>
      <c r="J160" s="91">
        <v>41</v>
      </c>
      <c r="K160" s="91" t="s">
        <v>1939</v>
      </c>
      <c r="L160" s="91" t="s">
        <v>43</v>
      </c>
      <c r="M160" s="91" t="s">
        <v>1</v>
      </c>
      <c r="N160" s="91" t="s">
        <v>2097</v>
      </c>
      <c r="O160" s="91" t="s">
        <v>2140</v>
      </c>
      <c r="Q160" s="91"/>
      <c r="S160" s="91" t="s">
        <v>138</v>
      </c>
      <c r="T160" s="91" t="s">
        <v>3536</v>
      </c>
      <c r="U160" s="91" t="s">
        <v>2166</v>
      </c>
      <c r="V160" s="91" t="s">
        <v>166</v>
      </c>
      <c r="W160" s="91" t="s">
        <v>177</v>
      </c>
    </row>
    <row r="161" spans="1:23">
      <c r="A161" s="93" t="str">
        <f>TEXT(tblProjectlist[[#This Row],[project-no]],"0")</f>
        <v>99996441</v>
      </c>
      <c r="B161" s="91" t="s">
        <v>100</v>
      </c>
      <c r="C161" s="91" t="s">
        <v>100</v>
      </c>
      <c r="D161" s="91" t="s">
        <v>86</v>
      </c>
      <c r="F161" s="91" t="s">
        <v>2005</v>
      </c>
      <c r="G161" s="91" t="s">
        <v>87</v>
      </c>
      <c r="H161" s="91">
        <v>2</v>
      </c>
      <c r="I161" s="91">
        <v>64</v>
      </c>
      <c r="J161" s="91">
        <v>41</v>
      </c>
      <c r="K161" s="91" t="s">
        <v>1940</v>
      </c>
      <c r="L161" s="91" t="s">
        <v>43</v>
      </c>
      <c r="M161" s="91" t="s">
        <v>1</v>
      </c>
      <c r="N161" s="91" t="s">
        <v>2097</v>
      </c>
      <c r="O161" s="91" t="s">
        <v>2141</v>
      </c>
      <c r="Q161" s="91"/>
      <c r="S161" s="91" t="s">
        <v>138</v>
      </c>
      <c r="T161" s="91" t="s">
        <v>3537</v>
      </c>
      <c r="U161" s="91" t="s">
        <v>2167</v>
      </c>
      <c r="V161" s="91" t="s">
        <v>161</v>
      </c>
      <c r="W161" s="91" t="s">
        <v>177</v>
      </c>
    </row>
    <row r="162" spans="1:23">
      <c r="A162" s="93" t="str">
        <f>TEXT(tblProjectlist[[#This Row],[project-no]],"0")</f>
        <v>99996447</v>
      </c>
      <c r="B162" s="91" t="s">
        <v>100</v>
      </c>
      <c r="C162" s="91" t="s">
        <v>100</v>
      </c>
      <c r="D162" s="91" t="s">
        <v>86</v>
      </c>
      <c r="F162" s="91" t="s">
        <v>2005</v>
      </c>
      <c r="G162" s="91" t="s">
        <v>87</v>
      </c>
      <c r="H162" s="91">
        <v>2</v>
      </c>
      <c r="I162" s="91">
        <v>64</v>
      </c>
      <c r="J162" s="91">
        <v>41</v>
      </c>
      <c r="K162" s="91" t="s">
        <v>1941</v>
      </c>
      <c r="L162" s="91" t="s">
        <v>43</v>
      </c>
      <c r="M162" s="91" t="s">
        <v>1</v>
      </c>
      <c r="N162" s="91" t="s">
        <v>2097</v>
      </c>
      <c r="O162" s="91" t="s">
        <v>2142</v>
      </c>
      <c r="Q162" s="91"/>
      <c r="S162" s="91" t="s">
        <v>138</v>
      </c>
      <c r="T162" s="91" t="s">
        <v>3537</v>
      </c>
      <c r="U162" s="91" t="s">
        <v>2167</v>
      </c>
      <c r="V162" s="91" t="s">
        <v>166</v>
      </c>
      <c r="W162" s="91" t="s">
        <v>177</v>
      </c>
    </row>
    <row r="163" spans="1:23">
      <c r="A163" s="93" t="str">
        <f>TEXT(tblProjectlist[[#This Row],[project-no]],"0")</f>
        <v>99996649</v>
      </c>
      <c r="B163" s="91" t="s">
        <v>100</v>
      </c>
      <c r="C163" s="91" t="s">
        <v>100</v>
      </c>
      <c r="D163" s="91" t="s">
        <v>86</v>
      </c>
      <c r="E163" s="91" t="s">
        <v>1971</v>
      </c>
      <c r="F163" s="91" t="s">
        <v>1967</v>
      </c>
      <c r="G163" s="91" t="s">
        <v>87</v>
      </c>
      <c r="H163" s="91">
        <v>2</v>
      </c>
      <c r="I163" s="91">
        <v>66</v>
      </c>
      <c r="J163" s="91">
        <v>49</v>
      </c>
      <c r="K163" s="91" t="s">
        <v>1942</v>
      </c>
      <c r="L163" s="91" t="s">
        <v>43</v>
      </c>
      <c r="M163" s="91" t="s">
        <v>1</v>
      </c>
      <c r="N163" s="91" t="s">
        <v>4163</v>
      </c>
      <c r="O163" s="91" t="s">
        <v>2143</v>
      </c>
      <c r="Q163" s="91"/>
      <c r="S163" s="91" t="s">
        <v>138</v>
      </c>
      <c r="T163" s="91" t="s">
        <v>3538</v>
      </c>
      <c r="U163" s="91" t="s">
        <v>3539</v>
      </c>
      <c r="V163" s="91" t="s">
        <v>145</v>
      </c>
      <c r="W163" s="91" t="s">
        <v>177</v>
      </c>
    </row>
    <row r="164" spans="1:23">
      <c r="A164" s="93" t="str">
        <f>TEXT(tblProjectlist[[#This Row],[project-no]],"0")</f>
        <v>99996741</v>
      </c>
      <c r="B164" s="91" t="s">
        <v>100</v>
      </c>
      <c r="C164" s="91" t="s">
        <v>100</v>
      </c>
      <c r="D164" s="91" t="s">
        <v>86</v>
      </c>
      <c r="E164" s="91" t="s">
        <v>1971</v>
      </c>
      <c r="F164" s="91" t="s">
        <v>2003</v>
      </c>
      <c r="G164" s="91" t="s">
        <v>87</v>
      </c>
      <c r="H164" s="91">
        <v>2</v>
      </c>
      <c r="I164" s="91">
        <v>67</v>
      </c>
      <c r="J164" s="91">
        <v>49</v>
      </c>
      <c r="K164" s="91" t="s">
        <v>1943</v>
      </c>
      <c r="L164" s="91" t="s">
        <v>43</v>
      </c>
      <c r="M164" s="91" t="s">
        <v>1</v>
      </c>
      <c r="N164" s="91" t="s">
        <v>2097</v>
      </c>
      <c r="O164" s="91" t="s">
        <v>2144</v>
      </c>
      <c r="Q164" s="91"/>
      <c r="S164" s="91" t="s">
        <v>138</v>
      </c>
      <c r="T164" s="91" t="s">
        <v>3540</v>
      </c>
      <c r="U164" s="91" t="s">
        <v>2168</v>
      </c>
      <c r="V164" s="91" t="s">
        <v>161</v>
      </c>
      <c r="W164" s="91" t="s">
        <v>177</v>
      </c>
    </row>
    <row r="165" spans="1:23">
      <c r="A165" s="93" t="str">
        <f>TEXT(tblProjectlist[[#This Row],[project-no]],"0")</f>
        <v>99996749</v>
      </c>
      <c r="B165" s="91" t="s">
        <v>100</v>
      </c>
      <c r="C165" s="91" t="s">
        <v>100</v>
      </c>
      <c r="D165" s="91" t="s">
        <v>86</v>
      </c>
      <c r="E165" s="91" t="s">
        <v>1971</v>
      </c>
      <c r="F165" s="91" t="s">
        <v>2003</v>
      </c>
      <c r="G165" s="91" t="s">
        <v>87</v>
      </c>
      <c r="H165" s="91">
        <v>2</v>
      </c>
      <c r="I165" s="91">
        <v>67</v>
      </c>
      <c r="J165" s="91">
        <v>49</v>
      </c>
      <c r="K165" s="91" t="s">
        <v>1944</v>
      </c>
      <c r="L165" s="91" t="s">
        <v>43</v>
      </c>
      <c r="M165" s="91" t="s">
        <v>1</v>
      </c>
      <c r="N165" s="91" t="s">
        <v>2097</v>
      </c>
      <c r="O165" s="91" t="s">
        <v>2145</v>
      </c>
      <c r="Q165" s="91"/>
      <c r="S165" s="91" t="s">
        <v>138</v>
      </c>
      <c r="T165" s="91" t="s">
        <v>3540</v>
      </c>
      <c r="U165" s="91" t="s">
        <v>2168</v>
      </c>
      <c r="V165" s="91" t="s">
        <v>166</v>
      </c>
      <c r="W165" s="91" t="s">
        <v>177</v>
      </c>
    </row>
    <row r="166" spans="1:23">
      <c r="A166" s="93" t="str">
        <f>TEXT(tblProjectlist[[#This Row],[project-no]],"0")</f>
        <v>99996841</v>
      </c>
      <c r="B166" s="91" t="s">
        <v>100</v>
      </c>
      <c r="C166" s="91" t="s">
        <v>100</v>
      </c>
      <c r="D166" s="91" t="s">
        <v>86</v>
      </c>
      <c r="E166" s="91" t="s">
        <v>1971</v>
      </c>
      <c r="F166" s="91" t="s">
        <v>2003</v>
      </c>
      <c r="G166" s="91" t="s">
        <v>87</v>
      </c>
      <c r="H166" s="91">
        <v>2</v>
      </c>
      <c r="I166" s="91">
        <v>68</v>
      </c>
      <c r="J166" s="91">
        <v>49</v>
      </c>
      <c r="K166" s="91" t="s">
        <v>1945</v>
      </c>
      <c r="L166" s="91" t="s">
        <v>43</v>
      </c>
      <c r="M166" s="91" t="s">
        <v>1</v>
      </c>
      <c r="N166" s="91" t="s">
        <v>2097</v>
      </c>
      <c r="O166" s="91" t="s">
        <v>2146</v>
      </c>
      <c r="Q166" s="91"/>
      <c r="S166" s="91" t="s">
        <v>138</v>
      </c>
      <c r="T166" s="91" t="s">
        <v>3541</v>
      </c>
      <c r="U166" s="91" t="s">
        <v>2169</v>
      </c>
      <c r="V166" s="91" t="s">
        <v>161</v>
      </c>
      <c r="W166" s="91" t="s">
        <v>177</v>
      </c>
    </row>
    <row r="167" spans="1:23">
      <c r="A167" s="93" t="str">
        <f>TEXT(tblProjectlist[[#This Row],[project-no]],"0")</f>
        <v>99996849</v>
      </c>
      <c r="B167" s="91" t="s">
        <v>100</v>
      </c>
      <c r="C167" s="91" t="s">
        <v>100</v>
      </c>
      <c r="D167" s="91" t="s">
        <v>86</v>
      </c>
      <c r="E167" s="91" t="s">
        <v>1971</v>
      </c>
      <c r="F167" s="91" t="s">
        <v>2003</v>
      </c>
      <c r="G167" s="91" t="s">
        <v>87</v>
      </c>
      <c r="H167" s="91">
        <v>2</v>
      </c>
      <c r="I167" s="91">
        <v>68</v>
      </c>
      <c r="J167" s="91">
        <v>49</v>
      </c>
      <c r="K167" s="91" t="s">
        <v>1946</v>
      </c>
      <c r="L167" s="91" t="s">
        <v>43</v>
      </c>
      <c r="M167" s="91" t="s">
        <v>1</v>
      </c>
      <c r="N167" s="91" t="s">
        <v>2097</v>
      </c>
      <c r="O167" s="91" t="s">
        <v>2147</v>
      </c>
      <c r="Q167" s="91"/>
      <c r="S167" s="91" t="s">
        <v>138</v>
      </c>
      <c r="T167" s="91" t="s">
        <v>3541</v>
      </c>
      <c r="U167" s="91" t="s">
        <v>2169</v>
      </c>
      <c r="V167" s="91" t="s">
        <v>166</v>
      </c>
      <c r="W167" s="91" t="s">
        <v>177</v>
      </c>
    </row>
    <row r="168" spans="1:23">
      <c r="A168" s="93" t="str">
        <f>TEXT(tblProjectlist[[#This Row],[project-no]],"0")</f>
        <v>99996941</v>
      </c>
      <c r="B168" s="91" t="s">
        <v>100</v>
      </c>
      <c r="C168" s="91" t="s">
        <v>100</v>
      </c>
      <c r="D168" s="91" t="s">
        <v>86</v>
      </c>
      <c r="E168" s="91" t="s">
        <v>1971</v>
      </c>
      <c r="F168" s="91" t="s">
        <v>2005</v>
      </c>
      <c r="G168" s="91" t="s">
        <v>87</v>
      </c>
      <c r="H168" s="91">
        <v>2</v>
      </c>
      <c r="I168" s="91">
        <v>69</v>
      </c>
      <c r="J168" s="91">
        <v>49</v>
      </c>
      <c r="K168" s="91" t="s">
        <v>1947</v>
      </c>
      <c r="L168" s="91" t="s">
        <v>43</v>
      </c>
      <c r="M168" s="91" t="s">
        <v>1</v>
      </c>
      <c r="N168" s="91" t="s">
        <v>2097</v>
      </c>
      <c r="O168" s="91" t="s">
        <v>2148</v>
      </c>
      <c r="Q168" s="91"/>
      <c r="S168" s="91" t="s">
        <v>138</v>
      </c>
      <c r="T168" s="91" t="s">
        <v>3542</v>
      </c>
      <c r="U168" s="91" t="s">
        <v>3903</v>
      </c>
      <c r="V168" s="91" t="s">
        <v>161</v>
      </c>
      <c r="W168" s="91" t="s">
        <v>177</v>
      </c>
    </row>
    <row r="169" spans="1:23">
      <c r="A169" s="93" t="str">
        <f>TEXT(tblProjectlist[[#This Row],[project-no]],"0")</f>
        <v>99996949</v>
      </c>
      <c r="B169" s="91" t="s">
        <v>100</v>
      </c>
      <c r="C169" s="91" t="s">
        <v>100</v>
      </c>
      <c r="D169" s="91" t="s">
        <v>86</v>
      </c>
      <c r="E169" s="91" t="s">
        <v>1971</v>
      </c>
      <c r="F169" s="91" t="s">
        <v>2005</v>
      </c>
      <c r="G169" s="91" t="s">
        <v>87</v>
      </c>
      <c r="H169" s="91">
        <v>2</v>
      </c>
      <c r="I169" s="91">
        <v>69</v>
      </c>
      <c r="J169" s="91">
        <v>49</v>
      </c>
      <c r="K169" s="91" t="s">
        <v>1948</v>
      </c>
      <c r="L169" s="91" t="s">
        <v>43</v>
      </c>
      <c r="M169" s="91" t="s">
        <v>1</v>
      </c>
      <c r="N169" s="91" t="s">
        <v>2097</v>
      </c>
      <c r="O169" s="91" t="s">
        <v>2149</v>
      </c>
      <c r="Q169" s="91"/>
      <c r="S169" s="91" t="s">
        <v>138</v>
      </c>
      <c r="T169" s="91" t="s">
        <v>3542</v>
      </c>
      <c r="U169" s="91" t="s">
        <v>3903</v>
      </c>
      <c r="V169" s="91" t="s">
        <v>166</v>
      </c>
      <c r="W169" s="91" t="s">
        <v>177</v>
      </c>
    </row>
    <row r="170" spans="1:23">
      <c r="A170" s="93" t="str">
        <f>TEXT(tblProjectlist[[#This Row],[project-no]],"0")</f>
        <v>99997059</v>
      </c>
      <c r="B170" s="91" t="s">
        <v>100</v>
      </c>
      <c r="C170" s="91" t="s">
        <v>100</v>
      </c>
      <c r="D170" s="91" t="s">
        <v>86</v>
      </c>
      <c r="E170" s="91" t="s">
        <v>45</v>
      </c>
      <c r="F170" s="91" t="s">
        <v>1968</v>
      </c>
      <c r="G170" s="91" t="s">
        <v>87</v>
      </c>
      <c r="H170" s="91">
        <v>2</v>
      </c>
      <c r="I170" s="91">
        <v>70</v>
      </c>
      <c r="J170" s="91">
        <v>59</v>
      </c>
      <c r="K170" s="91" t="s">
        <v>1949</v>
      </c>
      <c r="L170" s="91" t="s">
        <v>43</v>
      </c>
      <c r="M170" s="91" t="s">
        <v>5</v>
      </c>
      <c r="O170" s="91" t="s">
        <v>119</v>
      </c>
      <c r="Q170" s="91"/>
      <c r="S170" s="91" t="s">
        <v>138</v>
      </c>
      <c r="T170" s="91" t="s">
        <v>3543</v>
      </c>
      <c r="U170" s="91" t="s">
        <v>3544</v>
      </c>
      <c r="V170" s="91" t="s">
        <v>145</v>
      </c>
      <c r="W170" s="91" t="s">
        <v>177</v>
      </c>
    </row>
    <row r="171" spans="1:23">
      <c r="A171" s="93" t="str">
        <f>TEXT(tblProjectlist[[#This Row],[project-no]],"0")</f>
        <v>99997159</v>
      </c>
      <c r="B171" s="91" t="s">
        <v>100</v>
      </c>
      <c r="C171" s="91" t="s">
        <v>100</v>
      </c>
      <c r="D171" s="91" t="s">
        <v>86</v>
      </c>
      <c r="E171" s="91" t="s">
        <v>45</v>
      </c>
      <c r="F171" s="91" t="s">
        <v>1968</v>
      </c>
      <c r="G171" s="91" t="s">
        <v>87</v>
      </c>
      <c r="H171" s="91">
        <v>2</v>
      </c>
      <c r="I171" s="91">
        <v>71</v>
      </c>
      <c r="J171" s="91">
        <v>59</v>
      </c>
      <c r="K171" s="91" t="s">
        <v>1950</v>
      </c>
      <c r="L171" s="91" t="s">
        <v>43</v>
      </c>
      <c r="M171" s="91" t="s">
        <v>5</v>
      </c>
      <c r="O171" s="91" t="s">
        <v>125</v>
      </c>
      <c r="Q171" s="91"/>
      <c r="S171" s="91" t="s">
        <v>138</v>
      </c>
      <c r="T171" s="91" t="s">
        <v>3545</v>
      </c>
      <c r="U171" s="91" t="s">
        <v>3546</v>
      </c>
      <c r="V171" s="91" t="s">
        <v>145</v>
      </c>
      <c r="W171" s="91" t="s">
        <v>177</v>
      </c>
    </row>
    <row r="172" spans="1:23">
      <c r="A172" s="93" t="str">
        <f>TEXT(tblProjectlist[[#This Row],[project-no]],"0")</f>
        <v>99997259</v>
      </c>
      <c r="B172" s="91" t="s">
        <v>100</v>
      </c>
      <c r="C172" s="91" t="s">
        <v>100</v>
      </c>
      <c r="D172" s="91" t="s">
        <v>86</v>
      </c>
      <c r="E172" s="91" t="s">
        <v>45</v>
      </c>
      <c r="F172" s="91" t="s">
        <v>1968</v>
      </c>
      <c r="G172" s="91" t="s">
        <v>87</v>
      </c>
      <c r="H172" s="91">
        <v>2</v>
      </c>
      <c r="I172" s="91">
        <v>72</v>
      </c>
      <c r="J172" s="91">
        <v>59</v>
      </c>
      <c r="K172" s="91" t="s">
        <v>1951</v>
      </c>
      <c r="L172" s="91" t="s">
        <v>43</v>
      </c>
      <c r="M172" s="91" t="s">
        <v>5</v>
      </c>
      <c r="O172" s="91" t="s">
        <v>126</v>
      </c>
      <c r="Q172" s="91"/>
      <c r="S172" s="91" t="s">
        <v>138</v>
      </c>
      <c r="T172" s="91" t="s">
        <v>3547</v>
      </c>
      <c r="U172" s="91" t="s">
        <v>3548</v>
      </c>
      <c r="V172" s="91" t="s">
        <v>145</v>
      </c>
      <c r="W172" s="91" t="s">
        <v>177</v>
      </c>
    </row>
    <row r="173" spans="1:23">
      <c r="A173" s="93" t="str">
        <f>TEXT(tblProjectlist[[#This Row],[project-no]],"0")</f>
        <v>99997359</v>
      </c>
      <c r="B173" s="91" t="s">
        <v>100</v>
      </c>
      <c r="C173" s="91" t="s">
        <v>100</v>
      </c>
      <c r="D173" s="91" t="s">
        <v>86</v>
      </c>
      <c r="E173" s="91" t="s">
        <v>45</v>
      </c>
      <c r="F173" s="91" t="s">
        <v>1968</v>
      </c>
      <c r="G173" s="91" t="s">
        <v>87</v>
      </c>
      <c r="H173" s="91">
        <v>2</v>
      </c>
      <c r="I173" s="91">
        <v>73</v>
      </c>
      <c r="J173" s="91">
        <v>59</v>
      </c>
      <c r="K173" s="91" t="s">
        <v>1952</v>
      </c>
      <c r="L173" s="91" t="s">
        <v>43</v>
      </c>
      <c r="M173" s="91" t="s">
        <v>5</v>
      </c>
      <c r="O173" s="91" t="s">
        <v>127</v>
      </c>
      <c r="Q173" s="91"/>
      <c r="S173" s="91" t="s">
        <v>138</v>
      </c>
      <c r="T173" s="91" t="s">
        <v>3549</v>
      </c>
      <c r="U173" s="91" t="s">
        <v>3631</v>
      </c>
      <c r="V173" s="91" t="s">
        <v>145</v>
      </c>
      <c r="W173" s="91" t="s">
        <v>177</v>
      </c>
    </row>
    <row r="174" spans="1:23">
      <c r="A174" s="93" t="str">
        <f>TEXT(tblProjectlist[[#This Row],[project-no]],"0")</f>
        <v>99997459</v>
      </c>
      <c r="B174" s="91" t="s">
        <v>100</v>
      </c>
      <c r="C174" s="91" t="s">
        <v>100</v>
      </c>
      <c r="D174" s="91" t="s">
        <v>86</v>
      </c>
      <c r="E174" s="91" t="s">
        <v>45</v>
      </c>
      <c r="F174" s="91" t="s">
        <v>1968</v>
      </c>
      <c r="G174" s="91" t="s">
        <v>87</v>
      </c>
      <c r="H174" s="91">
        <v>2</v>
      </c>
      <c r="I174" s="91">
        <v>74</v>
      </c>
      <c r="J174" s="91">
        <v>59</v>
      </c>
      <c r="K174" s="91" t="s">
        <v>1953</v>
      </c>
      <c r="L174" s="91" t="s">
        <v>43</v>
      </c>
      <c r="M174" s="91" t="s">
        <v>5</v>
      </c>
      <c r="O174" s="91" t="s">
        <v>134</v>
      </c>
      <c r="Q174" s="91"/>
      <c r="S174" s="91" t="s">
        <v>138</v>
      </c>
      <c r="T174" s="91" t="s">
        <v>3550</v>
      </c>
      <c r="U174" s="91" t="s">
        <v>3551</v>
      </c>
      <c r="V174" s="91" t="s">
        <v>145</v>
      </c>
      <c r="W174" s="91" t="s">
        <v>177</v>
      </c>
    </row>
    <row r="175" spans="1:23">
      <c r="A175" s="93" t="str">
        <f>TEXT(tblProjectlist[[#This Row],[project-no]],"0")</f>
        <v>99997559</v>
      </c>
      <c r="B175" s="91" t="s">
        <v>100</v>
      </c>
      <c r="C175" s="91" t="s">
        <v>100</v>
      </c>
      <c r="D175" s="91" t="s">
        <v>86</v>
      </c>
      <c r="E175" s="91" t="s">
        <v>45</v>
      </c>
      <c r="F175" s="91" t="s">
        <v>1968</v>
      </c>
      <c r="G175" s="91" t="s">
        <v>87</v>
      </c>
      <c r="H175" s="91">
        <v>2</v>
      </c>
      <c r="I175" s="91">
        <v>75</v>
      </c>
      <c r="J175" s="91">
        <v>59</v>
      </c>
      <c r="K175" s="91" t="s">
        <v>1954</v>
      </c>
      <c r="L175" s="91" t="s">
        <v>43</v>
      </c>
      <c r="M175" s="91" t="s">
        <v>5</v>
      </c>
      <c r="O175" s="91" t="s">
        <v>2150</v>
      </c>
      <c r="Q175" s="91"/>
      <c r="S175" s="91" t="s">
        <v>138</v>
      </c>
      <c r="T175" s="91" t="s">
        <v>3552</v>
      </c>
      <c r="U175" s="91" t="s">
        <v>3553</v>
      </c>
      <c r="V175" s="91" t="s">
        <v>145</v>
      </c>
      <c r="W175" s="91" t="s">
        <v>177</v>
      </c>
    </row>
    <row r="176" spans="1:23">
      <c r="A176" s="93" t="str">
        <f>TEXT(tblProjectlist[[#This Row],[project-no]],"0")</f>
        <v>99997629</v>
      </c>
      <c r="B176" s="91" t="s">
        <v>100</v>
      </c>
      <c r="C176" s="91" t="s">
        <v>100</v>
      </c>
      <c r="D176" s="91" t="s">
        <v>86</v>
      </c>
      <c r="E176" s="91" t="s">
        <v>1976</v>
      </c>
      <c r="G176" s="91" t="s">
        <v>87</v>
      </c>
      <c r="H176" s="91">
        <v>2</v>
      </c>
      <c r="I176" s="91">
        <v>76</v>
      </c>
      <c r="J176" s="91">
        <v>29</v>
      </c>
      <c r="K176" s="91" t="s">
        <v>1955</v>
      </c>
      <c r="L176" s="91" t="s">
        <v>43</v>
      </c>
      <c r="M176" s="91" t="s">
        <v>4</v>
      </c>
      <c r="N176" s="91" t="s">
        <v>4162</v>
      </c>
      <c r="O176" s="91" t="s">
        <v>2151</v>
      </c>
      <c r="Q176" s="91"/>
      <c r="S176" s="91" t="s">
        <v>138</v>
      </c>
      <c r="T176" s="91" t="s">
        <v>3554</v>
      </c>
      <c r="U176" s="91" t="s">
        <v>3632</v>
      </c>
      <c r="V176" s="91" t="s">
        <v>152</v>
      </c>
      <c r="W176" s="91" t="s">
        <v>177</v>
      </c>
    </row>
    <row r="177" spans="1:23">
      <c r="A177" s="93" t="str">
        <f>TEXT(tblProjectlist[[#This Row],[project-no]],"0")</f>
        <v>99997659</v>
      </c>
      <c r="B177" s="91" t="s">
        <v>100</v>
      </c>
      <c r="C177" s="91" t="s">
        <v>100</v>
      </c>
      <c r="D177" s="91" t="s">
        <v>86</v>
      </c>
      <c r="E177" s="91" t="s">
        <v>45</v>
      </c>
      <c r="F177" s="91" t="s">
        <v>1968</v>
      </c>
      <c r="G177" s="91" t="s">
        <v>87</v>
      </c>
      <c r="H177" s="91">
        <v>2</v>
      </c>
      <c r="I177" s="91">
        <v>76</v>
      </c>
      <c r="J177" s="91">
        <v>59</v>
      </c>
      <c r="K177" s="91" t="s">
        <v>1956</v>
      </c>
      <c r="L177" s="91" t="s">
        <v>43</v>
      </c>
      <c r="M177" s="91" t="s">
        <v>5</v>
      </c>
      <c r="O177" s="91" t="s">
        <v>2152</v>
      </c>
      <c r="Q177" s="91"/>
      <c r="S177" s="91" t="s">
        <v>138</v>
      </c>
      <c r="T177" s="91" t="s">
        <v>3555</v>
      </c>
      <c r="U177" s="91" t="s">
        <v>3556</v>
      </c>
      <c r="V177" s="91" t="s">
        <v>145</v>
      </c>
      <c r="W177" s="91" t="s">
        <v>177</v>
      </c>
    </row>
    <row r="178" spans="1:23">
      <c r="A178" s="93" t="str">
        <f>TEXT(tblProjectlist[[#This Row],[project-no]],"0")</f>
        <v>99997729</v>
      </c>
      <c r="B178" s="91" t="s">
        <v>100</v>
      </c>
      <c r="C178" s="91" t="s">
        <v>100</v>
      </c>
      <c r="D178" s="91" t="s">
        <v>86</v>
      </c>
      <c r="E178" s="91" t="s">
        <v>1976</v>
      </c>
      <c r="G178" s="91" t="s">
        <v>87</v>
      </c>
      <c r="H178" s="91">
        <v>2</v>
      </c>
      <c r="I178" s="91">
        <v>77</v>
      </c>
      <c r="J178" s="91">
        <v>29</v>
      </c>
      <c r="K178" s="91" t="s">
        <v>1957</v>
      </c>
      <c r="L178" s="91" t="s">
        <v>43</v>
      </c>
      <c r="M178" s="91" t="s">
        <v>4</v>
      </c>
      <c r="N178" s="91" t="s">
        <v>4162</v>
      </c>
      <c r="O178" s="91" t="s">
        <v>2153</v>
      </c>
      <c r="Q178" s="91"/>
      <c r="S178" s="91" t="s">
        <v>138</v>
      </c>
      <c r="T178" s="91" t="s">
        <v>3557</v>
      </c>
      <c r="U178" s="91" t="s">
        <v>3633</v>
      </c>
      <c r="V178" s="91" t="s">
        <v>153</v>
      </c>
      <c r="W178" s="91" t="s">
        <v>177</v>
      </c>
    </row>
    <row r="179" spans="1:23">
      <c r="A179" s="93" t="str">
        <f>TEXT(tblProjectlist[[#This Row],[project-no]],"0")</f>
        <v>99997829</v>
      </c>
      <c r="B179" s="91" t="s">
        <v>100</v>
      </c>
      <c r="C179" s="91" t="s">
        <v>100</v>
      </c>
      <c r="D179" s="91" t="s">
        <v>86</v>
      </c>
      <c r="E179" s="91" t="s">
        <v>1976</v>
      </c>
      <c r="G179" s="91" t="s">
        <v>87</v>
      </c>
      <c r="H179" s="91">
        <v>2</v>
      </c>
      <c r="I179" s="91">
        <v>78</v>
      </c>
      <c r="J179" s="91">
        <v>29</v>
      </c>
      <c r="K179" s="91" t="s">
        <v>1958</v>
      </c>
      <c r="L179" s="91" t="s">
        <v>43</v>
      </c>
      <c r="M179" s="91" t="s">
        <v>4</v>
      </c>
      <c r="N179" s="91" t="s">
        <v>4162</v>
      </c>
      <c r="O179" s="91" t="s">
        <v>2154</v>
      </c>
      <c r="Q179" s="91"/>
      <c r="S179" s="91" t="s">
        <v>138</v>
      </c>
      <c r="T179" s="91" t="s">
        <v>3558</v>
      </c>
      <c r="U179" s="91" t="s">
        <v>3634</v>
      </c>
      <c r="V179" s="91" t="s">
        <v>154</v>
      </c>
      <c r="W179" s="91" t="s">
        <v>177</v>
      </c>
    </row>
    <row r="180" spans="1:23">
      <c r="A180" s="93" t="str">
        <f>TEXT(tblProjectlist[[#This Row],[project-no]],"0")</f>
        <v>99997859</v>
      </c>
      <c r="B180" s="91" t="s">
        <v>100</v>
      </c>
      <c r="C180" s="91" t="s">
        <v>100</v>
      </c>
      <c r="D180" s="91" t="s">
        <v>86</v>
      </c>
      <c r="E180" s="91" t="s">
        <v>45</v>
      </c>
      <c r="F180" s="91" t="s">
        <v>1968</v>
      </c>
      <c r="G180" s="91" t="s">
        <v>87</v>
      </c>
      <c r="H180" s="91">
        <v>2</v>
      </c>
      <c r="I180" s="91">
        <v>78</v>
      </c>
      <c r="J180" s="91">
        <v>59</v>
      </c>
      <c r="K180" s="91">
        <v>99997859</v>
      </c>
      <c r="L180" s="91" t="s">
        <v>43</v>
      </c>
      <c r="M180" s="91" t="s">
        <v>5</v>
      </c>
      <c r="O180" s="91" t="s">
        <v>3827</v>
      </c>
      <c r="Q180" s="91"/>
      <c r="S180" s="91" t="s">
        <v>138</v>
      </c>
      <c r="T180" s="91" t="s">
        <v>3828</v>
      </c>
      <c r="U180" s="91" t="s">
        <v>3829</v>
      </c>
      <c r="V180" s="91" t="s">
        <v>145</v>
      </c>
      <c r="W180" s="91" t="s">
        <v>177</v>
      </c>
    </row>
    <row r="181" spans="1:23">
      <c r="A181" s="93" t="str">
        <f>TEXT(tblProjectlist[[#This Row],[project-no]],"0")</f>
        <v>99997959</v>
      </c>
      <c r="B181" s="91" t="s">
        <v>100</v>
      </c>
      <c r="C181" s="91" t="s">
        <v>100</v>
      </c>
      <c r="D181" s="91" t="s">
        <v>86</v>
      </c>
      <c r="E181" s="91" t="s">
        <v>45</v>
      </c>
      <c r="F181" s="91" t="s">
        <v>1968</v>
      </c>
      <c r="G181" s="91" t="s">
        <v>87</v>
      </c>
      <c r="H181" s="91">
        <v>2</v>
      </c>
      <c r="I181" s="91">
        <v>79</v>
      </c>
      <c r="J181" s="91">
        <v>59</v>
      </c>
      <c r="K181" s="91">
        <v>99997959</v>
      </c>
      <c r="L181" s="91" t="s">
        <v>43</v>
      </c>
      <c r="M181" s="91" t="s">
        <v>5</v>
      </c>
      <c r="O181" s="91" t="s">
        <v>3978</v>
      </c>
      <c r="Q181" s="91"/>
      <c r="S181" s="91" t="s">
        <v>138</v>
      </c>
      <c r="T181" s="91" t="s">
        <v>3991</v>
      </c>
      <c r="U181" s="91" t="s">
        <v>3992</v>
      </c>
      <c r="V181" s="91" t="s">
        <v>145</v>
      </c>
      <c r="W181" s="91" t="s">
        <v>177</v>
      </c>
    </row>
    <row r="182" spans="1:23">
      <c r="A182" s="93" t="str">
        <f>TEXT(tblProjectlist[[#This Row],[project-no]],"0")</f>
        <v>99998059</v>
      </c>
      <c r="B182" s="91" t="s">
        <v>100</v>
      </c>
      <c r="C182" s="91" t="s">
        <v>100</v>
      </c>
      <c r="D182" s="91" t="s">
        <v>86</v>
      </c>
      <c r="E182" s="91" t="s">
        <v>45</v>
      </c>
      <c r="F182" s="91" t="s">
        <v>1968</v>
      </c>
      <c r="G182" s="91" t="s">
        <v>87</v>
      </c>
      <c r="H182" s="91">
        <v>2</v>
      </c>
      <c r="I182" s="91">
        <v>80</v>
      </c>
      <c r="J182" s="91">
        <v>59</v>
      </c>
      <c r="K182" s="91">
        <v>99998059</v>
      </c>
      <c r="L182" s="91" t="s">
        <v>43</v>
      </c>
      <c r="M182" s="91" t="s">
        <v>5</v>
      </c>
      <c r="O182" s="91" t="s">
        <v>3979</v>
      </c>
      <c r="Q182" s="91"/>
      <c r="S182" s="91" t="s">
        <v>138</v>
      </c>
      <c r="T182" s="91" t="s">
        <v>3993</v>
      </c>
      <c r="U182" s="91" t="s">
        <v>3994</v>
      </c>
      <c r="V182" s="91" t="s">
        <v>145</v>
      </c>
      <c r="W182" s="91" t="s">
        <v>177</v>
      </c>
    </row>
    <row r="183" spans="1:23">
      <c r="A183" s="93" t="str">
        <f>TEXT(tblProjectlist[[#This Row],[project-no]],"0")</f>
        <v>99998129</v>
      </c>
      <c r="B183" s="91" t="s">
        <v>100</v>
      </c>
      <c r="C183" s="91" t="s">
        <v>100</v>
      </c>
      <c r="D183" s="91" t="s">
        <v>86</v>
      </c>
      <c r="G183" s="91" t="s">
        <v>87</v>
      </c>
      <c r="H183" s="91">
        <v>2</v>
      </c>
      <c r="I183" s="91">
        <v>81</v>
      </c>
      <c r="J183" s="91">
        <v>29</v>
      </c>
      <c r="K183" s="91">
        <v>99998129</v>
      </c>
      <c r="L183" s="91" t="s">
        <v>43</v>
      </c>
      <c r="M183" s="91" t="s">
        <v>4</v>
      </c>
      <c r="N183" s="91" t="s">
        <v>4162</v>
      </c>
      <c r="Q183" s="91"/>
      <c r="S183" s="91" t="s">
        <v>138</v>
      </c>
      <c r="T183" s="91" t="s">
        <v>3635</v>
      </c>
      <c r="U183" s="91" t="s">
        <v>3636</v>
      </c>
      <c r="V183" s="91" t="s">
        <v>146</v>
      </c>
      <c r="W183" s="91" t="s">
        <v>177</v>
      </c>
    </row>
    <row r="184" spans="1:23">
      <c r="A184" s="93" t="str">
        <f>TEXT(tblProjectlist[[#This Row],[project-no]],"0")</f>
        <v>99998159</v>
      </c>
      <c r="B184" s="91" t="s">
        <v>100</v>
      </c>
      <c r="C184" s="91" t="s">
        <v>100</v>
      </c>
      <c r="D184" s="91" t="s">
        <v>86</v>
      </c>
      <c r="E184" s="91" t="s">
        <v>45</v>
      </c>
      <c r="F184" s="91" t="s">
        <v>1968</v>
      </c>
      <c r="G184" s="91" t="s">
        <v>87</v>
      </c>
      <c r="H184" s="91">
        <v>2</v>
      </c>
      <c r="I184" s="91">
        <v>81</v>
      </c>
      <c r="J184" s="91">
        <v>59</v>
      </c>
      <c r="K184" s="91">
        <v>99998159</v>
      </c>
      <c r="L184" s="91" t="s">
        <v>43</v>
      </c>
      <c r="M184" s="91" t="s">
        <v>5</v>
      </c>
      <c r="O184" s="91" t="s">
        <v>4174</v>
      </c>
      <c r="Q184" s="91"/>
      <c r="S184" s="91" t="s">
        <v>138</v>
      </c>
      <c r="T184" s="91" t="s">
        <v>4176</v>
      </c>
      <c r="U184" s="91" t="s">
        <v>4177</v>
      </c>
      <c r="V184" s="91" t="s">
        <v>145</v>
      </c>
      <c r="W184" s="91" t="s">
        <v>177</v>
      </c>
    </row>
    <row r="185" spans="1:23">
      <c r="A185" s="93" t="str">
        <f>TEXT(tblProjectlist[[#This Row],[project-no]],"0")</f>
        <v>99998229</v>
      </c>
      <c r="B185" s="91" t="s">
        <v>100</v>
      </c>
      <c r="C185" s="91" t="s">
        <v>100</v>
      </c>
      <c r="D185" s="91" t="s">
        <v>86</v>
      </c>
      <c r="G185" s="91" t="s">
        <v>87</v>
      </c>
      <c r="H185" s="91">
        <v>2</v>
      </c>
      <c r="I185" s="91">
        <v>82</v>
      </c>
      <c r="J185" s="91">
        <v>29</v>
      </c>
      <c r="K185" s="91">
        <v>99998229</v>
      </c>
      <c r="L185" s="91" t="s">
        <v>43</v>
      </c>
      <c r="M185" s="91" t="s">
        <v>4</v>
      </c>
      <c r="N185" s="91" t="s">
        <v>4162</v>
      </c>
      <c r="Q185" s="91"/>
      <c r="S185" s="91" t="s">
        <v>138</v>
      </c>
      <c r="T185" s="91" t="s">
        <v>3637</v>
      </c>
      <c r="U185" s="91" t="s">
        <v>3638</v>
      </c>
      <c r="V185" s="91" t="s">
        <v>146</v>
      </c>
      <c r="W185" s="91" t="s">
        <v>177</v>
      </c>
    </row>
    <row r="186" spans="1:23">
      <c r="A186" s="93" t="str">
        <f>TEXT(tblProjectlist[[#This Row],[project-no]],"0")</f>
        <v>99998259</v>
      </c>
      <c r="B186" s="91" t="s">
        <v>100</v>
      </c>
      <c r="C186" s="91" t="s">
        <v>100</v>
      </c>
      <c r="D186" s="91" t="s">
        <v>86</v>
      </c>
      <c r="E186" s="91" t="s">
        <v>45</v>
      </c>
      <c r="F186" s="91" t="s">
        <v>1968</v>
      </c>
      <c r="G186" s="91" t="s">
        <v>87</v>
      </c>
      <c r="H186" s="91">
        <v>2</v>
      </c>
      <c r="I186" s="91">
        <v>82</v>
      </c>
      <c r="J186" s="91">
        <v>59</v>
      </c>
      <c r="K186" s="91">
        <v>99998259</v>
      </c>
      <c r="L186" s="91" t="s">
        <v>43</v>
      </c>
      <c r="M186" s="91" t="s">
        <v>5</v>
      </c>
      <c r="O186" s="91" t="s">
        <v>4212</v>
      </c>
      <c r="Q186" s="91"/>
      <c r="S186" s="91" t="s">
        <v>138</v>
      </c>
      <c r="T186" s="91" t="s">
        <v>4213</v>
      </c>
      <c r="U186" s="91" t="s">
        <v>4214</v>
      </c>
      <c r="V186" s="91" t="s">
        <v>145</v>
      </c>
      <c r="W186" s="91" t="s">
        <v>177</v>
      </c>
    </row>
    <row r="187" spans="1:23">
      <c r="A187" s="93" t="str">
        <f>TEXT(tblProjectlist[[#This Row],[project-no]],"0")</f>
        <v>99998319</v>
      </c>
      <c r="B187" s="91" t="s">
        <v>100</v>
      </c>
      <c r="C187" s="91" t="s">
        <v>100</v>
      </c>
      <c r="D187" s="91" t="s">
        <v>86</v>
      </c>
      <c r="E187" s="91" t="s">
        <v>1975</v>
      </c>
      <c r="G187" s="91" t="s">
        <v>87</v>
      </c>
      <c r="H187" s="91">
        <v>2</v>
      </c>
      <c r="I187" s="91">
        <v>61</v>
      </c>
      <c r="J187" s="91">
        <v>11</v>
      </c>
      <c r="K187" s="91" t="s">
        <v>1959</v>
      </c>
      <c r="L187" s="91" t="s">
        <v>43</v>
      </c>
      <c r="M187" s="91" t="s">
        <v>0</v>
      </c>
      <c r="N187" s="91" t="s">
        <v>3757</v>
      </c>
      <c r="O187" s="91" t="s">
        <v>2155</v>
      </c>
      <c r="Q187" s="91"/>
      <c r="S187" s="91" t="s">
        <v>138</v>
      </c>
      <c r="T187" s="91" t="s">
        <v>3559</v>
      </c>
      <c r="U187" s="91" t="s">
        <v>4536</v>
      </c>
      <c r="V187" s="91" t="s">
        <v>4476</v>
      </c>
      <c r="W187" s="91" t="s">
        <v>177</v>
      </c>
    </row>
    <row r="188" spans="1:23">
      <c r="A188" s="93" t="str">
        <f>TEXT(tblProjectlist[[#This Row],[project-no]],"0")</f>
        <v>99998329</v>
      </c>
      <c r="B188" s="91" t="s">
        <v>100</v>
      </c>
      <c r="C188" s="91" t="s">
        <v>100</v>
      </c>
      <c r="D188" s="91" t="s">
        <v>86</v>
      </c>
      <c r="G188" s="91" t="s">
        <v>87</v>
      </c>
      <c r="H188" s="91">
        <v>2</v>
      </c>
      <c r="I188" s="91">
        <v>83</v>
      </c>
      <c r="J188" s="91">
        <v>29</v>
      </c>
      <c r="K188" s="91" t="s">
        <v>1960</v>
      </c>
      <c r="L188" s="91" t="s">
        <v>43</v>
      </c>
      <c r="M188" s="91" t="s">
        <v>4</v>
      </c>
      <c r="N188" s="91" t="s">
        <v>4162</v>
      </c>
      <c r="O188" s="91" t="s">
        <v>2156</v>
      </c>
      <c r="Q188" s="91"/>
      <c r="S188" s="91" t="s">
        <v>138</v>
      </c>
      <c r="T188" s="91" t="s">
        <v>3560</v>
      </c>
      <c r="U188" s="91" t="s">
        <v>3561</v>
      </c>
      <c r="V188" s="91" t="s">
        <v>145</v>
      </c>
      <c r="W188" s="91" t="s">
        <v>177</v>
      </c>
    </row>
    <row r="189" spans="1:23">
      <c r="A189" s="93" t="str">
        <f>TEXT(tblProjectlist[[#This Row],[project-no]],"0")</f>
        <v>99998519</v>
      </c>
      <c r="B189" s="91" t="s">
        <v>100</v>
      </c>
      <c r="C189" s="91" t="s">
        <v>100</v>
      </c>
      <c r="D189" s="91" t="s">
        <v>86</v>
      </c>
      <c r="E189" s="91" t="s">
        <v>1975</v>
      </c>
      <c r="G189" s="91" t="s">
        <v>87</v>
      </c>
      <c r="H189" s="91">
        <v>2</v>
      </c>
      <c r="I189" s="91">
        <v>71</v>
      </c>
      <c r="J189" s="91">
        <v>11</v>
      </c>
      <c r="K189" s="91" t="s">
        <v>1961</v>
      </c>
      <c r="L189" s="91" t="s">
        <v>43</v>
      </c>
      <c r="M189" s="91" t="s">
        <v>0</v>
      </c>
      <c r="N189" s="91" t="s">
        <v>3758</v>
      </c>
      <c r="O189" s="91" t="s">
        <v>2157</v>
      </c>
      <c r="Q189" s="91"/>
      <c r="S189" s="91" t="s">
        <v>138</v>
      </c>
      <c r="T189" s="91" t="s">
        <v>3562</v>
      </c>
      <c r="U189" s="91" t="s">
        <v>4537</v>
      </c>
      <c r="V189" s="91" t="s">
        <v>4476</v>
      </c>
      <c r="W189" s="91" t="s">
        <v>177</v>
      </c>
    </row>
    <row r="190" spans="1:23">
      <c r="A190" s="93" t="str">
        <f>TEXT(tblProjectlist[[#This Row],[project-no]],"0")</f>
        <v>99998556</v>
      </c>
      <c r="B190" s="91" t="s">
        <v>100</v>
      </c>
      <c r="C190" s="91" t="s">
        <v>100</v>
      </c>
      <c r="D190" s="91" t="s">
        <v>86</v>
      </c>
      <c r="E190" s="91" t="s">
        <v>45</v>
      </c>
      <c r="G190" s="91" t="s">
        <v>87</v>
      </c>
      <c r="H190" s="91">
        <v>2</v>
      </c>
      <c r="I190" s="91">
        <v>85</v>
      </c>
      <c r="J190" s="91">
        <v>56</v>
      </c>
      <c r="K190" s="91" t="s">
        <v>1962</v>
      </c>
      <c r="L190" s="91" t="s">
        <v>43</v>
      </c>
      <c r="M190" s="91" t="s">
        <v>5</v>
      </c>
      <c r="O190" s="91" t="s">
        <v>115</v>
      </c>
      <c r="Q190" s="91"/>
      <c r="S190" s="91" t="s">
        <v>138</v>
      </c>
      <c r="T190" s="91" t="s">
        <v>3563</v>
      </c>
      <c r="U190" s="91" t="s">
        <v>3564</v>
      </c>
      <c r="V190" s="91" t="s">
        <v>145</v>
      </c>
      <c r="W190" s="91" t="s">
        <v>177</v>
      </c>
    </row>
    <row r="191" spans="1:23">
      <c r="A191" s="93" t="str">
        <f>TEXT(tblProjectlist[[#This Row],[project-no]],"0")</f>
        <v>99998656</v>
      </c>
      <c r="B191" s="91" t="s">
        <v>100</v>
      </c>
      <c r="C191" s="91" t="s">
        <v>100</v>
      </c>
      <c r="D191" s="91" t="s">
        <v>86</v>
      </c>
      <c r="E191" s="91" t="s">
        <v>45</v>
      </c>
      <c r="G191" s="91" t="s">
        <v>87</v>
      </c>
      <c r="H191" s="91">
        <v>2</v>
      </c>
      <c r="I191" s="91">
        <v>86</v>
      </c>
      <c r="J191" s="91">
        <v>56</v>
      </c>
      <c r="K191" s="91" t="s">
        <v>1963</v>
      </c>
      <c r="L191" s="91" t="s">
        <v>43</v>
      </c>
      <c r="M191" s="91" t="s">
        <v>5</v>
      </c>
      <c r="O191" s="91" t="s">
        <v>131</v>
      </c>
      <c r="Q191" s="91"/>
      <c r="S191" s="91" t="s">
        <v>138</v>
      </c>
      <c r="T191" s="91" t="s">
        <v>3565</v>
      </c>
      <c r="U191" s="91" t="s">
        <v>3566</v>
      </c>
      <c r="V191" s="91" t="s">
        <v>145</v>
      </c>
      <c r="W191" s="91" t="s">
        <v>177</v>
      </c>
    </row>
    <row r="192" spans="1:23">
      <c r="A192" s="93" t="str">
        <f>TEXT(tblProjectlist[[#This Row],[project-no]],"0")</f>
        <v>0</v>
      </c>
      <c r="B192" s="91" t="s">
        <v>100</v>
      </c>
      <c r="C192" s="91" t="s">
        <v>100</v>
      </c>
      <c r="D192" s="91" t="s">
        <v>86</v>
      </c>
      <c r="E192" s="91" t="s">
        <v>1971</v>
      </c>
      <c r="F192" s="91" t="s">
        <v>2003</v>
      </c>
      <c r="G192" s="91" t="s">
        <v>87</v>
      </c>
      <c r="H192" s="91">
        <v>2</v>
      </c>
      <c r="I192" s="91">
        <v>60</v>
      </c>
      <c r="J192" s="91">
        <v>47</v>
      </c>
      <c r="K192" s="91"/>
      <c r="L192" s="91" t="s">
        <v>43</v>
      </c>
      <c r="M192" s="91" t="s">
        <v>1</v>
      </c>
      <c r="N192" s="91" t="s">
        <v>2097</v>
      </c>
      <c r="Q192" s="91"/>
      <c r="S192" s="91" t="s">
        <v>138</v>
      </c>
      <c r="T192" s="91" t="s">
        <v>4613</v>
      </c>
      <c r="U192" s="91" t="s">
        <v>4614</v>
      </c>
      <c r="V192" s="91" t="s">
        <v>166</v>
      </c>
      <c r="W192" s="91" t="s">
        <v>177</v>
      </c>
    </row>
    <row r="193" spans="1:23">
      <c r="A193" s="93" t="str">
        <f>TEXT(tblProjectlist[[#This Row],[project-no]],"0")</f>
        <v>0</v>
      </c>
      <c r="B193" s="91" t="s">
        <v>100</v>
      </c>
      <c r="C193" s="91" t="s">
        <v>100</v>
      </c>
      <c r="D193" s="91" t="s">
        <v>86</v>
      </c>
      <c r="E193" s="91" t="s">
        <v>45</v>
      </c>
      <c r="F193" s="91" t="s">
        <v>1968</v>
      </c>
      <c r="G193" s="91" t="s">
        <v>87</v>
      </c>
      <c r="H193" s="91">
        <v>2</v>
      </c>
      <c r="I193" s="91">
        <v>83</v>
      </c>
      <c r="J193" s="91">
        <v>59</v>
      </c>
      <c r="K193" s="91"/>
      <c r="L193" s="91" t="s">
        <v>43</v>
      </c>
      <c r="M193" s="91" t="s">
        <v>5</v>
      </c>
      <c r="Q193" s="91"/>
      <c r="S193" s="91" t="s">
        <v>138</v>
      </c>
      <c r="T193" s="91" t="s">
        <v>4423</v>
      </c>
      <c r="U193" s="91" t="s">
        <v>4424</v>
      </c>
      <c r="V193" s="91" t="s">
        <v>145</v>
      </c>
      <c r="W193" s="91" t="s">
        <v>177</v>
      </c>
    </row>
    <row r="194" spans="1:23">
      <c r="A194" s="93" t="str">
        <f>TEXT(tblProjectlist[[#This Row],[project-no]],"0")</f>
        <v>0</v>
      </c>
      <c r="B194" s="91" t="s">
        <v>100</v>
      </c>
      <c r="C194" s="91" t="s">
        <v>100</v>
      </c>
      <c r="D194" s="91" t="s">
        <v>86</v>
      </c>
      <c r="E194" s="91" t="s">
        <v>45</v>
      </c>
      <c r="F194" s="91" t="s">
        <v>1968</v>
      </c>
      <c r="G194" s="91" t="s">
        <v>87</v>
      </c>
      <c r="H194" s="91">
        <v>2</v>
      </c>
      <c r="I194" s="91">
        <v>84</v>
      </c>
      <c r="J194" s="91">
        <v>59</v>
      </c>
      <c r="K194" s="91"/>
      <c r="L194" s="91" t="s">
        <v>43</v>
      </c>
      <c r="M194" s="91" t="s">
        <v>5</v>
      </c>
      <c r="Q194" s="91"/>
      <c r="S194" s="91" t="s">
        <v>138</v>
      </c>
      <c r="T194" s="91" t="s">
        <v>4425</v>
      </c>
      <c r="U194" s="91" t="s">
        <v>4426</v>
      </c>
      <c r="V194" s="91" t="s">
        <v>145</v>
      </c>
      <c r="W194" s="91" t="s">
        <v>177</v>
      </c>
    </row>
    <row r="195" spans="1:23">
      <c r="A195" s="93" t="str">
        <f>TEXT(tblProjectlist[[#This Row],[project-no]],"0")</f>
        <v>0</v>
      </c>
      <c r="B195" s="91" t="s">
        <v>100</v>
      </c>
      <c r="C195" s="91" t="s">
        <v>100</v>
      </c>
      <c r="D195" s="91" t="s">
        <v>86</v>
      </c>
      <c r="E195" s="91" t="s">
        <v>1971</v>
      </c>
      <c r="F195" s="91" t="s">
        <v>2003</v>
      </c>
      <c r="G195" s="91" t="s">
        <v>87</v>
      </c>
      <c r="H195" s="91">
        <v>2</v>
      </c>
      <c r="I195" s="91">
        <v>60</v>
      </c>
      <c r="J195" s="91">
        <v>47</v>
      </c>
      <c r="K195" s="91"/>
      <c r="L195" s="91" t="s">
        <v>43</v>
      </c>
      <c r="M195" s="91" t="s">
        <v>1</v>
      </c>
      <c r="N195" s="91" t="s">
        <v>2097</v>
      </c>
      <c r="Q195" s="91"/>
      <c r="S195" s="91" t="s">
        <v>138</v>
      </c>
      <c r="T195" s="91" t="s">
        <v>4613</v>
      </c>
      <c r="U195" s="91" t="s">
        <v>4614</v>
      </c>
      <c r="V195" s="91" t="s">
        <v>161</v>
      </c>
      <c r="W195" s="91" t="s">
        <v>177</v>
      </c>
    </row>
    <row r="196" spans="1:23">
      <c r="A196" s="93" t="str">
        <f>TEXT(tblProjectlist[[#This Row],[project-no]],"0")</f>
        <v>0</v>
      </c>
      <c r="H196" s="91">
        <v>9963</v>
      </c>
      <c r="I196" s="91">
        <v>2</v>
      </c>
      <c r="J196" s="91">
        <v>2</v>
      </c>
      <c r="K196" s="91"/>
      <c r="L196" s="91" t="s">
        <v>2175</v>
      </c>
      <c r="M196" s="91" t="s">
        <v>4</v>
      </c>
      <c r="Q196" s="91"/>
      <c r="S196" s="91" t="s">
        <v>143</v>
      </c>
      <c r="T196" s="91" t="s">
        <v>4245</v>
      </c>
      <c r="V196" s="91" t="s">
        <v>155</v>
      </c>
      <c r="W196" s="91" t="s">
        <v>180</v>
      </c>
    </row>
    <row r="197" spans="1:23">
      <c r="A197" s="93" t="str">
        <f>TEXT(tblProjectlist[[#This Row],[project-no]],"0")</f>
        <v>99630213</v>
      </c>
      <c r="H197" s="91">
        <v>9963</v>
      </c>
      <c r="I197" s="91">
        <v>2</v>
      </c>
      <c r="J197" s="91">
        <v>1</v>
      </c>
      <c r="K197" s="91" t="s">
        <v>1298</v>
      </c>
      <c r="L197" s="91" t="s">
        <v>2175</v>
      </c>
      <c r="M197" s="91" t="s">
        <v>0</v>
      </c>
      <c r="Q197" s="91"/>
      <c r="S197" s="91" t="s">
        <v>143</v>
      </c>
      <c r="T197" s="91" t="s">
        <v>3146</v>
      </c>
      <c r="V197" s="91" t="s">
        <v>167</v>
      </c>
      <c r="W197" s="91" t="s">
        <v>180</v>
      </c>
    </row>
    <row r="198" spans="1:23">
      <c r="A198" s="93" t="str">
        <f>TEXT(tblProjectlist[[#This Row],[project-no]],"0")</f>
        <v>99630411</v>
      </c>
      <c r="H198" s="91">
        <v>9963</v>
      </c>
      <c r="I198" s="91">
        <v>4</v>
      </c>
      <c r="J198" s="91">
        <v>1</v>
      </c>
      <c r="K198" s="91" t="s">
        <v>1300</v>
      </c>
      <c r="L198" s="91" t="s">
        <v>2175</v>
      </c>
      <c r="M198" s="91" t="s">
        <v>0</v>
      </c>
      <c r="Q198" s="91"/>
      <c r="S198" s="91" t="s">
        <v>143</v>
      </c>
      <c r="T198" s="91" t="s">
        <v>3147</v>
      </c>
      <c r="V198" s="91" t="s">
        <v>169</v>
      </c>
      <c r="W198" s="91" t="s">
        <v>180</v>
      </c>
    </row>
    <row r="199" spans="1:23">
      <c r="A199" s="93" t="str">
        <f>TEXT(tblProjectlist[[#This Row],[project-no]],"0")</f>
        <v>99630416</v>
      </c>
      <c r="H199" s="91">
        <v>9963</v>
      </c>
      <c r="I199" s="91">
        <v>4</v>
      </c>
      <c r="J199" s="91">
        <v>1</v>
      </c>
      <c r="K199" s="91" t="s">
        <v>1301</v>
      </c>
      <c r="L199" s="91" t="s">
        <v>2175</v>
      </c>
      <c r="M199" s="91" t="s">
        <v>0</v>
      </c>
      <c r="Q199" s="91"/>
      <c r="S199" s="91" t="s">
        <v>143</v>
      </c>
      <c r="T199" s="91" t="s">
        <v>3147</v>
      </c>
      <c r="V199" s="91" t="s">
        <v>168</v>
      </c>
      <c r="W199" s="91" t="s">
        <v>180</v>
      </c>
    </row>
    <row r="200" spans="1:23">
      <c r="A200" s="93" t="str">
        <f>TEXT(tblProjectlist[[#This Row],[project-no]],"0")</f>
        <v>99630613</v>
      </c>
      <c r="H200" s="91">
        <v>9963</v>
      </c>
      <c r="I200" s="91">
        <v>6</v>
      </c>
      <c r="J200" s="91">
        <v>1</v>
      </c>
      <c r="K200" s="91" t="s">
        <v>1304</v>
      </c>
      <c r="L200" s="91" t="s">
        <v>2175</v>
      </c>
      <c r="M200" s="91" t="s">
        <v>0</v>
      </c>
      <c r="Q200" s="91"/>
      <c r="S200" s="91" t="s">
        <v>143</v>
      </c>
      <c r="T200" s="91" t="s">
        <v>3148</v>
      </c>
      <c r="V200" s="91" t="s">
        <v>167</v>
      </c>
      <c r="W200" s="91" t="s">
        <v>180</v>
      </c>
    </row>
    <row r="201" spans="1:23">
      <c r="A201" s="93" t="str">
        <f>TEXT(tblProjectlist[[#This Row],[project-no]],"0")</f>
        <v>99968113</v>
      </c>
      <c r="H201" s="91">
        <v>9963</v>
      </c>
      <c r="I201" s="91">
        <v>6</v>
      </c>
      <c r="J201" s="91">
        <v>1</v>
      </c>
      <c r="K201" s="91" t="s">
        <v>1798</v>
      </c>
      <c r="L201" s="91" t="s">
        <v>2175</v>
      </c>
      <c r="M201" s="91" t="s">
        <v>0</v>
      </c>
      <c r="Q201" s="91"/>
      <c r="S201" s="91" t="s">
        <v>143</v>
      </c>
      <c r="T201" s="91" t="s">
        <v>3148</v>
      </c>
      <c r="V201" s="91" t="s">
        <v>167</v>
      </c>
      <c r="W201" s="91" t="s">
        <v>180</v>
      </c>
    </row>
    <row r="202" spans="1:23">
      <c r="A202" s="93" t="str">
        <f>TEXT(tblProjectlist[[#This Row],[project-no]],"0")</f>
        <v>99630713</v>
      </c>
      <c r="H202" s="91">
        <v>9963</v>
      </c>
      <c r="I202" s="91">
        <v>7</v>
      </c>
      <c r="J202" s="91">
        <v>1</v>
      </c>
      <c r="K202" s="91" t="s">
        <v>1305</v>
      </c>
      <c r="L202" s="91" t="s">
        <v>2175</v>
      </c>
      <c r="M202" s="91" t="s">
        <v>0</v>
      </c>
      <c r="Q202" s="91"/>
      <c r="S202" s="91" t="s">
        <v>143</v>
      </c>
      <c r="T202" s="91" t="s">
        <v>3149</v>
      </c>
      <c r="V202" s="91" t="s">
        <v>167</v>
      </c>
      <c r="W202" s="91" t="s">
        <v>180</v>
      </c>
    </row>
    <row r="203" spans="1:23">
      <c r="A203" s="93" t="str">
        <f>TEXT(tblProjectlist[[#This Row],[project-no]],"0")</f>
        <v>99630813</v>
      </c>
      <c r="H203" s="91">
        <v>9963</v>
      </c>
      <c r="I203" s="91">
        <v>8</v>
      </c>
      <c r="J203" s="91">
        <v>1</v>
      </c>
      <c r="K203" s="91" t="s">
        <v>1306</v>
      </c>
      <c r="L203" s="91" t="s">
        <v>2175</v>
      </c>
      <c r="M203" s="91" t="s">
        <v>0</v>
      </c>
      <c r="Q203" s="91"/>
      <c r="S203" s="91" t="s">
        <v>143</v>
      </c>
      <c r="T203" s="91" t="s">
        <v>3150</v>
      </c>
      <c r="V203" s="91" t="s">
        <v>167</v>
      </c>
      <c r="W203" s="91" t="s">
        <v>180</v>
      </c>
    </row>
    <row r="204" spans="1:23">
      <c r="A204" s="93" t="str">
        <f>TEXT(tblProjectlist[[#This Row],[project-no]],"0")</f>
        <v>99630911</v>
      </c>
      <c r="H204" s="91">
        <v>9963</v>
      </c>
      <c r="I204" s="91">
        <v>9</v>
      </c>
      <c r="J204" s="91">
        <v>1</v>
      </c>
      <c r="K204" s="91" t="s">
        <v>1307</v>
      </c>
      <c r="L204" s="91" t="s">
        <v>2175</v>
      </c>
      <c r="M204" s="91" t="s">
        <v>0</v>
      </c>
      <c r="Q204" s="91"/>
      <c r="S204" s="91" t="s">
        <v>143</v>
      </c>
      <c r="T204" s="91" t="s">
        <v>3151</v>
      </c>
      <c r="V204" s="91" t="s">
        <v>169</v>
      </c>
      <c r="W204" s="91" t="s">
        <v>180</v>
      </c>
    </row>
    <row r="205" spans="1:23">
      <c r="A205" s="93" t="str">
        <f>TEXT(tblProjectlist[[#This Row],[project-no]],"0")</f>
        <v>0</v>
      </c>
      <c r="H205" s="91">
        <v>9963</v>
      </c>
      <c r="I205" s="91">
        <v>10</v>
      </c>
      <c r="J205" s="91">
        <v>4</v>
      </c>
      <c r="K205" s="91"/>
      <c r="L205" s="91" t="s">
        <v>64</v>
      </c>
      <c r="M205" s="91" t="s">
        <v>1</v>
      </c>
      <c r="Q205" s="91"/>
      <c r="S205" s="91" t="s">
        <v>143</v>
      </c>
      <c r="T205" s="91" t="s">
        <v>4660</v>
      </c>
      <c r="V205" s="91" t="s">
        <v>160</v>
      </c>
      <c r="W205" s="91" t="s">
        <v>180</v>
      </c>
    </row>
    <row r="206" spans="1:23">
      <c r="A206" s="93" t="str">
        <f>TEXT(tblProjectlist[[#This Row],[project-no]],"0")</f>
        <v>99631111</v>
      </c>
      <c r="H206" s="91">
        <v>9963</v>
      </c>
      <c r="I206" s="91">
        <v>11</v>
      </c>
      <c r="J206" s="91">
        <v>1</v>
      </c>
      <c r="K206" s="91" t="s">
        <v>1309</v>
      </c>
      <c r="L206" s="91" t="s">
        <v>2175</v>
      </c>
      <c r="M206" s="91" t="s">
        <v>0</v>
      </c>
      <c r="Q206" s="91"/>
      <c r="S206" s="91" t="s">
        <v>143</v>
      </c>
      <c r="T206" s="91" t="s">
        <v>3153</v>
      </c>
      <c r="V206" s="91" t="s">
        <v>169</v>
      </c>
      <c r="W206" s="91" t="s">
        <v>180</v>
      </c>
    </row>
    <row r="207" spans="1:23">
      <c r="A207" s="93" t="str">
        <f>TEXT(tblProjectlist[[#This Row],[project-no]],"0")</f>
        <v>99631113</v>
      </c>
      <c r="H207" s="91">
        <v>9963</v>
      </c>
      <c r="I207" s="91">
        <v>11</v>
      </c>
      <c r="J207" s="91">
        <v>1</v>
      </c>
      <c r="K207" s="91" t="s">
        <v>1310</v>
      </c>
      <c r="L207" s="91" t="s">
        <v>2175</v>
      </c>
      <c r="M207" s="91" t="s">
        <v>0</v>
      </c>
      <c r="Q207" s="91"/>
      <c r="S207" s="91" t="s">
        <v>143</v>
      </c>
      <c r="T207" s="91" t="s">
        <v>3153</v>
      </c>
      <c r="V207" s="91" t="s">
        <v>167</v>
      </c>
      <c r="W207" s="91" t="s">
        <v>180</v>
      </c>
    </row>
    <row r="208" spans="1:23">
      <c r="A208" s="93" t="str">
        <f>TEXT(tblProjectlist[[#This Row],[project-no]],"0")</f>
        <v>99631213</v>
      </c>
      <c r="H208" s="91">
        <v>9963</v>
      </c>
      <c r="I208" s="91">
        <v>12</v>
      </c>
      <c r="J208" s="91">
        <v>1</v>
      </c>
      <c r="K208" s="91" t="s">
        <v>1311</v>
      </c>
      <c r="L208" s="91" t="s">
        <v>2175</v>
      </c>
      <c r="M208" s="91" t="s">
        <v>0</v>
      </c>
      <c r="Q208" s="91"/>
      <c r="S208" s="91" t="s">
        <v>143</v>
      </c>
      <c r="T208" s="91" t="s">
        <v>3154</v>
      </c>
      <c r="V208" s="91" t="s">
        <v>167</v>
      </c>
      <c r="W208" s="91" t="s">
        <v>180</v>
      </c>
    </row>
    <row r="209" spans="1:23">
      <c r="A209" s="93" t="str">
        <f>TEXT(tblProjectlist[[#This Row],[project-no]],"0")</f>
        <v>0</v>
      </c>
      <c r="H209" s="91">
        <v>9981</v>
      </c>
      <c r="I209" s="91">
        <v>2</v>
      </c>
      <c r="J209" s="91">
        <v>2</v>
      </c>
      <c r="K209" s="91"/>
      <c r="L209" s="91" t="s">
        <v>58</v>
      </c>
      <c r="M209" s="91" t="s">
        <v>4</v>
      </c>
      <c r="Q209" s="91"/>
      <c r="S209" s="91" t="s">
        <v>143</v>
      </c>
      <c r="T209" s="91" t="s">
        <v>4661</v>
      </c>
      <c r="V209" s="91" t="s">
        <v>155</v>
      </c>
      <c r="W209" s="91" t="s">
        <v>180</v>
      </c>
    </row>
    <row r="210" spans="1:23">
      <c r="A210" s="93" t="str">
        <f>TEXT(tblProjectlist[[#This Row],[project-no]],"0")</f>
        <v>99850811</v>
      </c>
      <c r="H210" s="91">
        <v>9985</v>
      </c>
      <c r="I210" s="91">
        <v>8</v>
      </c>
      <c r="J210" s="91">
        <v>1</v>
      </c>
      <c r="K210" s="91" t="s">
        <v>1362</v>
      </c>
      <c r="L210" s="91" t="s">
        <v>2175</v>
      </c>
      <c r="M210" s="91" t="s">
        <v>0</v>
      </c>
      <c r="Q210" s="91"/>
      <c r="S210" s="91" t="s">
        <v>143</v>
      </c>
      <c r="T210" s="91" t="s">
        <v>3192</v>
      </c>
      <c r="V210" s="91" t="s">
        <v>169</v>
      </c>
      <c r="W210" s="91" t="s">
        <v>180</v>
      </c>
    </row>
    <row r="211" spans="1:23">
      <c r="A211" s="93" t="str">
        <f>TEXT(tblProjectlist[[#This Row],[project-no]],"0")</f>
        <v>99896311</v>
      </c>
      <c r="H211" s="91">
        <v>9989</v>
      </c>
      <c r="I211" s="91">
        <v>63</v>
      </c>
      <c r="J211" s="91">
        <v>1</v>
      </c>
      <c r="K211" s="91" t="s">
        <v>1477</v>
      </c>
      <c r="L211" s="91" t="s">
        <v>2175</v>
      </c>
      <c r="M211" s="91" t="s">
        <v>0</v>
      </c>
      <c r="Q211" s="91"/>
      <c r="S211" s="91" t="s">
        <v>143</v>
      </c>
      <c r="T211" s="91" t="s">
        <v>3233</v>
      </c>
      <c r="V211" s="91" t="s">
        <v>169</v>
      </c>
      <c r="W211" s="91" t="s">
        <v>180</v>
      </c>
    </row>
    <row r="212" spans="1:23">
      <c r="A212" s="93" t="str">
        <f>TEXT(tblProjectlist[[#This Row],[project-no]],"0")</f>
        <v>99896316</v>
      </c>
      <c r="H212" s="91">
        <v>9989</v>
      </c>
      <c r="I212" s="91">
        <v>63</v>
      </c>
      <c r="J212" s="91">
        <v>1</v>
      </c>
      <c r="K212" s="91" t="s">
        <v>1478</v>
      </c>
      <c r="L212" s="91" t="s">
        <v>2175</v>
      </c>
      <c r="M212" s="91" t="s">
        <v>0</v>
      </c>
      <c r="Q212" s="91"/>
      <c r="S212" s="91" t="s">
        <v>143</v>
      </c>
      <c r="T212" s="91" t="s">
        <v>3233</v>
      </c>
      <c r="V212" s="91" t="s">
        <v>168</v>
      </c>
      <c r="W212" s="91" t="s">
        <v>180</v>
      </c>
    </row>
    <row r="213" spans="1:23">
      <c r="A213" s="93" t="str">
        <f>TEXT(tblProjectlist[[#This Row],[project-no]],"0")</f>
        <v>99896611</v>
      </c>
      <c r="H213" s="91">
        <v>9989</v>
      </c>
      <c r="I213" s="91">
        <v>66</v>
      </c>
      <c r="J213" s="91">
        <v>1</v>
      </c>
      <c r="K213" s="91" t="s">
        <v>1479</v>
      </c>
      <c r="L213" s="91" t="s">
        <v>2175</v>
      </c>
      <c r="M213" s="91" t="s">
        <v>0</v>
      </c>
      <c r="Q213" s="91"/>
      <c r="S213" s="91" t="s">
        <v>143</v>
      </c>
      <c r="T213" s="91" t="s">
        <v>3234</v>
      </c>
      <c r="V213" s="91" t="s">
        <v>169</v>
      </c>
      <c r="W213" s="91" t="s">
        <v>180</v>
      </c>
    </row>
    <row r="214" spans="1:23">
      <c r="A214" s="93" t="str">
        <f>TEXT(tblProjectlist[[#This Row],[project-no]],"0")</f>
        <v>99896613</v>
      </c>
      <c r="H214" s="91">
        <v>9989</v>
      </c>
      <c r="I214" s="91">
        <v>66</v>
      </c>
      <c r="J214" s="91">
        <v>1</v>
      </c>
      <c r="K214" s="91" t="s">
        <v>1480</v>
      </c>
      <c r="L214" s="91" t="s">
        <v>2175</v>
      </c>
      <c r="M214" s="91" t="s">
        <v>0</v>
      </c>
      <c r="Q214" s="91"/>
      <c r="S214" s="91" t="s">
        <v>143</v>
      </c>
      <c r="T214" s="91" t="s">
        <v>3234</v>
      </c>
      <c r="V214" s="91" t="s">
        <v>167</v>
      </c>
      <c r="W214" s="91" t="s">
        <v>180</v>
      </c>
    </row>
    <row r="215" spans="1:23">
      <c r="A215" s="93" t="str">
        <f>TEXT(tblProjectlist[[#This Row],[project-no]],"0")</f>
        <v>99897211</v>
      </c>
      <c r="H215" s="91">
        <v>9989</v>
      </c>
      <c r="I215" s="91">
        <v>72</v>
      </c>
      <c r="J215" s="91">
        <v>1</v>
      </c>
      <c r="K215" s="91" t="s">
        <v>1485</v>
      </c>
      <c r="L215" s="91" t="s">
        <v>2175</v>
      </c>
      <c r="M215" s="91" t="s">
        <v>0</v>
      </c>
      <c r="Q215" s="91"/>
      <c r="S215" s="91" t="s">
        <v>143</v>
      </c>
      <c r="T215" s="91" t="s">
        <v>3237</v>
      </c>
      <c r="V215" s="91" t="s">
        <v>169</v>
      </c>
      <c r="W215" s="91" t="s">
        <v>180</v>
      </c>
    </row>
    <row r="216" spans="1:23">
      <c r="A216" s="93" t="str">
        <f>TEXT(tblProjectlist[[#This Row],[project-no]],"0")</f>
        <v>99899411</v>
      </c>
      <c r="H216" s="91">
        <v>9989</v>
      </c>
      <c r="I216" s="91">
        <v>94</v>
      </c>
      <c r="J216" s="91">
        <v>1</v>
      </c>
      <c r="K216" s="91" t="s">
        <v>1488</v>
      </c>
      <c r="L216" s="91" t="s">
        <v>2175</v>
      </c>
      <c r="M216" s="91" t="s">
        <v>0</v>
      </c>
      <c r="Q216" s="91"/>
      <c r="S216" s="91" t="s">
        <v>143</v>
      </c>
      <c r="T216" s="91" t="s">
        <v>3240</v>
      </c>
      <c r="V216" s="91" t="s">
        <v>169</v>
      </c>
      <c r="W216" s="91" t="s">
        <v>180</v>
      </c>
    </row>
    <row r="217" spans="1:23">
      <c r="A217" s="93" t="str">
        <f>TEXT(tblProjectlist[[#This Row],[project-no]],"0")</f>
        <v>99899413</v>
      </c>
      <c r="H217" s="91">
        <v>9989</v>
      </c>
      <c r="I217" s="91">
        <v>94</v>
      </c>
      <c r="J217" s="91">
        <v>1</v>
      </c>
      <c r="K217" s="91" t="s">
        <v>1489</v>
      </c>
      <c r="L217" s="91" t="s">
        <v>2175</v>
      </c>
      <c r="M217" s="91" t="s">
        <v>0</v>
      </c>
      <c r="Q217" s="91"/>
      <c r="S217" s="91" t="s">
        <v>143</v>
      </c>
      <c r="T217" s="91" t="s">
        <v>3240</v>
      </c>
      <c r="V217" s="91" t="s">
        <v>167</v>
      </c>
      <c r="W217" s="91" t="s">
        <v>180</v>
      </c>
    </row>
    <row r="218" spans="1:23">
      <c r="A218" s="93" t="str">
        <f>TEXT(tblProjectlist[[#This Row],[project-no]],"0")</f>
        <v>99968213</v>
      </c>
      <c r="H218" s="91">
        <v>9989</v>
      </c>
      <c r="I218" s="91">
        <v>66</v>
      </c>
      <c r="J218" s="91">
        <v>1</v>
      </c>
      <c r="K218" s="91" t="s">
        <v>1799</v>
      </c>
      <c r="L218" s="91" t="s">
        <v>2175</v>
      </c>
      <c r="M218" s="91" t="s">
        <v>0</v>
      </c>
      <c r="Q218" s="91"/>
      <c r="S218" s="91" t="s">
        <v>143</v>
      </c>
      <c r="T218" s="91" t="s">
        <v>3234</v>
      </c>
      <c r="V218" s="91" t="s">
        <v>167</v>
      </c>
      <c r="W218" s="91" t="s">
        <v>180</v>
      </c>
    </row>
    <row r="219" spans="1:23">
      <c r="A219" s="93" t="str">
        <f>TEXT(tblProjectlist[[#This Row],[project-no]],"0")</f>
        <v>99952816</v>
      </c>
      <c r="H219" s="91">
        <v>9995</v>
      </c>
      <c r="I219" s="91">
        <v>28</v>
      </c>
      <c r="J219" s="91">
        <v>1</v>
      </c>
      <c r="K219" s="91" t="s">
        <v>1642</v>
      </c>
      <c r="L219" s="91" t="s">
        <v>2175</v>
      </c>
      <c r="M219" s="91" t="s">
        <v>0</v>
      </c>
      <c r="Q219" s="91"/>
      <c r="S219" s="91" t="s">
        <v>143</v>
      </c>
      <c r="T219" s="91" t="s">
        <v>3288</v>
      </c>
      <c r="V219" s="91" t="s">
        <v>168</v>
      </c>
      <c r="W219" s="91" t="s">
        <v>180</v>
      </c>
    </row>
    <row r="220" spans="1:23">
      <c r="A220" s="93" t="str">
        <f>TEXT(tblProjectlist[[#This Row],[project-no]],"0")</f>
        <v>99955211</v>
      </c>
      <c r="H220" s="91">
        <v>9995</v>
      </c>
      <c r="I220" s="91">
        <v>52</v>
      </c>
      <c r="J220" s="91">
        <v>1</v>
      </c>
      <c r="K220" s="91" t="s">
        <v>1666</v>
      </c>
      <c r="L220" s="91" t="s">
        <v>2175</v>
      </c>
      <c r="M220" s="91" t="s">
        <v>0</v>
      </c>
      <c r="Q220" s="91"/>
      <c r="S220" s="91" t="s">
        <v>143</v>
      </c>
      <c r="T220" s="91" t="s">
        <v>3306</v>
      </c>
      <c r="V220" s="91" t="s">
        <v>169</v>
      </c>
      <c r="W220" s="91" t="s">
        <v>180</v>
      </c>
    </row>
    <row r="221" spans="1:23">
      <c r="A221" s="93" t="str">
        <f>TEXT(tblProjectlist[[#This Row],[project-no]],"0")</f>
        <v>99955216</v>
      </c>
      <c r="H221" s="91">
        <v>9995</v>
      </c>
      <c r="I221" s="91">
        <v>52</v>
      </c>
      <c r="J221" s="91">
        <v>1</v>
      </c>
      <c r="K221" s="91" t="s">
        <v>1667</v>
      </c>
      <c r="L221" s="91" t="s">
        <v>2175</v>
      </c>
      <c r="M221" s="91" t="s">
        <v>0</v>
      </c>
      <c r="Q221" s="91"/>
      <c r="S221" s="91" t="s">
        <v>143</v>
      </c>
      <c r="T221" s="91" t="s">
        <v>3306</v>
      </c>
      <c r="V221" s="91" t="s">
        <v>168</v>
      </c>
      <c r="W221" s="91" t="s">
        <v>180</v>
      </c>
    </row>
    <row r="222" spans="1:23">
      <c r="A222" s="93" t="str">
        <f>TEXT(tblProjectlist[[#This Row],[project-no]],"0")</f>
        <v>99956113</v>
      </c>
      <c r="H222" s="91">
        <v>9995</v>
      </c>
      <c r="I222" s="91">
        <v>61</v>
      </c>
      <c r="J222" s="91">
        <v>1</v>
      </c>
      <c r="K222" s="91" t="s">
        <v>1677</v>
      </c>
      <c r="L222" s="91" t="s">
        <v>2175</v>
      </c>
      <c r="M222" s="91" t="s">
        <v>0</v>
      </c>
      <c r="Q222" s="91"/>
      <c r="S222" s="91" t="s">
        <v>143</v>
      </c>
      <c r="T222" s="91" t="s">
        <v>3314</v>
      </c>
      <c r="V222" s="91" t="s">
        <v>167</v>
      </c>
      <c r="W222" s="91" t="s">
        <v>180</v>
      </c>
    </row>
    <row r="223" spans="1:23">
      <c r="A223" s="93" t="str">
        <f>TEXT(tblProjectlist[[#This Row],[project-no]],"0")</f>
        <v>99957713</v>
      </c>
      <c r="H223" s="91">
        <v>9995</v>
      </c>
      <c r="I223" s="91">
        <v>77</v>
      </c>
      <c r="J223" s="91">
        <v>1</v>
      </c>
      <c r="K223" s="91" t="s">
        <v>1696</v>
      </c>
      <c r="L223" s="91" t="s">
        <v>2175</v>
      </c>
      <c r="M223" s="91" t="s">
        <v>0</v>
      </c>
      <c r="Q223" s="91"/>
      <c r="S223" s="91" t="s">
        <v>143</v>
      </c>
      <c r="T223" s="91" t="s">
        <v>3329</v>
      </c>
      <c r="V223" s="91" t="s">
        <v>167</v>
      </c>
      <c r="W223" s="91" t="s">
        <v>180</v>
      </c>
    </row>
    <row r="224" spans="1:23">
      <c r="A224" s="93" t="str">
        <f>TEXT(tblProjectlist[[#This Row],[project-no]],"0")</f>
        <v>99631311</v>
      </c>
      <c r="H224" s="91">
        <v>9963</v>
      </c>
      <c r="I224" s="91">
        <v>13</v>
      </c>
      <c r="J224" s="91">
        <v>1</v>
      </c>
      <c r="K224" s="91" t="s">
        <v>1312</v>
      </c>
      <c r="L224" s="91" t="s">
        <v>2175</v>
      </c>
      <c r="M224" s="91" t="s">
        <v>0</v>
      </c>
      <c r="Q224" s="91"/>
      <c r="S224" s="91" t="s">
        <v>143</v>
      </c>
      <c r="T224" s="91" t="s">
        <v>3155</v>
      </c>
      <c r="V224" s="91" t="s">
        <v>169</v>
      </c>
      <c r="W224" s="91" t="s">
        <v>180</v>
      </c>
    </row>
    <row r="225" spans="1:23">
      <c r="A225" s="93" t="str">
        <f>TEXT(tblProjectlist[[#This Row],[project-no]],"0")</f>
        <v>0</v>
      </c>
      <c r="H225" s="91">
        <v>6600</v>
      </c>
      <c r="I225" s="91">
        <v>2</v>
      </c>
      <c r="J225" s="91">
        <v>1</v>
      </c>
      <c r="K225" s="91"/>
      <c r="L225" s="91" t="s">
        <v>2175</v>
      </c>
      <c r="M225" s="91" t="s">
        <v>0</v>
      </c>
      <c r="Q225" s="91"/>
      <c r="S225" s="91" t="s">
        <v>143</v>
      </c>
      <c r="T225" s="91" t="s">
        <v>3783</v>
      </c>
      <c r="V225" s="91" t="s">
        <v>169</v>
      </c>
      <c r="W225" s="91" t="s">
        <v>180</v>
      </c>
    </row>
    <row r="226" spans="1:23">
      <c r="A226" s="93" t="str">
        <f>TEXT(tblProjectlist[[#This Row],[project-no]],"0")</f>
        <v>0</v>
      </c>
      <c r="H226" s="91">
        <v>6600</v>
      </c>
      <c r="I226" s="91">
        <v>2</v>
      </c>
      <c r="J226" s="91">
        <v>1</v>
      </c>
      <c r="K226" s="91"/>
      <c r="L226" s="91" t="s">
        <v>2175</v>
      </c>
      <c r="M226" s="91" t="s">
        <v>0</v>
      </c>
      <c r="Q226" s="91"/>
      <c r="S226" s="91" t="s">
        <v>143</v>
      </c>
      <c r="T226" s="91" t="s">
        <v>3783</v>
      </c>
      <c r="V226" s="91" t="s">
        <v>168</v>
      </c>
      <c r="W226" s="91" t="s">
        <v>180</v>
      </c>
    </row>
    <row r="227" spans="1:23">
      <c r="A227" s="93" t="str">
        <f>TEXT(tblProjectlist[[#This Row],[project-no]],"0")</f>
        <v>0</v>
      </c>
      <c r="H227" s="91">
        <v>6604</v>
      </c>
      <c r="I227" s="91">
        <v>4</v>
      </c>
      <c r="J227" s="91">
        <v>2</v>
      </c>
      <c r="K227" s="91"/>
      <c r="L227" s="91" t="s">
        <v>2175</v>
      </c>
      <c r="M227" s="91" t="s">
        <v>4</v>
      </c>
      <c r="Q227" s="91"/>
      <c r="S227" s="91" t="s">
        <v>143</v>
      </c>
      <c r="T227" s="91" t="s">
        <v>4297</v>
      </c>
      <c r="V227" s="91" t="s">
        <v>155</v>
      </c>
      <c r="W227" s="91" t="s">
        <v>180</v>
      </c>
    </row>
    <row r="228" spans="1:23">
      <c r="A228" s="93" t="str">
        <f>TEXT(tblProjectlist[[#This Row],[project-no]],"0")</f>
        <v>0</v>
      </c>
      <c r="H228" s="91">
        <v>6606</v>
      </c>
      <c r="I228" s="91">
        <v>8</v>
      </c>
      <c r="J228" s="91">
        <v>2</v>
      </c>
      <c r="K228" s="91"/>
      <c r="L228" s="91" t="s">
        <v>197</v>
      </c>
      <c r="M228" s="91" t="s">
        <v>4</v>
      </c>
      <c r="Q228" s="91"/>
      <c r="S228" s="91" t="s">
        <v>143</v>
      </c>
      <c r="T228" s="91" t="s">
        <v>3573</v>
      </c>
      <c r="V228" s="91" t="s">
        <v>155</v>
      </c>
      <c r="W228" s="91" t="s">
        <v>180</v>
      </c>
    </row>
    <row r="229" spans="1:23">
      <c r="A229" s="93" t="str">
        <f>TEXT(tblProjectlist[[#This Row],[project-no]],"0")</f>
        <v>0</v>
      </c>
      <c r="H229" s="91">
        <v>4010</v>
      </c>
      <c r="I229" s="91">
        <v>3</v>
      </c>
      <c r="J229" s="91">
        <v>2</v>
      </c>
      <c r="K229" s="91"/>
      <c r="L229" s="91" t="s">
        <v>2175</v>
      </c>
      <c r="M229" s="91" t="s">
        <v>4</v>
      </c>
      <c r="Q229" s="91"/>
      <c r="S229" s="91" t="s">
        <v>143</v>
      </c>
      <c r="T229" s="91" t="s">
        <v>4668</v>
      </c>
      <c r="V229" s="91" t="s">
        <v>155</v>
      </c>
      <c r="W229" s="91" t="s">
        <v>180</v>
      </c>
    </row>
    <row r="230" spans="1:23">
      <c r="A230" s="93" t="str">
        <f>TEXT(tblProjectlist[[#This Row],[project-no]],"0")</f>
        <v>0</v>
      </c>
      <c r="H230" s="91">
        <v>4010</v>
      </c>
      <c r="I230" s="91">
        <v>2</v>
      </c>
      <c r="J230" s="91">
        <v>2</v>
      </c>
      <c r="K230" s="91"/>
      <c r="L230" s="91" t="s">
        <v>2175</v>
      </c>
      <c r="M230" s="91" t="s">
        <v>4</v>
      </c>
      <c r="Q230" s="91"/>
      <c r="S230" s="91" t="s">
        <v>143</v>
      </c>
      <c r="T230" s="91" t="s">
        <v>4231</v>
      </c>
      <c r="V230" s="91" t="s">
        <v>155</v>
      </c>
      <c r="W230" s="91" t="s">
        <v>180</v>
      </c>
    </row>
    <row r="231" spans="1:23">
      <c r="A231" s="93" t="str">
        <f>TEXT(tblProjectlist[[#This Row],[project-no]],"0")</f>
        <v>20450643</v>
      </c>
      <c r="H231" s="91">
        <v>2045</v>
      </c>
      <c r="I231" s="91">
        <v>6</v>
      </c>
      <c r="J231" s="91">
        <v>4</v>
      </c>
      <c r="K231" s="91" t="s">
        <v>493</v>
      </c>
      <c r="L231" s="91" t="s">
        <v>58</v>
      </c>
      <c r="M231" s="91" t="s">
        <v>1</v>
      </c>
      <c r="Q231" s="91"/>
      <c r="S231" s="91" t="s">
        <v>143</v>
      </c>
      <c r="T231" s="91" t="s">
        <v>2434</v>
      </c>
      <c r="V231" s="91" t="s">
        <v>164</v>
      </c>
      <c r="W231" s="91" t="s">
        <v>180</v>
      </c>
    </row>
    <row r="232" spans="1:23">
      <c r="A232" s="93" t="str">
        <f>TEXT(tblProjectlist[[#This Row],[project-no]],"0")</f>
        <v>20450644</v>
      </c>
      <c r="H232" s="91">
        <v>2045</v>
      </c>
      <c r="I232" s="91">
        <v>6</v>
      </c>
      <c r="J232" s="91">
        <v>4</v>
      </c>
      <c r="K232" s="91" t="s">
        <v>494</v>
      </c>
      <c r="L232" s="91" t="s">
        <v>58</v>
      </c>
      <c r="M232" s="91" t="s">
        <v>1</v>
      </c>
      <c r="Q232" s="91"/>
      <c r="S232" s="91" t="s">
        <v>143</v>
      </c>
      <c r="T232" s="91" t="s">
        <v>2434</v>
      </c>
      <c r="V232" s="91" t="s">
        <v>160</v>
      </c>
      <c r="W232" s="91" t="s">
        <v>180</v>
      </c>
    </row>
    <row r="233" spans="1:23">
      <c r="A233" s="93" t="str">
        <f>TEXT(tblProjectlist[[#This Row],[project-no]],"0")</f>
        <v>20450647</v>
      </c>
      <c r="H233" s="91">
        <v>2045</v>
      </c>
      <c r="I233" s="91">
        <v>6</v>
      </c>
      <c r="J233" s="91">
        <v>4</v>
      </c>
      <c r="K233" s="91" t="s">
        <v>495</v>
      </c>
      <c r="L233" s="91" t="s">
        <v>58</v>
      </c>
      <c r="M233" s="91" t="s">
        <v>1</v>
      </c>
      <c r="Q233" s="91"/>
      <c r="S233" s="91" t="s">
        <v>143</v>
      </c>
      <c r="T233" s="91" t="s">
        <v>2434</v>
      </c>
      <c r="V233" s="91" t="s">
        <v>162</v>
      </c>
      <c r="W233" s="91" t="s">
        <v>180</v>
      </c>
    </row>
    <row r="234" spans="1:23">
      <c r="A234" s="93" t="str">
        <f>TEXT(tblProjectlist[[#This Row],[project-no]],"0")</f>
        <v>20450648</v>
      </c>
      <c r="H234" s="91">
        <v>2045</v>
      </c>
      <c r="I234" s="91">
        <v>6</v>
      </c>
      <c r="J234" s="91">
        <v>4</v>
      </c>
      <c r="K234" s="91" t="s">
        <v>496</v>
      </c>
      <c r="L234" s="91" t="s">
        <v>58</v>
      </c>
      <c r="M234" s="91" t="s">
        <v>1</v>
      </c>
      <c r="Q234" s="91"/>
      <c r="S234" s="91" t="s">
        <v>143</v>
      </c>
      <c r="T234" s="91" t="s">
        <v>2434</v>
      </c>
      <c r="V234" s="91" t="s">
        <v>164</v>
      </c>
      <c r="W234" s="91" t="s">
        <v>180</v>
      </c>
    </row>
    <row r="235" spans="1:23">
      <c r="A235" s="93" t="str">
        <f>TEXT(tblProjectlist[[#This Row],[project-no]],"0")</f>
        <v>20451744</v>
      </c>
      <c r="H235" s="91">
        <v>2045</v>
      </c>
      <c r="I235" s="91">
        <v>17</v>
      </c>
      <c r="J235" s="91">
        <v>4</v>
      </c>
      <c r="K235" s="91" t="s">
        <v>497</v>
      </c>
      <c r="L235" s="91" t="s">
        <v>58</v>
      </c>
      <c r="M235" s="91" t="s">
        <v>1</v>
      </c>
      <c r="Q235" s="91"/>
      <c r="S235" s="91" t="s">
        <v>143</v>
      </c>
      <c r="T235" s="91" t="s">
        <v>2435</v>
      </c>
      <c r="W235" s="91" t="s">
        <v>180</v>
      </c>
    </row>
    <row r="236" spans="1:23">
      <c r="A236" s="93" t="str">
        <f>TEXT(tblProjectlist[[#This Row],[project-no]],"0")</f>
        <v>20251944</v>
      </c>
      <c r="H236" s="91">
        <v>2045</v>
      </c>
      <c r="I236" s="91">
        <v>19</v>
      </c>
      <c r="J236" s="91">
        <v>4</v>
      </c>
      <c r="K236" s="91">
        <v>20251944</v>
      </c>
      <c r="L236" s="91" t="s">
        <v>58</v>
      </c>
      <c r="M236" s="91" t="s">
        <v>1</v>
      </c>
      <c r="Q236" s="91"/>
      <c r="S236" s="91" t="s">
        <v>143</v>
      </c>
      <c r="T236" s="91" t="s">
        <v>4220</v>
      </c>
      <c r="V236" s="91" t="s">
        <v>160</v>
      </c>
      <c r="W236" s="91" t="s">
        <v>180</v>
      </c>
    </row>
    <row r="237" spans="1:23">
      <c r="A237" s="93" t="str">
        <f>TEXT(tblProjectlist[[#This Row],[project-no]],"0")</f>
        <v>99881643</v>
      </c>
      <c r="H237" s="91">
        <v>2045</v>
      </c>
      <c r="I237" s="91">
        <v>6</v>
      </c>
      <c r="J237" s="91">
        <v>4</v>
      </c>
      <c r="K237" s="91" t="s">
        <v>1440</v>
      </c>
      <c r="L237" s="91" t="s">
        <v>58</v>
      </c>
      <c r="M237" s="91" t="s">
        <v>1</v>
      </c>
      <c r="Q237" s="91"/>
      <c r="S237" s="91" t="s">
        <v>143</v>
      </c>
      <c r="T237" s="91" t="s">
        <v>2434</v>
      </c>
      <c r="V237" s="91" t="s">
        <v>164</v>
      </c>
      <c r="W237" s="91" t="s">
        <v>180</v>
      </c>
    </row>
    <row r="238" spans="1:23">
      <c r="A238" s="93" t="str">
        <f>TEXT(tblProjectlist[[#This Row],[project-no]],"0")</f>
        <v>99881644</v>
      </c>
      <c r="H238" s="91">
        <v>2045</v>
      </c>
      <c r="I238" s="91">
        <v>6</v>
      </c>
      <c r="J238" s="91">
        <v>4</v>
      </c>
      <c r="K238" s="91" t="s">
        <v>1441</v>
      </c>
      <c r="L238" s="91" t="s">
        <v>58</v>
      </c>
      <c r="M238" s="91" t="s">
        <v>1</v>
      </c>
      <c r="Q238" s="91"/>
      <c r="S238" s="91" t="s">
        <v>143</v>
      </c>
      <c r="T238" s="91" t="s">
        <v>2434</v>
      </c>
      <c r="V238" s="91" t="s">
        <v>160</v>
      </c>
      <c r="W238" s="91" t="s">
        <v>180</v>
      </c>
    </row>
    <row r="239" spans="1:23">
      <c r="A239" s="93" t="str">
        <f>TEXT(tblProjectlist[[#This Row],[project-no]],"0")</f>
        <v>20340628</v>
      </c>
      <c r="H239" s="91">
        <v>2034</v>
      </c>
      <c r="I239" s="91">
        <v>6</v>
      </c>
      <c r="J239" s="91">
        <v>2</v>
      </c>
      <c r="K239" s="91" t="s">
        <v>481</v>
      </c>
      <c r="L239" s="91" t="s">
        <v>2175</v>
      </c>
      <c r="M239" s="91" t="s">
        <v>4</v>
      </c>
      <c r="Q239" s="91"/>
      <c r="S239" s="91" t="s">
        <v>143</v>
      </c>
      <c r="T239" s="91" t="s">
        <v>2425</v>
      </c>
      <c r="V239" s="91" t="s">
        <v>155</v>
      </c>
      <c r="W239" s="91" t="s">
        <v>180</v>
      </c>
    </row>
    <row r="240" spans="1:23">
      <c r="A240" s="93" t="str">
        <f>TEXT(tblProjectlist[[#This Row],[project-no]],"0")</f>
        <v>0</v>
      </c>
      <c r="H240" s="91">
        <v>2045</v>
      </c>
      <c r="I240" s="91">
        <v>18</v>
      </c>
      <c r="J240" s="91">
        <v>2</v>
      </c>
      <c r="K240" s="91"/>
      <c r="L240" s="91" t="s">
        <v>2175</v>
      </c>
      <c r="M240" s="91" t="s">
        <v>4</v>
      </c>
      <c r="Q240" s="91"/>
      <c r="S240" s="91" t="s">
        <v>143</v>
      </c>
      <c r="T240" s="91" t="s">
        <v>3768</v>
      </c>
      <c r="V240" s="91" t="s">
        <v>155</v>
      </c>
      <c r="W240" s="91" t="s">
        <v>180</v>
      </c>
    </row>
    <row r="241" spans="1:23">
      <c r="A241" s="93" t="str">
        <f>TEXT(tblProjectlist[[#This Row],[project-no]],"0")</f>
        <v>0</v>
      </c>
      <c r="H241" s="91">
        <v>2045</v>
      </c>
      <c r="I241" s="91">
        <v>18</v>
      </c>
      <c r="J241" s="91">
        <v>2</v>
      </c>
      <c r="K241" s="91"/>
      <c r="L241" s="91" t="s">
        <v>2175</v>
      </c>
      <c r="M241" s="91" t="s">
        <v>4</v>
      </c>
      <c r="Q241" s="91"/>
      <c r="S241" s="91" t="s">
        <v>143</v>
      </c>
      <c r="T241" s="91" t="s">
        <v>3768</v>
      </c>
      <c r="V241" s="91" t="s">
        <v>155</v>
      </c>
      <c r="W241" s="91" t="s">
        <v>180</v>
      </c>
    </row>
    <row r="242" spans="1:23">
      <c r="A242" s="93" t="str">
        <f>TEXT(tblProjectlist[[#This Row],[project-no]],"0")</f>
        <v>99631413</v>
      </c>
      <c r="H242" s="91">
        <v>9963</v>
      </c>
      <c r="I242" s="91">
        <v>14</v>
      </c>
      <c r="J242" s="91">
        <v>1</v>
      </c>
      <c r="K242" s="91" t="s">
        <v>1313</v>
      </c>
      <c r="L242" s="91" t="s">
        <v>2175</v>
      </c>
      <c r="M242" s="91" t="s">
        <v>0</v>
      </c>
      <c r="Q242" s="91"/>
      <c r="S242" s="91" t="s">
        <v>143</v>
      </c>
      <c r="T242" s="91" t="s">
        <v>3156</v>
      </c>
      <c r="V242" s="91" t="s">
        <v>167</v>
      </c>
      <c r="W242" s="91" t="s">
        <v>180</v>
      </c>
    </row>
    <row r="243" spans="1:23">
      <c r="A243" s="93" t="str">
        <f>TEXT(tblProjectlist[[#This Row],[project-no]],"0")</f>
        <v>99881911</v>
      </c>
      <c r="H243" s="91">
        <v>9988</v>
      </c>
      <c r="I243" s="91">
        <v>19</v>
      </c>
      <c r="J243" s="91">
        <v>1</v>
      </c>
      <c r="K243" s="91" t="s">
        <v>1442</v>
      </c>
      <c r="L243" s="91" t="s">
        <v>2175</v>
      </c>
      <c r="M243" s="91" t="s">
        <v>0</v>
      </c>
      <c r="Q243" s="91"/>
      <c r="S243" s="91" t="s">
        <v>143</v>
      </c>
      <c r="T243" s="91" t="s">
        <v>3217</v>
      </c>
      <c r="V243" s="91" t="s">
        <v>169</v>
      </c>
      <c r="W243" s="91" t="s">
        <v>180</v>
      </c>
    </row>
    <row r="244" spans="1:23">
      <c r="A244" s="93" t="str">
        <f>TEXT(tblProjectlist[[#This Row],[project-no]],"0")</f>
        <v>99932711</v>
      </c>
      <c r="H244" s="91">
        <v>9988</v>
      </c>
      <c r="I244" s="91">
        <v>19</v>
      </c>
      <c r="J244" s="91">
        <v>1</v>
      </c>
      <c r="K244" s="91" t="s">
        <v>1582</v>
      </c>
      <c r="L244" s="91" t="s">
        <v>2175</v>
      </c>
      <c r="M244" s="91" t="s">
        <v>0</v>
      </c>
      <c r="Q244" s="91"/>
      <c r="S244" s="91" t="s">
        <v>143</v>
      </c>
      <c r="T244" s="91" t="s">
        <v>3217</v>
      </c>
      <c r="V244" s="91" t="s">
        <v>169</v>
      </c>
      <c r="W244" s="91" t="s">
        <v>180</v>
      </c>
    </row>
    <row r="245" spans="1:23">
      <c r="A245" s="93" t="str">
        <f>TEXT(tblProjectlist[[#This Row],[project-no]],"0")</f>
        <v>99892513</v>
      </c>
      <c r="H245" s="91">
        <v>9989</v>
      </c>
      <c r="I245" s="91">
        <v>25</v>
      </c>
      <c r="J245" s="91">
        <v>1</v>
      </c>
      <c r="K245" s="91" t="s">
        <v>1457</v>
      </c>
      <c r="L245" s="91" t="s">
        <v>2175</v>
      </c>
      <c r="M245" s="91" t="s">
        <v>0</v>
      </c>
      <c r="Q245" s="91"/>
      <c r="S245" s="91" t="s">
        <v>143</v>
      </c>
      <c r="T245" s="91" t="s">
        <v>3223</v>
      </c>
      <c r="V245" s="91" t="s">
        <v>167</v>
      </c>
      <c r="W245" s="91" t="s">
        <v>180</v>
      </c>
    </row>
    <row r="246" spans="1:23">
      <c r="A246" s="93" t="str">
        <f>TEXT(tblProjectlist[[#This Row],[project-no]],"0")</f>
        <v>99893611</v>
      </c>
      <c r="H246" s="91">
        <v>9989</v>
      </c>
      <c r="I246" s="91">
        <v>36</v>
      </c>
      <c r="J246" s="91">
        <v>1</v>
      </c>
      <c r="K246" s="91" t="s">
        <v>1461</v>
      </c>
      <c r="L246" s="91" t="s">
        <v>2175</v>
      </c>
      <c r="M246" s="91" t="s">
        <v>0</v>
      </c>
      <c r="Q246" s="91"/>
      <c r="S246" s="91" t="s">
        <v>143</v>
      </c>
      <c r="T246" s="91" t="s">
        <v>3227</v>
      </c>
      <c r="V246" s="91" t="s">
        <v>169</v>
      </c>
      <c r="W246" s="91" t="s">
        <v>180</v>
      </c>
    </row>
    <row r="247" spans="1:23">
      <c r="A247" s="93" t="str">
        <f>TEXT(tblProjectlist[[#This Row],[project-no]],"0")</f>
        <v>99953913</v>
      </c>
      <c r="H247" s="91">
        <v>9995</v>
      </c>
      <c r="I247" s="91">
        <v>39</v>
      </c>
      <c r="J247" s="91">
        <v>1</v>
      </c>
      <c r="K247" s="91" t="s">
        <v>1653</v>
      </c>
      <c r="L247" s="91" t="s">
        <v>2175</v>
      </c>
      <c r="M247" s="91" t="s">
        <v>0</v>
      </c>
      <c r="Q247" s="91"/>
      <c r="S247" s="91" t="s">
        <v>143</v>
      </c>
      <c r="T247" s="91" t="s">
        <v>3297</v>
      </c>
      <c r="V247" s="91" t="s">
        <v>167</v>
      </c>
      <c r="W247" s="91" t="s">
        <v>180</v>
      </c>
    </row>
    <row r="248" spans="1:23">
      <c r="A248" s="93" t="str">
        <f>TEXT(tblProjectlist[[#This Row],[project-no]],"0")</f>
        <v>99956613</v>
      </c>
      <c r="H248" s="91">
        <v>9995</v>
      </c>
      <c r="I248" s="91">
        <v>66</v>
      </c>
      <c r="J248" s="91">
        <v>1</v>
      </c>
      <c r="K248" s="91" t="s">
        <v>1682</v>
      </c>
      <c r="L248" s="91" t="s">
        <v>2175</v>
      </c>
      <c r="M248" s="91" t="s">
        <v>0</v>
      </c>
      <c r="Q248" s="91"/>
      <c r="S248" s="91" t="s">
        <v>143</v>
      </c>
      <c r="T248" s="91" t="s">
        <v>3319</v>
      </c>
      <c r="V248" s="91" t="s">
        <v>167</v>
      </c>
      <c r="W248" s="91" t="s">
        <v>180</v>
      </c>
    </row>
    <row r="249" spans="1:23">
      <c r="A249" s="93" t="str">
        <f>TEXT(tblProjectlist[[#This Row],[project-no]],"0")</f>
        <v>0</v>
      </c>
      <c r="H249" s="91">
        <v>6606</v>
      </c>
      <c r="I249" s="91">
        <v>10</v>
      </c>
      <c r="J249" s="91">
        <v>2</v>
      </c>
      <c r="K249" s="91"/>
      <c r="L249" s="91" t="s">
        <v>197</v>
      </c>
      <c r="M249" s="91" t="s">
        <v>4</v>
      </c>
      <c r="Q249" s="91"/>
      <c r="S249" s="91" t="s">
        <v>143</v>
      </c>
      <c r="T249" s="91" t="s">
        <v>3686</v>
      </c>
      <c r="V249" s="91" t="s">
        <v>155</v>
      </c>
      <c r="W249" s="91" t="s">
        <v>180</v>
      </c>
    </row>
    <row r="250" spans="1:23">
      <c r="A250" s="93" t="str">
        <f>TEXT(tblProjectlist[[#This Row],[project-no]],"0")</f>
        <v>0</v>
      </c>
      <c r="H250" s="91">
        <v>6302</v>
      </c>
      <c r="I250" s="91">
        <v>5</v>
      </c>
      <c r="J250" s="91">
        <v>2</v>
      </c>
      <c r="K250" s="91"/>
      <c r="L250" s="91" t="s">
        <v>2175</v>
      </c>
      <c r="M250" s="91" t="s">
        <v>4</v>
      </c>
      <c r="Q250" s="91"/>
      <c r="S250" s="91" t="s">
        <v>143</v>
      </c>
      <c r="T250" s="91" t="s">
        <v>3999</v>
      </c>
      <c r="V250" s="91" t="s">
        <v>155</v>
      </c>
      <c r="W250" s="91" t="s">
        <v>180</v>
      </c>
    </row>
    <row r="251" spans="1:23">
      <c r="A251" s="93" t="str">
        <f>TEXT(tblProjectlist[[#This Row],[project-no]],"0")</f>
        <v>0</v>
      </c>
      <c r="H251" s="91">
        <v>6302</v>
      </c>
      <c r="I251" s="91">
        <v>6</v>
      </c>
      <c r="J251" s="91">
        <v>2</v>
      </c>
      <c r="K251" s="91"/>
      <c r="L251" s="91" t="s">
        <v>2175</v>
      </c>
      <c r="M251" s="91" t="s">
        <v>4</v>
      </c>
      <c r="Q251" s="91"/>
      <c r="S251" s="91" t="s">
        <v>143</v>
      </c>
      <c r="T251" s="91" t="s">
        <v>4000</v>
      </c>
      <c r="V251" s="91" t="s">
        <v>155</v>
      </c>
      <c r="W251" s="91" t="s">
        <v>180</v>
      </c>
    </row>
    <row r="252" spans="1:23">
      <c r="A252" s="93" t="str">
        <f>TEXT(tblProjectlist[[#This Row],[project-no]],"0")</f>
        <v>0</v>
      </c>
      <c r="H252" s="91">
        <v>6302</v>
      </c>
      <c r="I252" s="91">
        <v>7</v>
      </c>
      <c r="J252" s="91">
        <v>2</v>
      </c>
      <c r="K252" s="91"/>
      <c r="L252" s="91" t="s">
        <v>2175</v>
      </c>
      <c r="M252" s="91" t="s">
        <v>4</v>
      </c>
      <c r="Q252" s="91"/>
      <c r="S252" s="91" t="s">
        <v>143</v>
      </c>
      <c r="T252" s="91" t="s">
        <v>4358</v>
      </c>
      <c r="V252" s="91" t="s">
        <v>155</v>
      </c>
      <c r="W252" s="91" t="s">
        <v>180</v>
      </c>
    </row>
    <row r="253" spans="1:23">
      <c r="A253" s="93" t="str">
        <f>TEXT(tblProjectlist[[#This Row],[project-no]],"0")</f>
        <v>63020226</v>
      </c>
      <c r="H253" s="91">
        <v>6302</v>
      </c>
      <c r="I253" s="91">
        <v>2</v>
      </c>
      <c r="J253" s="91">
        <v>2</v>
      </c>
      <c r="K253" s="91" t="s">
        <v>838</v>
      </c>
      <c r="L253" s="91" t="s">
        <v>2175</v>
      </c>
      <c r="M253" s="91" t="s">
        <v>4</v>
      </c>
      <c r="Q253" s="91"/>
      <c r="S253" s="91" t="s">
        <v>143</v>
      </c>
      <c r="T253" s="91" t="s">
        <v>2721</v>
      </c>
      <c r="V253" s="91" t="s">
        <v>155</v>
      </c>
      <c r="W253" s="91" t="s">
        <v>180</v>
      </c>
    </row>
    <row r="254" spans="1:23">
      <c r="A254" s="93" t="str">
        <f>TEXT(tblProjectlist[[#This Row],[project-no]],"0")</f>
        <v>63020328</v>
      </c>
      <c r="H254" s="91">
        <v>6302</v>
      </c>
      <c r="I254" s="91">
        <v>3</v>
      </c>
      <c r="J254" s="91">
        <v>2</v>
      </c>
      <c r="K254" s="91" t="s">
        <v>839</v>
      </c>
      <c r="L254" s="91" t="s">
        <v>2175</v>
      </c>
      <c r="M254" s="91" t="s">
        <v>4</v>
      </c>
      <c r="Q254" s="91"/>
      <c r="S254" s="91" t="s">
        <v>143</v>
      </c>
      <c r="T254" s="91" t="s">
        <v>2722</v>
      </c>
      <c r="V254" s="91" t="s">
        <v>155</v>
      </c>
      <c r="W254" s="91" t="s">
        <v>180</v>
      </c>
    </row>
    <row r="255" spans="1:23">
      <c r="A255" s="93" t="str">
        <f>TEXT(tblProjectlist[[#This Row],[project-no]],"0")</f>
        <v>63020428</v>
      </c>
      <c r="H255" s="91">
        <v>6302</v>
      </c>
      <c r="I255" s="91">
        <v>4</v>
      </c>
      <c r="J255" s="91">
        <v>2</v>
      </c>
      <c r="K255" s="91" t="s">
        <v>840</v>
      </c>
      <c r="L255" s="91" t="s">
        <v>2175</v>
      </c>
      <c r="M255" s="91" t="s">
        <v>4</v>
      </c>
      <c r="Q255" s="91"/>
      <c r="S255" s="91" t="s">
        <v>143</v>
      </c>
      <c r="T255" s="91" t="s">
        <v>2723</v>
      </c>
      <c r="V255" s="91" t="s">
        <v>155</v>
      </c>
      <c r="W255" s="91" t="s">
        <v>180</v>
      </c>
    </row>
    <row r="256" spans="1:23">
      <c r="A256" s="93" t="str">
        <f>TEXT(tblProjectlist[[#This Row],[project-no]],"0")</f>
        <v>99965328</v>
      </c>
      <c r="H256" s="91">
        <v>6302</v>
      </c>
      <c r="I256" s="91">
        <v>2</v>
      </c>
      <c r="J256" s="91">
        <v>2</v>
      </c>
      <c r="K256" s="91" t="s">
        <v>1771</v>
      </c>
      <c r="L256" s="91" t="s">
        <v>2175</v>
      </c>
      <c r="M256" s="91" t="s">
        <v>4</v>
      </c>
      <c r="Q256" s="91"/>
      <c r="S256" s="91" t="s">
        <v>143</v>
      </c>
      <c r="T256" s="91" t="s">
        <v>2721</v>
      </c>
      <c r="W256" s="91" t="s">
        <v>180</v>
      </c>
    </row>
    <row r="257" spans="1:23">
      <c r="A257" s="93" t="str">
        <f>TEXT(tblProjectlist[[#This Row],[project-no]],"0")</f>
        <v>99967328</v>
      </c>
      <c r="H257" s="91">
        <v>6302</v>
      </c>
      <c r="I257" s="91">
        <v>4</v>
      </c>
      <c r="J257" s="91">
        <v>2</v>
      </c>
      <c r="K257" s="91" t="s">
        <v>1790</v>
      </c>
      <c r="L257" s="91" t="s">
        <v>2175</v>
      </c>
      <c r="M257" s="91" t="s">
        <v>4</v>
      </c>
      <c r="Q257" s="91"/>
      <c r="S257" s="91" t="s">
        <v>143</v>
      </c>
      <c r="T257" s="91" t="s">
        <v>2723</v>
      </c>
      <c r="V257" s="91" t="s">
        <v>155</v>
      </c>
      <c r="W257" s="91" t="s">
        <v>180</v>
      </c>
    </row>
    <row r="258" spans="1:23">
      <c r="A258" s="93" t="str">
        <f>TEXT(tblProjectlist[[#This Row],[project-no]],"0")</f>
        <v>60410228</v>
      </c>
      <c r="H258" s="91">
        <v>6041</v>
      </c>
      <c r="I258" s="91">
        <v>2</v>
      </c>
      <c r="J258" s="91">
        <v>2</v>
      </c>
      <c r="K258" s="91" t="s">
        <v>794</v>
      </c>
      <c r="L258" s="91" t="s">
        <v>2175</v>
      </c>
      <c r="M258" s="91" t="s">
        <v>4</v>
      </c>
      <c r="Q258" s="91"/>
      <c r="S258" s="91" t="s">
        <v>143</v>
      </c>
      <c r="T258" s="91" t="s">
        <v>2690</v>
      </c>
      <c r="V258" s="91" t="s">
        <v>155</v>
      </c>
      <c r="W258" s="91" t="s">
        <v>180</v>
      </c>
    </row>
    <row r="259" spans="1:23">
      <c r="A259" s="93" t="str">
        <f>TEXT(tblProjectlist[[#This Row],[project-no]],"0")</f>
        <v>19710211</v>
      </c>
      <c r="H259" s="91">
        <v>1971</v>
      </c>
      <c r="I259" s="91">
        <v>2</v>
      </c>
      <c r="J259" s="91">
        <v>1</v>
      </c>
      <c r="K259" s="91" t="s">
        <v>395</v>
      </c>
      <c r="L259" s="91" t="s">
        <v>62</v>
      </c>
      <c r="M259" s="91" t="s">
        <v>0</v>
      </c>
      <c r="Q259" s="91"/>
      <c r="S259" s="91" t="s">
        <v>143</v>
      </c>
      <c r="T259" s="91" t="s">
        <v>2362</v>
      </c>
      <c r="V259" s="91" t="s">
        <v>169</v>
      </c>
      <c r="W259" s="91" t="s">
        <v>180</v>
      </c>
    </row>
    <row r="260" spans="1:23">
      <c r="A260" s="93" t="str">
        <f>TEXT(tblProjectlist[[#This Row],[project-no]],"0")</f>
        <v>19710212</v>
      </c>
      <c r="H260" s="91">
        <v>1971</v>
      </c>
      <c r="I260" s="91">
        <v>2</v>
      </c>
      <c r="J260" s="91">
        <v>1</v>
      </c>
      <c r="K260" s="91" t="s">
        <v>396</v>
      </c>
      <c r="L260" s="91" t="s">
        <v>62</v>
      </c>
      <c r="M260" s="91" t="s">
        <v>0</v>
      </c>
      <c r="Q260" s="91"/>
      <c r="S260" s="91" t="s">
        <v>143</v>
      </c>
      <c r="T260" s="91" t="s">
        <v>2362</v>
      </c>
      <c r="V260" s="91" t="s">
        <v>169</v>
      </c>
      <c r="W260" s="91" t="s">
        <v>180</v>
      </c>
    </row>
    <row r="261" spans="1:23">
      <c r="A261" s="93" t="str">
        <f>TEXT(tblProjectlist[[#This Row],[project-no]],"0")</f>
        <v>99860811</v>
      </c>
      <c r="H261" s="91">
        <v>1971</v>
      </c>
      <c r="I261" s="91">
        <v>2</v>
      </c>
      <c r="J261" s="91">
        <v>1</v>
      </c>
      <c r="K261" s="91" t="s">
        <v>1382</v>
      </c>
      <c r="L261" s="91" t="s">
        <v>62</v>
      </c>
      <c r="M261" s="91" t="s">
        <v>0</v>
      </c>
      <c r="Q261" s="91"/>
      <c r="S261" s="91" t="s">
        <v>143</v>
      </c>
      <c r="T261" s="91" t="s">
        <v>2362</v>
      </c>
      <c r="V261" s="91" t="s">
        <v>169</v>
      </c>
      <c r="W261" s="91" t="s">
        <v>180</v>
      </c>
    </row>
    <row r="262" spans="1:23">
      <c r="A262" s="93" t="str">
        <f>TEXT(tblProjectlist[[#This Row],[project-no]],"0")</f>
        <v>99860812</v>
      </c>
      <c r="H262" s="91">
        <v>1971</v>
      </c>
      <c r="I262" s="91">
        <v>2</v>
      </c>
      <c r="J262" s="91">
        <v>1</v>
      </c>
      <c r="K262" s="91" t="s">
        <v>1383</v>
      </c>
      <c r="L262" s="91" t="s">
        <v>62</v>
      </c>
      <c r="M262" s="91" t="s">
        <v>0</v>
      </c>
      <c r="Q262" s="91"/>
      <c r="S262" s="91" t="s">
        <v>143</v>
      </c>
      <c r="T262" s="91" t="s">
        <v>2362</v>
      </c>
      <c r="V262" s="91" t="s">
        <v>169</v>
      </c>
      <c r="W262" s="91" t="s">
        <v>180</v>
      </c>
    </row>
    <row r="263" spans="1:23">
      <c r="A263" s="93" t="str">
        <f>TEXT(tblProjectlist[[#This Row],[project-no]],"0")</f>
        <v>99931411</v>
      </c>
      <c r="H263" s="91">
        <v>1971</v>
      </c>
      <c r="I263" s="91">
        <v>2</v>
      </c>
      <c r="J263" s="91">
        <v>1</v>
      </c>
      <c r="K263" s="91" t="s">
        <v>1572</v>
      </c>
      <c r="L263" s="91" t="s">
        <v>62</v>
      </c>
      <c r="M263" s="91" t="s">
        <v>0</v>
      </c>
      <c r="Q263" s="91"/>
      <c r="S263" s="91" t="s">
        <v>143</v>
      </c>
      <c r="T263" s="91" t="s">
        <v>2362</v>
      </c>
      <c r="V263" s="91" t="s">
        <v>169</v>
      </c>
      <c r="W263" s="91" t="s">
        <v>180</v>
      </c>
    </row>
    <row r="264" spans="1:23">
      <c r="A264" s="93" t="str">
        <f>TEXT(tblProjectlist[[#This Row],[project-no]],"0")</f>
        <v>0</v>
      </c>
      <c r="H264" s="91">
        <v>1973</v>
      </c>
      <c r="I264" s="91">
        <v>2</v>
      </c>
      <c r="J264" s="91">
        <v>2</v>
      </c>
      <c r="K264" s="91"/>
      <c r="L264" s="91" t="s">
        <v>2175</v>
      </c>
      <c r="M264" s="91" t="s">
        <v>4</v>
      </c>
      <c r="Q264" s="91"/>
      <c r="S264" s="91" t="s">
        <v>143</v>
      </c>
      <c r="T264" s="91" t="s">
        <v>4221</v>
      </c>
      <c r="V264" s="91" t="s">
        <v>155</v>
      </c>
      <c r="W264" s="91" t="s">
        <v>180</v>
      </c>
    </row>
    <row r="265" spans="1:23">
      <c r="A265" s="93" t="str">
        <f>TEXT(tblProjectlist[[#This Row],[project-no]],"0")</f>
        <v>0</v>
      </c>
      <c r="H265" s="91">
        <v>9964</v>
      </c>
      <c r="I265" s="91">
        <v>2</v>
      </c>
      <c r="J265" s="91">
        <v>1</v>
      </c>
      <c r="K265" s="91"/>
      <c r="L265" s="91" t="s">
        <v>2175</v>
      </c>
      <c r="M265" s="91" t="s">
        <v>0</v>
      </c>
      <c r="Q265" s="91"/>
      <c r="S265" s="91" t="s">
        <v>143</v>
      </c>
      <c r="T265" s="91" t="s">
        <v>4260</v>
      </c>
      <c r="V265" s="91" t="s">
        <v>167</v>
      </c>
      <c r="W265" s="91" t="s">
        <v>180</v>
      </c>
    </row>
    <row r="266" spans="1:23">
      <c r="A266" s="93" t="str">
        <f>TEXT(tblProjectlist[[#This Row],[project-no]],"0")</f>
        <v>19720311</v>
      </c>
      <c r="H266" s="91">
        <v>1972</v>
      </c>
      <c r="I266" s="91">
        <v>3</v>
      </c>
      <c r="J266" s="91">
        <v>1</v>
      </c>
      <c r="K266" s="91" t="s">
        <v>404</v>
      </c>
      <c r="L266" s="91" t="s">
        <v>62</v>
      </c>
      <c r="M266" s="91" t="s">
        <v>0</v>
      </c>
      <c r="Q266" s="91"/>
      <c r="S266" s="91" t="s">
        <v>143</v>
      </c>
      <c r="T266" s="91" t="s">
        <v>2366</v>
      </c>
      <c r="V266" s="91" t="s">
        <v>169</v>
      </c>
      <c r="W266" s="91" t="s">
        <v>180</v>
      </c>
    </row>
    <row r="267" spans="1:23">
      <c r="A267" s="93" t="str">
        <f>TEXT(tblProjectlist[[#This Row],[project-no]],"0")</f>
        <v>19720312</v>
      </c>
      <c r="H267" s="91">
        <v>1972</v>
      </c>
      <c r="I267" s="91">
        <v>3</v>
      </c>
      <c r="J267" s="91">
        <v>1</v>
      </c>
      <c r="K267" s="91" t="s">
        <v>405</v>
      </c>
      <c r="L267" s="91" t="s">
        <v>62</v>
      </c>
      <c r="M267" s="91" t="s">
        <v>0</v>
      </c>
      <c r="Q267" s="91"/>
      <c r="S267" s="91" t="s">
        <v>143</v>
      </c>
      <c r="T267" s="91" t="s">
        <v>2366</v>
      </c>
      <c r="V267" s="91" t="s">
        <v>169</v>
      </c>
      <c r="W267" s="91" t="s">
        <v>180</v>
      </c>
    </row>
    <row r="268" spans="1:23">
      <c r="A268" s="93" t="str">
        <f>TEXT(tblProjectlist[[#This Row],[project-no]],"0")</f>
        <v>19720313</v>
      </c>
      <c r="H268" s="91">
        <v>1972</v>
      </c>
      <c r="I268" s="91">
        <v>3</v>
      </c>
      <c r="J268" s="91">
        <v>1</v>
      </c>
      <c r="K268" s="91" t="s">
        <v>406</v>
      </c>
      <c r="L268" s="91" t="s">
        <v>62</v>
      </c>
      <c r="M268" s="91" t="s">
        <v>0</v>
      </c>
      <c r="Q268" s="91"/>
      <c r="S268" s="91" t="s">
        <v>143</v>
      </c>
      <c r="T268" s="91" t="s">
        <v>2366</v>
      </c>
      <c r="V268" s="91" t="s">
        <v>167</v>
      </c>
      <c r="W268" s="91" t="s">
        <v>180</v>
      </c>
    </row>
    <row r="269" spans="1:23">
      <c r="A269" s="93" t="str">
        <f>TEXT(tblProjectlist[[#This Row],[project-no]],"0")</f>
        <v>99861611</v>
      </c>
      <c r="H269" s="91">
        <v>1972</v>
      </c>
      <c r="I269" s="91">
        <v>3</v>
      </c>
      <c r="J269" s="91">
        <v>1</v>
      </c>
      <c r="K269" s="91" t="s">
        <v>1386</v>
      </c>
      <c r="L269" s="91" t="s">
        <v>62</v>
      </c>
      <c r="M269" s="91" t="s">
        <v>0</v>
      </c>
      <c r="Q269" s="91"/>
      <c r="S269" s="91" t="s">
        <v>143</v>
      </c>
      <c r="T269" s="91" t="s">
        <v>2366</v>
      </c>
      <c r="V269" s="91" t="s">
        <v>169</v>
      </c>
      <c r="W269" s="91" t="s">
        <v>180</v>
      </c>
    </row>
    <row r="270" spans="1:23">
      <c r="A270" s="93" t="str">
        <f>TEXT(tblProjectlist[[#This Row],[project-no]],"0")</f>
        <v>99932411</v>
      </c>
      <c r="H270" s="91">
        <v>1972</v>
      </c>
      <c r="I270" s="91">
        <v>3</v>
      </c>
      <c r="J270" s="91">
        <v>1</v>
      </c>
      <c r="K270" s="91" t="s">
        <v>1581</v>
      </c>
      <c r="L270" s="91" t="s">
        <v>62</v>
      </c>
      <c r="M270" s="91" t="s">
        <v>0</v>
      </c>
      <c r="Q270" s="91"/>
      <c r="S270" s="91" t="s">
        <v>143</v>
      </c>
      <c r="T270" s="91" t="s">
        <v>2366</v>
      </c>
      <c r="V270" s="91" t="s">
        <v>169</v>
      </c>
      <c r="W270" s="91" t="s">
        <v>180</v>
      </c>
    </row>
    <row r="271" spans="1:23">
      <c r="A271" s="93" t="str">
        <f>TEXT(tblProjectlist[[#This Row],[project-no]],"0")</f>
        <v>0</v>
      </c>
      <c r="H271" s="91">
        <v>1973</v>
      </c>
      <c r="I271" s="91">
        <v>3</v>
      </c>
      <c r="J271" s="91">
        <v>2</v>
      </c>
      <c r="K271" s="91"/>
      <c r="L271" s="91" t="s">
        <v>2175</v>
      </c>
      <c r="M271" s="91" t="s">
        <v>4</v>
      </c>
      <c r="Q271" s="91"/>
      <c r="S271" s="91" t="s">
        <v>143</v>
      </c>
      <c r="T271" s="91" t="s">
        <v>4353</v>
      </c>
      <c r="V271" s="91" t="s">
        <v>155</v>
      </c>
      <c r="W271" s="91" t="s">
        <v>180</v>
      </c>
    </row>
    <row r="272" spans="1:23">
      <c r="A272" s="93" t="str">
        <f>TEXT(tblProjectlist[[#This Row],[project-no]],"0")</f>
        <v>99620328</v>
      </c>
      <c r="H272" s="91">
        <v>9962</v>
      </c>
      <c r="I272" s="91">
        <v>3</v>
      </c>
      <c r="J272" s="91">
        <v>2</v>
      </c>
      <c r="K272" s="91" t="s">
        <v>1289</v>
      </c>
      <c r="L272" s="91" t="s">
        <v>62</v>
      </c>
      <c r="M272" s="91" t="s">
        <v>4</v>
      </c>
      <c r="Q272" s="91"/>
      <c r="S272" s="91" t="s">
        <v>143</v>
      </c>
      <c r="T272" s="91" t="s">
        <v>3139</v>
      </c>
      <c r="V272" s="91" t="s">
        <v>155</v>
      </c>
      <c r="W272" s="91" t="s">
        <v>180</v>
      </c>
    </row>
    <row r="273" spans="1:23">
      <c r="A273" s="93" t="str">
        <f>TEXT(tblProjectlist[[#This Row],[project-no]],"0")</f>
        <v>99620428</v>
      </c>
      <c r="H273" s="91">
        <v>9962</v>
      </c>
      <c r="I273" s="91">
        <v>4</v>
      </c>
      <c r="J273" s="91">
        <v>2</v>
      </c>
      <c r="K273" s="91" t="s">
        <v>1290</v>
      </c>
      <c r="L273" s="91" t="s">
        <v>64</v>
      </c>
      <c r="M273" s="91" t="s">
        <v>4</v>
      </c>
      <c r="Q273" s="91"/>
      <c r="S273" s="91" t="s">
        <v>143</v>
      </c>
      <c r="T273" s="91" t="s">
        <v>3140</v>
      </c>
      <c r="W273" s="91" t="s">
        <v>180</v>
      </c>
    </row>
    <row r="274" spans="1:23">
      <c r="A274" s="93" t="str">
        <f>TEXT(tblProjectlist[[#This Row],[project-no]],"0")</f>
        <v>99620516</v>
      </c>
      <c r="H274" s="91">
        <v>9962</v>
      </c>
      <c r="I274" s="91">
        <v>5</v>
      </c>
      <c r="J274" s="91">
        <v>1</v>
      </c>
      <c r="K274" s="91" t="s">
        <v>1291</v>
      </c>
      <c r="L274" s="91" t="s">
        <v>62</v>
      </c>
      <c r="M274" s="91" t="s">
        <v>0</v>
      </c>
      <c r="Q274" s="91"/>
      <c r="S274" s="91" t="s">
        <v>143</v>
      </c>
      <c r="T274" s="91" t="s">
        <v>3141</v>
      </c>
      <c r="V274" s="91" t="s">
        <v>168</v>
      </c>
      <c r="W274" s="91" t="s">
        <v>180</v>
      </c>
    </row>
    <row r="275" spans="1:23">
      <c r="A275" s="93" t="str">
        <f>TEXT(tblProjectlist[[#This Row],[project-no]],"0")</f>
        <v>19700743</v>
      </c>
      <c r="H275" s="91">
        <v>1970</v>
      </c>
      <c r="I275" s="91">
        <v>7</v>
      </c>
      <c r="J275" s="91">
        <v>4</v>
      </c>
      <c r="K275" s="91" t="s">
        <v>378</v>
      </c>
      <c r="L275" s="91" t="s">
        <v>58</v>
      </c>
      <c r="M275" s="91" t="s">
        <v>1</v>
      </c>
      <c r="Q275" s="91"/>
      <c r="S275" s="91" t="s">
        <v>143</v>
      </c>
      <c r="T275" s="91" t="s">
        <v>2352</v>
      </c>
      <c r="V275" s="91" t="s">
        <v>164</v>
      </c>
      <c r="W275" s="91" t="s">
        <v>180</v>
      </c>
    </row>
    <row r="276" spans="1:23">
      <c r="A276" s="93" t="str">
        <f>TEXT(tblProjectlist[[#This Row],[project-no]],"0")</f>
        <v>19700744</v>
      </c>
      <c r="H276" s="91">
        <v>1970</v>
      </c>
      <c r="I276" s="91">
        <v>7</v>
      </c>
      <c r="J276" s="91">
        <v>4</v>
      </c>
      <c r="K276" s="91" t="s">
        <v>379</v>
      </c>
      <c r="L276" s="91" t="s">
        <v>58</v>
      </c>
      <c r="M276" s="91" t="s">
        <v>1</v>
      </c>
      <c r="Q276" s="91"/>
      <c r="S276" s="91" t="s">
        <v>143</v>
      </c>
      <c r="T276" s="91" t="s">
        <v>2352</v>
      </c>
      <c r="V276" s="91" t="s">
        <v>160</v>
      </c>
      <c r="W276" s="91" t="s">
        <v>180</v>
      </c>
    </row>
    <row r="277" spans="1:23">
      <c r="A277" s="93" t="str">
        <f>TEXT(tblProjectlist[[#This Row],[project-no]],"0")</f>
        <v>19700747</v>
      </c>
      <c r="H277" s="91">
        <v>1970</v>
      </c>
      <c r="I277" s="91">
        <v>7</v>
      </c>
      <c r="J277" s="91">
        <v>4</v>
      </c>
      <c r="K277" s="91" t="s">
        <v>380</v>
      </c>
      <c r="L277" s="91" t="s">
        <v>58</v>
      </c>
      <c r="M277" s="91" t="s">
        <v>1</v>
      </c>
      <c r="Q277" s="91"/>
      <c r="S277" s="91" t="s">
        <v>143</v>
      </c>
      <c r="T277" s="91" t="s">
        <v>2352</v>
      </c>
      <c r="V277" s="91" t="s">
        <v>162</v>
      </c>
      <c r="W277" s="91" t="s">
        <v>180</v>
      </c>
    </row>
    <row r="278" spans="1:23">
      <c r="A278" s="93" t="str">
        <f>TEXT(tblProjectlist[[#This Row],[project-no]],"0")</f>
        <v>99890943</v>
      </c>
      <c r="H278" s="91">
        <v>1970</v>
      </c>
      <c r="I278" s="91">
        <v>7</v>
      </c>
      <c r="J278" s="91">
        <v>4</v>
      </c>
      <c r="K278" s="91" t="s">
        <v>1454</v>
      </c>
      <c r="L278" s="91" t="s">
        <v>58</v>
      </c>
      <c r="M278" s="91" t="s">
        <v>1</v>
      </c>
      <c r="Q278" s="91"/>
      <c r="S278" s="91" t="s">
        <v>143</v>
      </c>
      <c r="T278" s="91" t="s">
        <v>2352</v>
      </c>
      <c r="V278" s="91" t="s">
        <v>164</v>
      </c>
      <c r="W278" s="91" t="s">
        <v>180</v>
      </c>
    </row>
    <row r="279" spans="1:23">
      <c r="A279" s="93" t="str">
        <f>TEXT(tblProjectlist[[#This Row],[project-no]],"0")</f>
        <v>99910444</v>
      </c>
      <c r="H279" s="91">
        <v>1970</v>
      </c>
      <c r="I279" s="91">
        <v>7</v>
      </c>
      <c r="J279" s="91">
        <v>4</v>
      </c>
      <c r="K279" s="91" t="s">
        <v>1498</v>
      </c>
      <c r="L279" s="91" t="s">
        <v>58</v>
      </c>
      <c r="M279" s="91" t="s">
        <v>1</v>
      </c>
      <c r="Q279" s="91"/>
      <c r="S279" s="91" t="s">
        <v>143</v>
      </c>
      <c r="T279" s="91" t="s">
        <v>2352</v>
      </c>
      <c r="V279" s="91" t="s">
        <v>160</v>
      </c>
      <c r="W279" s="91" t="s">
        <v>180</v>
      </c>
    </row>
    <row r="280" spans="1:23">
      <c r="A280" s="93" t="str">
        <f>TEXT(tblProjectlist[[#This Row],[project-no]],"0")</f>
        <v>99620711</v>
      </c>
      <c r="H280" s="91">
        <v>9962</v>
      </c>
      <c r="I280" s="91">
        <v>7</v>
      </c>
      <c r="J280" s="91">
        <v>1</v>
      </c>
      <c r="K280" s="91" t="s">
        <v>1293</v>
      </c>
      <c r="L280" s="91" t="s">
        <v>62</v>
      </c>
      <c r="M280" s="91" t="s">
        <v>0</v>
      </c>
      <c r="Q280" s="91"/>
      <c r="S280" s="91" t="s">
        <v>143</v>
      </c>
      <c r="T280" s="91" t="s">
        <v>3143</v>
      </c>
      <c r="V280" s="91" t="s">
        <v>169</v>
      </c>
      <c r="W280" s="91" t="s">
        <v>180</v>
      </c>
    </row>
    <row r="281" spans="1:23">
      <c r="A281" s="93" t="str">
        <f>TEXT(tblProjectlist[[#This Row],[project-no]],"0")</f>
        <v>99620713</v>
      </c>
      <c r="H281" s="91">
        <v>9962</v>
      </c>
      <c r="I281" s="91">
        <v>7</v>
      </c>
      <c r="J281" s="91">
        <v>1</v>
      </c>
      <c r="K281" s="91" t="s">
        <v>1294</v>
      </c>
      <c r="L281" s="91" t="s">
        <v>62</v>
      </c>
      <c r="M281" s="91" t="s">
        <v>0</v>
      </c>
      <c r="Q281" s="91"/>
      <c r="S281" s="91" t="s">
        <v>143</v>
      </c>
      <c r="T281" s="91" t="s">
        <v>3143</v>
      </c>
      <c r="V281" s="91" t="s">
        <v>167</v>
      </c>
      <c r="W281" s="91" t="s">
        <v>180</v>
      </c>
    </row>
    <row r="282" spans="1:23">
      <c r="A282" s="93" t="str">
        <f>TEXT(tblProjectlist[[#This Row],[project-no]],"0")</f>
        <v>99869911</v>
      </c>
      <c r="H282" s="91">
        <v>9962</v>
      </c>
      <c r="I282" s="91">
        <v>7</v>
      </c>
      <c r="J282" s="91">
        <v>1</v>
      </c>
      <c r="K282" s="91" t="s">
        <v>1433</v>
      </c>
      <c r="L282" s="91" t="s">
        <v>62</v>
      </c>
      <c r="M282" s="91" t="s">
        <v>0</v>
      </c>
      <c r="Q282" s="91"/>
      <c r="S282" s="91" t="s">
        <v>143</v>
      </c>
      <c r="T282" s="91" t="s">
        <v>3143</v>
      </c>
      <c r="V282" s="91" t="s">
        <v>169</v>
      </c>
      <c r="W282" s="91" t="s">
        <v>180</v>
      </c>
    </row>
    <row r="283" spans="1:23">
      <c r="A283" s="93" t="str">
        <f>TEXT(tblProjectlist[[#This Row],[project-no]],"0")</f>
        <v>99869913</v>
      </c>
      <c r="H283" s="91">
        <v>9962</v>
      </c>
      <c r="I283" s="91">
        <v>7</v>
      </c>
      <c r="J283" s="91">
        <v>1</v>
      </c>
      <c r="K283" s="91" t="s">
        <v>1434</v>
      </c>
      <c r="L283" s="91" t="s">
        <v>62</v>
      </c>
      <c r="M283" s="91" t="s">
        <v>0</v>
      </c>
      <c r="Q283" s="91"/>
      <c r="S283" s="91" t="s">
        <v>143</v>
      </c>
      <c r="T283" s="91" t="s">
        <v>3143</v>
      </c>
      <c r="V283" s="91" t="s">
        <v>167</v>
      </c>
      <c r="W283" s="91" t="s">
        <v>180</v>
      </c>
    </row>
    <row r="284" spans="1:23">
      <c r="A284" s="93" t="str">
        <f>TEXT(tblProjectlist[[#This Row],[project-no]],"0")</f>
        <v>99620911</v>
      </c>
      <c r="H284" s="91">
        <v>9962</v>
      </c>
      <c r="I284" s="91">
        <v>9</v>
      </c>
      <c r="J284" s="91">
        <v>1</v>
      </c>
      <c r="K284" s="91" t="s">
        <v>1296</v>
      </c>
      <c r="L284" s="91" t="s">
        <v>64</v>
      </c>
      <c r="M284" s="91" t="s">
        <v>0</v>
      </c>
      <c r="Q284" s="91"/>
      <c r="S284" s="91" t="s">
        <v>143</v>
      </c>
      <c r="T284" s="91" t="s">
        <v>3145</v>
      </c>
      <c r="V284" s="91" t="s">
        <v>169</v>
      </c>
      <c r="W284" s="91" t="s">
        <v>180</v>
      </c>
    </row>
    <row r="285" spans="1:23">
      <c r="A285" s="93" t="str">
        <f>TEXT(tblProjectlist[[#This Row],[project-no]],"0")</f>
        <v>99620913</v>
      </c>
      <c r="H285" s="91">
        <v>9962</v>
      </c>
      <c r="I285" s="91">
        <v>9</v>
      </c>
      <c r="J285" s="91">
        <v>1</v>
      </c>
      <c r="K285" s="91" t="s">
        <v>1297</v>
      </c>
      <c r="L285" s="91" t="s">
        <v>64</v>
      </c>
      <c r="M285" s="91" t="s">
        <v>0</v>
      </c>
      <c r="Q285" s="91"/>
      <c r="S285" s="91" t="s">
        <v>143</v>
      </c>
      <c r="T285" s="91" t="s">
        <v>3145</v>
      </c>
      <c r="V285" s="91" t="s">
        <v>167</v>
      </c>
      <c r="W285" s="91" t="s">
        <v>180</v>
      </c>
    </row>
    <row r="286" spans="1:23">
      <c r="A286" s="93" t="str">
        <f>TEXT(tblProjectlist[[#This Row],[project-no]],"0")</f>
        <v>99871411</v>
      </c>
      <c r="H286" s="91">
        <v>9962</v>
      </c>
      <c r="I286" s="91">
        <v>9</v>
      </c>
      <c r="J286" s="91">
        <v>1</v>
      </c>
      <c r="K286" s="91" t="s">
        <v>1437</v>
      </c>
      <c r="L286" s="91" t="s">
        <v>64</v>
      </c>
      <c r="M286" s="91" t="s">
        <v>0</v>
      </c>
      <c r="Q286" s="91"/>
      <c r="S286" s="91" t="s">
        <v>143</v>
      </c>
      <c r="T286" s="91" t="s">
        <v>3145</v>
      </c>
      <c r="V286" s="91" t="s">
        <v>169</v>
      </c>
      <c r="W286" s="91" t="s">
        <v>180</v>
      </c>
    </row>
    <row r="287" spans="1:23">
      <c r="A287" s="93" t="str">
        <f>TEXT(tblProjectlist[[#This Row],[project-no]],"0")</f>
        <v>99871413</v>
      </c>
      <c r="H287" s="91">
        <v>9962</v>
      </c>
      <c r="I287" s="91">
        <v>9</v>
      </c>
      <c r="J287" s="91">
        <v>1</v>
      </c>
      <c r="K287" s="91" t="s">
        <v>1438</v>
      </c>
      <c r="L287" s="91" t="s">
        <v>64</v>
      </c>
      <c r="M287" s="91" t="s">
        <v>0</v>
      </c>
      <c r="Q287" s="91"/>
      <c r="S287" s="91" t="s">
        <v>143</v>
      </c>
      <c r="T287" s="91" t="s">
        <v>3145</v>
      </c>
      <c r="V287" s="91" t="s">
        <v>167</v>
      </c>
      <c r="W287" s="91" t="s">
        <v>180</v>
      </c>
    </row>
    <row r="288" spans="1:23">
      <c r="A288" s="93" t="str">
        <f>TEXT(tblProjectlist[[#This Row],[project-no]],"0")</f>
        <v>19701143</v>
      </c>
      <c r="H288" s="91">
        <v>1970</v>
      </c>
      <c r="I288" s="91">
        <v>11</v>
      </c>
      <c r="J288" s="91">
        <v>4</v>
      </c>
      <c r="K288" s="91" t="s">
        <v>381</v>
      </c>
      <c r="L288" s="91" t="s">
        <v>197</v>
      </c>
      <c r="M288" s="91" t="s">
        <v>1</v>
      </c>
      <c r="Q288" s="91"/>
      <c r="S288" s="91" t="s">
        <v>143</v>
      </c>
      <c r="T288" s="91" t="s">
        <v>2353</v>
      </c>
      <c r="V288" s="91" t="s">
        <v>164</v>
      </c>
      <c r="W288" s="91" t="s">
        <v>180</v>
      </c>
    </row>
    <row r="289" spans="1:23">
      <c r="A289" s="93" t="str">
        <f>TEXT(tblProjectlist[[#This Row],[project-no]],"0")</f>
        <v>19701144</v>
      </c>
      <c r="H289" s="91">
        <v>1970</v>
      </c>
      <c r="I289" s="91">
        <v>11</v>
      </c>
      <c r="J289" s="91">
        <v>4</v>
      </c>
      <c r="K289" s="91" t="s">
        <v>382</v>
      </c>
      <c r="L289" s="91" t="s">
        <v>197</v>
      </c>
      <c r="M289" s="91" t="s">
        <v>1</v>
      </c>
      <c r="Q289" s="91"/>
      <c r="S289" s="91" t="s">
        <v>143</v>
      </c>
      <c r="T289" s="91" t="s">
        <v>2353</v>
      </c>
      <c r="V289" s="91" t="s">
        <v>160</v>
      </c>
      <c r="W289" s="91" t="s">
        <v>180</v>
      </c>
    </row>
    <row r="290" spans="1:23">
      <c r="A290" s="93" t="str">
        <f>TEXT(tblProjectlist[[#This Row],[project-no]],"0")</f>
        <v>19701147</v>
      </c>
      <c r="H290" s="91">
        <v>1970</v>
      </c>
      <c r="I290" s="91">
        <v>11</v>
      </c>
      <c r="J290" s="91">
        <v>4</v>
      </c>
      <c r="K290" s="91" t="s">
        <v>383</v>
      </c>
      <c r="L290" s="91" t="s">
        <v>197</v>
      </c>
      <c r="M290" s="91" t="s">
        <v>1</v>
      </c>
      <c r="Q290" s="91"/>
      <c r="S290" s="91" t="s">
        <v>143</v>
      </c>
      <c r="T290" s="91" t="s">
        <v>2353</v>
      </c>
      <c r="V290" s="91" t="s">
        <v>162</v>
      </c>
      <c r="W290" s="91" t="s">
        <v>180</v>
      </c>
    </row>
    <row r="291" spans="1:23">
      <c r="A291" s="93" t="str">
        <f>TEXT(tblProjectlist[[#This Row],[project-no]],"0")</f>
        <v>99871241</v>
      </c>
      <c r="H291" s="91">
        <v>9987</v>
      </c>
      <c r="I291" s="91">
        <v>12</v>
      </c>
      <c r="J291" s="91">
        <v>4</v>
      </c>
      <c r="K291" s="91" t="s">
        <v>1435</v>
      </c>
      <c r="L291" s="91" t="s">
        <v>43</v>
      </c>
      <c r="M291" s="91" t="s">
        <v>1</v>
      </c>
      <c r="Q291" s="91"/>
      <c r="S291" s="91" t="s">
        <v>143</v>
      </c>
      <c r="T291" s="91" t="s">
        <v>3215</v>
      </c>
      <c r="V291" s="91" t="s">
        <v>159</v>
      </c>
      <c r="W291" s="91" t="s">
        <v>180</v>
      </c>
    </row>
    <row r="292" spans="1:23">
      <c r="A292" s="93" t="str">
        <f>TEXT(tblProjectlist[[#This Row],[project-no]],"0")</f>
        <v>19711341</v>
      </c>
      <c r="H292" s="91">
        <v>1971</v>
      </c>
      <c r="I292" s="91">
        <v>13</v>
      </c>
      <c r="J292" s="91">
        <v>4</v>
      </c>
      <c r="K292" s="91" t="s">
        <v>397</v>
      </c>
      <c r="L292" s="91" t="s">
        <v>62</v>
      </c>
      <c r="M292" s="91" t="s">
        <v>1</v>
      </c>
      <c r="Q292" s="91"/>
      <c r="S292" s="91" t="s">
        <v>143</v>
      </c>
      <c r="T292" s="91" t="s">
        <v>2363</v>
      </c>
      <c r="V292" s="91" t="s">
        <v>159</v>
      </c>
      <c r="W292" s="91" t="s">
        <v>180</v>
      </c>
    </row>
    <row r="293" spans="1:23">
      <c r="A293" s="93" t="str">
        <f>TEXT(tblProjectlist[[#This Row],[project-no]],"0")</f>
        <v>19711342</v>
      </c>
      <c r="H293" s="91">
        <v>1971</v>
      </c>
      <c r="I293" s="91">
        <v>13</v>
      </c>
      <c r="J293" s="91">
        <v>4</v>
      </c>
      <c r="K293" s="91" t="s">
        <v>398</v>
      </c>
      <c r="L293" s="91" t="s">
        <v>62</v>
      </c>
      <c r="M293" s="91" t="s">
        <v>1</v>
      </c>
      <c r="Q293" s="91"/>
      <c r="S293" s="91" t="s">
        <v>143</v>
      </c>
      <c r="T293" s="91" t="s">
        <v>2363</v>
      </c>
      <c r="V293" s="91" t="s">
        <v>163</v>
      </c>
      <c r="W293" s="91" t="s">
        <v>180</v>
      </c>
    </row>
    <row r="294" spans="1:23">
      <c r="A294" s="93" t="str">
        <f>TEXT(tblProjectlist[[#This Row],[project-no]],"0")</f>
        <v>19711343</v>
      </c>
      <c r="H294" s="91">
        <v>1971</v>
      </c>
      <c r="I294" s="91">
        <v>13</v>
      </c>
      <c r="J294" s="91">
        <v>4</v>
      </c>
      <c r="K294" s="91" t="s">
        <v>399</v>
      </c>
      <c r="L294" s="91" t="s">
        <v>62</v>
      </c>
      <c r="M294" s="91" t="s">
        <v>1</v>
      </c>
      <c r="Q294" s="91"/>
      <c r="S294" s="91" t="s">
        <v>143</v>
      </c>
      <c r="T294" s="91" t="s">
        <v>2363</v>
      </c>
      <c r="V294" s="91" t="s">
        <v>164</v>
      </c>
      <c r="W294" s="91" t="s">
        <v>180</v>
      </c>
    </row>
    <row r="295" spans="1:23">
      <c r="A295" s="93" t="str">
        <f>TEXT(tblProjectlist[[#This Row],[project-no]],"0")</f>
        <v>19711344</v>
      </c>
      <c r="H295" s="91">
        <v>1971</v>
      </c>
      <c r="I295" s="91">
        <v>13</v>
      </c>
      <c r="J295" s="91">
        <v>4</v>
      </c>
      <c r="K295" s="91" t="s">
        <v>400</v>
      </c>
      <c r="L295" s="91" t="s">
        <v>62</v>
      </c>
      <c r="M295" s="91" t="s">
        <v>1</v>
      </c>
      <c r="Q295" s="91"/>
      <c r="S295" s="91" t="s">
        <v>143</v>
      </c>
      <c r="T295" s="91" t="s">
        <v>2363</v>
      </c>
      <c r="V295" s="91" t="s">
        <v>160</v>
      </c>
      <c r="W295" s="91" t="s">
        <v>180</v>
      </c>
    </row>
    <row r="296" spans="1:23">
      <c r="A296" s="93" t="str">
        <f>TEXT(tblProjectlist[[#This Row],[project-no]],"0")</f>
        <v>19711347</v>
      </c>
      <c r="H296" s="91">
        <v>1971</v>
      </c>
      <c r="I296" s="91">
        <v>13</v>
      </c>
      <c r="J296" s="91">
        <v>4</v>
      </c>
      <c r="K296" s="91" t="s">
        <v>401</v>
      </c>
      <c r="L296" s="91" t="s">
        <v>62</v>
      </c>
      <c r="M296" s="91" t="s">
        <v>1</v>
      </c>
      <c r="Q296" s="91"/>
      <c r="S296" s="91" t="s">
        <v>143</v>
      </c>
      <c r="T296" s="91" t="s">
        <v>2363</v>
      </c>
      <c r="V296" s="91" t="s">
        <v>162</v>
      </c>
      <c r="W296" s="91" t="s">
        <v>180</v>
      </c>
    </row>
    <row r="297" spans="1:23">
      <c r="A297" s="93" t="str">
        <f>TEXT(tblProjectlist[[#This Row],[project-no]],"0")</f>
        <v>99867841</v>
      </c>
      <c r="H297" s="91">
        <v>1971</v>
      </c>
      <c r="I297" s="91">
        <v>13</v>
      </c>
      <c r="J297" s="91">
        <v>4</v>
      </c>
      <c r="K297" s="91" t="s">
        <v>1404</v>
      </c>
      <c r="L297" s="91" t="s">
        <v>62</v>
      </c>
      <c r="M297" s="91" t="s">
        <v>1</v>
      </c>
      <c r="Q297" s="91"/>
      <c r="S297" s="91" t="s">
        <v>143</v>
      </c>
      <c r="T297" s="91" t="s">
        <v>2363</v>
      </c>
      <c r="V297" s="91" t="s">
        <v>159</v>
      </c>
      <c r="W297" s="91" t="s">
        <v>180</v>
      </c>
    </row>
    <row r="298" spans="1:23">
      <c r="A298" s="93" t="str">
        <f>TEXT(tblProjectlist[[#This Row],[project-no]],"0")</f>
        <v>99867842</v>
      </c>
      <c r="H298" s="91">
        <v>1971</v>
      </c>
      <c r="I298" s="91">
        <v>13</v>
      </c>
      <c r="J298" s="91">
        <v>4</v>
      </c>
      <c r="K298" s="91" t="s">
        <v>1405</v>
      </c>
      <c r="L298" s="91" t="s">
        <v>62</v>
      </c>
      <c r="M298" s="91" t="s">
        <v>1</v>
      </c>
      <c r="Q298" s="91"/>
      <c r="S298" s="91" t="s">
        <v>143</v>
      </c>
      <c r="T298" s="91" t="s">
        <v>2363</v>
      </c>
      <c r="V298" s="91" t="s">
        <v>163</v>
      </c>
      <c r="W298" s="91" t="s">
        <v>180</v>
      </c>
    </row>
    <row r="299" spans="1:23">
      <c r="A299" s="93" t="str">
        <f>TEXT(tblProjectlist[[#This Row],[project-no]],"0")</f>
        <v>99867843</v>
      </c>
      <c r="H299" s="91">
        <v>1971</v>
      </c>
      <c r="I299" s="91">
        <v>13</v>
      </c>
      <c r="J299" s="91">
        <v>4</v>
      </c>
      <c r="K299" s="91" t="s">
        <v>1406</v>
      </c>
      <c r="L299" s="91" t="s">
        <v>62</v>
      </c>
      <c r="M299" s="91" t="s">
        <v>1</v>
      </c>
      <c r="Q299" s="91"/>
      <c r="S299" s="91" t="s">
        <v>143</v>
      </c>
      <c r="T299" s="91" t="s">
        <v>2363</v>
      </c>
      <c r="V299" s="91" t="s">
        <v>164</v>
      </c>
      <c r="W299" s="91" t="s">
        <v>180</v>
      </c>
    </row>
    <row r="300" spans="1:23">
      <c r="A300" s="93" t="str">
        <f>TEXT(tblProjectlist[[#This Row],[project-no]],"0")</f>
        <v>99867844</v>
      </c>
      <c r="H300" s="91">
        <v>1971</v>
      </c>
      <c r="I300" s="91">
        <v>13</v>
      </c>
      <c r="J300" s="91">
        <v>4</v>
      </c>
      <c r="K300" s="91" t="s">
        <v>1407</v>
      </c>
      <c r="L300" s="91" t="s">
        <v>62</v>
      </c>
      <c r="M300" s="91" t="s">
        <v>1</v>
      </c>
      <c r="Q300" s="91"/>
      <c r="S300" s="91" t="s">
        <v>143</v>
      </c>
      <c r="T300" s="91" t="s">
        <v>2363</v>
      </c>
      <c r="V300" s="91" t="s">
        <v>160</v>
      </c>
      <c r="W300" s="91" t="s">
        <v>180</v>
      </c>
    </row>
    <row r="301" spans="1:23">
      <c r="A301" s="93" t="str">
        <f>TEXT(tblProjectlist[[#This Row],[project-no]],"0")</f>
        <v>99869343</v>
      </c>
      <c r="H301" s="91">
        <v>1971</v>
      </c>
      <c r="I301" s="91">
        <v>13</v>
      </c>
      <c r="J301" s="91">
        <v>4</v>
      </c>
      <c r="K301" s="91" t="s">
        <v>1423</v>
      </c>
      <c r="L301" s="91" t="s">
        <v>62</v>
      </c>
      <c r="M301" s="91" t="s">
        <v>1</v>
      </c>
      <c r="Q301" s="91"/>
      <c r="S301" s="91" t="s">
        <v>143</v>
      </c>
      <c r="T301" s="91" t="s">
        <v>2363</v>
      </c>
      <c r="V301" s="91" t="s">
        <v>164</v>
      </c>
      <c r="W301" s="91" t="s">
        <v>180</v>
      </c>
    </row>
    <row r="302" spans="1:23">
      <c r="A302" s="93" t="str">
        <f>TEXT(tblProjectlist[[#This Row],[project-no]],"0")</f>
        <v>99869344</v>
      </c>
      <c r="H302" s="91">
        <v>1971</v>
      </c>
      <c r="I302" s="91">
        <v>13</v>
      </c>
      <c r="J302" s="91">
        <v>4</v>
      </c>
      <c r="K302" s="91" t="s">
        <v>1424</v>
      </c>
      <c r="L302" s="91" t="s">
        <v>62</v>
      </c>
      <c r="M302" s="91" t="s">
        <v>1</v>
      </c>
      <c r="Q302" s="91"/>
      <c r="S302" s="91" t="s">
        <v>143</v>
      </c>
      <c r="T302" s="91" t="s">
        <v>2363</v>
      </c>
      <c r="V302" s="91" t="s">
        <v>160</v>
      </c>
      <c r="W302" s="91" t="s">
        <v>180</v>
      </c>
    </row>
    <row r="303" spans="1:23">
      <c r="A303" s="93" t="str">
        <f>TEXT(tblProjectlist[[#This Row],[project-no]],"0")</f>
        <v>99861447</v>
      </c>
      <c r="H303" s="91">
        <v>9986</v>
      </c>
      <c r="I303" s="91">
        <v>14</v>
      </c>
      <c r="J303" s="91">
        <v>4</v>
      </c>
      <c r="K303" s="91" t="s">
        <v>1385</v>
      </c>
      <c r="L303" s="91" t="s">
        <v>58</v>
      </c>
      <c r="M303" s="91" t="s">
        <v>1</v>
      </c>
      <c r="Q303" s="91"/>
      <c r="S303" s="91" t="s">
        <v>143</v>
      </c>
      <c r="T303" s="91" t="s">
        <v>3206</v>
      </c>
      <c r="V303" s="91" t="s">
        <v>162</v>
      </c>
      <c r="W303" s="91" t="s">
        <v>180</v>
      </c>
    </row>
    <row r="304" spans="1:23">
      <c r="A304" s="93" t="str">
        <f>TEXT(tblProjectlist[[#This Row],[project-no]],"0")</f>
        <v>19711547</v>
      </c>
      <c r="H304" s="91">
        <v>1971</v>
      </c>
      <c r="I304" s="91">
        <v>15</v>
      </c>
      <c r="J304" s="91">
        <v>4</v>
      </c>
      <c r="K304" s="91" t="s">
        <v>402</v>
      </c>
      <c r="L304" s="91" t="s">
        <v>62</v>
      </c>
      <c r="M304" s="91" t="s">
        <v>1</v>
      </c>
      <c r="Q304" s="91"/>
      <c r="S304" s="91" t="s">
        <v>143</v>
      </c>
      <c r="T304" s="91" t="s">
        <v>2364</v>
      </c>
      <c r="W304" s="91" t="s">
        <v>180</v>
      </c>
    </row>
    <row r="305" spans="1:23">
      <c r="A305" s="93" t="str">
        <f>TEXT(tblProjectlist[[#This Row],[project-no]],"0")</f>
        <v>19711628</v>
      </c>
      <c r="H305" s="91">
        <v>1971</v>
      </c>
      <c r="I305" s="91">
        <v>16</v>
      </c>
      <c r="J305" s="91">
        <v>2</v>
      </c>
      <c r="K305" s="91" t="s">
        <v>403</v>
      </c>
      <c r="L305" s="91" t="s">
        <v>62</v>
      </c>
      <c r="M305" s="91" t="s">
        <v>4</v>
      </c>
      <c r="Q305" s="91"/>
      <c r="S305" s="91" t="s">
        <v>143</v>
      </c>
      <c r="T305" s="91" t="s">
        <v>2365</v>
      </c>
      <c r="W305" s="91" t="s">
        <v>180</v>
      </c>
    </row>
    <row r="306" spans="1:23">
      <c r="A306" s="93" t="str">
        <f>TEXT(tblProjectlist[[#This Row],[project-no]],"0")</f>
        <v>99861647</v>
      </c>
      <c r="H306" s="91">
        <v>9986</v>
      </c>
      <c r="I306" s="91">
        <v>16</v>
      </c>
      <c r="J306" s="91">
        <v>4</v>
      </c>
      <c r="K306" s="91" t="s">
        <v>1387</v>
      </c>
      <c r="L306" s="91" t="s">
        <v>64</v>
      </c>
      <c r="M306" s="91" t="s">
        <v>1</v>
      </c>
      <c r="Q306" s="91"/>
      <c r="S306" s="91" t="s">
        <v>143</v>
      </c>
      <c r="T306" s="91" t="s">
        <v>3207</v>
      </c>
      <c r="V306" s="91" t="s">
        <v>162</v>
      </c>
      <c r="W306" s="91" t="s">
        <v>180</v>
      </c>
    </row>
    <row r="307" spans="1:23">
      <c r="A307" s="93" t="str">
        <f>TEXT(tblProjectlist[[#This Row],[project-no]],"0")</f>
        <v>19721728</v>
      </c>
      <c r="H307" s="91">
        <v>1972</v>
      </c>
      <c r="I307" s="91">
        <v>17</v>
      </c>
      <c r="J307" s="91">
        <v>2</v>
      </c>
      <c r="K307" s="91" t="s">
        <v>407</v>
      </c>
      <c r="L307" s="91" t="s">
        <v>64</v>
      </c>
      <c r="M307" s="91" t="s">
        <v>4</v>
      </c>
      <c r="Q307" s="91"/>
      <c r="S307" s="91" t="s">
        <v>143</v>
      </c>
      <c r="T307" s="91" t="s">
        <v>2367</v>
      </c>
      <c r="W307" s="91" t="s">
        <v>180</v>
      </c>
    </row>
    <row r="308" spans="1:23">
      <c r="A308" s="93" t="str">
        <f>TEXT(tblProjectlist[[#This Row],[project-no]],"0")</f>
        <v>19721928</v>
      </c>
      <c r="H308" s="91">
        <v>1972</v>
      </c>
      <c r="I308" s="91">
        <v>19</v>
      </c>
      <c r="J308" s="91">
        <v>2</v>
      </c>
      <c r="K308" s="91" t="s">
        <v>408</v>
      </c>
      <c r="L308" s="91" t="s">
        <v>64</v>
      </c>
      <c r="M308" s="91" t="s">
        <v>4</v>
      </c>
      <c r="Q308" s="91"/>
      <c r="S308" s="91" t="s">
        <v>143</v>
      </c>
      <c r="T308" s="91" t="s">
        <v>2368</v>
      </c>
      <c r="V308" s="91" t="s">
        <v>155</v>
      </c>
      <c r="W308" s="91" t="s">
        <v>180</v>
      </c>
    </row>
    <row r="309" spans="1:23">
      <c r="A309" s="93" t="str">
        <f>TEXT(tblProjectlist[[#This Row],[project-no]],"0")</f>
        <v>19722226</v>
      </c>
      <c r="H309" s="91">
        <v>1972</v>
      </c>
      <c r="I309" s="91">
        <v>22</v>
      </c>
      <c r="J309" s="91">
        <v>2</v>
      </c>
      <c r="K309" s="91" t="s">
        <v>409</v>
      </c>
      <c r="L309" s="91" t="s">
        <v>64</v>
      </c>
      <c r="M309" s="91" t="s">
        <v>4</v>
      </c>
      <c r="Q309" s="91"/>
      <c r="S309" s="91" t="s">
        <v>143</v>
      </c>
      <c r="T309" s="91" t="s">
        <v>2369</v>
      </c>
      <c r="W309" s="91" t="s">
        <v>180</v>
      </c>
    </row>
    <row r="310" spans="1:23">
      <c r="A310" s="93" t="str">
        <f>TEXT(tblProjectlist[[#This Row],[project-no]],"0")</f>
        <v>99631511</v>
      </c>
      <c r="H310" s="91">
        <v>9963</v>
      </c>
      <c r="I310" s="91">
        <v>15</v>
      </c>
      <c r="J310" s="91">
        <v>1</v>
      </c>
      <c r="K310" s="91" t="s">
        <v>1314</v>
      </c>
      <c r="L310" s="91" t="s">
        <v>2175</v>
      </c>
      <c r="M310" s="91" t="s">
        <v>0</v>
      </c>
      <c r="Q310" s="91"/>
      <c r="S310" s="91" t="s">
        <v>143</v>
      </c>
      <c r="T310" s="91" t="s">
        <v>3157</v>
      </c>
      <c r="V310" s="91" t="s">
        <v>169</v>
      </c>
      <c r="W310" s="91" t="s">
        <v>180</v>
      </c>
    </row>
    <row r="311" spans="1:23">
      <c r="A311" s="93" t="str">
        <f>TEXT(tblProjectlist[[#This Row],[project-no]],"0")</f>
        <v>99631611</v>
      </c>
      <c r="H311" s="91">
        <v>9963</v>
      </c>
      <c r="I311" s="91">
        <v>16</v>
      </c>
      <c r="J311" s="91">
        <v>1</v>
      </c>
      <c r="K311" s="91" t="s">
        <v>1315</v>
      </c>
      <c r="L311" s="91" t="s">
        <v>2175</v>
      </c>
      <c r="M311" s="91" t="s">
        <v>0</v>
      </c>
      <c r="Q311" s="91"/>
      <c r="S311" s="91" t="s">
        <v>143</v>
      </c>
      <c r="T311" s="91" t="s">
        <v>3158</v>
      </c>
      <c r="V311" s="91" t="s">
        <v>169</v>
      </c>
      <c r="W311" s="91" t="s">
        <v>180</v>
      </c>
    </row>
    <row r="312" spans="1:23">
      <c r="A312" s="93" t="str">
        <f>TEXT(tblProjectlist[[#This Row],[project-no]],"0")</f>
        <v>19722428</v>
      </c>
      <c r="H312" s="91">
        <v>1972</v>
      </c>
      <c r="I312" s="91">
        <v>24</v>
      </c>
      <c r="J312" s="91">
        <v>2</v>
      </c>
      <c r="K312" s="91" t="s">
        <v>410</v>
      </c>
      <c r="L312" s="91" t="s">
        <v>64</v>
      </c>
      <c r="M312" s="91" t="s">
        <v>4</v>
      </c>
      <c r="Q312" s="91"/>
      <c r="S312" s="91" t="s">
        <v>143</v>
      </c>
      <c r="T312" s="91" t="s">
        <v>2370</v>
      </c>
      <c r="V312" s="91" t="s">
        <v>155</v>
      </c>
      <c r="W312" s="91" t="s">
        <v>180</v>
      </c>
    </row>
    <row r="313" spans="1:23">
      <c r="A313" s="93" t="str">
        <f>TEXT(tblProjectlist[[#This Row],[project-no]],"0")</f>
        <v>19722528</v>
      </c>
      <c r="H313" s="91">
        <v>1972</v>
      </c>
      <c r="I313" s="91">
        <v>25</v>
      </c>
      <c r="J313" s="91">
        <v>2</v>
      </c>
      <c r="K313" s="91" t="s">
        <v>411</v>
      </c>
      <c r="L313" s="91" t="s">
        <v>64</v>
      </c>
      <c r="M313" s="91" t="s">
        <v>4</v>
      </c>
      <c r="Q313" s="91"/>
      <c r="S313" s="91" t="s">
        <v>143</v>
      </c>
      <c r="T313" s="91" t="s">
        <v>2371</v>
      </c>
      <c r="W313" s="91" t="s">
        <v>180</v>
      </c>
    </row>
    <row r="314" spans="1:23">
      <c r="A314" s="93" t="str">
        <f>TEXT(tblProjectlist[[#This Row],[project-no]],"0")</f>
        <v>19702643</v>
      </c>
      <c r="H314" s="91">
        <v>1970</v>
      </c>
      <c r="I314" s="91">
        <v>26</v>
      </c>
      <c r="J314" s="91">
        <v>4</v>
      </c>
      <c r="K314" s="91" t="s">
        <v>384</v>
      </c>
      <c r="L314" s="91" t="s">
        <v>58</v>
      </c>
      <c r="M314" s="91" t="s">
        <v>1</v>
      </c>
      <c r="Q314" s="91"/>
      <c r="S314" s="91" t="s">
        <v>143</v>
      </c>
      <c r="T314" s="91" t="s">
        <v>2354</v>
      </c>
      <c r="V314" s="91" t="s">
        <v>164</v>
      </c>
      <c r="W314" s="91" t="s">
        <v>180</v>
      </c>
    </row>
    <row r="315" spans="1:23">
      <c r="A315" s="93" t="str">
        <f>TEXT(tblProjectlist[[#This Row],[project-no]],"0")</f>
        <v>19702644</v>
      </c>
      <c r="H315" s="91">
        <v>1970</v>
      </c>
      <c r="I315" s="91">
        <v>26</v>
      </c>
      <c r="J315" s="91">
        <v>4</v>
      </c>
      <c r="K315" s="91" t="s">
        <v>385</v>
      </c>
      <c r="L315" s="91" t="s">
        <v>58</v>
      </c>
      <c r="M315" s="91" t="s">
        <v>1</v>
      </c>
      <c r="Q315" s="91"/>
      <c r="S315" s="91" t="s">
        <v>143</v>
      </c>
      <c r="T315" s="91" t="s">
        <v>2354</v>
      </c>
      <c r="V315" s="91" t="s">
        <v>160</v>
      </c>
      <c r="W315" s="91" t="s">
        <v>180</v>
      </c>
    </row>
    <row r="316" spans="1:23">
      <c r="A316" s="93" t="str">
        <f>TEXT(tblProjectlist[[#This Row],[project-no]],"0")</f>
        <v>19722641</v>
      </c>
      <c r="H316" s="91">
        <v>1972</v>
      </c>
      <c r="I316" s="91">
        <v>26</v>
      </c>
      <c r="J316" s="91">
        <v>4</v>
      </c>
      <c r="K316" s="91" t="s">
        <v>412</v>
      </c>
      <c r="L316" s="91" t="s">
        <v>64</v>
      </c>
      <c r="M316" s="91" t="s">
        <v>1</v>
      </c>
      <c r="Q316" s="91"/>
      <c r="S316" s="91" t="s">
        <v>143</v>
      </c>
      <c r="T316" s="91" t="s">
        <v>2372</v>
      </c>
      <c r="V316" s="91" t="s">
        <v>163</v>
      </c>
      <c r="W316" s="91" t="s">
        <v>180</v>
      </c>
    </row>
    <row r="317" spans="1:23">
      <c r="A317" s="93" t="str">
        <f>TEXT(tblProjectlist[[#This Row],[project-no]],"0")</f>
        <v>19722642</v>
      </c>
      <c r="H317" s="91">
        <v>1972</v>
      </c>
      <c r="I317" s="91">
        <v>26</v>
      </c>
      <c r="J317" s="91">
        <v>4</v>
      </c>
      <c r="K317" s="91" t="s">
        <v>413</v>
      </c>
      <c r="L317" s="91" t="s">
        <v>64</v>
      </c>
      <c r="M317" s="91" t="s">
        <v>1</v>
      </c>
      <c r="Q317" s="91"/>
      <c r="S317" s="91" t="s">
        <v>143</v>
      </c>
      <c r="T317" s="91" t="s">
        <v>2372</v>
      </c>
      <c r="V317" s="91" t="s">
        <v>163</v>
      </c>
      <c r="W317" s="91" t="s">
        <v>180</v>
      </c>
    </row>
    <row r="318" spans="1:23">
      <c r="A318" s="93" t="str">
        <f>TEXT(tblProjectlist[[#This Row],[project-no]],"0")</f>
        <v>19722643</v>
      </c>
      <c r="H318" s="91">
        <v>1972</v>
      </c>
      <c r="I318" s="91">
        <v>26</v>
      </c>
      <c r="J318" s="91">
        <v>4</v>
      </c>
      <c r="K318" s="91" t="s">
        <v>414</v>
      </c>
      <c r="L318" s="91" t="s">
        <v>64</v>
      </c>
      <c r="M318" s="91" t="s">
        <v>1</v>
      </c>
      <c r="Q318" s="91"/>
      <c r="S318" s="91" t="s">
        <v>143</v>
      </c>
      <c r="T318" s="91" t="s">
        <v>2372</v>
      </c>
      <c r="V318" s="91" t="s">
        <v>164</v>
      </c>
      <c r="W318" s="91" t="s">
        <v>180</v>
      </c>
    </row>
    <row r="319" spans="1:23">
      <c r="A319" s="93" t="str">
        <f>TEXT(tblProjectlist[[#This Row],[project-no]],"0")</f>
        <v>19722644</v>
      </c>
      <c r="H319" s="91">
        <v>1972</v>
      </c>
      <c r="I319" s="91">
        <v>26</v>
      </c>
      <c r="J319" s="91">
        <v>4</v>
      </c>
      <c r="K319" s="91" t="s">
        <v>415</v>
      </c>
      <c r="L319" s="91" t="s">
        <v>64</v>
      </c>
      <c r="M319" s="91" t="s">
        <v>1</v>
      </c>
      <c r="Q319" s="91"/>
      <c r="S319" s="91" t="s">
        <v>143</v>
      </c>
      <c r="T319" s="91" t="s">
        <v>2372</v>
      </c>
      <c r="V319" s="91" t="s">
        <v>160</v>
      </c>
      <c r="W319" s="91" t="s">
        <v>180</v>
      </c>
    </row>
    <row r="320" spans="1:23">
      <c r="A320" s="93" t="str">
        <f>TEXT(tblProjectlist[[#This Row],[project-no]],"0")</f>
        <v>19722647</v>
      </c>
      <c r="H320" s="91">
        <v>1972</v>
      </c>
      <c r="I320" s="91">
        <v>26</v>
      </c>
      <c r="J320" s="91">
        <v>4</v>
      </c>
      <c r="K320" s="91" t="s">
        <v>416</v>
      </c>
      <c r="L320" s="91" t="s">
        <v>64</v>
      </c>
      <c r="M320" s="91" t="s">
        <v>1</v>
      </c>
      <c r="Q320" s="91"/>
      <c r="S320" s="91" t="s">
        <v>143</v>
      </c>
      <c r="T320" s="91" t="s">
        <v>2372</v>
      </c>
      <c r="V320" s="91" t="s">
        <v>162</v>
      </c>
      <c r="W320" s="91" t="s">
        <v>180</v>
      </c>
    </row>
    <row r="321" spans="1:23">
      <c r="A321" s="93" t="str">
        <f>TEXT(tblProjectlist[[#This Row],[project-no]],"0")</f>
        <v>19722747</v>
      </c>
      <c r="H321" s="91">
        <v>1972</v>
      </c>
      <c r="I321" s="91">
        <v>27</v>
      </c>
      <c r="J321" s="91">
        <v>4</v>
      </c>
      <c r="K321" s="91" t="s">
        <v>417</v>
      </c>
      <c r="L321" s="91" t="s">
        <v>64</v>
      </c>
      <c r="M321" s="91" t="s">
        <v>1</v>
      </c>
      <c r="Q321" s="91"/>
      <c r="S321" s="91" t="s">
        <v>143</v>
      </c>
      <c r="T321" s="91" t="s">
        <v>2373</v>
      </c>
      <c r="V321" s="91" t="s">
        <v>162</v>
      </c>
      <c r="W321" s="91" t="s">
        <v>180</v>
      </c>
    </row>
    <row r="322" spans="1:23">
      <c r="A322" s="93" t="str">
        <f>TEXT(tblProjectlist[[#This Row],[project-no]],"0")</f>
        <v>19722749</v>
      </c>
      <c r="H322" s="91">
        <v>1972</v>
      </c>
      <c r="I322" s="91">
        <v>27</v>
      </c>
      <c r="J322" s="91">
        <v>4</v>
      </c>
      <c r="K322" s="91" t="s">
        <v>418</v>
      </c>
      <c r="L322" s="91" t="s">
        <v>64</v>
      </c>
      <c r="M322" s="91" t="s">
        <v>1</v>
      </c>
      <c r="Q322" s="91"/>
      <c r="S322" s="91" t="s">
        <v>143</v>
      </c>
      <c r="T322" s="91" t="s">
        <v>2373</v>
      </c>
      <c r="V322" s="91" t="s">
        <v>158</v>
      </c>
      <c r="W322" s="91" t="s">
        <v>180</v>
      </c>
    </row>
    <row r="323" spans="1:23">
      <c r="A323" s="93" t="str">
        <f>TEXT(tblProjectlist[[#This Row],[project-no]],"0")</f>
        <v>99893411</v>
      </c>
      <c r="H323" s="91">
        <v>9989</v>
      </c>
      <c r="I323" s="91">
        <v>34</v>
      </c>
      <c r="J323" s="91">
        <v>1</v>
      </c>
      <c r="K323" s="91" t="s">
        <v>1459</v>
      </c>
      <c r="L323" s="91" t="s">
        <v>2175</v>
      </c>
      <c r="M323" s="91" t="s">
        <v>0</v>
      </c>
      <c r="Q323" s="91"/>
      <c r="S323" s="91" t="s">
        <v>143</v>
      </c>
      <c r="T323" s="91" t="s">
        <v>3225</v>
      </c>
      <c r="V323" s="91" t="s">
        <v>169</v>
      </c>
      <c r="W323" s="91" t="s">
        <v>180</v>
      </c>
    </row>
    <row r="324" spans="1:23">
      <c r="A324" s="93" t="str">
        <f>TEXT(tblProjectlist[[#This Row],[project-no]],"0")</f>
        <v>19703543</v>
      </c>
      <c r="H324" s="91">
        <v>1970</v>
      </c>
      <c r="I324" s="91">
        <v>35</v>
      </c>
      <c r="J324" s="91">
        <v>4</v>
      </c>
      <c r="K324" s="91" t="s">
        <v>386</v>
      </c>
      <c r="L324" s="91" t="s">
        <v>58</v>
      </c>
      <c r="M324" s="91" t="s">
        <v>1</v>
      </c>
      <c r="Q324" s="91"/>
      <c r="S324" s="91" t="s">
        <v>143</v>
      </c>
      <c r="T324" s="91" t="s">
        <v>2355</v>
      </c>
      <c r="V324" s="91" t="s">
        <v>164</v>
      </c>
      <c r="W324" s="91" t="s">
        <v>180</v>
      </c>
    </row>
    <row r="325" spans="1:23">
      <c r="A325" s="93" t="str">
        <f>TEXT(tblProjectlist[[#This Row],[project-no]],"0")</f>
        <v>19703544</v>
      </c>
      <c r="H325" s="91">
        <v>1970</v>
      </c>
      <c r="I325" s="91">
        <v>35</v>
      </c>
      <c r="J325" s="91">
        <v>4</v>
      </c>
      <c r="K325" s="91" t="s">
        <v>387</v>
      </c>
      <c r="L325" s="91" t="s">
        <v>58</v>
      </c>
      <c r="M325" s="91" t="s">
        <v>1</v>
      </c>
      <c r="Q325" s="91"/>
      <c r="S325" s="91" t="s">
        <v>143</v>
      </c>
      <c r="T325" s="91" t="s">
        <v>2355</v>
      </c>
      <c r="V325" s="91" t="s">
        <v>160</v>
      </c>
      <c r="W325" s="91" t="s">
        <v>180</v>
      </c>
    </row>
    <row r="326" spans="1:23">
      <c r="A326" s="93" t="str">
        <f>TEXT(tblProjectlist[[#This Row],[project-no]],"0")</f>
        <v>19703643</v>
      </c>
      <c r="H326" s="91">
        <v>1970</v>
      </c>
      <c r="I326" s="91">
        <v>36</v>
      </c>
      <c r="J326" s="91">
        <v>4</v>
      </c>
      <c r="K326" s="91" t="s">
        <v>388</v>
      </c>
      <c r="L326" s="91" t="s">
        <v>58</v>
      </c>
      <c r="M326" s="91" t="s">
        <v>1</v>
      </c>
      <c r="Q326" s="91"/>
      <c r="S326" s="91" t="s">
        <v>143</v>
      </c>
      <c r="T326" s="91" t="s">
        <v>2356</v>
      </c>
      <c r="V326" s="91" t="s">
        <v>164</v>
      </c>
      <c r="W326" s="91" t="s">
        <v>180</v>
      </c>
    </row>
    <row r="327" spans="1:23">
      <c r="A327" s="93" t="str">
        <f>TEXT(tblProjectlist[[#This Row],[project-no]],"0")</f>
        <v>19703644</v>
      </c>
      <c r="H327" s="91">
        <v>1970</v>
      </c>
      <c r="I327" s="91">
        <v>36</v>
      </c>
      <c r="J327" s="91">
        <v>4</v>
      </c>
      <c r="K327" s="91" t="s">
        <v>389</v>
      </c>
      <c r="L327" s="91" t="s">
        <v>58</v>
      </c>
      <c r="M327" s="91" t="s">
        <v>1</v>
      </c>
      <c r="Q327" s="91"/>
      <c r="S327" s="91" t="s">
        <v>143</v>
      </c>
      <c r="T327" s="91" t="s">
        <v>2356</v>
      </c>
      <c r="V327" s="91" t="s">
        <v>160</v>
      </c>
      <c r="W327" s="91" t="s">
        <v>180</v>
      </c>
    </row>
    <row r="328" spans="1:23">
      <c r="A328" s="93" t="str">
        <f>TEXT(tblProjectlist[[#This Row],[project-no]],"0")</f>
        <v>99950744</v>
      </c>
      <c r="H328" s="91">
        <v>1970</v>
      </c>
      <c r="I328" s="91">
        <v>36</v>
      </c>
      <c r="J328" s="91">
        <v>4</v>
      </c>
      <c r="K328" s="91" t="s">
        <v>1623</v>
      </c>
      <c r="L328" s="91" t="s">
        <v>58</v>
      </c>
      <c r="M328" s="91" t="s">
        <v>1</v>
      </c>
      <c r="Q328" s="91"/>
      <c r="S328" s="91" t="s">
        <v>143</v>
      </c>
      <c r="T328" s="91" t="s">
        <v>2356</v>
      </c>
      <c r="V328" s="91" t="s">
        <v>160</v>
      </c>
      <c r="W328" s="91" t="s">
        <v>180</v>
      </c>
    </row>
    <row r="329" spans="1:23">
      <c r="A329" s="93" t="str">
        <f>TEXT(tblProjectlist[[#This Row],[project-no]],"0")</f>
        <v>99951643</v>
      </c>
      <c r="H329" s="91">
        <v>1970</v>
      </c>
      <c r="I329" s="91">
        <v>36</v>
      </c>
      <c r="J329" s="91">
        <v>4</v>
      </c>
      <c r="K329" s="91" t="s">
        <v>1630</v>
      </c>
      <c r="L329" s="91" t="s">
        <v>58</v>
      </c>
      <c r="M329" s="91" t="s">
        <v>1</v>
      </c>
      <c r="Q329" s="91"/>
      <c r="S329" s="91" t="s">
        <v>143</v>
      </c>
      <c r="T329" s="91" t="s">
        <v>2356</v>
      </c>
      <c r="V329" s="91" t="s">
        <v>164</v>
      </c>
      <c r="W329" s="91" t="s">
        <v>180</v>
      </c>
    </row>
    <row r="330" spans="1:23">
      <c r="A330" s="93" t="str">
        <f>TEXT(tblProjectlist[[#This Row],[project-no]],"0")</f>
        <v>99951644</v>
      </c>
      <c r="H330" s="91">
        <v>1970</v>
      </c>
      <c r="I330" s="91">
        <v>36</v>
      </c>
      <c r="J330" s="91">
        <v>4</v>
      </c>
      <c r="K330" s="91" t="s">
        <v>1631</v>
      </c>
      <c r="L330" s="91" t="s">
        <v>58</v>
      </c>
      <c r="M330" s="91" t="s">
        <v>1</v>
      </c>
      <c r="Q330" s="91"/>
      <c r="S330" s="91" t="s">
        <v>143</v>
      </c>
      <c r="T330" s="91" t="s">
        <v>2356</v>
      </c>
      <c r="V330" s="91" t="s">
        <v>160</v>
      </c>
      <c r="W330" s="91" t="s">
        <v>180</v>
      </c>
    </row>
    <row r="331" spans="1:23">
      <c r="A331" s="93" t="str">
        <f>TEXT(tblProjectlist[[#This Row],[project-no]],"0")</f>
        <v>99968911</v>
      </c>
      <c r="H331" s="91">
        <v>9984</v>
      </c>
      <c r="I331" s="91">
        <v>36</v>
      </c>
      <c r="J331" s="91">
        <v>1</v>
      </c>
      <c r="K331" s="91" t="s">
        <v>1804</v>
      </c>
      <c r="L331" s="91" t="s">
        <v>1749</v>
      </c>
      <c r="M331" s="91" t="s">
        <v>0</v>
      </c>
      <c r="Q331" s="91"/>
      <c r="S331" s="91" t="s">
        <v>143</v>
      </c>
      <c r="T331" s="91" t="s">
        <v>3354</v>
      </c>
      <c r="V331" s="91" t="s">
        <v>169</v>
      </c>
      <c r="W331" s="91" t="s">
        <v>180</v>
      </c>
    </row>
    <row r="332" spans="1:23">
      <c r="A332" s="93" t="str">
        <f>TEXT(tblProjectlist[[#This Row],[project-no]],"0")</f>
        <v>99631711</v>
      </c>
      <c r="H332" s="91">
        <v>9963</v>
      </c>
      <c r="I332" s="91">
        <v>17</v>
      </c>
      <c r="J332" s="91">
        <v>1</v>
      </c>
      <c r="K332" s="91" t="s">
        <v>1316</v>
      </c>
      <c r="L332" s="91" t="s">
        <v>2175</v>
      </c>
      <c r="M332" s="91" t="s">
        <v>0</v>
      </c>
      <c r="Q332" s="91"/>
      <c r="S332" s="91" t="s">
        <v>143</v>
      </c>
      <c r="T332" s="91" t="s">
        <v>3159</v>
      </c>
      <c r="V332" s="91" t="s">
        <v>169</v>
      </c>
      <c r="W332" s="91" t="s">
        <v>180</v>
      </c>
    </row>
    <row r="333" spans="1:23">
      <c r="A333" s="93" t="str">
        <f>TEXT(tblProjectlist[[#This Row],[project-no]],"0")</f>
        <v>19704344</v>
      </c>
      <c r="H333" s="91">
        <v>1970</v>
      </c>
      <c r="I333" s="91">
        <v>43</v>
      </c>
      <c r="J333" s="91">
        <v>4</v>
      </c>
      <c r="K333" s="91" t="s">
        <v>390</v>
      </c>
      <c r="L333" s="91" t="s">
        <v>58</v>
      </c>
      <c r="M333" s="91" t="s">
        <v>1</v>
      </c>
      <c r="Q333" s="91"/>
      <c r="S333" s="91" t="s">
        <v>143</v>
      </c>
      <c r="T333" s="91" t="s">
        <v>2357</v>
      </c>
      <c r="V333" s="91" t="s">
        <v>160</v>
      </c>
      <c r="W333" s="91" t="s">
        <v>180</v>
      </c>
    </row>
    <row r="334" spans="1:23">
      <c r="A334" s="93" t="str">
        <f>TEXT(tblProjectlist[[#This Row],[project-no]],"0")</f>
        <v>19704447</v>
      </c>
      <c r="H334" s="91">
        <v>1970</v>
      </c>
      <c r="I334" s="91">
        <v>44</v>
      </c>
      <c r="J334" s="91">
        <v>4</v>
      </c>
      <c r="K334" s="91" t="s">
        <v>391</v>
      </c>
      <c r="L334" s="91" t="s">
        <v>58</v>
      </c>
      <c r="M334" s="91" t="s">
        <v>1</v>
      </c>
      <c r="Q334" s="91"/>
      <c r="S334" s="91" t="s">
        <v>143</v>
      </c>
      <c r="T334" s="91" t="s">
        <v>2358</v>
      </c>
      <c r="W334" s="91" t="s">
        <v>180</v>
      </c>
    </row>
    <row r="335" spans="1:23">
      <c r="A335" s="93" t="str">
        <f>TEXT(tblProjectlist[[#This Row],[project-no]],"0")</f>
        <v>19704547</v>
      </c>
      <c r="H335" s="91">
        <v>1970</v>
      </c>
      <c r="I335" s="91">
        <v>45</v>
      </c>
      <c r="J335" s="91">
        <v>4</v>
      </c>
      <c r="K335" s="91" t="s">
        <v>392</v>
      </c>
      <c r="L335" s="91" t="s">
        <v>58</v>
      </c>
      <c r="M335" s="91" t="s">
        <v>1</v>
      </c>
      <c r="Q335" s="91"/>
      <c r="S335" s="91" t="s">
        <v>143</v>
      </c>
      <c r="T335" s="91" t="s">
        <v>2359</v>
      </c>
      <c r="W335" s="91" t="s">
        <v>180</v>
      </c>
    </row>
    <row r="336" spans="1:23">
      <c r="A336" s="93" t="str">
        <f>TEXT(tblProjectlist[[#This Row],[project-no]],"0")</f>
        <v>99631811</v>
      </c>
      <c r="H336" s="91">
        <v>9963</v>
      </c>
      <c r="I336" s="91">
        <v>18</v>
      </c>
      <c r="J336" s="91">
        <v>1</v>
      </c>
      <c r="K336" s="91" t="s">
        <v>1317</v>
      </c>
      <c r="L336" s="91" t="s">
        <v>2175</v>
      </c>
      <c r="M336" s="91" t="s">
        <v>0</v>
      </c>
      <c r="Q336" s="91"/>
      <c r="S336" s="91" t="s">
        <v>143</v>
      </c>
      <c r="T336" s="91" t="s">
        <v>3160</v>
      </c>
      <c r="V336" s="91" t="s">
        <v>169</v>
      </c>
      <c r="W336" s="91" t="s">
        <v>180</v>
      </c>
    </row>
    <row r="337" spans="1:23">
      <c r="A337" s="93" t="str">
        <f>TEXT(tblProjectlist[[#This Row],[project-no]],"0")</f>
        <v>19704647</v>
      </c>
      <c r="H337" s="91">
        <v>1970</v>
      </c>
      <c r="I337" s="91">
        <v>46</v>
      </c>
      <c r="J337" s="91">
        <v>4</v>
      </c>
      <c r="K337" s="91" t="s">
        <v>393</v>
      </c>
      <c r="L337" s="91" t="s">
        <v>58</v>
      </c>
      <c r="M337" s="91" t="s">
        <v>1</v>
      </c>
      <c r="Q337" s="91"/>
      <c r="S337" s="91" t="s">
        <v>143</v>
      </c>
      <c r="T337" s="91" t="s">
        <v>2360</v>
      </c>
      <c r="W337" s="91" t="s">
        <v>180</v>
      </c>
    </row>
    <row r="338" spans="1:23">
      <c r="A338" s="93" t="str">
        <f>TEXT(tblProjectlist[[#This Row],[project-no]],"0")</f>
        <v>19704743</v>
      </c>
      <c r="H338" s="91">
        <v>1970</v>
      </c>
      <c r="I338" s="91">
        <v>47</v>
      </c>
      <c r="J338" s="91">
        <v>4</v>
      </c>
      <c r="K338" s="91" t="s">
        <v>394</v>
      </c>
      <c r="L338" s="91" t="s">
        <v>58</v>
      </c>
      <c r="M338" s="91" t="s">
        <v>1</v>
      </c>
      <c r="Q338" s="91"/>
      <c r="S338" s="91" t="s">
        <v>143</v>
      </c>
      <c r="T338" s="91" t="s">
        <v>2361</v>
      </c>
      <c r="V338" s="91" t="s">
        <v>164</v>
      </c>
      <c r="W338" s="91" t="s">
        <v>180</v>
      </c>
    </row>
    <row r="339" spans="1:23">
      <c r="A339" s="93" t="str">
        <f>TEXT(tblProjectlist[[#This Row],[project-no]],"0")</f>
        <v>19704842</v>
      </c>
      <c r="H339" s="91">
        <v>1970</v>
      </c>
      <c r="I339" s="91">
        <v>48</v>
      </c>
      <c r="J339" s="91">
        <v>4</v>
      </c>
      <c r="K339" s="91">
        <v>19704842</v>
      </c>
      <c r="L339" s="91" t="s">
        <v>58</v>
      </c>
      <c r="M339" s="91" t="s">
        <v>1</v>
      </c>
      <c r="Q339" s="91"/>
      <c r="S339" s="91" t="s">
        <v>143</v>
      </c>
      <c r="T339" s="91" t="s">
        <v>3763</v>
      </c>
      <c r="V339" s="91" t="s">
        <v>163</v>
      </c>
      <c r="W339" s="91" t="s">
        <v>180</v>
      </c>
    </row>
    <row r="340" spans="1:23">
      <c r="A340" s="93" t="str">
        <f>TEXT(tblProjectlist[[#This Row],[project-no]],"0")</f>
        <v>19704942</v>
      </c>
      <c r="H340" s="91">
        <v>1970</v>
      </c>
      <c r="I340" s="91">
        <v>49</v>
      </c>
      <c r="J340" s="91">
        <v>4</v>
      </c>
      <c r="K340" s="91">
        <v>19704942</v>
      </c>
      <c r="L340" s="91" t="s">
        <v>58</v>
      </c>
      <c r="M340" s="91" t="s">
        <v>1</v>
      </c>
      <c r="Q340" s="91"/>
      <c r="S340" s="91" t="s">
        <v>143</v>
      </c>
      <c r="T340" s="91" t="s">
        <v>3764</v>
      </c>
      <c r="V340" s="91" t="s">
        <v>163</v>
      </c>
      <c r="W340" s="91" t="s">
        <v>180</v>
      </c>
    </row>
    <row r="341" spans="1:23">
      <c r="A341" s="93" t="str">
        <f>TEXT(tblProjectlist[[#This Row],[project-no]],"0")</f>
        <v>19705041</v>
      </c>
      <c r="H341" s="91">
        <v>1970</v>
      </c>
      <c r="I341" s="91">
        <v>50</v>
      </c>
      <c r="J341" s="91">
        <v>4</v>
      </c>
      <c r="K341" s="91">
        <v>19705041</v>
      </c>
      <c r="L341" s="91" t="s">
        <v>58</v>
      </c>
      <c r="M341" s="91" t="s">
        <v>1</v>
      </c>
      <c r="Q341" s="91"/>
      <c r="S341" s="91" t="s">
        <v>143</v>
      </c>
      <c r="T341" s="91" t="s">
        <v>3836</v>
      </c>
      <c r="V341" s="91" t="s">
        <v>159</v>
      </c>
      <c r="W341" s="91" t="s">
        <v>180</v>
      </c>
    </row>
    <row r="342" spans="1:23">
      <c r="A342" s="93" t="str">
        <f>TEXT(tblProjectlist[[#This Row],[project-no]],"0")</f>
        <v>19705042</v>
      </c>
      <c r="H342" s="91">
        <v>1970</v>
      </c>
      <c r="I342" s="91">
        <v>50</v>
      </c>
      <c r="J342" s="91">
        <v>4</v>
      </c>
      <c r="K342" s="91">
        <v>19705042</v>
      </c>
      <c r="L342" s="91" t="s">
        <v>58</v>
      </c>
      <c r="M342" s="91" t="s">
        <v>1</v>
      </c>
      <c r="Q342" s="91"/>
      <c r="S342" s="91" t="s">
        <v>143</v>
      </c>
      <c r="T342" s="91" t="s">
        <v>3836</v>
      </c>
      <c r="V342" s="91" t="s">
        <v>163</v>
      </c>
      <c r="W342" s="91" t="s">
        <v>180</v>
      </c>
    </row>
    <row r="343" spans="1:23">
      <c r="A343" s="93" t="str">
        <f>TEXT(tblProjectlist[[#This Row],[project-no]],"0")</f>
        <v>0</v>
      </c>
      <c r="H343" s="91">
        <v>9981</v>
      </c>
      <c r="I343" s="91">
        <v>3</v>
      </c>
      <c r="J343" s="91">
        <v>1</v>
      </c>
      <c r="K343" s="91"/>
      <c r="L343" s="91" t="s">
        <v>2175</v>
      </c>
      <c r="M343" s="91" t="s">
        <v>0</v>
      </c>
      <c r="Q343" s="91"/>
      <c r="S343" s="91" t="s">
        <v>143</v>
      </c>
      <c r="T343" s="91" t="s">
        <v>4680</v>
      </c>
      <c r="V343" s="91" t="s">
        <v>167</v>
      </c>
      <c r="W343" s="91" t="s">
        <v>180</v>
      </c>
    </row>
    <row r="344" spans="1:23">
      <c r="A344" s="93" t="str">
        <f>TEXT(tblProjectlist[[#This Row],[project-no]],"0")</f>
        <v>0</v>
      </c>
      <c r="H344" s="91">
        <v>9981</v>
      </c>
      <c r="I344" s="91">
        <v>4</v>
      </c>
      <c r="J344" s="91">
        <v>1</v>
      </c>
      <c r="K344" s="91"/>
      <c r="L344" s="91" t="s">
        <v>2175</v>
      </c>
      <c r="M344" s="91" t="s">
        <v>0</v>
      </c>
      <c r="Q344" s="91"/>
      <c r="S344" s="91" t="s">
        <v>143</v>
      </c>
      <c r="T344" s="91" t="s">
        <v>4681</v>
      </c>
      <c r="W344" s="91" t="s">
        <v>180</v>
      </c>
    </row>
    <row r="345" spans="1:23">
      <c r="A345" s="93" t="str">
        <f>TEXT(tblProjectlist[[#This Row],[project-no]],"0")</f>
        <v>0</v>
      </c>
      <c r="H345" s="91">
        <v>9981</v>
      </c>
      <c r="I345" s="91">
        <v>6</v>
      </c>
      <c r="J345" s="91">
        <v>1</v>
      </c>
      <c r="K345" s="91"/>
      <c r="L345" s="91" t="s">
        <v>2175</v>
      </c>
      <c r="M345" s="91" t="s">
        <v>0</v>
      </c>
      <c r="Q345" s="91"/>
      <c r="S345" s="91" t="s">
        <v>143</v>
      </c>
      <c r="T345" s="91" t="s">
        <v>4721</v>
      </c>
      <c r="V345" s="91" t="s">
        <v>168</v>
      </c>
      <c r="W345" s="91" t="s">
        <v>180</v>
      </c>
    </row>
    <row r="346" spans="1:23">
      <c r="A346" s="93" t="str">
        <f>TEXT(tblProjectlist[[#This Row],[project-no]],"0")</f>
        <v>99810712</v>
      </c>
      <c r="H346" s="91">
        <v>9981</v>
      </c>
      <c r="I346" s="91">
        <v>7</v>
      </c>
      <c r="J346" s="91">
        <v>1</v>
      </c>
      <c r="K346" s="91" t="s">
        <v>1348</v>
      </c>
      <c r="L346" s="91" t="s">
        <v>2175</v>
      </c>
      <c r="M346" s="91" t="s">
        <v>0</v>
      </c>
      <c r="Q346" s="91"/>
      <c r="S346" s="91" t="s">
        <v>143</v>
      </c>
      <c r="T346" s="91" t="s">
        <v>3180</v>
      </c>
      <c r="V346" s="91" t="s">
        <v>169</v>
      </c>
      <c r="W346" s="91" t="s">
        <v>180</v>
      </c>
    </row>
    <row r="347" spans="1:23">
      <c r="A347" s="93" t="str">
        <f>TEXT(tblProjectlist[[#This Row],[project-no]],"0")</f>
        <v>99955011</v>
      </c>
      <c r="H347" s="91">
        <v>9995</v>
      </c>
      <c r="I347" s="91">
        <v>50</v>
      </c>
      <c r="J347" s="91">
        <v>1</v>
      </c>
      <c r="K347" s="91" t="s">
        <v>1662</v>
      </c>
      <c r="L347" s="91" t="s">
        <v>2175</v>
      </c>
      <c r="M347" s="91" t="s">
        <v>0</v>
      </c>
      <c r="Q347" s="91"/>
      <c r="S347" s="91" t="s">
        <v>143</v>
      </c>
      <c r="T347" s="91" t="s">
        <v>3304</v>
      </c>
      <c r="V347" s="91" t="s">
        <v>169</v>
      </c>
      <c r="W347" s="91" t="s">
        <v>180</v>
      </c>
    </row>
    <row r="348" spans="1:23">
      <c r="A348" s="93" t="str">
        <f>TEXT(tblProjectlist[[#This Row],[project-no]],"0")</f>
        <v>99955013</v>
      </c>
      <c r="H348" s="91">
        <v>9995</v>
      </c>
      <c r="I348" s="91">
        <v>50</v>
      </c>
      <c r="J348" s="91">
        <v>1</v>
      </c>
      <c r="K348" s="91" t="s">
        <v>1663</v>
      </c>
      <c r="L348" s="91" t="s">
        <v>2175</v>
      </c>
      <c r="M348" s="91" t="s">
        <v>0</v>
      </c>
      <c r="Q348" s="91"/>
      <c r="S348" s="91" t="s">
        <v>143</v>
      </c>
      <c r="T348" s="91" t="s">
        <v>3304</v>
      </c>
      <c r="V348" s="91" t="s">
        <v>167</v>
      </c>
      <c r="W348" s="91" t="s">
        <v>180</v>
      </c>
    </row>
    <row r="349" spans="1:23">
      <c r="A349" s="93" t="str">
        <f>TEXT(tblProjectlist[[#This Row],[project-no]],"0")</f>
        <v>19705042</v>
      </c>
      <c r="H349" s="91">
        <v>1970</v>
      </c>
      <c r="I349" s="91">
        <v>51</v>
      </c>
      <c r="J349" s="91">
        <v>4</v>
      </c>
      <c r="K349" s="91">
        <v>19705042</v>
      </c>
      <c r="L349" s="91" t="s">
        <v>58</v>
      </c>
      <c r="M349" s="91" t="s">
        <v>1</v>
      </c>
      <c r="Q349" s="91"/>
      <c r="S349" s="91" t="s">
        <v>143</v>
      </c>
      <c r="T349" s="91" t="s">
        <v>3883</v>
      </c>
      <c r="V349" s="91" t="s">
        <v>163</v>
      </c>
      <c r="W349" s="91" t="s">
        <v>180</v>
      </c>
    </row>
    <row r="350" spans="1:23">
      <c r="A350" s="93" t="str">
        <f>TEXT(tblProjectlist[[#This Row],[project-no]],"0")</f>
        <v>19705042</v>
      </c>
      <c r="H350" s="91">
        <v>1970</v>
      </c>
      <c r="I350" s="91">
        <v>52</v>
      </c>
      <c r="J350" s="91">
        <v>4</v>
      </c>
      <c r="K350" s="91">
        <v>19705042</v>
      </c>
      <c r="L350" s="91" t="s">
        <v>58</v>
      </c>
      <c r="M350" s="91" t="s">
        <v>1</v>
      </c>
      <c r="Q350" s="91"/>
      <c r="S350" s="91" t="s">
        <v>143</v>
      </c>
      <c r="T350" s="91" t="s">
        <v>4103</v>
      </c>
      <c r="V350" s="91" t="s">
        <v>163</v>
      </c>
      <c r="W350" s="91" t="s">
        <v>180</v>
      </c>
    </row>
    <row r="351" spans="1:23">
      <c r="A351" s="93" t="str">
        <f>TEXT(tblProjectlist[[#This Row],[project-no]],"0")</f>
        <v>0</v>
      </c>
      <c r="H351" s="91">
        <v>1970</v>
      </c>
      <c r="I351" s="91">
        <v>54</v>
      </c>
      <c r="J351" s="91">
        <v>4</v>
      </c>
      <c r="K351" s="91"/>
      <c r="L351" s="91" t="s">
        <v>58</v>
      </c>
      <c r="M351" s="91" t="s">
        <v>1</v>
      </c>
      <c r="Q351" s="91"/>
      <c r="S351" s="91" t="s">
        <v>143</v>
      </c>
      <c r="T351" s="91" t="s">
        <v>4185</v>
      </c>
      <c r="V351" s="91" t="s">
        <v>163</v>
      </c>
      <c r="W351" s="91" t="s">
        <v>180</v>
      </c>
    </row>
    <row r="352" spans="1:23">
      <c r="A352" s="93" t="str">
        <f>TEXT(tblProjectlist[[#This Row],[project-no]],"0")</f>
        <v>19705542</v>
      </c>
      <c r="H352" s="91">
        <v>1970</v>
      </c>
      <c r="I352" s="91">
        <v>55</v>
      </c>
      <c r="J352" s="91">
        <v>4</v>
      </c>
      <c r="K352" s="91">
        <v>19705542</v>
      </c>
      <c r="L352" s="91" t="s">
        <v>58</v>
      </c>
      <c r="M352" s="91" t="s">
        <v>1</v>
      </c>
      <c r="Q352" s="91"/>
      <c r="S352" s="91" t="s">
        <v>143</v>
      </c>
      <c r="T352" s="91" t="s">
        <v>4256</v>
      </c>
      <c r="V352" s="91" t="s">
        <v>163</v>
      </c>
      <c r="W352" s="91" t="s">
        <v>180</v>
      </c>
    </row>
    <row r="353" spans="1:23">
      <c r="A353" s="93" t="str">
        <f>TEXT(tblProjectlist[[#This Row],[project-no]],"0")</f>
        <v>19705642</v>
      </c>
      <c r="H353" s="91">
        <v>1970</v>
      </c>
      <c r="I353" s="91">
        <v>56</v>
      </c>
      <c r="J353" s="91">
        <v>4</v>
      </c>
      <c r="K353" s="91">
        <v>19705642</v>
      </c>
      <c r="L353" s="91" t="s">
        <v>58</v>
      </c>
      <c r="M353" s="91" t="s">
        <v>1</v>
      </c>
      <c r="Q353" s="91"/>
      <c r="S353" s="91" t="s">
        <v>143</v>
      </c>
      <c r="T353" s="91" t="s">
        <v>4257</v>
      </c>
      <c r="V353" s="91" t="s">
        <v>163</v>
      </c>
      <c r="W353" s="91" t="s">
        <v>180</v>
      </c>
    </row>
    <row r="354" spans="1:23">
      <c r="A354" s="93" t="str">
        <f>TEXT(tblProjectlist[[#This Row],[project-no]],"0")</f>
        <v>19705742</v>
      </c>
      <c r="H354" s="91">
        <v>1970</v>
      </c>
      <c r="I354" s="91">
        <v>57</v>
      </c>
      <c r="J354" s="91">
        <v>4</v>
      </c>
      <c r="K354" s="91">
        <v>19705742</v>
      </c>
      <c r="L354" s="91" t="s">
        <v>58</v>
      </c>
      <c r="M354" s="91" t="s">
        <v>1</v>
      </c>
      <c r="Q354" s="91"/>
      <c r="S354" s="91" t="s">
        <v>143</v>
      </c>
      <c r="T354" s="91" t="s">
        <v>4258</v>
      </c>
      <c r="V354" s="91" t="s">
        <v>163</v>
      </c>
      <c r="W354" s="91" t="s">
        <v>180</v>
      </c>
    </row>
    <row r="355" spans="1:23">
      <c r="A355" s="93" t="str">
        <f>TEXT(tblProjectlist[[#This Row],[project-no]],"0")</f>
        <v>99631816</v>
      </c>
      <c r="H355" s="91">
        <v>9963</v>
      </c>
      <c r="I355" s="91">
        <v>18</v>
      </c>
      <c r="J355" s="91">
        <v>1</v>
      </c>
      <c r="K355" s="91" t="s">
        <v>1318</v>
      </c>
      <c r="L355" s="91" t="s">
        <v>2175</v>
      </c>
      <c r="M355" s="91" t="s">
        <v>0</v>
      </c>
      <c r="Q355" s="91"/>
      <c r="S355" s="91" t="s">
        <v>143</v>
      </c>
      <c r="T355" s="91" t="s">
        <v>3160</v>
      </c>
      <c r="V355" s="91" t="s">
        <v>168</v>
      </c>
      <c r="W355" s="91" t="s">
        <v>180</v>
      </c>
    </row>
    <row r="356" spans="1:23">
      <c r="A356" s="93" t="str">
        <f>TEXT(tblProjectlist[[#This Row],[project-no]],"0")</f>
        <v>99631916</v>
      </c>
      <c r="H356" s="91">
        <v>9963</v>
      </c>
      <c r="I356" s="91">
        <v>19</v>
      </c>
      <c r="J356" s="91">
        <v>1</v>
      </c>
      <c r="K356" s="91" t="s">
        <v>1319</v>
      </c>
      <c r="L356" s="91" t="s">
        <v>2175</v>
      </c>
      <c r="M356" s="91" t="s">
        <v>0</v>
      </c>
      <c r="Q356" s="91"/>
      <c r="S356" s="91" t="s">
        <v>143</v>
      </c>
      <c r="T356" s="91" t="s">
        <v>3161</v>
      </c>
      <c r="V356" s="91" t="s">
        <v>168</v>
      </c>
      <c r="W356" s="91" t="s">
        <v>180</v>
      </c>
    </row>
    <row r="357" spans="1:23">
      <c r="A357" s="93" t="str">
        <f>TEXT(tblProjectlist[[#This Row],[project-no]],"0")</f>
        <v>99632011</v>
      </c>
      <c r="H357" s="91">
        <v>9963</v>
      </c>
      <c r="I357" s="91">
        <v>20</v>
      </c>
      <c r="J357" s="91">
        <v>1</v>
      </c>
      <c r="K357" s="91" t="s">
        <v>1320</v>
      </c>
      <c r="L357" s="91" t="s">
        <v>2175</v>
      </c>
      <c r="M357" s="91" t="s">
        <v>0</v>
      </c>
      <c r="Q357" s="91"/>
      <c r="S357" s="91" t="s">
        <v>143</v>
      </c>
      <c r="T357" s="91" t="s">
        <v>3162</v>
      </c>
      <c r="V357" s="91" t="s">
        <v>169</v>
      </c>
      <c r="W357" s="91" t="s">
        <v>180</v>
      </c>
    </row>
    <row r="358" spans="1:23">
      <c r="A358" s="93" t="str">
        <f>TEXT(tblProjectlist[[#This Row],[project-no]],"0")</f>
        <v>0</v>
      </c>
      <c r="H358" s="91">
        <v>1970</v>
      </c>
      <c r="I358" s="91">
        <v>58</v>
      </c>
      <c r="J358" s="91">
        <v>4</v>
      </c>
      <c r="K358" s="91"/>
      <c r="L358" s="91" t="s">
        <v>58</v>
      </c>
      <c r="M358" s="91" t="s">
        <v>1</v>
      </c>
      <c r="Q358" s="91"/>
      <c r="S358" s="91" t="s">
        <v>143</v>
      </c>
      <c r="T358" s="91" t="s">
        <v>4259</v>
      </c>
      <c r="V358" s="91" t="s">
        <v>162</v>
      </c>
      <c r="W358" s="91" t="s">
        <v>180</v>
      </c>
    </row>
    <row r="359" spans="1:23">
      <c r="A359" s="93" t="str">
        <f>TEXT(tblProjectlist[[#This Row],[project-no]],"0")</f>
        <v>0</v>
      </c>
      <c r="H359" s="91">
        <v>1970</v>
      </c>
      <c r="I359" s="91">
        <v>59</v>
      </c>
      <c r="J359" s="91">
        <v>2</v>
      </c>
      <c r="K359" s="91"/>
      <c r="L359" s="91" t="s">
        <v>2175</v>
      </c>
      <c r="M359" s="91" t="s">
        <v>4</v>
      </c>
      <c r="Q359" s="91"/>
      <c r="S359" s="91" t="s">
        <v>143</v>
      </c>
      <c r="T359" s="91" t="s">
        <v>4682</v>
      </c>
      <c r="V359" s="91" t="s">
        <v>155</v>
      </c>
      <c r="W359" s="91" t="s">
        <v>180</v>
      </c>
    </row>
    <row r="360" spans="1:23">
      <c r="A360" s="93" t="str">
        <f>TEXT(tblProjectlist[[#This Row],[project-no]],"0")</f>
        <v>0</v>
      </c>
      <c r="H360" s="91">
        <v>1970</v>
      </c>
      <c r="I360" s="91">
        <v>60</v>
      </c>
      <c r="J360" s="91">
        <v>2</v>
      </c>
      <c r="K360" s="91"/>
      <c r="L360" s="91" t="s">
        <v>2175</v>
      </c>
      <c r="M360" s="91" t="s">
        <v>4</v>
      </c>
      <c r="Q360" s="91"/>
      <c r="S360" s="91" t="s">
        <v>143</v>
      </c>
      <c r="T360" s="91" t="s">
        <v>4683</v>
      </c>
      <c r="V360" s="91" t="s">
        <v>155</v>
      </c>
      <c r="W360" s="91" t="s">
        <v>180</v>
      </c>
    </row>
    <row r="361" spans="1:23">
      <c r="A361" s="93" t="str">
        <f>TEXT(tblProjectlist[[#This Row],[project-no]],"0")</f>
        <v>99956213</v>
      </c>
      <c r="H361" s="91">
        <v>9995</v>
      </c>
      <c r="I361" s="91">
        <v>62</v>
      </c>
      <c r="J361" s="91">
        <v>1</v>
      </c>
      <c r="K361" s="91" t="s">
        <v>1678</v>
      </c>
      <c r="L361" s="91" t="s">
        <v>2175</v>
      </c>
      <c r="M361" s="91" t="s">
        <v>0</v>
      </c>
      <c r="Q361" s="91"/>
      <c r="S361" s="91" t="s">
        <v>143</v>
      </c>
      <c r="T361" s="91" t="s">
        <v>3315</v>
      </c>
      <c r="V361" s="91" t="s">
        <v>167</v>
      </c>
      <c r="W361" s="91" t="s">
        <v>180</v>
      </c>
    </row>
    <row r="362" spans="1:23">
      <c r="A362" s="93" t="str">
        <f>TEXT(tblProjectlist[[#This Row],[project-no]],"0")</f>
        <v>99632013</v>
      </c>
      <c r="H362" s="91">
        <v>9963</v>
      </c>
      <c r="I362" s="91">
        <v>20</v>
      </c>
      <c r="J362" s="91">
        <v>1</v>
      </c>
      <c r="K362" s="91" t="s">
        <v>1321</v>
      </c>
      <c r="L362" s="91" t="s">
        <v>2175</v>
      </c>
      <c r="M362" s="91" t="s">
        <v>0</v>
      </c>
      <c r="Q362" s="91"/>
      <c r="S362" s="91" t="s">
        <v>143</v>
      </c>
      <c r="T362" s="91" t="s">
        <v>3162</v>
      </c>
      <c r="V362" s="91" t="s">
        <v>167</v>
      </c>
      <c r="W362" s="91" t="s">
        <v>180</v>
      </c>
    </row>
    <row r="363" spans="1:23">
      <c r="A363" s="93" t="str">
        <f>TEXT(tblProjectlist[[#This Row],[project-no]],"0")</f>
        <v>99957213</v>
      </c>
      <c r="H363" s="91">
        <v>9995</v>
      </c>
      <c r="I363" s="91">
        <v>72</v>
      </c>
      <c r="J363" s="91">
        <v>1</v>
      </c>
      <c r="K363" s="91" t="s">
        <v>1688</v>
      </c>
      <c r="L363" s="91" t="s">
        <v>2175</v>
      </c>
      <c r="M363" s="91" t="s">
        <v>0</v>
      </c>
      <c r="Q363" s="91"/>
      <c r="S363" s="91" t="s">
        <v>143</v>
      </c>
      <c r="T363" s="91" t="s">
        <v>3325</v>
      </c>
      <c r="V363" s="91" t="s">
        <v>167</v>
      </c>
      <c r="W363" s="91" t="s">
        <v>180</v>
      </c>
    </row>
    <row r="364" spans="1:23">
      <c r="A364" s="93" t="str">
        <f>TEXT(tblProjectlist[[#This Row],[project-no]],"0")</f>
        <v>99957313</v>
      </c>
      <c r="H364" s="91">
        <v>9995</v>
      </c>
      <c r="I364" s="91">
        <v>73</v>
      </c>
      <c r="J364" s="91">
        <v>1</v>
      </c>
      <c r="K364" s="91" t="s">
        <v>1689</v>
      </c>
      <c r="L364" s="91" t="s">
        <v>2175</v>
      </c>
      <c r="M364" s="91" t="s">
        <v>0</v>
      </c>
      <c r="Q364" s="91"/>
      <c r="S364" s="91" t="s">
        <v>143</v>
      </c>
      <c r="T364" s="91" t="s">
        <v>3326</v>
      </c>
      <c r="V364" s="91" t="s">
        <v>167</v>
      </c>
      <c r="W364" s="91" t="s">
        <v>180</v>
      </c>
    </row>
    <row r="365" spans="1:23">
      <c r="A365" s="93" t="str">
        <f>TEXT(tblProjectlist[[#This Row],[project-no]],"0")</f>
        <v>99843611</v>
      </c>
      <c r="H365" s="91">
        <v>9985</v>
      </c>
      <c r="I365" s="91">
        <v>74</v>
      </c>
      <c r="J365" s="91">
        <v>1</v>
      </c>
      <c r="K365" s="91" t="s">
        <v>1352</v>
      </c>
      <c r="L365" s="91" t="s">
        <v>197</v>
      </c>
      <c r="M365" s="91" t="s">
        <v>0</v>
      </c>
      <c r="Q365" s="91"/>
      <c r="S365" s="91" t="s">
        <v>143</v>
      </c>
      <c r="T365" s="91" t="s">
        <v>3183</v>
      </c>
      <c r="V365" s="91" t="s">
        <v>169</v>
      </c>
      <c r="W365" s="91" t="s">
        <v>180</v>
      </c>
    </row>
    <row r="366" spans="1:23">
      <c r="A366" s="93" t="str">
        <f>TEXT(tblProjectlist[[#This Row],[project-no]],"0")</f>
        <v>99857411</v>
      </c>
      <c r="H366" s="91">
        <v>9985</v>
      </c>
      <c r="I366" s="91">
        <v>74</v>
      </c>
      <c r="J366" s="91">
        <v>1</v>
      </c>
      <c r="K366" s="91" t="s">
        <v>1372</v>
      </c>
      <c r="L366" s="91" t="s">
        <v>197</v>
      </c>
      <c r="M366" s="91" t="s">
        <v>0</v>
      </c>
      <c r="Q366" s="91"/>
      <c r="S366" s="91" t="s">
        <v>143</v>
      </c>
      <c r="T366" s="91" t="s">
        <v>3183</v>
      </c>
      <c r="V366" s="91" t="s">
        <v>169</v>
      </c>
      <c r="W366" s="91" t="s">
        <v>180</v>
      </c>
    </row>
    <row r="367" spans="1:23">
      <c r="A367" s="93" t="str">
        <f>TEXT(tblProjectlist[[#This Row],[project-no]],"0")</f>
        <v>0</v>
      </c>
      <c r="H367" s="91">
        <v>1971</v>
      </c>
      <c r="I367" s="91">
        <v>88</v>
      </c>
      <c r="J367" s="91">
        <v>4</v>
      </c>
      <c r="K367" s="91"/>
      <c r="L367" s="91" t="s">
        <v>62</v>
      </c>
      <c r="M367" s="91" t="s">
        <v>1</v>
      </c>
      <c r="Q367" s="91"/>
      <c r="S367" s="91" t="s">
        <v>143</v>
      </c>
      <c r="T367" s="91" t="s">
        <v>4186</v>
      </c>
      <c r="V367" s="91" t="s">
        <v>160</v>
      </c>
      <c r="W367" s="91" t="s">
        <v>180</v>
      </c>
    </row>
    <row r="368" spans="1:23">
      <c r="A368" s="93" t="str">
        <f>TEXT(tblProjectlist[[#This Row],[project-no]],"0")</f>
        <v>0</v>
      </c>
      <c r="H368" s="91">
        <v>1972</v>
      </c>
      <c r="I368" s="91">
        <v>89</v>
      </c>
      <c r="J368" s="91">
        <v>4</v>
      </c>
      <c r="K368" s="91"/>
      <c r="L368" s="91" t="s">
        <v>64</v>
      </c>
      <c r="M368" s="91" t="s">
        <v>1</v>
      </c>
      <c r="Q368" s="91"/>
      <c r="S368" s="91" t="s">
        <v>143</v>
      </c>
      <c r="T368" s="91" t="s">
        <v>4309</v>
      </c>
      <c r="V368" s="91" t="s">
        <v>160</v>
      </c>
      <c r="W368" s="91" t="s">
        <v>180</v>
      </c>
    </row>
    <row r="369" spans="1:23">
      <c r="A369" s="93" t="str">
        <f>TEXT(tblProjectlist[[#This Row],[project-no]],"0")</f>
        <v>31410228</v>
      </c>
      <c r="H369" s="91">
        <v>3141</v>
      </c>
      <c r="I369" s="91">
        <v>2</v>
      </c>
      <c r="J369" s="91">
        <v>2</v>
      </c>
      <c r="K369" s="91" t="s">
        <v>739</v>
      </c>
      <c r="L369" s="91" t="s">
        <v>2175</v>
      </c>
      <c r="M369" s="91" t="s">
        <v>4</v>
      </c>
      <c r="Q369" s="91"/>
      <c r="S369" s="91" t="s">
        <v>143</v>
      </c>
      <c r="T369" s="91" t="s">
        <v>2637</v>
      </c>
      <c r="V369" s="91" t="s">
        <v>155</v>
      </c>
      <c r="W369" s="91" t="s">
        <v>180</v>
      </c>
    </row>
    <row r="370" spans="1:23">
      <c r="A370" s="93" t="str">
        <f>TEXT(tblProjectlist[[#This Row],[project-no]],"0")</f>
        <v>0</v>
      </c>
      <c r="H370" s="91">
        <v>6409</v>
      </c>
      <c r="I370" s="91">
        <v>2</v>
      </c>
      <c r="J370" s="91">
        <v>2</v>
      </c>
      <c r="K370" s="91"/>
      <c r="L370" s="91" t="s">
        <v>2175</v>
      </c>
      <c r="M370" s="91" t="s">
        <v>4</v>
      </c>
      <c r="Q370" s="91"/>
      <c r="S370" s="91" t="s">
        <v>143</v>
      </c>
      <c r="T370" s="91" t="s">
        <v>4086</v>
      </c>
      <c r="V370" s="91" t="s">
        <v>155</v>
      </c>
      <c r="W370" s="91" t="s">
        <v>180</v>
      </c>
    </row>
    <row r="371" spans="1:23">
      <c r="A371" s="93" t="str">
        <f>TEXT(tblProjectlist[[#This Row],[project-no]],"0")</f>
        <v>64250128</v>
      </c>
      <c r="H371" s="91">
        <v>6425</v>
      </c>
      <c r="I371" s="91">
        <v>1</v>
      </c>
      <c r="J371" s="91">
        <v>2</v>
      </c>
      <c r="K371" s="91" t="s">
        <v>856</v>
      </c>
      <c r="L371" s="91" t="s">
        <v>2175</v>
      </c>
      <c r="M371" s="91" t="s">
        <v>4</v>
      </c>
      <c r="Q371" s="91"/>
      <c r="S371" s="91" t="s">
        <v>143</v>
      </c>
      <c r="T371" s="91" t="s">
        <v>2738</v>
      </c>
      <c r="V371" s="91" t="s">
        <v>155</v>
      </c>
      <c r="W371" s="91" t="s">
        <v>180</v>
      </c>
    </row>
    <row r="372" spans="1:23">
      <c r="A372" s="93" t="str">
        <f>TEXT(tblProjectlist[[#This Row],[project-no]],"0")</f>
        <v>64252928</v>
      </c>
      <c r="H372" s="91">
        <v>6425</v>
      </c>
      <c r="I372" s="91">
        <v>29</v>
      </c>
      <c r="J372" s="91">
        <v>2</v>
      </c>
      <c r="K372" s="91" t="s">
        <v>857</v>
      </c>
      <c r="L372" s="91" t="s">
        <v>2175</v>
      </c>
      <c r="M372" s="91" t="s">
        <v>4</v>
      </c>
      <c r="Q372" s="91"/>
      <c r="S372" s="91" t="s">
        <v>143</v>
      </c>
      <c r="T372" s="91" t="s">
        <v>2739</v>
      </c>
      <c r="V372" s="91" t="s">
        <v>155</v>
      </c>
      <c r="W372" s="91" t="s">
        <v>180</v>
      </c>
    </row>
    <row r="373" spans="1:23">
      <c r="A373" s="93" t="str">
        <f>TEXT(tblProjectlist[[#This Row],[project-no]],"0")</f>
        <v>99961428</v>
      </c>
      <c r="H373" s="91">
        <v>6425</v>
      </c>
      <c r="I373" s="91">
        <v>29</v>
      </c>
      <c r="J373" s="91">
        <v>2</v>
      </c>
      <c r="K373" s="91" t="s">
        <v>1735</v>
      </c>
      <c r="L373" s="91" t="s">
        <v>2175</v>
      </c>
      <c r="M373" s="91" t="s">
        <v>4</v>
      </c>
      <c r="Q373" s="91"/>
      <c r="S373" s="91" t="s">
        <v>143</v>
      </c>
      <c r="T373" s="91" t="s">
        <v>2739</v>
      </c>
      <c r="W373" s="91" t="s">
        <v>180</v>
      </c>
    </row>
    <row r="374" spans="1:23">
      <c r="A374" s="93" t="str">
        <f>TEXT(tblProjectlist[[#This Row],[project-no]],"0")</f>
        <v>64253328</v>
      </c>
      <c r="H374" s="91">
        <v>6425</v>
      </c>
      <c r="I374" s="91">
        <v>33</v>
      </c>
      <c r="J374" s="91">
        <v>2</v>
      </c>
      <c r="K374" s="91" t="s">
        <v>858</v>
      </c>
      <c r="L374" s="91" t="s">
        <v>2175</v>
      </c>
      <c r="M374" s="91" t="s">
        <v>4</v>
      </c>
      <c r="Q374" s="91"/>
      <c r="S374" s="91" t="s">
        <v>143</v>
      </c>
      <c r="T374" s="91" t="s">
        <v>2740</v>
      </c>
      <c r="V374" s="91" t="s">
        <v>155</v>
      </c>
      <c r="W374" s="91" t="s">
        <v>180</v>
      </c>
    </row>
    <row r="375" spans="1:23">
      <c r="A375" s="93" t="str">
        <f>TEXT(tblProjectlist[[#This Row],[project-no]],"0")</f>
        <v>64253428</v>
      </c>
      <c r="H375" s="91">
        <v>6425</v>
      </c>
      <c r="I375" s="91">
        <v>34</v>
      </c>
      <c r="J375" s="91">
        <v>2</v>
      </c>
      <c r="K375" s="91" t="s">
        <v>859</v>
      </c>
      <c r="L375" s="91" t="s">
        <v>2175</v>
      </c>
      <c r="M375" s="91" t="s">
        <v>4</v>
      </c>
      <c r="Q375" s="91"/>
      <c r="S375" s="91" t="s">
        <v>143</v>
      </c>
      <c r="T375" s="91" t="s">
        <v>2741</v>
      </c>
      <c r="V375" s="91" t="s">
        <v>155</v>
      </c>
      <c r="W375" s="91" t="s">
        <v>180</v>
      </c>
    </row>
    <row r="376" spans="1:23">
      <c r="A376" s="93" t="str">
        <f>TEXT(tblProjectlist[[#This Row],[project-no]],"0")</f>
        <v>64253528</v>
      </c>
      <c r="H376" s="91">
        <v>6425</v>
      </c>
      <c r="I376" s="91">
        <v>35</v>
      </c>
      <c r="J376" s="91">
        <v>2</v>
      </c>
      <c r="K376" s="91" t="s">
        <v>860</v>
      </c>
      <c r="L376" s="91" t="s">
        <v>2175</v>
      </c>
      <c r="M376" s="91" t="s">
        <v>4</v>
      </c>
      <c r="Q376" s="91"/>
      <c r="S376" s="91" t="s">
        <v>143</v>
      </c>
      <c r="T376" s="91" t="s">
        <v>2742</v>
      </c>
      <c r="V376" s="91" t="s">
        <v>155</v>
      </c>
      <c r="W376" s="91" t="s">
        <v>180</v>
      </c>
    </row>
    <row r="377" spans="1:23">
      <c r="A377" s="93" t="str">
        <f>TEXT(tblProjectlist[[#This Row],[project-no]],"0")</f>
        <v>64253628</v>
      </c>
      <c r="H377" s="91">
        <v>6425</v>
      </c>
      <c r="I377" s="91">
        <v>36</v>
      </c>
      <c r="J377" s="91">
        <v>2</v>
      </c>
      <c r="K377" s="91" t="s">
        <v>861</v>
      </c>
      <c r="L377" s="91" t="s">
        <v>2175</v>
      </c>
      <c r="M377" s="91" t="s">
        <v>4</v>
      </c>
      <c r="Q377" s="91"/>
      <c r="S377" s="91" t="s">
        <v>143</v>
      </c>
      <c r="T377" s="91" t="s">
        <v>2743</v>
      </c>
      <c r="V377" s="91" t="s">
        <v>155</v>
      </c>
      <c r="W377" s="91" t="s">
        <v>180</v>
      </c>
    </row>
    <row r="378" spans="1:23">
      <c r="A378" s="93" t="str">
        <f>TEXT(tblProjectlist[[#This Row],[project-no]],"0")</f>
        <v>64253728</v>
      </c>
      <c r="H378" s="91">
        <v>6425</v>
      </c>
      <c r="I378" s="91">
        <v>37</v>
      </c>
      <c r="J378" s="91">
        <v>2</v>
      </c>
      <c r="K378" s="91" t="s">
        <v>862</v>
      </c>
      <c r="L378" s="91" t="s">
        <v>2175</v>
      </c>
      <c r="M378" s="91" t="s">
        <v>4</v>
      </c>
      <c r="Q378" s="91"/>
      <c r="S378" s="91" t="s">
        <v>143</v>
      </c>
      <c r="T378" s="91" t="s">
        <v>2744</v>
      </c>
      <c r="V378" s="91" t="s">
        <v>155</v>
      </c>
      <c r="W378" s="91" t="s">
        <v>180</v>
      </c>
    </row>
    <row r="379" spans="1:23">
      <c r="A379" s="93" t="str">
        <f>TEXT(tblProjectlist[[#This Row],[project-no]],"0")</f>
        <v>0</v>
      </c>
      <c r="H379" s="91">
        <v>6425</v>
      </c>
      <c r="I379" s="91">
        <v>38</v>
      </c>
      <c r="J379" s="91">
        <v>2</v>
      </c>
      <c r="K379" s="91"/>
      <c r="L379" s="91" t="s">
        <v>2175</v>
      </c>
      <c r="M379" s="91" t="s">
        <v>4</v>
      </c>
      <c r="Q379" s="91"/>
      <c r="S379" s="91" t="s">
        <v>143</v>
      </c>
      <c r="T379" s="91" t="s">
        <v>3782</v>
      </c>
      <c r="V379" s="91" t="s">
        <v>155</v>
      </c>
      <c r="W379" s="91" t="s">
        <v>180</v>
      </c>
    </row>
    <row r="380" spans="1:23">
      <c r="A380" s="93" t="str">
        <f>TEXT(tblProjectlist[[#This Row],[project-no]],"0")</f>
        <v>0</v>
      </c>
      <c r="H380" s="91">
        <v>6425</v>
      </c>
      <c r="I380" s="91">
        <v>39</v>
      </c>
      <c r="J380" s="91">
        <v>2</v>
      </c>
      <c r="K380" s="91"/>
      <c r="L380" s="91" t="s">
        <v>62</v>
      </c>
      <c r="M380" s="91" t="s">
        <v>4</v>
      </c>
      <c r="Q380" s="91"/>
      <c r="S380" s="91" t="s">
        <v>143</v>
      </c>
      <c r="T380" s="91" t="s">
        <v>3887</v>
      </c>
      <c r="V380" s="91" t="s">
        <v>155</v>
      </c>
      <c r="W380" s="91" t="s">
        <v>180</v>
      </c>
    </row>
    <row r="381" spans="1:23">
      <c r="A381" s="93" t="str">
        <f>TEXT(tblProjectlist[[#This Row],[project-no]],"0")</f>
        <v>0</v>
      </c>
      <c r="H381" s="91">
        <v>6425</v>
      </c>
      <c r="I381" s="91">
        <v>40</v>
      </c>
      <c r="J381" s="91">
        <v>2</v>
      </c>
      <c r="K381" s="91"/>
      <c r="L381" s="91" t="s">
        <v>2175</v>
      </c>
      <c r="M381" s="91" t="s">
        <v>4</v>
      </c>
      <c r="Q381" s="91"/>
      <c r="S381" s="91" t="s">
        <v>143</v>
      </c>
      <c r="T381" s="91" t="s">
        <v>3934</v>
      </c>
      <c r="V381" s="91" t="s">
        <v>155</v>
      </c>
      <c r="W381" s="91" t="s">
        <v>180</v>
      </c>
    </row>
    <row r="382" spans="1:23">
      <c r="A382" s="93" t="str">
        <f>TEXT(tblProjectlist[[#This Row],[project-no]],"0")</f>
        <v>0</v>
      </c>
      <c r="H382" s="91">
        <v>6425</v>
      </c>
      <c r="I382" s="91">
        <v>41</v>
      </c>
      <c r="J382" s="91">
        <v>2</v>
      </c>
      <c r="K382" s="91"/>
      <c r="L382" s="91" t="s">
        <v>2175</v>
      </c>
      <c r="M382" s="91" t="s">
        <v>4</v>
      </c>
      <c r="Q382" s="91"/>
      <c r="S382" s="91" t="s">
        <v>143</v>
      </c>
      <c r="T382" s="91" t="s">
        <v>4001</v>
      </c>
      <c r="V382" s="91" t="s">
        <v>155</v>
      </c>
      <c r="W382" s="91" t="s">
        <v>180</v>
      </c>
    </row>
    <row r="383" spans="1:23">
      <c r="A383" s="93" t="str">
        <f>TEXT(tblProjectlist[[#This Row],[project-no]],"0")</f>
        <v>0</v>
      </c>
      <c r="H383" s="91">
        <v>6425</v>
      </c>
      <c r="I383" s="91">
        <v>42</v>
      </c>
      <c r="J383" s="91">
        <v>2</v>
      </c>
      <c r="K383" s="91"/>
      <c r="L383" s="91" t="s">
        <v>2175</v>
      </c>
      <c r="M383" s="91" t="s">
        <v>4</v>
      </c>
      <c r="Q383" s="91"/>
      <c r="S383" s="91" t="s">
        <v>143</v>
      </c>
      <c r="T383" s="91" t="s">
        <v>4044</v>
      </c>
      <c r="V383" s="91" t="s">
        <v>155</v>
      </c>
      <c r="W383" s="91" t="s">
        <v>180</v>
      </c>
    </row>
    <row r="384" spans="1:23">
      <c r="A384" s="93" t="str">
        <f>TEXT(tblProjectlist[[#This Row],[project-no]],"0")</f>
        <v>0</v>
      </c>
      <c r="H384" s="91">
        <v>6425</v>
      </c>
      <c r="I384" s="91">
        <v>43</v>
      </c>
      <c r="J384" s="91">
        <v>2</v>
      </c>
      <c r="K384" s="91"/>
      <c r="L384" s="91" t="s">
        <v>2175</v>
      </c>
      <c r="M384" s="91" t="s">
        <v>4</v>
      </c>
      <c r="Q384" s="91"/>
      <c r="S384" s="91" t="s">
        <v>143</v>
      </c>
      <c r="T384" s="91" t="s">
        <v>4138</v>
      </c>
      <c r="V384" s="91" t="s">
        <v>155</v>
      </c>
      <c r="W384" s="91" t="s">
        <v>180</v>
      </c>
    </row>
    <row r="385" spans="1:23">
      <c r="A385" s="93" t="str">
        <f>TEXT(tblProjectlist[[#This Row],[project-no]],"0")</f>
        <v>07_Inc</v>
      </c>
      <c r="H385" s="91">
        <v>6425</v>
      </c>
      <c r="I385" s="91">
        <v>44</v>
      </c>
      <c r="J385" s="91">
        <v>2</v>
      </c>
      <c r="K385" s="91" t="s">
        <v>62</v>
      </c>
      <c r="L385" s="91" t="s">
        <v>62</v>
      </c>
      <c r="M385" s="91" t="s">
        <v>4</v>
      </c>
      <c r="Q385" s="91"/>
      <c r="S385" s="91" t="s">
        <v>143</v>
      </c>
      <c r="T385" s="91" t="s">
        <v>4237</v>
      </c>
      <c r="V385" s="91" t="s">
        <v>155</v>
      </c>
      <c r="W385" s="91" t="s">
        <v>180</v>
      </c>
    </row>
    <row r="386" spans="1:23">
      <c r="A386" s="93" t="str">
        <f>TEXT(tblProjectlist[[#This Row],[project-no]],"0")</f>
        <v>0</v>
      </c>
      <c r="H386" s="91">
        <v>6425</v>
      </c>
      <c r="I386" s="91">
        <v>45</v>
      </c>
      <c r="J386" s="91">
        <v>2</v>
      </c>
      <c r="K386" s="91"/>
      <c r="L386" s="91" t="s">
        <v>62</v>
      </c>
      <c r="M386" s="91" t="s">
        <v>4</v>
      </c>
      <c r="Q386" s="91"/>
      <c r="S386" s="91" t="s">
        <v>143</v>
      </c>
      <c r="T386" s="91" t="s">
        <v>4275</v>
      </c>
      <c r="V386" s="91" t="s">
        <v>155</v>
      </c>
      <c r="W386" s="91" t="s">
        <v>180</v>
      </c>
    </row>
    <row r="387" spans="1:23">
      <c r="A387" s="93" t="str">
        <f>TEXT(tblProjectlist[[#This Row],[project-no]],"0")</f>
        <v>0</v>
      </c>
      <c r="H387" s="91">
        <v>6425</v>
      </c>
      <c r="I387" s="91">
        <v>46</v>
      </c>
      <c r="J387" s="91">
        <v>2</v>
      </c>
      <c r="K387" s="91"/>
      <c r="L387" s="91" t="s">
        <v>62</v>
      </c>
      <c r="M387" s="91" t="s">
        <v>4</v>
      </c>
      <c r="Q387" s="91"/>
      <c r="S387" s="91" t="s">
        <v>143</v>
      </c>
      <c r="T387" s="91" t="s">
        <v>4311</v>
      </c>
      <c r="V387" s="91" t="s">
        <v>155</v>
      </c>
      <c r="W387" s="91" t="s">
        <v>180</v>
      </c>
    </row>
    <row r="388" spans="1:23">
      <c r="A388" s="93" t="str">
        <f>TEXT(tblProjectlist[[#This Row],[project-no]],"0")</f>
        <v>0</v>
      </c>
      <c r="H388" s="91">
        <v>6425</v>
      </c>
      <c r="I388" s="91">
        <v>47</v>
      </c>
      <c r="J388" s="91">
        <v>2</v>
      </c>
      <c r="K388" s="91"/>
      <c r="L388" s="91" t="s">
        <v>2175</v>
      </c>
      <c r="M388" s="91" t="s">
        <v>4</v>
      </c>
      <c r="Q388" s="91"/>
      <c r="S388" s="91" t="s">
        <v>143</v>
      </c>
      <c r="T388" s="91" t="s">
        <v>4408</v>
      </c>
      <c r="V388" s="91" t="s">
        <v>155</v>
      </c>
      <c r="W388" s="91" t="s">
        <v>180</v>
      </c>
    </row>
    <row r="389" spans="1:23">
      <c r="A389" s="93" t="str">
        <f>TEXT(tblProjectlist[[#This Row],[project-no]],"0")</f>
        <v>0</v>
      </c>
      <c r="H389" s="91">
        <v>6425</v>
      </c>
      <c r="I389" s="91">
        <v>48</v>
      </c>
      <c r="J389" s="91">
        <v>2</v>
      </c>
      <c r="K389" s="91"/>
      <c r="L389" s="91" t="s">
        <v>2175</v>
      </c>
      <c r="M389" s="91" t="s">
        <v>4</v>
      </c>
      <c r="Q389" s="91"/>
      <c r="S389" s="91" t="s">
        <v>143</v>
      </c>
      <c r="T389" s="91" t="s">
        <v>4445</v>
      </c>
      <c r="V389" s="91" t="s">
        <v>155</v>
      </c>
      <c r="W389" s="91" t="s">
        <v>180</v>
      </c>
    </row>
    <row r="390" spans="1:23">
      <c r="A390" s="93" t="str">
        <f>TEXT(tblProjectlist[[#This Row],[project-no]],"0")</f>
        <v>0</v>
      </c>
      <c r="H390" s="91">
        <v>6425</v>
      </c>
      <c r="I390" s="91">
        <v>49</v>
      </c>
      <c r="J390" s="91">
        <v>2</v>
      </c>
      <c r="K390" s="91"/>
      <c r="L390" s="91" t="s">
        <v>2175</v>
      </c>
      <c r="M390" s="91" t="s">
        <v>4</v>
      </c>
      <c r="Q390" s="91"/>
      <c r="S390" s="91" t="s">
        <v>143</v>
      </c>
      <c r="T390" s="91" t="s">
        <v>4509</v>
      </c>
      <c r="V390" s="91" t="s">
        <v>155</v>
      </c>
      <c r="W390" s="91" t="s">
        <v>180</v>
      </c>
    </row>
    <row r="391" spans="1:23">
      <c r="A391" s="93" t="str">
        <f>TEXT(tblProjectlist[[#This Row],[project-no]],"0")</f>
        <v>0</v>
      </c>
      <c r="H391" s="91">
        <v>6425</v>
      </c>
      <c r="I391" s="91">
        <v>50</v>
      </c>
      <c r="J391" s="91">
        <v>2</v>
      </c>
      <c r="K391" s="91"/>
      <c r="L391" s="91" t="s">
        <v>2175</v>
      </c>
      <c r="M391" s="91" t="s">
        <v>4</v>
      </c>
      <c r="Q391" s="91"/>
      <c r="S391" s="91" t="s">
        <v>143</v>
      </c>
      <c r="T391" s="91" t="s">
        <v>4554</v>
      </c>
      <c r="V391" s="91" t="s">
        <v>155</v>
      </c>
      <c r="W391" s="91" t="s">
        <v>180</v>
      </c>
    </row>
    <row r="392" spans="1:23">
      <c r="A392" s="93" t="str">
        <f>TEXT(tblProjectlist[[#This Row],[project-no]],"0")</f>
        <v>0</v>
      </c>
      <c r="H392" s="91">
        <v>6425</v>
      </c>
      <c r="I392" s="91">
        <v>51</v>
      </c>
      <c r="J392" s="91">
        <v>2</v>
      </c>
      <c r="K392" s="91"/>
      <c r="L392" s="91" t="s">
        <v>2175</v>
      </c>
      <c r="M392" s="91" t="s">
        <v>4</v>
      </c>
      <c r="Q392" s="91"/>
      <c r="S392" s="91" t="s">
        <v>143</v>
      </c>
      <c r="T392" s="91" t="s">
        <v>4669</v>
      </c>
      <c r="V392" s="91" t="s">
        <v>155</v>
      </c>
      <c r="W392" s="91" t="s">
        <v>180</v>
      </c>
    </row>
    <row r="393" spans="1:23">
      <c r="A393" s="93" t="str">
        <f>TEXT(tblProjectlist[[#This Row],[project-no]],"0")</f>
        <v>0</v>
      </c>
      <c r="H393" s="91">
        <v>6425</v>
      </c>
      <c r="I393" s="91">
        <v>52</v>
      </c>
      <c r="J393" s="91">
        <v>2</v>
      </c>
      <c r="K393" s="91"/>
      <c r="L393" s="91" t="s">
        <v>2175</v>
      </c>
      <c r="M393" s="91" t="s">
        <v>4</v>
      </c>
      <c r="Q393" s="91"/>
      <c r="S393" s="91" t="s">
        <v>143</v>
      </c>
      <c r="T393" s="91" t="s">
        <v>4684</v>
      </c>
      <c r="V393" s="91" t="s">
        <v>155</v>
      </c>
      <c r="W393" s="91" t="s">
        <v>180</v>
      </c>
    </row>
    <row r="394" spans="1:23">
      <c r="A394" s="93" t="str">
        <f>TEXT(tblProjectlist[[#This Row],[project-no]],"0")</f>
        <v>0</v>
      </c>
      <c r="H394" s="91">
        <v>6425</v>
      </c>
      <c r="I394" s="91">
        <v>53</v>
      </c>
      <c r="J394" s="91">
        <v>2</v>
      </c>
      <c r="K394" s="91"/>
      <c r="L394" s="91" t="s">
        <v>2175</v>
      </c>
      <c r="M394" s="91" t="s">
        <v>4</v>
      </c>
      <c r="Q394" s="91"/>
      <c r="S394" s="91" t="s">
        <v>143</v>
      </c>
      <c r="T394" s="91" t="s">
        <v>4722</v>
      </c>
      <c r="V394" s="91" t="s">
        <v>155</v>
      </c>
      <c r="W394" s="91" t="s">
        <v>180</v>
      </c>
    </row>
    <row r="395" spans="1:23">
      <c r="A395" s="93" t="str">
        <f>TEXT(tblProjectlist[[#This Row],[project-no]],"0")</f>
        <v>64261126</v>
      </c>
      <c r="H395" s="91">
        <v>6426</v>
      </c>
      <c r="I395" s="91">
        <v>11</v>
      </c>
      <c r="J395" s="91">
        <v>2</v>
      </c>
      <c r="K395" s="91" t="s">
        <v>863</v>
      </c>
      <c r="L395" s="91" t="s">
        <v>2175</v>
      </c>
      <c r="M395" s="91" t="s">
        <v>4</v>
      </c>
      <c r="Q395" s="91"/>
      <c r="S395" s="91" t="s">
        <v>143</v>
      </c>
      <c r="T395" s="91" t="s">
        <v>2745</v>
      </c>
      <c r="V395" s="91" t="s">
        <v>155</v>
      </c>
      <c r="W395" s="91" t="s">
        <v>180</v>
      </c>
    </row>
    <row r="396" spans="1:23">
      <c r="A396" s="93" t="str">
        <f>TEXT(tblProjectlist[[#This Row],[project-no]],"0")</f>
        <v>64261228</v>
      </c>
      <c r="H396" s="91">
        <v>6426</v>
      </c>
      <c r="I396" s="91">
        <v>12</v>
      </c>
      <c r="J396" s="91">
        <v>2</v>
      </c>
      <c r="K396" s="91" t="s">
        <v>864</v>
      </c>
      <c r="L396" s="91" t="s">
        <v>2175</v>
      </c>
      <c r="M396" s="91" t="s">
        <v>4</v>
      </c>
      <c r="Q396" s="91"/>
      <c r="S396" s="91" t="s">
        <v>143</v>
      </c>
      <c r="T396" s="91" t="s">
        <v>2746</v>
      </c>
      <c r="V396" s="91" t="s">
        <v>155</v>
      </c>
      <c r="W396" s="91" t="s">
        <v>180</v>
      </c>
    </row>
    <row r="397" spans="1:23">
      <c r="A397" s="93" t="str">
        <f>TEXT(tblProjectlist[[#This Row],[project-no]],"0")</f>
        <v>99900528</v>
      </c>
      <c r="H397" s="91">
        <v>6426</v>
      </c>
      <c r="I397" s="91">
        <v>12</v>
      </c>
      <c r="J397" s="91">
        <v>2</v>
      </c>
      <c r="K397" s="91" t="s">
        <v>1491</v>
      </c>
      <c r="L397" s="91" t="s">
        <v>2175</v>
      </c>
      <c r="M397" s="91" t="s">
        <v>4</v>
      </c>
      <c r="Q397" s="91"/>
      <c r="S397" s="91" t="s">
        <v>143</v>
      </c>
      <c r="T397" s="91" t="s">
        <v>2746</v>
      </c>
      <c r="V397" s="91" t="s">
        <v>155</v>
      </c>
      <c r="W397" s="91" t="s">
        <v>180</v>
      </c>
    </row>
    <row r="398" spans="1:23">
      <c r="A398" s="93" t="str">
        <f>TEXT(tblProjectlist[[#This Row],[project-no]],"0")</f>
        <v>64261328</v>
      </c>
      <c r="H398" s="91">
        <v>6426</v>
      </c>
      <c r="I398" s="91">
        <v>13</v>
      </c>
      <c r="J398" s="91">
        <v>2</v>
      </c>
      <c r="K398" s="91" t="s">
        <v>865</v>
      </c>
      <c r="L398" s="91" t="s">
        <v>2175</v>
      </c>
      <c r="M398" s="91" t="s">
        <v>4</v>
      </c>
      <c r="Q398" s="91"/>
      <c r="S398" s="91" t="s">
        <v>143</v>
      </c>
      <c r="T398" s="91" t="s">
        <v>2747</v>
      </c>
      <c r="V398" s="91" t="s">
        <v>155</v>
      </c>
      <c r="W398" s="91" t="s">
        <v>180</v>
      </c>
    </row>
    <row r="399" spans="1:23">
      <c r="A399" s="93" t="str">
        <f>TEXT(tblProjectlist[[#This Row],[project-no]],"0")</f>
        <v>64261428</v>
      </c>
      <c r="H399" s="91">
        <v>6426</v>
      </c>
      <c r="I399" s="91">
        <v>14</v>
      </c>
      <c r="J399" s="91">
        <v>2</v>
      </c>
      <c r="K399" s="91" t="s">
        <v>866</v>
      </c>
      <c r="L399" s="91" t="s">
        <v>2175</v>
      </c>
      <c r="M399" s="91" t="s">
        <v>4</v>
      </c>
      <c r="Q399" s="91"/>
      <c r="S399" s="91" t="s">
        <v>143</v>
      </c>
      <c r="T399" s="91" t="s">
        <v>2748</v>
      </c>
      <c r="V399" s="91" t="s">
        <v>155</v>
      </c>
      <c r="W399" s="91" t="s">
        <v>180</v>
      </c>
    </row>
    <row r="400" spans="1:23">
      <c r="A400" s="93" t="str">
        <f>TEXT(tblProjectlist[[#This Row],[project-no]],"0")</f>
        <v>99964828</v>
      </c>
      <c r="H400" s="91">
        <v>6426</v>
      </c>
      <c r="I400" s="91">
        <v>14</v>
      </c>
      <c r="J400" s="91">
        <v>2</v>
      </c>
      <c r="K400" s="91" t="s">
        <v>1766</v>
      </c>
      <c r="L400" s="91" t="s">
        <v>2175</v>
      </c>
      <c r="M400" s="91" t="s">
        <v>4</v>
      </c>
      <c r="Q400" s="91"/>
      <c r="S400" s="91" t="s">
        <v>143</v>
      </c>
      <c r="T400" s="91" t="s">
        <v>2748</v>
      </c>
      <c r="V400" s="91" t="s">
        <v>155</v>
      </c>
      <c r="W400" s="91" t="s">
        <v>180</v>
      </c>
    </row>
    <row r="401" spans="1:23">
      <c r="A401" s="93" t="str">
        <f>TEXT(tblProjectlist[[#This Row],[project-no]],"0")</f>
        <v>64261528</v>
      </c>
      <c r="H401" s="91">
        <v>6426</v>
      </c>
      <c r="I401" s="91">
        <v>15</v>
      </c>
      <c r="J401" s="91">
        <v>2</v>
      </c>
      <c r="K401" s="91" t="s">
        <v>867</v>
      </c>
      <c r="L401" s="91" t="s">
        <v>62</v>
      </c>
      <c r="M401" s="91" t="s">
        <v>4</v>
      </c>
      <c r="Q401" s="91"/>
      <c r="S401" s="91" t="s">
        <v>143</v>
      </c>
      <c r="T401" s="91" t="s">
        <v>2749</v>
      </c>
      <c r="W401" s="91" t="s">
        <v>180</v>
      </c>
    </row>
    <row r="402" spans="1:23">
      <c r="A402" s="93" t="str">
        <f>TEXT(tblProjectlist[[#This Row],[project-no]],"0")</f>
        <v>99869728</v>
      </c>
      <c r="H402" s="91">
        <v>6426</v>
      </c>
      <c r="I402" s="91">
        <v>15</v>
      </c>
      <c r="J402" s="91">
        <v>2</v>
      </c>
      <c r="K402" s="91" t="s">
        <v>1426</v>
      </c>
      <c r="L402" s="91" t="s">
        <v>62</v>
      </c>
      <c r="M402" s="91" t="s">
        <v>4</v>
      </c>
      <c r="Q402" s="91"/>
      <c r="S402" s="91" t="s">
        <v>143</v>
      </c>
      <c r="T402" s="91" t="s">
        <v>2749</v>
      </c>
      <c r="V402" s="91" t="s">
        <v>155</v>
      </c>
      <c r="W402" s="91" t="s">
        <v>180</v>
      </c>
    </row>
    <row r="403" spans="1:23">
      <c r="A403" s="93" t="str">
        <f>TEXT(tblProjectlist[[#This Row],[project-no]],"0")</f>
        <v>0</v>
      </c>
      <c r="H403" s="91">
        <v>6426</v>
      </c>
      <c r="I403" s="91">
        <v>16</v>
      </c>
      <c r="J403" s="91">
        <v>2</v>
      </c>
      <c r="K403" s="91"/>
      <c r="L403" s="91" t="s">
        <v>2175</v>
      </c>
      <c r="M403" s="91" t="s">
        <v>4</v>
      </c>
      <c r="Q403" s="91"/>
      <c r="S403" s="91" t="s">
        <v>143</v>
      </c>
      <c r="T403" s="91" t="s">
        <v>3861</v>
      </c>
      <c r="V403" s="91" t="s">
        <v>155</v>
      </c>
      <c r="W403" s="91" t="s">
        <v>180</v>
      </c>
    </row>
    <row r="404" spans="1:23">
      <c r="A404" s="93" t="str">
        <f>TEXT(tblProjectlist[[#This Row],[project-no]],"0")</f>
        <v>0</v>
      </c>
      <c r="H404" s="91">
        <v>6426</v>
      </c>
      <c r="I404" s="91">
        <v>17</v>
      </c>
      <c r="J404" s="91">
        <v>2</v>
      </c>
      <c r="K404" s="91"/>
      <c r="L404" s="91" t="s">
        <v>2175</v>
      </c>
      <c r="M404" s="91" t="s">
        <v>4</v>
      </c>
      <c r="Q404" s="91"/>
      <c r="S404" s="91" t="s">
        <v>143</v>
      </c>
      <c r="T404" s="91" t="s">
        <v>4087</v>
      </c>
      <c r="V404" s="91" t="s">
        <v>155</v>
      </c>
      <c r="W404" s="91" t="s">
        <v>180</v>
      </c>
    </row>
    <row r="405" spans="1:23">
      <c r="A405" s="93" t="str">
        <f>TEXT(tblProjectlist[[#This Row],[project-no]],"0")</f>
        <v>0</v>
      </c>
      <c r="H405" s="91">
        <v>6426</v>
      </c>
      <c r="I405" s="91">
        <v>18</v>
      </c>
      <c r="J405" s="91">
        <v>2</v>
      </c>
      <c r="K405" s="91"/>
      <c r="L405" s="91" t="s">
        <v>2175</v>
      </c>
      <c r="M405" s="91" t="s">
        <v>4</v>
      </c>
      <c r="Q405" s="91"/>
      <c r="S405" s="91" t="s">
        <v>143</v>
      </c>
      <c r="T405" s="91" t="s">
        <v>4446</v>
      </c>
      <c r="V405" s="91" t="s">
        <v>155</v>
      </c>
      <c r="W405" s="91" t="s">
        <v>180</v>
      </c>
    </row>
    <row r="406" spans="1:23">
      <c r="A406" s="93" t="str">
        <f>TEXT(tblProjectlist[[#This Row],[project-no]],"0")</f>
        <v>0</v>
      </c>
      <c r="H406" s="91">
        <v>6426</v>
      </c>
      <c r="I406" s="91">
        <v>19</v>
      </c>
      <c r="J406" s="91">
        <v>2</v>
      </c>
      <c r="K406" s="91"/>
      <c r="L406" s="91" t="s">
        <v>2175</v>
      </c>
      <c r="M406" s="91" t="s">
        <v>4</v>
      </c>
      <c r="Q406" s="91"/>
      <c r="S406" s="91" t="s">
        <v>143</v>
      </c>
      <c r="T406" s="91" t="s">
        <v>4510</v>
      </c>
      <c r="V406" s="91" t="s">
        <v>155</v>
      </c>
      <c r="W406" s="91" t="s">
        <v>180</v>
      </c>
    </row>
    <row r="407" spans="1:23">
      <c r="A407" s="93" t="str">
        <f>TEXT(tblProjectlist[[#This Row],[project-no]],"0")</f>
        <v>0</v>
      </c>
      <c r="H407" s="91">
        <v>6426</v>
      </c>
      <c r="I407" s="91">
        <v>20</v>
      </c>
      <c r="J407" s="91">
        <v>2</v>
      </c>
      <c r="K407" s="91"/>
      <c r="L407" s="91" t="s">
        <v>2175</v>
      </c>
      <c r="M407" s="91" t="s">
        <v>4</v>
      </c>
      <c r="Q407" s="91"/>
      <c r="S407" s="91" t="s">
        <v>143</v>
      </c>
      <c r="T407" s="91" t="s">
        <v>4685</v>
      </c>
      <c r="V407" s="91" t="s">
        <v>155</v>
      </c>
      <c r="W407" s="91" t="s">
        <v>180</v>
      </c>
    </row>
    <row r="408" spans="1:23">
      <c r="A408" s="93" t="str">
        <f>TEXT(tblProjectlist[[#This Row],[project-no]],"0")</f>
        <v>75500128</v>
      </c>
      <c r="H408" s="91">
        <v>7550</v>
      </c>
      <c r="I408" s="91">
        <v>1</v>
      </c>
      <c r="J408" s="91">
        <v>2</v>
      </c>
      <c r="K408" s="91" t="s">
        <v>1019</v>
      </c>
      <c r="L408" s="91" t="s">
        <v>2175</v>
      </c>
      <c r="M408" s="91" t="s">
        <v>4</v>
      </c>
      <c r="Q408" s="91"/>
      <c r="S408" s="91" t="s">
        <v>143</v>
      </c>
      <c r="T408" s="91" t="s">
        <v>2888</v>
      </c>
      <c r="V408" s="91" t="s">
        <v>155</v>
      </c>
      <c r="W408" s="91" t="s">
        <v>180</v>
      </c>
    </row>
    <row r="409" spans="1:23">
      <c r="A409" s="93" t="str">
        <f>TEXT(tblProjectlist[[#This Row],[project-no]],"0")</f>
        <v>75502128</v>
      </c>
      <c r="H409" s="91">
        <v>7550</v>
      </c>
      <c r="I409" s="91">
        <v>21</v>
      </c>
      <c r="J409" s="91">
        <v>2</v>
      </c>
      <c r="K409" s="91" t="s">
        <v>1020</v>
      </c>
      <c r="L409" s="91" t="s">
        <v>2175</v>
      </c>
      <c r="M409" s="91" t="s">
        <v>4</v>
      </c>
      <c r="Q409" s="91"/>
      <c r="S409" s="91" t="s">
        <v>143</v>
      </c>
      <c r="T409" s="91" t="s">
        <v>2889</v>
      </c>
      <c r="V409" s="91" t="s">
        <v>155</v>
      </c>
      <c r="W409" s="91" t="s">
        <v>180</v>
      </c>
    </row>
    <row r="410" spans="1:23">
      <c r="A410" s="93" t="str">
        <f>TEXT(tblProjectlist[[#This Row],[project-no]],"0")</f>
        <v>75502228</v>
      </c>
      <c r="H410" s="91">
        <v>7550</v>
      </c>
      <c r="I410" s="91">
        <v>22</v>
      </c>
      <c r="J410" s="91">
        <v>2</v>
      </c>
      <c r="K410" s="91" t="s">
        <v>1021</v>
      </c>
      <c r="L410" s="91" t="s">
        <v>2175</v>
      </c>
      <c r="M410" s="91" t="s">
        <v>4</v>
      </c>
      <c r="Q410" s="91"/>
      <c r="S410" s="91" t="s">
        <v>143</v>
      </c>
      <c r="T410" s="91" t="s">
        <v>2890</v>
      </c>
      <c r="V410" s="91" t="s">
        <v>155</v>
      </c>
      <c r="W410" s="91" t="s">
        <v>180</v>
      </c>
    </row>
    <row r="411" spans="1:23">
      <c r="A411" s="93" t="str">
        <f>TEXT(tblProjectlist[[#This Row],[project-no]],"0")</f>
        <v>75502328</v>
      </c>
      <c r="H411" s="91">
        <v>7550</v>
      </c>
      <c r="I411" s="91">
        <v>23</v>
      </c>
      <c r="J411" s="91">
        <v>2</v>
      </c>
      <c r="K411" s="91" t="s">
        <v>1022</v>
      </c>
      <c r="L411" s="91" t="s">
        <v>2175</v>
      </c>
      <c r="M411" s="91" t="s">
        <v>4</v>
      </c>
      <c r="Q411" s="91"/>
      <c r="S411" s="91" t="s">
        <v>143</v>
      </c>
      <c r="T411" s="91" t="s">
        <v>2891</v>
      </c>
      <c r="V411" s="91" t="s">
        <v>155</v>
      </c>
      <c r="W411" s="91" t="s">
        <v>180</v>
      </c>
    </row>
    <row r="412" spans="1:23">
      <c r="A412" s="93" t="str">
        <f>TEXT(tblProjectlist[[#This Row],[project-no]],"0")</f>
        <v>0</v>
      </c>
      <c r="H412" s="91">
        <v>3081</v>
      </c>
      <c r="I412" s="91">
        <v>30</v>
      </c>
      <c r="J412" s="91">
        <v>2</v>
      </c>
      <c r="K412" s="91"/>
      <c r="L412" s="91" t="s">
        <v>2175</v>
      </c>
      <c r="M412" s="91" t="s">
        <v>4</v>
      </c>
      <c r="Q412" s="91"/>
      <c r="S412" s="91" t="s">
        <v>143</v>
      </c>
      <c r="T412" s="91" t="s">
        <v>3918</v>
      </c>
      <c r="V412" s="91" t="s">
        <v>155</v>
      </c>
      <c r="W412" s="91" t="s">
        <v>180</v>
      </c>
    </row>
    <row r="413" spans="1:23">
      <c r="A413" s="93" t="str">
        <f>TEXT(tblProjectlist[[#This Row],[project-no]],"0")</f>
        <v>0</v>
      </c>
      <c r="H413" s="91">
        <v>3081</v>
      </c>
      <c r="I413" s="91">
        <v>31</v>
      </c>
      <c r="J413" s="91">
        <v>2</v>
      </c>
      <c r="K413" s="91"/>
      <c r="L413" s="91" t="s">
        <v>2175</v>
      </c>
      <c r="M413" s="91" t="s">
        <v>4</v>
      </c>
      <c r="Q413" s="91"/>
      <c r="S413" s="91" t="s">
        <v>143</v>
      </c>
      <c r="T413" s="91" t="s">
        <v>4352</v>
      </c>
      <c r="V413" s="91" t="s">
        <v>155</v>
      </c>
      <c r="W413" s="91" t="s">
        <v>180</v>
      </c>
    </row>
    <row r="414" spans="1:23">
      <c r="A414" s="93" t="str">
        <f>TEXT(tblProjectlist[[#This Row],[project-no]],"0")</f>
        <v>0</v>
      </c>
      <c r="H414" s="91">
        <v>3081</v>
      </c>
      <c r="I414" s="91">
        <v>32</v>
      </c>
      <c r="J414" s="91">
        <v>2</v>
      </c>
      <c r="K414" s="91"/>
      <c r="L414" s="91" t="s">
        <v>2175</v>
      </c>
      <c r="M414" s="91" t="s">
        <v>4</v>
      </c>
      <c r="Q414" s="91"/>
      <c r="S414" s="91" t="s">
        <v>143</v>
      </c>
      <c r="T414" s="91" t="s">
        <v>4429</v>
      </c>
      <c r="V414" s="91" t="s">
        <v>155</v>
      </c>
      <c r="W414" s="91" t="s">
        <v>180</v>
      </c>
    </row>
    <row r="415" spans="1:23">
      <c r="A415" s="93" t="str">
        <f>TEXT(tblProjectlist[[#This Row],[project-no]],"0")</f>
        <v>0</v>
      </c>
      <c r="H415" s="91">
        <v>3081</v>
      </c>
      <c r="I415" s="91">
        <v>33</v>
      </c>
      <c r="J415" s="91">
        <v>2</v>
      </c>
      <c r="K415" s="91"/>
      <c r="L415" s="91" t="s">
        <v>2175</v>
      </c>
      <c r="M415" s="91" t="s">
        <v>4</v>
      </c>
      <c r="Q415" s="91"/>
      <c r="S415" s="91" t="s">
        <v>143</v>
      </c>
      <c r="T415" s="91" t="s">
        <v>4430</v>
      </c>
      <c r="V415" s="91" t="s">
        <v>155</v>
      </c>
      <c r="W415" s="91" t="s">
        <v>180</v>
      </c>
    </row>
    <row r="416" spans="1:23">
      <c r="A416" s="93" t="str">
        <f>TEXT(tblProjectlist[[#This Row],[project-no]],"0")</f>
        <v>30811828</v>
      </c>
      <c r="H416" s="91">
        <v>3081</v>
      </c>
      <c r="I416" s="91">
        <v>18</v>
      </c>
      <c r="J416" s="91">
        <v>2</v>
      </c>
      <c r="K416" s="91" t="s">
        <v>696</v>
      </c>
      <c r="L416" s="91" t="s">
        <v>2175</v>
      </c>
      <c r="M416" s="91" t="s">
        <v>4</v>
      </c>
      <c r="Q416" s="91"/>
      <c r="S416" s="91" t="s">
        <v>143</v>
      </c>
      <c r="T416" s="91" t="s">
        <v>2596</v>
      </c>
      <c r="V416" s="91" t="s">
        <v>155</v>
      </c>
      <c r="W416" s="91" t="s">
        <v>180</v>
      </c>
    </row>
    <row r="417" spans="1:23">
      <c r="A417" s="93" t="str">
        <f>TEXT(tblProjectlist[[#This Row],[project-no]],"0")</f>
        <v>30811911</v>
      </c>
      <c r="H417" s="91">
        <v>3081</v>
      </c>
      <c r="I417" s="91">
        <v>19</v>
      </c>
      <c r="J417" s="91">
        <v>1</v>
      </c>
      <c r="K417" s="91" t="s">
        <v>697</v>
      </c>
      <c r="L417" s="91" t="s">
        <v>2175</v>
      </c>
      <c r="M417" s="91" t="s">
        <v>0</v>
      </c>
      <c r="Q417" s="91"/>
      <c r="S417" s="91" t="s">
        <v>143</v>
      </c>
      <c r="T417" s="91" t="s">
        <v>2597</v>
      </c>
      <c r="V417" s="91" t="s">
        <v>169</v>
      </c>
      <c r="W417" s="91" t="s">
        <v>180</v>
      </c>
    </row>
    <row r="418" spans="1:23">
      <c r="A418" s="93" t="str">
        <f>TEXT(tblProjectlist[[#This Row],[project-no]],"0")</f>
        <v>30812028</v>
      </c>
      <c r="H418" s="91">
        <v>3081</v>
      </c>
      <c r="I418" s="91">
        <v>20</v>
      </c>
      <c r="J418" s="91">
        <v>2</v>
      </c>
      <c r="K418" s="91" t="s">
        <v>698</v>
      </c>
      <c r="L418" s="91" t="s">
        <v>2175</v>
      </c>
      <c r="M418" s="91" t="s">
        <v>4</v>
      </c>
      <c r="Q418" s="91"/>
      <c r="S418" s="91" t="s">
        <v>143</v>
      </c>
      <c r="T418" s="91" t="s">
        <v>2598</v>
      </c>
      <c r="V418" s="91" t="s">
        <v>155</v>
      </c>
      <c r="W418" s="91" t="s">
        <v>180</v>
      </c>
    </row>
    <row r="419" spans="1:23">
      <c r="A419" s="93" t="str">
        <f>TEXT(tblProjectlist[[#This Row],[project-no]],"0")</f>
        <v>30812128</v>
      </c>
      <c r="H419" s="91">
        <v>3081</v>
      </c>
      <c r="I419" s="91">
        <v>21</v>
      </c>
      <c r="J419" s="91">
        <v>2</v>
      </c>
      <c r="K419" s="91" t="s">
        <v>699</v>
      </c>
      <c r="L419" s="91" t="s">
        <v>2175</v>
      </c>
      <c r="M419" s="91" t="s">
        <v>4</v>
      </c>
      <c r="Q419" s="91"/>
      <c r="S419" s="91" t="s">
        <v>143</v>
      </c>
      <c r="T419" s="91" t="s">
        <v>2599</v>
      </c>
      <c r="V419" s="91" t="s">
        <v>155</v>
      </c>
      <c r="W419" s="91" t="s">
        <v>180</v>
      </c>
    </row>
    <row r="420" spans="1:23">
      <c r="A420" s="93" t="str">
        <f>TEXT(tblProjectlist[[#This Row],[project-no]],"0")</f>
        <v>30812228</v>
      </c>
      <c r="H420" s="91">
        <v>3081</v>
      </c>
      <c r="I420" s="91">
        <v>22</v>
      </c>
      <c r="J420" s="91">
        <v>2</v>
      </c>
      <c r="K420" s="91" t="s">
        <v>700</v>
      </c>
      <c r="L420" s="91" t="s">
        <v>2175</v>
      </c>
      <c r="M420" s="91" t="s">
        <v>4</v>
      </c>
      <c r="Q420" s="91"/>
      <c r="S420" s="91" t="s">
        <v>143</v>
      </c>
      <c r="T420" s="91" t="s">
        <v>2600</v>
      </c>
      <c r="V420" s="91" t="s">
        <v>155</v>
      </c>
      <c r="W420" s="91" t="s">
        <v>180</v>
      </c>
    </row>
    <row r="421" spans="1:23">
      <c r="A421" s="93" t="str">
        <f>TEXT(tblProjectlist[[#This Row],[project-no]],"0")</f>
        <v>30812328</v>
      </c>
      <c r="H421" s="91">
        <v>3081</v>
      </c>
      <c r="I421" s="91">
        <v>23</v>
      </c>
      <c r="J421" s="91">
        <v>2</v>
      </c>
      <c r="K421" s="91" t="s">
        <v>701</v>
      </c>
      <c r="L421" s="91" t="s">
        <v>2175</v>
      </c>
      <c r="M421" s="91" t="s">
        <v>4</v>
      </c>
      <c r="Q421" s="91"/>
      <c r="S421" s="91" t="s">
        <v>143</v>
      </c>
      <c r="T421" s="91" t="s">
        <v>2601</v>
      </c>
      <c r="V421" s="91" t="s">
        <v>155</v>
      </c>
      <c r="W421" s="91" t="s">
        <v>180</v>
      </c>
    </row>
    <row r="422" spans="1:23">
      <c r="A422" s="93" t="str">
        <f>TEXT(tblProjectlist[[#This Row],[project-no]],"0")</f>
        <v>30812428</v>
      </c>
      <c r="H422" s="91">
        <v>3081</v>
      </c>
      <c r="I422" s="91">
        <v>24</v>
      </c>
      <c r="J422" s="91">
        <v>2</v>
      </c>
      <c r="K422" s="91" t="s">
        <v>702</v>
      </c>
      <c r="L422" s="91" t="s">
        <v>2175</v>
      </c>
      <c r="M422" s="91" t="s">
        <v>4</v>
      </c>
      <c r="Q422" s="91"/>
      <c r="S422" s="91" t="s">
        <v>143</v>
      </c>
      <c r="T422" s="91" t="s">
        <v>2602</v>
      </c>
      <c r="V422" s="91" t="s">
        <v>155</v>
      </c>
      <c r="W422" s="91" t="s">
        <v>180</v>
      </c>
    </row>
    <row r="423" spans="1:23">
      <c r="A423" s="93" t="str">
        <f>TEXT(tblProjectlist[[#This Row],[project-no]],"0")</f>
        <v>30812528</v>
      </c>
      <c r="H423" s="91">
        <v>3081</v>
      </c>
      <c r="I423" s="91">
        <v>25</v>
      </c>
      <c r="J423" s="91">
        <v>2</v>
      </c>
      <c r="K423" s="91" t="s">
        <v>703</v>
      </c>
      <c r="L423" s="91" t="s">
        <v>2175</v>
      </c>
      <c r="M423" s="91" t="s">
        <v>4</v>
      </c>
      <c r="Q423" s="91"/>
      <c r="S423" s="91" t="s">
        <v>143</v>
      </c>
      <c r="T423" s="91" t="s">
        <v>2603</v>
      </c>
      <c r="V423" s="91" t="s">
        <v>155</v>
      </c>
      <c r="W423" s="91" t="s">
        <v>180</v>
      </c>
    </row>
    <row r="424" spans="1:23">
      <c r="A424" s="93" t="str">
        <f>TEXT(tblProjectlist[[#This Row],[project-no]],"0")</f>
        <v>30812628</v>
      </c>
      <c r="H424" s="91">
        <v>3081</v>
      </c>
      <c r="I424" s="91">
        <v>26</v>
      </c>
      <c r="J424" s="91">
        <v>2</v>
      </c>
      <c r="K424" s="91" t="s">
        <v>704</v>
      </c>
      <c r="L424" s="91" t="s">
        <v>2175</v>
      </c>
      <c r="M424" s="91" t="s">
        <v>4</v>
      </c>
      <c r="Q424" s="91"/>
      <c r="S424" s="91" t="s">
        <v>143</v>
      </c>
      <c r="T424" s="91" t="s">
        <v>2604</v>
      </c>
      <c r="V424" s="91" t="s">
        <v>155</v>
      </c>
      <c r="W424" s="91" t="s">
        <v>180</v>
      </c>
    </row>
    <row r="425" spans="1:23">
      <c r="A425" s="93" t="str">
        <f>TEXT(tblProjectlist[[#This Row],[project-no]],"0")</f>
        <v>30812728</v>
      </c>
      <c r="H425" s="91">
        <v>3081</v>
      </c>
      <c r="I425" s="91">
        <v>27</v>
      </c>
      <c r="J425" s="91">
        <v>2</v>
      </c>
      <c r="K425" s="91" t="s">
        <v>705</v>
      </c>
      <c r="L425" s="91" t="s">
        <v>2175</v>
      </c>
      <c r="M425" s="91" t="s">
        <v>4</v>
      </c>
      <c r="Q425" s="91"/>
      <c r="S425" s="91" t="s">
        <v>143</v>
      </c>
      <c r="T425" s="91" t="s">
        <v>2605</v>
      </c>
      <c r="V425" s="91" t="s">
        <v>155</v>
      </c>
      <c r="W425" s="91" t="s">
        <v>180</v>
      </c>
    </row>
    <row r="426" spans="1:23">
      <c r="A426" s="93" t="str">
        <f>TEXT(tblProjectlist[[#This Row],[project-no]],"0")</f>
        <v>30812828</v>
      </c>
      <c r="H426" s="91">
        <v>3081</v>
      </c>
      <c r="I426" s="91">
        <v>28</v>
      </c>
      <c r="J426" s="91">
        <v>2</v>
      </c>
      <c r="K426" s="91" t="s">
        <v>706</v>
      </c>
      <c r="L426" s="91" t="s">
        <v>2175</v>
      </c>
      <c r="M426" s="91" t="s">
        <v>4</v>
      </c>
      <c r="Q426" s="91"/>
      <c r="S426" s="91" t="s">
        <v>143</v>
      </c>
      <c r="T426" s="91" t="s">
        <v>2606</v>
      </c>
      <c r="V426" s="91" t="s">
        <v>155</v>
      </c>
      <c r="W426" s="91" t="s">
        <v>180</v>
      </c>
    </row>
    <row r="427" spans="1:23">
      <c r="A427" s="93" t="str">
        <f>TEXT(tblProjectlist[[#This Row],[project-no]],"0")</f>
        <v>30812928</v>
      </c>
      <c r="H427" s="91">
        <v>3081</v>
      </c>
      <c r="I427" s="91">
        <v>29</v>
      </c>
      <c r="J427" s="91">
        <v>2</v>
      </c>
      <c r="K427" s="91" t="s">
        <v>707</v>
      </c>
      <c r="L427" s="91" t="s">
        <v>2175</v>
      </c>
      <c r="M427" s="91" t="s">
        <v>4</v>
      </c>
      <c r="Q427" s="91"/>
      <c r="S427" s="91" t="s">
        <v>143</v>
      </c>
      <c r="T427" s="91" t="s">
        <v>2607</v>
      </c>
      <c r="V427" s="91" t="s">
        <v>155</v>
      </c>
      <c r="W427" s="91" t="s">
        <v>180</v>
      </c>
    </row>
    <row r="428" spans="1:23">
      <c r="A428" s="93" t="str">
        <f>TEXT(tblProjectlist[[#This Row],[project-no]],"0")</f>
        <v>99949128</v>
      </c>
      <c r="H428" s="91">
        <v>3081</v>
      </c>
      <c r="I428" s="91">
        <v>14</v>
      </c>
      <c r="J428" s="91">
        <v>2</v>
      </c>
      <c r="K428" s="91" t="s">
        <v>1610</v>
      </c>
      <c r="L428" s="91" t="s">
        <v>64</v>
      </c>
      <c r="M428" s="91" t="s">
        <v>4</v>
      </c>
      <c r="Q428" s="91"/>
      <c r="S428" s="91" t="s">
        <v>143</v>
      </c>
      <c r="T428" s="91" t="s">
        <v>3275</v>
      </c>
      <c r="V428" s="91" t="s">
        <v>155</v>
      </c>
      <c r="W428" s="91" t="s">
        <v>180</v>
      </c>
    </row>
    <row r="429" spans="1:23">
      <c r="A429" s="93" t="str">
        <f>TEXT(tblProjectlist[[#This Row],[project-no]],"0")</f>
        <v>99960428</v>
      </c>
      <c r="H429" s="91">
        <v>3081</v>
      </c>
      <c r="I429" s="91">
        <v>18</v>
      </c>
      <c r="J429" s="91">
        <v>2</v>
      </c>
      <c r="K429" s="91" t="s">
        <v>1728</v>
      </c>
      <c r="L429" s="91" t="s">
        <v>2175</v>
      </c>
      <c r="M429" s="91" t="s">
        <v>4</v>
      </c>
      <c r="Q429" s="91"/>
      <c r="S429" s="91" t="s">
        <v>143</v>
      </c>
      <c r="T429" s="91" t="s">
        <v>2596</v>
      </c>
      <c r="W429" s="91" t="s">
        <v>180</v>
      </c>
    </row>
    <row r="430" spans="1:23">
      <c r="A430" s="93" t="str">
        <f>TEXT(tblProjectlist[[#This Row],[project-no]],"0")</f>
        <v>99961228</v>
      </c>
      <c r="H430" s="91">
        <v>3081</v>
      </c>
      <c r="I430" s="91">
        <v>20</v>
      </c>
      <c r="J430" s="91">
        <v>2</v>
      </c>
      <c r="K430" s="91" t="s">
        <v>1733</v>
      </c>
      <c r="L430" s="91" t="s">
        <v>2175</v>
      </c>
      <c r="M430" s="91" t="s">
        <v>4</v>
      </c>
      <c r="Q430" s="91"/>
      <c r="S430" s="91" t="s">
        <v>143</v>
      </c>
      <c r="T430" s="91" t="s">
        <v>2598</v>
      </c>
      <c r="V430" s="91" t="s">
        <v>155</v>
      </c>
      <c r="W430" s="91" t="s">
        <v>180</v>
      </c>
    </row>
    <row r="431" spans="1:23">
      <c r="A431" s="93" t="str">
        <f>TEXT(tblProjectlist[[#This Row],[project-no]],"0")</f>
        <v>99961928</v>
      </c>
      <c r="H431" s="91">
        <v>3081</v>
      </c>
      <c r="I431" s="91">
        <v>23</v>
      </c>
      <c r="J431" s="91">
        <v>2</v>
      </c>
      <c r="K431" s="91" t="s">
        <v>1740</v>
      </c>
      <c r="L431" s="91" t="s">
        <v>2175</v>
      </c>
      <c r="M431" s="91" t="s">
        <v>4</v>
      </c>
      <c r="Q431" s="91"/>
      <c r="S431" s="91" t="s">
        <v>143</v>
      </c>
      <c r="T431" s="91" t="s">
        <v>2601</v>
      </c>
      <c r="W431" s="91" t="s">
        <v>180</v>
      </c>
    </row>
    <row r="432" spans="1:23">
      <c r="A432" s="93" t="str">
        <f>TEXT(tblProjectlist[[#This Row],[project-no]],"0")</f>
        <v>99962528</v>
      </c>
      <c r="H432" s="91">
        <v>3081</v>
      </c>
      <c r="I432" s="91">
        <v>24</v>
      </c>
      <c r="J432" s="91">
        <v>2</v>
      </c>
      <c r="K432" s="91" t="s">
        <v>1746</v>
      </c>
      <c r="L432" s="91" t="s">
        <v>2175</v>
      </c>
      <c r="M432" s="91" t="s">
        <v>4</v>
      </c>
      <c r="Q432" s="91"/>
      <c r="S432" s="91" t="s">
        <v>143</v>
      </c>
      <c r="T432" s="91" t="s">
        <v>2602</v>
      </c>
      <c r="W432" s="91" t="s">
        <v>180</v>
      </c>
    </row>
    <row r="433" spans="1:23">
      <c r="A433" s="93" t="str">
        <f>TEXT(tblProjectlist[[#This Row],[project-no]],"0")</f>
        <v>99963528</v>
      </c>
      <c r="H433" s="91">
        <v>3081</v>
      </c>
      <c r="I433" s="91">
        <v>26</v>
      </c>
      <c r="J433" s="91">
        <v>2</v>
      </c>
      <c r="K433" s="91" t="s">
        <v>1756</v>
      </c>
      <c r="L433" s="91" t="s">
        <v>2175</v>
      </c>
      <c r="M433" s="91" t="s">
        <v>4</v>
      </c>
      <c r="Q433" s="91"/>
      <c r="S433" s="91" t="s">
        <v>143</v>
      </c>
      <c r="T433" s="91" t="s">
        <v>2604</v>
      </c>
      <c r="W433" s="91" t="s">
        <v>180</v>
      </c>
    </row>
    <row r="434" spans="1:23">
      <c r="A434" s="93" t="str">
        <f>TEXT(tblProjectlist[[#This Row],[project-no]],"0")</f>
        <v>99964328</v>
      </c>
      <c r="H434" s="91">
        <v>3081</v>
      </c>
      <c r="I434" s="91">
        <v>22</v>
      </c>
      <c r="J434" s="91">
        <v>2</v>
      </c>
      <c r="K434" s="91" t="s">
        <v>1762</v>
      </c>
      <c r="L434" s="91" t="s">
        <v>2175</v>
      </c>
      <c r="M434" s="91" t="s">
        <v>4</v>
      </c>
      <c r="Q434" s="91"/>
      <c r="S434" s="91" t="s">
        <v>143</v>
      </c>
      <c r="T434" s="91" t="s">
        <v>2600</v>
      </c>
      <c r="W434" s="91" t="s">
        <v>180</v>
      </c>
    </row>
    <row r="435" spans="1:23">
      <c r="A435" s="93" t="str">
        <f>TEXT(tblProjectlist[[#This Row],[project-no]],"0")</f>
        <v>99967728</v>
      </c>
      <c r="H435" s="91">
        <v>3081</v>
      </c>
      <c r="I435" s="91">
        <v>27</v>
      </c>
      <c r="J435" s="91">
        <v>2</v>
      </c>
      <c r="K435" s="91" t="s">
        <v>1794</v>
      </c>
      <c r="L435" s="91" t="s">
        <v>2175</v>
      </c>
      <c r="M435" s="91" t="s">
        <v>4</v>
      </c>
      <c r="Q435" s="91"/>
      <c r="S435" s="91" t="s">
        <v>143</v>
      </c>
      <c r="T435" s="91" t="s">
        <v>2605</v>
      </c>
      <c r="W435" s="91" t="s">
        <v>180</v>
      </c>
    </row>
    <row r="436" spans="1:23">
      <c r="A436" s="93" t="str">
        <f>TEXT(tblProjectlist[[#This Row],[project-no]],"0")</f>
        <v>75280228</v>
      </c>
      <c r="H436" s="91">
        <v>7528</v>
      </c>
      <c r="I436" s="91">
        <v>2</v>
      </c>
      <c r="J436" s="91">
        <v>2</v>
      </c>
      <c r="K436" s="91" t="s">
        <v>1004</v>
      </c>
      <c r="L436" s="91" t="s">
        <v>2175</v>
      </c>
      <c r="M436" s="91" t="s">
        <v>4</v>
      </c>
      <c r="Q436" s="91"/>
      <c r="S436" s="91" t="s">
        <v>143</v>
      </c>
      <c r="T436" s="91" t="s">
        <v>2873</v>
      </c>
      <c r="V436" s="91" t="s">
        <v>155</v>
      </c>
      <c r="W436" s="91" t="s">
        <v>180</v>
      </c>
    </row>
    <row r="437" spans="1:23">
      <c r="A437" s="93" t="str">
        <f>TEXT(tblProjectlist[[#This Row],[project-no]],"0")</f>
        <v>20330228</v>
      </c>
      <c r="H437" s="91">
        <v>2033</v>
      </c>
      <c r="I437" s="91">
        <v>2</v>
      </c>
      <c r="J437" s="91">
        <v>2</v>
      </c>
      <c r="K437" s="91" t="s">
        <v>480</v>
      </c>
      <c r="L437" s="91" t="s">
        <v>2175</v>
      </c>
      <c r="M437" s="91" t="s">
        <v>4</v>
      </c>
      <c r="Q437" s="91"/>
      <c r="S437" s="91" t="s">
        <v>143</v>
      </c>
      <c r="T437" s="91" t="s">
        <v>2424</v>
      </c>
      <c r="V437" s="91" t="s">
        <v>155</v>
      </c>
      <c r="W437" s="91" t="s">
        <v>180</v>
      </c>
    </row>
    <row r="438" spans="1:23">
      <c r="A438" s="93" t="str">
        <f>TEXT(tblProjectlist[[#This Row],[project-no]],"0")</f>
        <v>20130228</v>
      </c>
      <c r="H438" s="91">
        <v>2013</v>
      </c>
      <c r="I438" s="91">
        <v>2</v>
      </c>
      <c r="J438" s="91">
        <v>2</v>
      </c>
      <c r="K438" s="91" t="s">
        <v>463</v>
      </c>
      <c r="L438" s="91" t="s">
        <v>2175</v>
      </c>
      <c r="M438" s="91" t="s">
        <v>4</v>
      </c>
      <c r="Q438" s="91"/>
      <c r="S438" s="91" t="s">
        <v>143</v>
      </c>
      <c r="T438" s="91" t="s">
        <v>2407</v>
      </c>
      <c r="V438" s="91" t="s">
        <v>155</v>
      </c>
      <c r="W438" s="91" t="s">
        <v>180</v>
      </c>
    </row>
    <row r="439" spans="1:23">
      <c r="A439" s="93" t="str">
        <f>TEXT(tblProjectlist[[#This Row],[project-no]],"0")</f>
        <v>20130328</v>
      </c>
      <c r="H439" s="91">
        <v>2013</v>
      </c>
      <c r="I439" s="91">
        <v>3</v>
      </c>
      <c r="J439" s="91">
        <v>2</v>
      </c>
      <c r="K439" s="91" t="s">
        <v>464</v>
      </c>
      <c r="L439" s="91" t="s">
        <v>2175</v>
      </c>
      <c r="M439" s="91" t="s">
        <v>4</v>
      </c>
      <c r="Q439" s="91"/>
      <c r="S439" s="91" t="s">
        <v>143</v>
      </c>
      <c r="T439" s="91" t="s">
        <v>2408</v>
      </c>
      <c r="V439" s="91" t="s">
        <v>155</v>
      </c>
      <c r="W439" s="91" t="s">
        <v>180</v>
      </c>
    </row>
    <row r="440" spans="1:23">
      <c r="A440" s="93" t="str">
        <f>TEXT(tblProjectlist[[#This Row],[project-no]],"0")</f>
        <v>20130428</v>
      </c>
      <c r="H440" s="91">
        <v>2013</v>
      </c>
      <c r="I440" s="91">
        <v>4</v>
      </c>
      <c r="J440" s="91">
        <v>2</v>
      </c>
      <c r="K440" s="91" t="s">
        <v>465</v>
      </c>
      <c r="L440" s="91" t="s">
        <v>2175</v>
      </c>
      <c r="M440" s="91" t="s">
        <v>4</v>
      </c>
      <c r="Q440" s="91"/>
      <c r="S440" s="91" t="s">
        <v>143</v>
      </c>
      <c r="T440" s="91" t="s">
        <v>2409</v>
      </c>
      <c r="V440" s="91" t="s">
        <v>155</v>
      </c>
      <c r="W440" s="91" t="s">
        <v>180</v>
      </c>
    </row>
    <row r="441" spans="1:23">
      <c r="A441" s="93" t="str">
        <f>TEXT(tblProjectlist[[#This Row],[project-no]],"0")</f>
        <v>0</v>
      </c>
      <c r="H441" s="91">
        <v>4122</v>
      </c>
      <c r="I441" s="91">
        <v>2</v>
      </c>
      <c r="J441" s="91">
        <v>2</v>
      </c>
      <c r="K441" s="91"/>
      <c r="L441" s="91" t="s">
        <v>2175</v>
      </c>
      <c r="M441" s="91" t="s">
        <v>4</v>
      </c>
      <c r="Q441" s="91"/>
      <c r="S441" s="91" t="s">
        <v>143</v>
      </c>
      <c r="T441" s="91" t="s">
        <v>4322</v>
      </c>
      <c r="V441" s="91" t="s">
        <v>155</v>
      </c>
      <c r="W441" s="91" t="s">
        <v>180</v>
      </c>
    </row>
    <row r="442" spans="1:23">
      <c r="A442" s="93" t="str">
        <f>TEXT(tblProjectlist[[#This Row],[project-no]],"0")</f>
        <v>0</v>
      </c>
      <c r="H442" s="91">
        <v>2111</v>
      </c>
      <c r="I442" s="91">
        <v>2</v>
      </c>
      <c r="J442" s="91">
        <v>2</v>
      </c>
      <c r="K442" s="91"/>
      <c r="L442" s="91" t="s">
        <v>2175</v>
      </c>
      <c r="M442" s="91" t="s">
        <v>4</v>
      </c>
      <c r="Q442" s="91"/>
      <c r="S442" s="91" t="s">
        <v>143</v>
      </c>
      <c r="T442" s="91" t="s">
        <v>4327</v>
      </c>
      <c r="V442" s="91" t="s">
        <v>155</v>
      </c>
      <c r="W442" s="91" t="s">
        <v>180</v>
      </c>
    </row>
    <row r="443" spans="1:23">
      <c r="A443" s="93" t="str">
        <f>TEXT(tblProjectlist[[#This Row],[project-no]],"0")</f>
        <v>0</v>
      </c>
      <c r="H443" s="91">
        <v>8812</v>
      </c>
      <c r="I443" s="91">
        <v>2</v>
      </c>
      <c r="J443" s="91">
        <v>2</v>
      </c>
      <c r="K443" s="91"/>
      <c r="L443" s="91" t="s">
        <v>2175</v>
      </c>
      <c r="M443" s="91" t="s">
        <v>4</v>
      </c>
      <c r="Q443" s="91"/>
      <c r="S443" s="91" t="s">
        <v>143</v>
      </c>
      <c r="T443" s="91" t="s">
        <v>4585</v>
      </c>
      <c r="V443" s="91" t="s">
        <v>155</v>
      </c>
      <c r="W443" s="91" t="s">
        <v>180</v>
      </c>
    </row>
    <row r="444" spans="1:23">
      <c r="A444" s="93" t="str">
        <f>TEXT(tblProjectlist[[#This Row],[project-no]],"0")</f>
        <v>60240226</v>
      </c>
      <c r="H444" s="91">
        <v>6024</v>
      </c>
      <c r="I444" s="91">
        <v>2</v>
      </c>
      <c r="J444" s="91">
        <v>2</v>
      </c>
      <c r="K444" s="91" t="s">
        <v>783</v>
      </c>
      <c r="L444" s="91" t="s">
        <v>2175</v>
      </c>
      <c r="M444" s="91" t="s">
        <v>4</v>
      </c>
      <c r="Q444" s="91"/>
      <c r="S444" s="91" t="s">
        <v>143</v>
      </c>
      <c r="T444" s="91" t="s">
        <v>2679</v>
      </c>
      <c r="V444" s="91" t="s">
        <v>155</v>
      </c>
      <c r="W444" s="91" t="s">
        <v>180</v>
      </c>
    </row>
    <row r="445" spans="1:23">
      <c r="A445" s="93" t="str">
        <f>TEXT(tblProjectlist[[#This Row],[project-no]],"0")</f>
        <v>60240344</v>
      </c>
      <c r="H445" s="91">
        <v>6024</v>
      </c>
      <c r="I445" s="91">
        <v>3</v>
      </c>
      <c r="J445" s="91">
        <v>4</v>
      </c>
      <c r="K445" s="91" t="s">
        <v>784</v>
      </c>
      <c r="L445" s="91" t="s">
        <v>58</v>
      </c>
      <c r="M445" s="91" t="s">
        <v>1</v>
      </c>
      <c r="Q445" s="91"/>
      <c r="S445" s="91" t="s">
        <v>143</v>
      </c>
      <c r="T445" s="91" t="s">
        <v>2680</v>
      </c>
      <c r="W445" s="91" t="s">
        <v>180</v>
      </c>
    </row>
    <row r="446" spans="1:23">
      <c r="A446" s="93" t="str">
        <f>TEXT(tblProjectlist[[#This Row],[project-no]],"0")</f>
        <v>60240428</v>
      </c>
      <c r="H446" s="91">
        <v>6024</v>
      </c>
      <c r="I446" s="91">
        <v>4</v>
      </c>
      <c r="J446" s="91">
        <v>2</v>
      </c>
      <c r="K446" s="91" t="s">
        <v>785</v>
      </c>
      <c r="L446" s="91" t="s">
        <v>2175</v>
      </c>
      <c r="M446" s="91" t="s">
        <v>4</v>
      </c>
      <c r="Q446" s="91"/>
      <c r="S446" s="91" t="s">
        <v>143</v>
      </c>
      <c r="T446" s="91" t="s">
        <v>2681</v>
      </c>
      <c r="V446" s="91" t="s">
        <v>155</v>
      </c>
      <c r="W446" s="91" t="s">
        <v>180</v>
      </c>
    </row>
    <row r="447" spans="1:23">
      <c r="A447" s="93" t="str">
        <f>TEXT(tblProjectlist[[#This Row],[project-no]],"0")</f>
        <v>99964026</v>
      </c>
      <c r="H447" s="91">
        <v>6024</v>
      </c>
      <c r="I447" s="91">
        <v>2</v>
      </c>
      <c r="J447" s="91">
        <v>2</v>
      </c>
      <c r="K447" s="91" t="s">
        <v>1759</v>
      </c>
      <c r="L447" s="91" t="s">
        <v>2175</v>
      </c>
      <c r="M447" s="91" t="s">
        <v>4</v>
      </c>
      <c r="Q447" s="91"/>
      <c r="S447" s="91" t="s">
        <v>143</v>
      </c>
      <c r="T447" s="91" t="s">
        <v>2679</v>
      </c>
      <c r="W447" s="91" t="s">
        <v>180</v>
      </c>
    </row>
    <row r="448" spans="1:23">
      <c r="A448" s="93" t="str">
        <f>TEXT(tblProjectlist[[#This Row],[project-no]],"0")</f>
        <v>0</v>
      </c>
      <c r="H448" s="91">
        <v>6132</v>
      </c>
      <c r="I448" s="91">
        <v>2</v>
      </c>
      <c r="J448" s="91">
        <v>2</v>
      </c>
      <c r="K448" s="91"/>
      <c r="L448" s="91" t="s">
        <v>2175</v>
      </c>
      <c r="M448" s="91" t="s">
        <v>4</v>
      </c>
      <c r="Q448" s="91"/>
      <c r="S448" s="91" t="s">
        <v>143</v>
      </c>
      <c r="T448" s="91" t="s">
        <v>4235</v>
      </c>
      <c r="V448" s="91" t="s">
        <v>155</v>
      </c>
      <c r="W448" s="91" t="s">
        <v>180</v>
      </c>
    </row>
    <row r="449" spans="1:23">
      <c r="A449" s="93" t="str">
        <f>TEXT(tblProjectlist[[#This Row],[project-no]],"0")</f>
        <v>0</v>
      </c>
      <c r="H449" s="91">
        <v>6606</v>
      </c>
      <c r="I449" s="91">
        <v>11</v>
      </c>
      <c r="J449" s="91">
        <v>2</v>
      </c>
      <c r="K449" s="91"/>
      <c r="L449" s="91" t="s">
        <v>197</v>
      </c>
      <c r="M449" s="91" t="s">
        <v>4</v>
      </c>
      <c r="Q449" s="91"/>
      <c r="S449" s="91" t="s">
        <v>143</v>
      </c>
      <c r="T449" s="91" t="s">
        <v>3784</v>
      </c>
      <c r="V449" s="91" t="s">
        <v>155</v>
      </c>
      <c r="W449" s="91" t="s">
        <v>180</v>
      </c>
    </row>
    <row r="450" spans="1:23">
      <c r="A450" s="93" t="str">
        <f>TEXT(tblProjectlist[[#This Row],[project-no]],"0")</f>
        <v>78119511</v>
      </c>
      <c r="H450" s="91">
        <v>7811</v>
      </c>
      <c r="I450" s="91">
        <v>95</v>
      </c>
      <c r="J450" s="91">
        <v>1</v>
      </c>
      <c r="K450" s="91" t="s">
        <v>1131</v>
      </c>
      <c r="L450" s="91" t="s">
        <v>2175</v>
      </c>
      <c r="M450" s="91" t="s">
        <v>0</v>
      </c>
      <c r="Q450" s="91"/>
      <c r="S450" s="91" t="s">
        <v>143</v>
      </c>
      <c r="T450" s="91" t="s">
        <v>2996</v>
      </c>
      <c r="V450" s="91" t="s">
        <v>169</v>
      </c>
      <c r="W450" s="91" t="s">
        <v>180</v>
      </c>
    </row>
    <row r="451" spans="1:23">
      <c r="A451" s="93" t="str">
        <f>TEXT(tblProjectlist[[#This Row],[project-no]],"0")</f>
        <v>30050443</v>
      </c>
      <c r="H451" s="91">
        <v>3005</v>
      </c>
      <c r="I451" s="91">
        <v>4</v>
      </c>
      <c r="J451" s="91">
        <v>4</v>
      </c>
      <c r="K451" s="91" t="s">
        <v>616</v>
      </c>
      <c r="L451" s="91" t="s">
        <v>58</v>
      </c>
      <c r="M451" s="91" t="s">
        <v>1</v>
      </c>
      <c r="Q451" s="91"/>
      <c r="S451" s="91" t="s">
        <v>143</v>
      </c>
      <c r="T451" s="91" t="s">
        <v>2526</v>
      </c>
      <c r="W451" s="91" t="s">
        <v>180</v>
      </c>
    </row>
    <row r="452" spans="1:23">
      <c r="A452" s="93" t="str">
        <f>TEXT(tblProjectlist[[#This Row],[project-no]],"0")</f>
        <v>0</v>
      </c>
      <c r="H452" s="91">
        <v>7687</v>
      </c>
      <c r="I452" s="91">
        <v>2</v>
      </c>
      <c r="J452" s="91">
        <v>2</v>
      </c>
      <c r="K452" s="91"/>
      <c r="L452" s="91" t="s">
        <v>2175</v>
      </c>
      <c r="M452" s="91" t="s">
        <v>4</v>
      </c>
      <c r="Q452" s="91"/>
      <c r="S452" s="91" t="s">
        <v>143</v>
      </c>
      <c r="T452" s="91" t="s">
        <v>4605</v>
      </c>
      <c r="V452" s="91" t="s">
        <v>155</v>
      </c>
      <c r="W452" s="91" t="s">
        <v>180</v>
      </c>
    </row>
    <row r="453" spans="1:23">
      <c r="A453" s="93" t="str">
        <f>TEXT(tblProjectlist[[#This Row],[project-no]],"0")</f>
        <v>0</v>
      </c>
      <c r="H453" s="91">
        <v>6606</v>
      </c>
      <c r="I453" s="91">
        <v>12</v>
      </c>
      <c r="J453" s="91">
        <v>2</v>
      </c>
      <c r="K453" s="91"/>
      <c r="L453" s="91" t="s">
        <v>197</v>
      </c>
      <c r="M453" s="91" t="s">
        <v>4</v>
      </c>
      <c r="Q453" s="91"/>
      <c r="S453" s="91" t="s">
        <v>143</v>
      </c>
      <c r="T453" s="91" t="s">
        <v>3862</v>
      </c>
      <c r="V453" s="91" t="s">
        <v>155</v>
      </c>
      <c r="W453" s="91" t="s">
        <v>180</v>
      </c>
    </row>
    <row r="454" spans="1:23">
      <c r="A454" s="93" t="str">
        <f>TEXT(tblProjectlist[[#This Row],[project-no]],"0")</f>
        <v>41160228</v>
      </c>
      <c r="H454" s="91">
        <v>4116</v>
      </c>
      <c r="I454" s="91">
        <v>2</v>
      </c>
      <c r="J454" s="91">
        <v>2</v>
      </c>
      <c r="K454" s="91" t="s">
        <v>765</v>
      </c>
      <c r="L454" s="91" t="s">
        <v>2175</v>
      </c>
      <c r="M454" s="91" t="s">
        <v>4</v>
      </c>
      <c r="Q454" s="91"/>
      <c r="S454" s="91" t="s">
        <v>143</v>
      </c>
      <c r="T454" s="91" t="s">
        <v>2661</v>
      </c>
      <c r="V454" s="91" t="s">
        <v>155</v>
      </c>
      <c r="W454" s="91" t="s">
        <v>180</v>
      </c>
    </row>
    <row r="455" spans="1:23">
      <c r="A455" s="93" t="str">
        <f>TEXT(tblProjectlist[[#This Row],[project-no]],"0")</f>
        <v>0</v>
      </c>
      <c r="H455" s="91">
        <v>4125</v>
      </c>
      <c r="I455" s="91">
        <v>2</v>
      </c>
      <c r="J455" s="91">
        <v>2</v>
      </c>
      <c r="K455" s="91"/>
      <c r="L455" s="91" t="s">
        <v>2175</v>
      </c>
      <c r="M455" s="91" t="s">
        <v>4</v>
      </c>
      <c r="Q455" s="91"/>
      <c r="S455" s="91" t="s">
        <v>143</v>
      </c>
      <c r="T455" s="91" t="s">
        <v>4578</v>
      </c>
      <c r="V455" s="91" t="s">
        <v>155</v>
      </c>
      <c r="W455" s="91" t="s">
        <v>180</v>
      </c>
    </row>
    <row r="456" spans="1:23">
      <c r="A456" s="93" t="str">
        <f>TEXT(tblProjectlist[[#This Row],[project-no]],"0")</f>
        <v>0</v>
      </c>
      <c r="H456" s="91">
        <v>4126</v>
      </c>
      <c r="I456" s="91">
        <v>2</v>
      </c>
      <c r="J456" s="91">
        <v>2</v>
      </c>
      <c r="K456" s="91"/>
      <c r="L456" s="91" t="s">
        <v>2175</v>
      </c>
      <c r="M456" s="91" t="s">
        <v>4</v>
      </c>
      <c r="Q456" s="91"/>
      <c r="S456" s="91" t="s">
        <v>143</v>
      </c>
      <c r="T456" s="91" t="s">
        <v>4723</v>
      </c>
      <c r="V456" s="91" t="s">
        <v>155</v>
      </c>
      <c r="W456" s="91" t="s">
        <v>180</v>
      </c>
    </row>
    <row r="457" spans="1:23">
      <c r="A457" s="93" t="str">
        <f>TEXT(tblProjectlist[[#This Row],[project-no]],"0")</f>
        <v>0</v>
      </c>
      <c r="H457" s="91">
        <v>6606</v>
      </c>
      <c r="I457" s="91">
        <v>13</v>
      </c>
      <c r="J457" s="91">
        <v>2</v>
      </c>
      <c r="K457" s="91"/>
      <c r="L457" s="91" t="s">
        <v>197</v>
      </c>
      <c r="M457" s="91" t="s">
        <v>4</v>
      </c>
      <c r="Q457" s="91"/>
      <c r="S457" s="91" t="s">
        <v>143</v>
      </c>
      <c r="T457" s="91" t="s">
        <v>3966</v>
      </c>
      <c r="V457" s="91" t="s">
        <v>155</v>
      </c>
      <c r="W457" s="91" t="s">
        <v>180</v>
      </c>
    </row>
    <row r="458" spans="1:23">
      <c r="A458" s="93" t="str">
        <f>TEXT(tblProjectlist[[#This Row],[project-no]],"0")</f>
        <v>0</v>
      </c>
      <c r="H458" s="91">
        <v>6606</v>
      </c>
      <c r="I458" s="91">
        <v>14</v>
      </c>
      <c r="J458" s="91">
        <v>2</v>
      </c>
      <c r="K458" s="91"/>
      <c r="L458" s="91" t="s">
        <v>197</v>
      </c>
      <c r="M458" s="91" t="s">
        <v>4</v>
      </c>
      <c r="Q458" s="91"/>
      <c r="S458" s="91" t="s">
        <v>143</v>
      </c>
      <c r="T458" s="91" t="s">
        <v>4002</v>
      </c>
      <c r="V458" s="91" t="s">
        <v>155</v>
      </c>
      <c r="W458" s="91" t="s">
        <v>180</v>
      </c>
    </row>
    <row r="459" spans="1:23">
      <c r="A459" s="93" t="str">
        <f>TEXT(tblProjectlist[[#This Row],[project-no]],"0")</f>
        <v>0</v>
      </c>
      <c r="H459" s="91">
        <v>6606</v>
      </c>
      <c r="I459" s="91">
        <v>15</v>
      </c>
      <c r="J459" s="91">
        <v>2</v>
      </c>
      <c r="K459" s="91"/>
      <c r="L459" s="91" t="s">
        <v>197</v>
      </c>
      <c r="M459" s="91" t="s">
        <v>4</v>
      </c>
      <c r="Q459" s="91"/>
      <c r="S459" s="91" t="s">
        <v>143</v>
      </c>
      <c r="T459" s="91" t="s">
        <v>4300</v>
      </c>
      <c r="V459" s="91" t="s">
        <v>155</v>
      </c>
      <c r="W459" s="91" t="s">
        <v>180</v>
      </c>
    </row>
    <row r="460" spans="1:23">
      <c r="A460" s="93" t="str">
        <f>TEXT(tblProjectlist[[#This Row],[project-no]],"0")</f>
        <v>99632113</v>
      </c>
      <c r="H460" s="91">
        <v>9963</v>
      </c>
      <c r="I460" s="91">
        <v>21</v>
      </c>
      <c r="J460" s="91">
        <v>1</v>
      </c>
      <c r="K460" s="91" t="s">
        <v>1322</v>
      </c>
      <c r="L460" s="91" t="s">
        <v>2175</v>
      </c>
      <c r="M460" s="91" t="s">
        <v>0</v>
      </c>
      <c r="Q460" s="91"/>
      <c r="S460" s="91" t="s">
        <v>143</v>
      </c>
      <c r="T460" s="91" t="s">
        <v>3163</v>
      </c>
      <c r="V460" s="91" t="s">
        <v>167</v>
      </c>
      <c r="W460" s="91" t="s">
        <v>180</v>
      </c>
    </row>
    <row r="461" spans="1:23">
      <c r="A461" s="93" t="str">
        <f>TEXT(tblProjectlist[[#This Row],[project-no]],"0")</f>
        <v>99932011</v>
      </c>
      <c r="H461" s="91">
        <v>9981</v>
      </c>
      <c r="I461" s="91">
        <v>7</v>
      </c>
      <c r="J461" s="91">
        <v>1</v>
      </c>
      <c r="K461" s="91" t="s">
        <v>1579</v>
      </c>
      <c r="L461" s="91" t="s">
        <v>2175</v>
      </c>
      <c r="M461" s="91" t="s">
        <v>0</v>
      </c>
      <c r="Q461" s="91"/>
      <c r="S461" s="91" t="s">
        <v>143</v>
      </c>
      <c r="T461" s="91" t="s">
        <v>3180</v>
      </c>
      <c r="V461" s="91" t="s">
        <v>169</v>
      </c>
      <c r="W461" s="91" t="s">
        <v>180</v>
      </c>
    </row>
    <row r="462" spans="1:23">
      <c r="A462" s="93" t="str">
        <f>TEXT(tblProjectlist[[#This Row],[project-no]],"0")</f>
        <v>2062024</v>
      </c>
      <c r="H462" s="91">
        <v>2062</v>
      </c>
      <c r="I462" s="91">
        <v>2</v>
      </c>
      <c r="J462" s="91">
        <v>4</v>
      </c>
      <c r="K462" s="91">
        <v>2062024</v>
      </c>
      <c r="L462" s="91" t="s">
        <v>58</v>
      </c>
      <c r="M462" s="91" t="s">
        <v>1</v>
      </c>
      <c r="Q462" s="91"/>
      <c r="S462" s="91" t="s">
        <v>143</v>
      </c>
      <c r="T462" s="91" t="s">
        <v>3909</v>
      </c>
      <c r="V462" s="91" t="s">
        <v>159</v>
      </c>
      <c r="W462" s="91" t="s">
        <v>180</v>
      </c>
    </row>
    <row r="463" spans="1:23">
      <c r="A463" s="93" t="str">
        <f>TEXT(tblProjectlist[[#This Row],[project-no]],"0")</f>
        <v>2062034</v>
      </c>
      <c r="H463" s="91">
        <v>2062</v>
      </c>
      <c r="I463" s="91">
        <v>3</v>
      </c>
      <c r="J463" s="91">
        <v>4</v>
      </c>
      <c r="K463" s="91">
        <v>2062034</v>
      </c>
      <c r="L463" s="91" t="s">
        <v>58</v>
      </c>
      <c r="M463" s="91" t="s">
        <v>1</v>
      </c>
      <c r="Q463" s="91"/>
      <c r="S463" s="91" t="s">
        <v>143</v>
      </c>
      <c r="T463" s="91" t="s">
        <v>4555</v>
      </c>
      <c r="V463" s="91" t="s">
        <v>163</v>
      </c>
      <c r="W463" s="91" t="s">
        <v>180</v>
      </c>
    </row>
    <row r="464" spans="1:23">
      <c r="A464" s="93" t="str">
        <f>TEXT(tblProjectlist[[#This Row],[project-no]],"0")</f>
        <v>2062034</v>
      </c>
      <c r="H464" s="91">
        <v>2062</v>
      </c>
      <c r="I464" s="91">
        <v>3</v>
      </c>
      <c r="J464" s="91">
        <v>4</v>
      </c>
      <c r="K464" s="91">
        <v>2062034</v>
      </c>
      <c r="L464" s="91" t="s">
        <v>58</v>
      </c>
      <c r="M464" s="91" t="s">
        <v>1</v>
      </c>
      <c r="Q464" s="91"/>
      <c r="S464" s="91" t="s">
        <v>143</v>
      </c>
      <c r="T464" s="91" t="s">
        <v>4555</v>
      </c>
      <c r="V464" s="91" t="s">
        <v>164</v>
      </c>
      <c r="W464" s="91" t="s">
        <v>180</v>
      </c>
    </row>
    <row r="465" spans="1:23">
      <c r="A465" s="93" t="str">
        <f>TEXT(tblProjectlist[[#This Row],[project-no]],"0")</f>
        <v>2062034</v>
      </c>
      <c r="H465" s="91">
        <v>2062</v>
      </c>
      <c r="I465" s="91">
        <v>3</v>
      </c>
      <c r="J465" s="91">
        <v>4</v>
      </c>
      <c r="K465" s="91">
        <v>2062034</v>
      </c>
      <c r="L465" s="91" t="s">
        <v>58</v>
      </c>
      <c r="M465" s="91" t="s">
        <v>1</v>
      </c>
      <c r="Q465" s="91"/>
      <c r="S465" s="91" t="s">
        <v>143</v>
      </c>
      <c r="T465" s="91" t="s">
        <v>4555</v>
      </c>
      <c r="V465" s="91" t="s">
        <v>160</v>
      </c>
      <c r="W465" s="91" t="s">
        <v>180</v>
      </c>
    </row>
    <row r="466" spans="1:23">
      <c r="A466" s="93" t="str">
        <f>TEXT(tblProjectlist[[#This Row],[project-no]],"0")</f>
        <v>80040628</v>
      </c>
      <c r="H466" s="91">
        <v>8004</v>
      </c>
      <c r="I466" s="91">
        <v>6</v>
      </c>
      <c r="J466" s="91">
        <v>2</v>
      </c>
      <c r="K466" s="91" t="s">
        <v>1155</v>
      </c>
      <c r="L466" s="91" t="s">
        <v>2175</v>
      </c>
      <c r="M466" s="91" t="s">
        <v>4</v>
      </c>
      <c r="Q466" s="91"/>
      <c r="S466" s="91" t="s">
        <v>143</v>
      </c>
      <c r="T466" s="91" t="s">
        <v>3019</v>
      </c>
      <c r="V466" s="91" t="s">
        <v>155</v>
      </c>
      <c r="W466" s="91" t="s">
        <v>180</v>
      </c>
    </row>
    <row r="467" spans="1:23">
      <c r="A467" s="93" t="str">
        <f>TEXT(tblProjectlist[[#This Row],[project-no]],"0")</f>
        <v>0</v>
      </c>
      <c r="H467" s="91">
        <v>2046</v>
      </c>
      <c r="I467" s="91">
        <v>2</v>
      </c>
      <c r="J467" s="91">
        <v>2</v>
      </c>
      <c r="K467" s="91"/>
      <c r="L467" s="91" t="s">
        <v>2175</v>
      </c>
      <c r="M467" s="91" t="s">
        <v>4</v>
      </c>
      <c r="Q467" s="91"/>
      <c r="S467" s="91" t="s">
        <v>143</v>
      </c>
      <c r="T467" s="91" t="s">
        <v>3839</v>
      </c>
      <c r="V467" s="91" t="s">
        <v>155</v>
      </c>
      <c r="W467" s="91" t="s">
        <v>180</v>
      </c>
    </row>
    <row r="468" spans="1:23">
      <c r="A468" s="93" t="str">
        <f>TEXT(tblProjectlist[[#This Row],[project-no]],"0")</f>
        <v>0</v>
      </c>
      <c r="H468" s="91">
        <v>2046</v>
      </c>
      <c r="I468" s="91">
        <v>3</v>
      </c>
      <c r="J468" s="91">
        <v>2</v>
      </c>
      <c r="K468" s="91"/>
      <c r="L468" s="91" t="s">
        <v>2175</v>
      </c>
      <c r="M468" s="91" t="s">
        <v>4</v>
      </c>
      <c r="Q468" s="91"/>
      <c r="S468" s="91" t="s">
        <v>143</v>
      </c>
      <c r="T468" s="91" t="s">
        <v>4294</v>
      </c>
      <c r="V468" s="91" t="s">
        <v>155</v>
      </c>
      <c r="W468" s="91" t="s">
        <v>180</v>
      </c>
    </row>
    <row r="469" spans="1:23">
      <c r="A469" s="93" t="str">
        <f>TEXT(tblProjectlist[[#This Row],[project-no]],"0")</f>
        <v>0</v>
      </c>
      <c r="H469" s="91">
        <v>2046</v>
      </c>
      <c r="I469" s="91">
        <v>4</v>
      </c>
      <c r="J469" s="91">
        <v>2</v>
      </c>
      <c r="K469" s="91"/>
      <c r="L469" s="91" t="s">
        <v>2175</v>
      </c>
      <c r="M469" s="91" t="s">
        <v>4</v>
      </c>
      <c r="Q469" s="91"/>
      <c r="S469" s="91" t="s">
        <v>143</v>
      </c>
      <c r="T469" s="91" t="s">
        <v>4620</v>
      </c>
      <c r="V469" s="91" t="s">
        <v>155</v>
      </c>
      <c r="W469" s="91" t="s">
        <v>180</v>
      </c>
    </row>
    <row r="470" spans="1:23">
      <c r="A470" s="93" t="str">
        <f>TEXT(tblProjectlist[[#This Row],[project-no]],"0")</f>
        <v>0</v>
      </c>
      <c r="H470" s="91">
        <v>3172</v>
      </c>
      <c r="I470" s="91">
        <v>1</v>
      </c>
      <c r="J470" s="91">
        <v>2</v>
      </c>
      <c r="K470" s="91"/>
      <c r="L470" s="91" t="s">
        <v>2175</v>
      </c>
      <c r="M470" s="91" t="s">
        <v>4</v>
      </c>
      <c r="Q470" s="91"/>
      <c r="S470" s="91" t="s">
        <v>143</v>
      </c>
      <c r="T470" s="91" t="s">
        <v>4724</v>
      </c>
      <c r="V470" s="91" t="s">
        <v>155</v>
      </c>
      <c r="W470" s="91" t="s">
        <v>180</v>
      </c>
    </row>
    <row r="471" spans="1:23">
      <c r="A471" s="93" t="str">
        <f>TEXT(tblProjectlist[[#This Row],[project-no]],"0")</f>
        <v>0</v>
      </c>
      <c r="H471" s="91">
        <v>3172</v>
      </c>
      <c r="I471" s="91">
        <v>2</v>
      </c>
      <c r="J471" s="91">
        <v>2</v>
      </c>
      <c r="K471" s="91"/>
      <c r="L471" s="91" t="s">
        <v>2175</v>
      </c>
      <c r="M471" s="91" t="s">
        <v>4</v>
      </c>
      <c r="Q471" s="91"/>
      <c r="S471" s="91" t="s">
        <v>143</v>
      </c>
      <c r="T471" s="91" t="s">
        <v>4371</v>
      </c>
      <c r="V471" s="91" t="s">
        <v>155</v>
      </c>
      <c r="W471" s="91" t="s">
        <v>180</v>
      </c>
    </row>
    <row r="472" spans="1:23">
      <c r="A472" s="93" t="str">
        <f>TEXT(tblProjectlist[[#This Row],[project-no]],"0")</f>
        <v>78023728</v>
      </c>
      <c r="H472" s="91">
        <v>7802</v>
      </c>
      <c r="I472" s="91">
        <v>37</v>
      </c>
      <c r="J472" s="91">
        <v>2</v>
      </c>
      <c r="K472" s="91" t="s">
        <v>1117</v>
      </c>
      <c r="L472" s="91" t="s">
        <v>2175</v>
      </c>
      <c r="M472" s="91" t="s">
        <v>4</v>
      </c>
      <c r="Q472" s="91"/>
      <c r="S472" s="91" t="s">
        <v>143</v>
      </c>
      <c r="T472" s="91" t="s">
        <v>2983</v>
      </c>
      <c r="V472" s="91" t="s">
        <v>155</v>
      </c>
      <c r="W472" s="91" t="s">
        <v>180</v>
      </c>
    </row>
    <row r="473" spans="1:23">
      <c r="A473" s="93" t="str">
        <f>TEXT(tblProjectlist[[#This Row],[project-no]],"0")</f>
        <v>99965528</v>
      </c>
      <c r="H473" s="91">
        <v>7802</v>
      </c>
      <c r="I473" s="91">
        <v>37</v>
      </c>
      <c r="J473" s="91">
        <v>2</v>
      </c>
      <c r="K473" s="91" t="s">
        <v>1773</v>
      </c>
      <c r="L473" s="91" t="s">
        <v>2175</v>
      </c>
      <c r="M473" s="91" t="s">
        <v>4</v>
      </c>
      <c r="Q473" s="91"/>
      <c r="S473" s="91" t="s">
        <v>143</v>
      </c>
      <c r="T473" s="91" t="s">
        <v>2983</v>
      </c>
      <c r="W473" s="91" t="s">
        <v>180</v>
      </c>
    </row>
    <row r="474" spans="1:23">
      <c r="A474" s="93" t="str">
        <f>TEXT(tblProjectlist[[#This Row],[project-no]],"0")</f>
        <v>0</v>
      </c>
      <c r="H474" s="91">
        <v>3174</v>
      </c>
      <c r="I474" s="91">
        <v>2</v>
      </c>
      <c r="J474" s="91">
        <v>1</v>
      </c>
      <c r="K474" s="91"/>
      <c r="L474" s="91" t="s">
        <v>2175</v>
      </c>
      <c r="M474" s="91" t="s">
        <v>0</v>
      </c>
      <c r="Q474" s="91"/>
      <c r="S474" s="91" t="s">
        <v>143</v>
      </c>
      <c r="T474" s="91" t="s">
        <v>4401</v>
      </c>
      <c r="V474" s="91" t="s">
        <v>169</v>
      </c>
      <c r="W474" s="91" t="s">
        <v>180</v>
      </c>
    </row>
    <row r="475" spans="1:23">
      <c r="A475" s="93" t="str">
        <f>TEXT(tblProjectlist[[#This Row],[project-no]],"0")</f>
        <v>0</v>
      </c>
      <c r="H475" s="91">
        <v>3174</v>
      </c>
      <c r="I475" s="91">
        <v>2</v>
      </c>
      <c r="J475" s="91">
        <v>1</v>
      </c>
      <c r="K475" s="91"/>
      <c r="L475" s="91" t="s">
        <v>2175</v>
      </c>
      <c r="M475" s="91" t="s">
        <v>0</v>
      </c>
      <c r="Q475" s="91"/>
      <c r="S475" s="91" t="s">
        <v>143</v>
      </c>
      <c r="T475" s="91" t="s">
        <v>4401</v>
      </c>
      <c r="V475" s="91" t="s">
        <v>168</v>
      </c>
      <c r="W475" s="91" t="s">
        <v>180</v>
      </c>
    </row>
    <row r="476" spans="1:23">
      <c r="A476" s="93" t="str">
        <f>TEXT(tblProjectlist[[#This Row],[project-no]],"0")</f>
        <v>0</v>
      </c>
      <c r="H476" s="91">
        <v>6606</v>
      </c>
      <c r="I476" s="91">
        <v>16</v>
      </c>
      <c r="J476" s="91">
        <v>2</v>
      </c>
      <c r="K476" s="91"/>
      <c r="L476" s="91" t="s">
        <v>197</v>
      </c>
      <c r="M476" s="91" t="s">
        <v>4</v>
      </c>
      <c r="Q476" s="91"/>
      <c r="S476" s="91" t="s">
        <v>143</v>
      </c>
      <c r="T476" s="91" t="s">
        <v>4312</v>
      </c>
      <c r="V476" s="91" t="s">
        <v>155</v>
      </c>
      <c r="W476" s="91" t="s">
        <v>180</v>
      </c>
    </row>
    <row r="477" spans="1:23">
      <c r="A477" s="93" t="str">
        <f>TEXT(tblProjectlist[[#This Row],[project-no]],"0")</f>
        <v>0</v>
      </c>
      <c r="H477" s="91">
        <v>6606</v>
      </c>
      <c r="I477" s="91">
        <v>17</v>
      </c>
      <c r="J477" s="91">
        <v>2</v>
      </c>
      <c r="K477" s="91"/>
      <c r="L477" s="91" t="s">
        <v>197</v>
      </c>
      <c r="M477" s="91" t="s">
        <v>4</v>
      </c>
      <c r="Q477" s="91"/>
      <c r="S477" s="91" t="s">
        <v>143</v>
      </c>
      <c r="T477" s="91" t="s">
        <v>4487</v>
      </c>
      <c r="V477" s="91" t="s">
        <v>155</v>
      </c>
      <c r="W477" s="91" t="s">
        <v>180</v>
      </c>
    </row>
    <row r="478" spans="1:23">
      <c r="A478" s="93" t="str">
        <f>TEXT(tblProjectlist[[#This Row],[project-no]],"0")</f>
        <v>0</v>
      </c>
      <c r="H478" s="91">
        <v>7802</v>
      </c>
      <c r="I478" s="91">
        <v>49</v>
      </c>
      <c r="J478" s="91">
        <v>2</v>
      </c>
      <c r="K478" s="91"/>
      <c r="L478" s="91" t="s">
        <v>2175</v>
      </c>
      <c r="M478" s="91" t="s">
        <v>4</v>
      </c>
      <c r="Q478" s="91"/>
      <c r="S478" s="91" t="s">
        <v>143</v>
      </c>
      <c r="T478" s="91" t="s">
        <v>3875</v>
      </c>
      <c r="V478" s="91" t="s">
        <v>156</v>
      </c>
      <c r="W478" s="91" t="s">
        <v>180</v>
      </c>
    </row>
    <row r="479" spans="1:23">
      <c r="A479" s="93" t="str">
        <f>TEXT(tblProjectlist[[#This Row],[project-no]],"0")</f>
        <v>70400226</v>
      </c>
      <c r="H479" s="91">
        <v>7040</v>
      </c>
      <c r="I479" s="91">
        <v>2</v>
      </c>
      <c r="J479" s="91">
        <v>2</v>
      </c>
      <c r="K479" s="91" t="s">
        <v>952</v>
      </c>
      <c r="L479" s="91" t="s">
        <v>2175</v>
      </c>
      <c r="M479" s="91" t="s">
        <v>4</v>
      </c>
      <c r="Q479" s="91"/>
      <c r="S479" s="91" t="s">
        <v>143</v>
      </c>
      <c r="T479" s="91" t="s">
        <v>2824</v>
      </c>
      <c r="V479" s="91" t="s">
        <v>155</v>
      </c>
      <c r="W479" s="91" t="s">
        <v>180</v>
      </c>
    </row>
    <row r="480" spans="1:23">
      <c r="A480" s="93" t="str">
        <f>TEXT(tblProjectlist[[#This Row],[project-no]],"0")</f>
        <v>0</v>
      </c>
      <c r="H480" s="91">
        <v>6606</v>
      </c>
      <c r="I480" s="91">
        <v>18</v>
      </c>
      <c r="J480" s="91">
        <v>2</v>
      </c>
      <c r="K480" s="91"/>
      <c r="L480" s="91" t="s">
        <v>197</v>
      </c>
      <c r="M480" s="91" t="s">
        <v>4</v>
      </c>
      <c r="Q480" s="91"/>
      <c r="S480" s="91" t="s">
        <v>143</v>
      </c>
      <c r="T480" s="91" t="s">
        <v>4488</v>
      </c>
      <c r="V480" s="91" t="s">
        <v>155</v>
      </c>
      <c r="W480" s="91" t="s">
        <v>180</v>
      </c>
    </row>
    <row r="481" spans="1:23">
      <c r="A481" s="93" t="str">
        <f>TEXT(tblProjectlist[[#This Row],[project-no]],"0")</f>
        <v>0</v>
      </c>
      <c r="H481" s="91">
        <v>6606</v>
      </c>
      <c r="I481" s="91">
        <v>19</v>
      </c>
      <c r="J481" s="91">
        <v>2</v>
      </c>
      <c r="K481" s="91"/>
      <c r="L481" s="91" t="s">
        <v>2175</v>
      </c>
      <c r="M481" s="91" t="s">
        <v>4</v>
      </c>
      <c r="Q481" s="91"/>
      <c r="S481" s="91" t="s">
        <v>143</v>
      </c>
      <c r="T481" s="91" t="s">
        <v>4645</v>
      </c>
      <c r="V481" s="91" t="s">
        <v>155</v>
      </c>
      <c r="W481" s="91" t="s">
        <v>180</v>
      </c>
    </row>
    <row r="482" spans="1:23">
      <c r="A482" s="93" t="str">
        <f>TEXT(tblProjectlist[[#This Row],[project-no]],"0")</f>
        <v>0</v>
      </c>
      <c r="H482" s="91">
        <v>6606</v>
      </c>
      <c r="I482" s="91">
        <v>20</v>
      </c>
      <c r="J482" s="91">
        <v>2</v>
      </c>
      <c r="K482" s="91"/>
      <c r="L482" s="91" t="s">
        <v>197</v>
      </c>
      <c r="M482" s="91" t="s">
        <v>4</v>
      </c>
      <c r="Q482" s="91"/>
      <c r="S482" s="91" t="s">
        <v>143</v>
      </c>
      <c r="T482" s="91" t="s">
        <v>4646</v>
      </c>
      <c r="V482" s="91" t="s">
        <v>155</v>
      </c>
      <c r="W482" s="91" t="s">
        <v>180</v>
      </c>
    </row>
    <row r="483" spans="1:23">
      <c r="A483" s="93" t="str">
        <f>TEXT(tblProjectlist[[#This Row],[project-no]],"0")</f>
        <v>0</v>
      </c>
      <c r="H483" s="91">
        <v>6606</v>
      </c>
      <c r="I483" s="91">
        <v>21</v>
      </c>
      <c r="J483" s="91">
        <v>2</v>
      </c>
      <c r="K483" s="91"/>
      <c r="L483" s="91" t="s">
        <v>197</v>
      </c>
      <c r="M483" s="91" t="s">
        <v>4</v>
      </c>
      <c r="Q483" s="91"/>
      <c r="S483" s="91" t="s">
        <v>143</v>
      </c>
      <c r="T483" s="91" t="s">
        <v>4686</v>
      </c>
      <c r="V483" s="91" t="s">
        <v>155</v>
      </c>
      <c r="W483" s="91" t="s">
        <v>180</v>
      </c>
    </row>
    <row r="484" spans="1:23">
      <c r="A484" s="93" t="str">
        <f>TEXT(tblProjectlist[[#This Row],[project-no]],"0")</f>
        <v>0</v>
      </c>
      <c r="H484" s="91">
        <v>6606</v>
      </c>
      <c r="I484" s="91">
        <v>22</v>
      </c>
      <c r="J484" s="91">
        <v>2</v>
      </c>
      <c r="K484" s="91"/>
      <c r="L484" s="91" t="s">
        <v>197</v>
      </c>
      <c r="M484" s="91" t="s">
        <v>4</v>
      </c>
      <c r="Q484" s="91"/>
      <c r="S484" s="91" t="s">
        <v>143</v>
      </c>
      <c r="T484" s="91" t="s">
        <v>4687</v>
      </c>
      <c r="V484" s="91" t="s">
        <v>155</v>
      </c>
      <c r="W484" s="91" t="s">
        <v>180</v>
      </c>
    </row>
    <row r="485" spans="1:23">
      <c r="A485" s="93" t="str">
        <f>TEXT(tblProjectlist[[#This Row],[project-no]],"0")</f>
        <v>0</v>
      </c>
      <c r="H485" s="91">
        <v>6607</v>
      </c>
      <c r="I485" s="91">
        <v>22</v>
      </c>
      <c r="J485" s="91">
        <v>4</v>
      </c>
      <c r="K485" s="91"/>
      <c r="L485" s="91" t="s">
        <v>58</v>
      </c>
      <c r="M485" s="91" t="s">
        <v>1</v>
      </c>
      <c r="Q485" s="91"/>
      <c r="S485" s="91" t="s">
        <v>143</v>
      </c>
      <c r="T485" s="91" t="s">
        <v>3863</v>
      </c>
      <c r="V485" s="91" t="s">
        <v>156</v>
      </c>
      <c r="W485" s="91" t="s">
        <v>180</v>
      </c>
    </row>
    <row r="486" spans="1:23">
      <c r="A486" s="93" t="str">
        <f>TEXT(tblProjectlist[[#This Row],[project-no]],"0")</f>
        <v>0</v>
      </c>
      <c r="H486" s="91">
        <v>6612</v>
      </c>
      <c r="I486" s="91">
        <v>3</v>
      </c>
      <c r="J486" s="91">
        <v>2</v>
      </c>
      <c r="K486" s="91"/>
      <c r="L486" s="91" t="s">
        <v>2175</v>
      </c>
      <c r="M486" s="91" t="s">
        <v>4</v>
      </c>
      <c r="Q486" s="91"/>
      <c r="S486" s="91" t="s">
        <v>143</v>
      </c>
      <c r="T486" s="91" t="s">
        <v>3811</v>
      </c>
      <c r="V486" s="91" t="s">
        <v>155</v>
      </c>
      <c r="W486" s="91" t="s">
        <v>180</v>
      </c>
    </row>
    <row r="487" spans="1:23">
      <c r="A487" s="93" t="str">
        <f>TEXT(tblProjectlist[[#This Row],[project-no]],"0")</f>
        <v>0</v>
      </c>
      <c r="H487" s="91">
        <v>6612</v>
      </c>
      <c r="I487" s="91">
        <v>4</v>
      </c>
      <c r="J487" s="91">
        <v>1</v>
      </c>
      <c r="K487" s="91"/>
      <c r="L487" s="91" t="s">
        <v>197</v>
      </c>
      <c r="M487" s="91" t="s">
        <v>0</v>
      </c>
      <c r="Q487" s="91"/>
      <c r="S487" s="91" t="s">
        <v>143</v>
      </c>
      <c r="T487" s="91" t="s">
        <v>4432</v>
      </c>
      <c r="V487" s="91" t="s">
        <v>169</v>
      </c>
      <c r="W487" s="91" t="s">
        <v>180</v>
      </c>
    </row>
    <row r="488" spans="1:23">
      <c r="A488" s="93" t="str">
        <f>TEXT(tblProjectlist[[#This Row],[project-no]],"0")</f>
        <v>0</v>
      </c>
      <c r="H488" s="91">
        <v>6615</v>
      </c>
      <c r="I488" s="91">
        <v>3</v>
      </c>
      <c r="J488" s="91">
        <v>4</v>
      </c>
      <c r="K488" s="91"/>
      <c r="L488" s="91" t="s">
        <v>58</v>
      </c>
      <c r="M488" s="91" t="s">
        <v>1</v>
      </c>
      <c r="Q488" s="91"/>
      <c r="S488" s="91" t="s">
        <v>143</v>
      </c>
      <c r="T488" s="91" t="s">
        <v>3687</v>
      </c>
      <c r="V488" s="91" t="s">
        <v>160</v>
      </c>
      <c r="W488" s="91" t="s">
        <v>180</v>
      </c>
    </row>
    <row r="489" spans="1:23">
      <c r="A489" s="93" t="str">
        <f>TEXT(tblProjectlist[[#This Row],[project-no]],"0")</f>
        <v>0</v>
      </c>
      <c r="H489" s="91">
        <v>6616</v>
      </c>
      <c r="I489" s="91">
        <v>3</v>
      </c>
      <c r="J489" s="91">
        <v>2</v>
      </c>
      <c r="K489" s="91"/>
      <c r="L489" s="91" t="s">
        <v>2175</v>
      </c>
      <c r="M489" s="91" t="s">
        <v>4</v>
      </c>
      <c r="Q489" s="91"/>
      <c r="S489" s="91" t="s">
        <v>143</v>
      </c>
      <c r="T489" s="91" t="s">
        <v>3574</v>
      </c>
      <c r="V489" s="91" t="s">
        <v>155</v>
      </c>
      <c r="W489" s="91" t="s">
        <v>180</v>
      </c>
    </row>
    <row r="490" spans="1:23">
      <c r="A490" s="93" t="str">
        <f>TEXT(tblProjectlist[[#This Row],[project-no]],"0")</f>
        <v>0</v>
      </c>
      <c r="H490" s="91">
        <v>6616</v>
      </c>
      <c r="I490" s="91">
        <v>4</v>
      </c>
      <c r="J490" s="91">
        <v>2</v>
      </c>
      <c r="K490" s="91"/>
      <c r="L490" s="91" t="s">
        <v>2175</v>
      </c>
      <c r="M490" s="91" t="s">
        <v>4</v>
      </c>
      <c r="Q490" s="91"/>
      <c r="S490" s="91" t="s">
        <v>143</v>
      </c>
      <c r="T490" s="91" t="s">
        <v>3591</v>
      </c>
      <c r="V490" s="91" t="s">
        <v>155</v>
      </c>
      <c r="W490" s="91" t="s">
        <v>180</v>
      </c>
    </row>
    <row r="491" spans="1:23">
      <c r="A491" s="93" t="str">
        <f>TEXT(tblProjectlist[[#This Row],[project-no]],"0")</f>
        <v>60800228</v>
      </c>
      <c r="H491" s="91">
        <v>6080</v>
      </c>
      <c r="I491" s="91">
        <v>2</v>
      </c>
      <c r="J491" s="91">
        <v>2</v>
      </c>
      <c r="K491" s="91" t="s">
        <v>819</v>
      </c>
      <c r="L491" s="91" t="s">
        <v>2175</v>
      </c>
      <c r="M491" s="91" t="s">
        <v>4</v>
      </c>
      <c r="Q491" s="91"/>
      <c r="S491" s="91" t="s">
        <v>143</v>
      </c>
      <c r="T491" s="91" t="s">
        <v>2705</v>
      </c>
      <c r="V491" s="91" t="s">
        <v>155</v>
      </c>
      <c r="W491" s="91" t="s">
        <v>180</v>
      </c>
    </row>
    <row r="492" spans="1:23">
      <c r="A492" s="93" t="str">
        <f>TEXT(tblProjectlist[[#This Row],[project-no]],"0")</f>
        <v>0</v>
      </c>
      <c r="H492" s="91">
        <v>7685</v>
      </c>
      <c r="I492" s="91">
        <v>2</v>
      </c>
      <c r="J492" s="91">
        <v>2</v>
      </c>
      <c r="K492" s="91"/>
      <c r="L492" s="91" t="s">
        <v>197</v>
      </c>
      <c r="M492" s="91" t="s">
        <v>4</v>
      </c>
      <c r="Q492" s="91"/>
      <c r="S492" s="91" t="s">
        <v>143</v>
      </c>
      <c r="T492" s="91" t="s">
        <v>4206</v>
      </c>
      <c r="V492" s="91" t="s">
        <v>155</v>
      </c>
      <c r="W492" s="91" t="s">
        <v>180</v>
      </c>
    </row>
    <row r="493" spans="1:23">
      <c r="A493" s="93" t="str">
        <f>TEXT(tblProjectlist[[#This Row],[project-no]],"0")</f>
        <v>0</v>
      </c>
      <c r="H493" s="91">
        <v>6105</v>
      </c>
      <c r="I493" s="91">
        <v>2</v>
      </c>
      <c r="J493" s="91">
        <v>2</v>
      </c>
      <c r="K493" s="91"/>
      <c r="L493" s="91" t="s">
        <v>2175</v>
      </c>
      <c r="M493" s="91" t="s">
        <v>4</v>
      </c>
      <c r="Q493" s="91"/>
      <c r="S493" s="91" t="s">
        <v>143</v>
      </c>
      <c r="T493" s="91" t="s">
        <v>3676</v>
      </c>
      <c r="V493" s="91" t="s">
        <v>155</v>
      </c>
      <c r="W493" s="91" t="s">
        <v>180</v>
      </c>
    </row>
    <row r="494" spans="1:23">
      <c r="A494" s="93" t="str">
        <f>TEXT(tblProjectlist[[#This Row],[project-no]],"0")</f>
        <v>0</v>
      </c>
      <c r="H494" s="91">
        <v>6105</v>
      </c>
      <c r="I494" s="91">
        <v>4</v>
      </c>
      <c r="J494" s="91">
        <v>2</v>
      </c>
      <c r="K494" s="91"/>
      <c r="L494" s="91" t="s">
        <v>2175</v>
      </c>
      <c r="M494" s="91" t="s">
        <v>4</v>
      </c>
      <c r="Q494" s="91"/>
      <c r="S494" s="91" t="s">
        <v>143</v>
      </c>
      <c r="T494" s="91" t="s">
        <v>4295</v>
      </c>
      <c r="V494" s="91" t="s">
        <v>155</v>
      </c>
      <c r="W494" s="91" t="s">
        <v>180</v>
      </c>
    </row>
    <row r="495" spans="1:23">
      <c r="A495" s="93" t="str">
        <f>TEXT(tblProjectlist[[#This Row],[project-no]],"0")</f>
        <v>0</v>
      </c>
      <c r="H495" s="91">
        <v>6105</v>
      </c>
      <c r="I495" s="91">
        <v>5</v>
      </c>
      <c r="J495" s="91">
        <v>2</v>
      </c>
      <c r="K495" s="91"/>
      <c r="L495" s="91" t="s">
        <v>2175</v>
      </c>
      <c r="M495" s="91" t="s">
        <v>4</v>
      </c>
      <c r="Q495" s="91"/>
      <c r="S495" s="91" t="s">
        <v>143</v>
      </c>
      <c r="T495" s="91" t="s">
        <v>4444</v>
      </c>
      <c r="V495" s="91" t="s">
        <v>155</v>
      </c>
      <c r="W495" s="91" t="s">
        <v>180</v>
      </c>
    </row>
    <row r="496" spans="1:23">
      <c r="A496" s="93" t="str">
        <f>TEXT(tblProjectlist[[#This Row],[project-no]],"0")</f>
        <v>0</v>
      </c>
      <c r="H496" s="91">
        <v>6105</v>
      </c>
      <c r="I496" s="91">
        <v>3</v>
      </c>
      <c r="J496" s="91">
        <v>2</v>
      </c>
      <c r="K496" s="91"/>
      <c r="L496" s="91" t="s">
        <v>2175</v>
      </c>
      <c r="M496" s="91" t="s">
        <v>4</v>
      </c>
      <c r="Q496" s="91"/>
      <c r="S496" s="91" t="s">
        <v>143</v>
      </c>
      <c r="T496" s="91" t="s">
        <v>4081</v>
      </c>
      <c r="V496" s="91" t="s">
        <v>155</v>
      </c>
      <c r="W496" s="91" t="s">
        <v>180</v>
      </c>
    </row>
    <row r="497" spans="1:23">
      <c r="A497" s="93" t="str">
        <f>TEXT(tblProjectlist[[#This Row],[project-no]],"0")</f>
        <v>0</v>
      </c>
      <c r="H497" s="91">
        <v>6105</v>
      </c>
      <c r="I497" s="91">
        <v>6</v>
      </c>
      <c r="J497" s="91">
        <v>2</v>
      </c>
      <c r="K497" s="91"/>
      <c r="L497" s="91" t="s">
        <v>2175</v>
      </c>
      <c r="M497" s="91" t="s">
        <v>4</v>
      </c>
      <c r="Q497" s="91"/>
      <c r="S497" s="91" t="s">
        <v>143</v>
      </c>
      <c r="T497" s="91" t="s">
        <v>4688</v>
      </c>
      <c r="V497" s="91" t="s">
        <v>155</v>
      </c>
      <c r="W497" s="91" t="s">
        <v>180</v>
      </c>
    </row>
    <row r="498" spans="1:23">
      <c r="A498" s="93" t="str">
        <f>TEXT(tblProjectlist[[#This Row],[project-no]],"0")</f>
        <v>78024028</v>
      </c>
      <c r="H498" s="91">
        <v>7802</v>
      </c>
      <c r="I498" s="91">
        <v>40</v>
      </c>
      <c r="J498" s="91">
        <v>2</v>
      </c>
      <c r="K498" s="91" t="s">
        <v>1120</v>
      </c>
      <c r="L498" s="91" t="s">
        <v>2175</v>
      </c>
      <c r="M498" s="91" t="s">
        <v>4</v>
      </c>
      <c r="Q498" s="91"/>
      <c r="S498" s="91" t="s">
        <v>143</v>
      </c>
      <c r="T498" s="91" t="s">
        <v>2986</v>
      </c>
      <c r="V498" s="91" t="s">
        <v>155</v>
      </c>
      <c r="W498" s="91" t="s">
        <v>180</v>
      </c>
    </row>
    <row r="499" spans="1:23">
      <c r="A499" s="93" t="str">
        <f>TEXT(tblProjectlist[[#This Row],[project-no]],"0")</f>
        <v>0</v>
      </c>
      <c r="H499" s="91">
        <v>6616</v>
      </c>
      <c r="I499" s="91">
        <v>5</v>
      </c>
      <c r="J499" s="91">
        <v>2</v>
      </c>
      <c r="K499" s="91"/>
      <c r="L499" s="91" t="s">
        <v>2175</v>
      </c>
      <c r="M499" s="91" t="s">
        <v>4</v>
      </c>
      <c r="Q499" s="91"/>
      <c r="S499" s="91" t="s">
        <v>143</v>
      </c>
      <c r="T499" s="91" t="s">
        <v>3688</v>
      </c>
      <c r="V499" s="91" t="s">
        <v>155</v>
      </c>
      <c r="W499" s="91" t="s">
        <v>180</v>
      </c>
    </row>
    <row r="500" spans="1:23">
      <c r="A500" s="93" t="str">
        <f>TEXT(tblProjectlist[[#This Row],[project-no]],"0")</f>
        <v>0</v>
      </c>
      <c r="H500" s="91">
        <v>6616</v>
      </c>
      <c r="I500" s="91">
        <v>6</v>
      </c>
      <c r="J500" s="91">
        <v>2</v>
      </c>
      <c r="K500" s="91"/>
      <c r="L500" s="91" t="s">
        <v>2175</v>
      </c>
      <c r="M500" s="91" t="s">
        <v>4</v>
      </c>
      <c r="Q500" s="91"/>
      <c r="S500" s="91" t="s">
        <v>143</v>
      </c>
      <c r="T500" s="91" t="s">
        <v>3812</v>
      </c>
      <c r="V500" s="91" t="s">
        <v>155</v>
      </c>
      <c r="W500" s="91" t="s">
        <v>180</v>
      </c>
    </row>
    <row r="501" spans="1:23">
      <c r="A501" s="93" t="str">
        <f>TEXT(tblProjectlist[[#This Row],[project-no]],"0")</f>
        <v>0</v>
      </c>
      <c r="H501" s="91">
        <v>2248</v>
      </c>
      <c r="I501" s="91">
        <v>5</v>
      </c>
      <c r="J501" s="91">
        <v>2</v>
      </c>
      <c r="K501" s="91"/>
      <c r="L501" s="91" t="s">
        <v>62</v>
      </c>
      <c r="M501" s="91" t="s">
        <v>4</v>
      </c>
      <c r="Q501" s="91"/>
      <c r="S501" s="91" t="s">
        <v>143</v>
      </c>
      <c r="T501" s="91" t="s">
        <v>4106</v>
      </c>
      <c r="V501" s="91" t="s">
        <v>155</v>
      </c>
      <c r="W501" s="91" t="s">
        <v>180</v>
      </c>
    </row>
    <row r="502" spans="1:23">
      <c r="A502" s="93" t="str">
        <f>TEXT(tblProjectlist[[#This Row],[project-no]],"0")</f>
        <v>0</v>
      </c>
      <c r="H502" s="91">
        <v>2248</v>
      </c>
      <c r="I502" s="91">
        <v>6</v>
      </c>
      <c r="J502" s="91">
        <v>1</v>
      </c>
      <c r="K502" s="91"/>
      <c r="L502" s="91" t="s">
        <v>62</v>
      </c>
      <c r="M502" s="91" t="s">
        <v>0</v>
      </c>
      <c r="Q502" s="91"/>
      <c r="S502" s="91" t="s">
        <v>143</v>
      </c>
      <c r="T502" s="91" t="s">
        <v>4108</v>
      </c>
      <c r="V502" s="91" t="s">
        <v>168</v>
      </c>
      <c r="W502" s="91" t="s">
        <v>180</v>
      </c>
    </row>
    <row r="503" spans="1:23">
      <c r="A503" s="93" t="str">
        <f>TEXT(tblProjectlist[[#This Row],[project-no]],"0")</f>
        <v>0</v>
      </c>
      <c r="H503" s="91">
        <v>2248</v>
      </c>
      <c r="I503" s="91">
        <v>7</v>
      </c>
      <c r="J503" s="91">
        <v>1</v>
      </c>
      <c r="L503" s="91" t="s">
        <v>62</v>
      </c>
      <c r="M503" s="91" t="s">
        <v>0</v>
      </c>
      <c r="Q503" s="91"/>
      <c r="S503" s="91" t="s">
        <v>143</v>
      </c>
      <c r="T503" s="91" t="s">
        <v>4107</v>
      </c>
      <c r="V503" s="91" t="s">
        <v>169</v>
      </c>
      <c r="W503" s="91" t="s">
        <v>180</v>
      </c>
    </row>
    <row r="504" spans="1:23">
      <c r="A504" s="93" t="str">
        <f>TEXT(tblProjectlist[[#This Row],[project-no]],"0")</f>
        <v>0</v>
      </c>
      <c r="H504" s="91">
        <v>2248</v>
      </c>
      <c r="I504" s="91">
        <v>9</v>
      </c>
      <c r="J504" s="91">
        <v>2</v>
      </c>
      <c r="K504" s="91"/>
      <c r="L504" s="91" t="s">
        <v>62</v>
      </c>
      <c r="M504" s="91" t="s">
        <v>4</v>
      </c>
      <c r="Q504" s="91"/>
      <c r="S504" s="91" t="s">
        <v>143</v>
      </c>
      <c r="T504" s="91" t="s">
        <v>4227</v>
      </c>
      <c r="V504" s="91" t="s">
        <v>155</v>
      </c>
      <c r="W504" s="91" t="s">
        <v>180</v>
      </c>
    </row>
    <row r="505" spans="1:23">
      <c r="A505" s="93" t="str">
        <f>TEXT(tblProjectlist[[#This Row],[project-no]],"0")</f>
        <v>0</v>
      </c>
      <c r="H505" s="91">
        <v>2248</v>
      </c>
      <c r="I505" s="91">
        <v>10</v>
      </c>
      <c r="J505" s="91">
        <v>1</v>
      </c>
      <c r="K505" s="91"/>
      <c r="L505" s="91" t="s">
        <v>62</v>
      </c>
      <c r="M505" s="91" t="s">
        <v>0</v>
      </c>
      <c r="Q505" s="91"/>
      <c r="S505" s="91" t="s">
        <v>143</v>
      </c>
      <c r="T505" s="91" t="s">
        <v>4313</v>
      </c>
      <c r="V505" s="91" t="s">
        <v>168</v>
      </c>
      <c r="W505" s="91" t="s">
        <v>180</v>
      </c>
    </row>
    <row r="506" spans="1:23">
      <c r="A506" s="93" t="str">
        <f>TEXT(tblProjectlist[[#This Row],[project-no]],"0")</f>
        <v>0</v>
      </c>
      <c r="H506" s="91">
        <v>2248</v>
      </c>
      <c r="I506" s="91">
        <v>8</v>
      </c>
      <c r="J506" s="91">
        <v>1</v>
      </c>
      <c r="K506" s="91"/>
      <c r="L506" s="91" t="s">
        <v>62</v>
      </c>
      <c r="M506" s="91" t="s">
        <v>0</v>
      </c>
      <c r="Q506" s="91"/>
      <c r="S506" s="91" t="s">
        <v>143</v>
      </c>
      <c r="T506" s="91" t="s">
        <v>4109</v>
      </c>
      <c r="V506" s="91" t="s">
        <v>169</v>
      </c>
      <c r="W506" s="91" t="s">
        <v>180</v>
      </c>
    </row>
    <row r="507" spans="1:23">
      <c r="A507" s="93" t="str">
        <f>TEXT(tblProjectlist[[#This Row],[project-no]],"0")</f>
        <v>20720211</v>
      </c>
      <c r="H507" s="91">
        <v>2072</v>
      </c>
      <c r="I507" s="91">
        <v>2</v>
      </c>
      <c r="J507" s="91">
        <v>1</v>
      </c>
      <c r="K507" s="91">
        <v>20720211</v>
      </c>
      <c r="L507" s="91" t="s">
        <v>2175</v>
      </c>
      <c r="M507" s="91" t="s">
        <v>0</v>
      </c>
      <c r="Q507" s="91"/>
      <c r="S507" s="91" t="s">
        <v>143</v>
      </c>
      <c r="T507" s="91" t="s">
        <v>3960</v>
      </c>
      <c r="V507" s="91" t="s">
        <v>169</v>
      </c>
      <c r="W507" s="91" t="s">
        <v>180</v>
      </c>
    </row>
    <row r="508" spans="1:23">
      <c r="A508" s="93" t="str">
        <f>TEXT(tblProjectlist[[#This Row],[project-no]],"0")</f>
        <v>20720216</v>
      </c>
      <c r="H508" s="91">
        <v>2072</v>
      </c>
      <c r="I508" s="91">
        <v>2</v>
      </c>
      <c r="J508" s="91">
        <v>1</v>
      </c>
      <c r="K508" s="91">
        <v>20720216</v>
      </c>
      <c r="L508" s="91" t="s">
        <v>2175</v>
      </c>
      <c r="M508" s="91" t="s">
        <v>0</v>
      </c>
      <c r="Q508" s="91"/>
      <c r="S508" s="91" t="s">
        <v>143</v>
      </c>
      <c r="T508" s="91" t="s">
        <v>3960</v>
      </c>
      <c r="V508" s="91" t="s">
        <v>168</v>
      </c>
      <c r="W508" s="91" t="s">
        <v>180</v>
      </c>
    </row>
    <row r="509" spans="1:23">
      <c r="A509" s="93" t="str">
        <f>TEXT(tblProjectlist[[#This Row],[project-no]],"0")</f>
        <v>0</v>
      </c>
      <c r="H509" s="91">
        <v>2895</v>
      </c>
      <c r="I509" s="91">
        <v>4</v>
      </c>
      <c r="J509" s="91">
        <v>2</v>
      </c>
      <c r="K509" s="91"/>
      <c r="L509" s="91" t="s">
        <v>62</v>
      </c>
      <c r="M509" s="91" t="s">
        <v>4</v>
      </c>
      <c r="Q509" s="91"/>
      <c r="S509" s="91" t="s">
        <v>143</v>
      </c>
      <c r="T509" s="91" t="s">
        <v>3847</v>
      </c>
      <c r="V509" s="91" t="s">
        <v>155</v>
      </c>
      <c r="W509" s="91" t="s">
        <v>180</v>
      </c>
    </row>
    <row r="510" spans="1:23">
      <c r="A510" s="93" t="str">
        <f>TEXT(tblProjectlist[[#This Row],[project-no]],"0")</f>
        <v>0</v>
      </c>
      <c r="H510" s="91">
        <v>7048</v>
      </c>
      <c r="I510" s="91">
        <v>2</v>
      </c>
      <c r="J510" s="91">
        <v>2</v>
      </c>
      <c r="K510" s="91"/>
      <c r="L510" s="91" t="s">
        <v>2175</v>
      </c>
      <c r="M510" s="91" t="s">
        <v>4</v>
      </c>
      <c r="Q510" s="91"/>
      <c r="S510" s="91" t="s">
        <v>143</v>
      </c>
      <c r="T510" s="91" t="s">
        <v>3786</v>
      </c>
      <c r="V510" s="91" t="s">
        <v>155</v>
      </c>
      <c r="W510" s="91" t="s">
        <v>180</v>
      </c>
    </row>
    <row r="511" spans="1:23">
      <c r="A511" s="93" t="str">
        <f>TEXT(tblProjectlist[[#This Row],[project-no]],"0")</f>
        <v>63070328</v>
      </c>
      <c r="H511" s="91">
        <v>6307</v>
      </c>
      <c r="I511" s="91">
        <v>3</v>
      </c>
      <c r="J511" s="91">
        <v>2</v>
      </c>
      <c r="K511" s="91" t="s">
        <v>842</v>
      </c>
      <c r="L511" s="91" t="s">
        <v>2175</v>
      </c>
      <c r="M511" s="91" t="s">
        <v>4</v>
      </c>
      <c r="Q511" s="91"/>
      <c r="S511" s="91" t="s">
        <v>143</v>
      </c>
      <c r="T511" s="91" t="s">
        <v>2725</v>
      </c>
      <c r="V511" s="91" t="s">
        <v>155</v>
      </c>
      <c r="W511" s="91" t="s">
        <v>180</v>
      </c>
    </row>
    <row r="512" spans="1:23">
      <c r="A512" s="93" t="str">
        <f>TEXT(tblProjectlist[[#This Row],[project-no]],"0")</f>
        <v>0</v>
      </c>
      <c r="H512" s="91">
        <v>6618</v>
      </c>
      <c r="I512" s="91">
        <v>2</v>
      </c>
      <c r="J512" s="91">
        <v>2</v>
      </c>
      <c r="K512" s="91"/>
      <c r="L512" s="91" t="s">
        <v>2175</v>
      </c>
      <c r="M512" s="91" t="s">
        <v>4</v>
      </c>
      <c r="Q512" s="91"/>
      <c r="S512" s="91" t="s">
        <v>143</v>
      </c>
      <c r="T512" s="91" t="s">
        <v>3575</v>
      </c>
      <c r="V512" s="91" t="s">
        <v>155</v>
      </c>
      <c r="W512" s="91" t="s">
        <v>180</v>
      </c>
    </row>
    <row r="513" spans="1:23">
      <c r="A513" s="93" t="str">
        <f>TEXT(tblProjectlist[[#This Row],[project-no]],"0")</f>
        <v>76530428</v>
      </c>
      <c r="H513" s="91">
        <v>7653</v>
      </c>
      <c r="I513" s="91">
        <v>4</v>
      </c>
      <c r="J513" s="91">
        <v>2</v>
      </c>
      <c r="K513" s="91" t="s">
        <v>1079</v>
      </c>
      <c r="L513" s="91" t="s">
        <v>2175</v>
      </c>
      <c r="M513" s="91" t="s">
        <v>4</v>
      </c>
      <c r="Q513" s="91"/>
      <c r="S513" s="91" t="s">
        <v>143</v>
      </c>
      <c r="T513" s="91" t="s">
        <v>2945</v>
      </c>
      <c r="V513" s="91" t="s">
        <v>155</v>
      </c>
      <c r="W513" s="91" t="s">
        <v>180</v>
      </c>
    </row>
    <row r="514" spans="1:23">
      <c r="A514" s="93" t="str">
        <f>TEXT(tblProjectlist[[#This Row],[project-no]],"0")</f>
        <v>99962828</v>
      </c>
      <c r="H514" s="91">
        <v>7653</v>
      </c>
      <c r="I514" s="91">
        <v>4</v>
      </c>
      <c r="J514" s="91">
        <v>2</v>
      </c>
      <c r="K514" s="91" t="s">
        <v>1748</v>
      </c>
      <c r="L514" s="91" t="s">
        <v>2175</v>
      </c>
      <c r="M514" s="91" t="s">
        <v>4</v>
      </c>
      <c r="Q514" s="91"/>
      <c r="S514" s="91" t="s">
        <v>143</v>
      </c>
      <c r="T514" s="91" t="s">
        <v>2945</v>
      </c>
      <c r="W514" s="91" t="s">
        <v>180</v>
      </c>
    </row>
    <row r="515" spans="1:23">
      <c r="A515" s="93" t="str">
        <f>TEXT(tblProjectlist[[#This Row],[project-no]],"0")</f>
        <v>0</v>
      </c>
      <c r="H515" s="91">
        <v>8851</v>
      </c>
      <c r="I515" s="91">
        <v>30</v>
      </c>
      <c r="J515" s="91">
        <v>2</v>
      </c>
      <c r="K515" s="91"/>
      <c r="L515" s="91" t="s">
        <v>2175</v>
      </c>
      <c r="M515" s="91" t="s">
        <v>4</v>
      </c>
      <c r="Q515" s="91"/>
      <c r="S515" s="91" t="s">
        <v>143</v>
      </c>
      <c r="T515" s="91" t="s">
        <v>4414</v>
      </c>
      <c r="V515" s="91" t="s">
        <v>155</v>
      </c>
      <c r="W515" s="91" t="s">
        <v>180</v>
      </c>
    </row>
    <row r="516" spans="1:23">
      <c r="A516" s="93" t="str">
        <f>TEXT(tblProjectlist[[#This Row],[project-no]],"0")</f>
        <v>88512928</v>
      </c>
      <c r="H516" s="91">
        <v>8851</v>
      </c>
      <c r="I516" s="91">
        <v>29</v>
      </c>
      <c r="J516" s="91">
        <v>2</v>
      </c>
      <c r="K516" s="91" t="s">
        <v>1247</v>
      </c>
      <c r="L516" s="91" t="s">
        <v>2175</v>
      </c>
      <c r="M516" s="91" t="s">
        <v>4</v>
      </c>
      <c r="Q516" s="91"/>
      <c r="S516" s="91" t="s">
        <v>143</v>
      </c>
      <c r="T516" s="91" t="s">
        <v>3098</v>
      </c>
      <c r="V516" s="91" t="s">
        <v>155</v>
      </c>
      <c r="W516" s="91" t="s">
        <v>180</v>
      </c>
    </row>
    <row r="517" spans="1:23">
      <c r="A517" s="93" t="str">
        <f>TEXT(tblProjectlist[[#This Row],[project-no]],"0")</f>
        <v>0</v>
      </c>
      <c r="H517" s="91">
        <v>8857</v>
      </c>
      <c r="I517" s="91">
        <v>3</v>
      </c>
      <c r="J517" s="91">
        <v>2</v>
      </c>
      <c r="K517" s="91"/>
      <c r="L517" s="91" t="s">
        <v>2175</v>
      </c>
      <c r="M517" s="91" t="s">
        <v>4</v>
      </c>
      <c r="Q517" s="91"/>
      <c r="S517" s="91" t="s">
        <v>143</v>
      </c>
      <c r="T517" s="91" t="s">
        <v>4366</v>
      </c>
      <c r="V517" s="91" t="s">
        <v>155</v>
      </c>
      <c r="W517" s="91" t="s">
        <v>180</v>
      </c>
    </row>
    <row r="518" spans="1:23">
      <c r="A518" s="93" t="str">
        <f>TEXT(tblProjectlist[[#This Row],[project-no]],"0")</f>
        <v>0</v>
      </c>
      <c r="H518" s="91">
        <v>7912</v>
      </c>
      <c r="I518" s="91">
        <v>2</v>
      </c>
      <c r="J518" s="91">
        <v>2</v>
      </c>
      <c r="K518" s="91"/>
      <c r="L518" s="91" t="s">
        <v>2175</v>
      </c>
      <c r="M518" s="91" t="s">
        <v>4</v>
      </c>
      <c r="Q518" s="91"/>
      <c r="S518" s="91" t="s">
        <v>143</v>
      </c>
      <c r="T518" s="91" t="s">
        <v>4453</v>
      </c>
      <c r="V518" s="91" t="s">
        <v>155</v>
      </c>
      <c r="W518" s="91" t="s">
        <v>180</v>
      </c>
    </row>
    <row r="519" spans="1:23">
      <c r="A519" s="93" t="str">
        <f>TEXT(tblProjectlist[[#This Row],[project-no]],"0")</f>
        <v>0</v>
      </c>
      <c r="H519" s="91">
        <v>6621</v>
      </c>
      <c r="I519" s="91">
        <v>2</v>
      </c>
      <c r="J519" s="91">
        <v>4</v>
      </c>
      <c r="K519" s="91"/>
      <c r="L519" s="91" t="s">
        <v>58</v>
      </c>
      <c r="M519" s="91" t="s">
        <v>1</v>
      </c>
      <c r="Q519" s="91"/>
      <c r="S519" s="91" t="s">
        <v>143</v>
      </c>
      <c r="T519" s="91" t="s">
        <v>3592</v>
      </c>
      <c r="V519" s="91" t="s">
        <v>164</v>
      </c>
      <c r="W519" s="91" t="s">
        <v>180</v>
      </c>
    </row>
    <row r="520" spans="1:23">
      <c r="A520" s="93" t="str">
        <f>TEXT(tblProjectlist[[#This Row],[project-no]],"0")</f>
        <v>0</v>
      </c>
      <c r="H520" s="91">
        <v>6623</v>
      </c>
      <c r="I520" s="91">
        <v>2</v>
      </c>
      <c r="J520" s="91">
        <v>2</v>
      </c>
      <c r="K520" s="91"/>
      <c r="L520" s="91" t="s">
        <v>62</v>
      </c>
      <c r="M520" s="91" t="s">
        <v>4</v>
      </c>
      <c r="Q520" s="91"/>
      <c r="S520" s="91" t="s">
        <v>143</v>
      </c>
      <c r="T520" s="91" t="s">
        <v>3689</v>
      </c>
      <c r="W520" s="91" t="s">
        <v>180</v>
      </c>
    </row>
    <row r="521" spans="1:23">
      <c r="A521" s="93" t="str">
        <f>TEXT(tblProjectlist[[#This Row],[project-no]],"0")</f>
        <v>99851911</v>
      </c>
      <c r="H521" s="91">
        <v>9985</v>
      </c>
      <c r="I521" s="91">
        <v>19</v>
      </c>
      <c r="J521" s="91">
        <v>1</v>
      </c>
      <c r="K521" s="91" t="s">
        <v>1371</v>
      </c>
      <c r="L521" s="91" t="s">
        <v>197</v>
      </c>
      <c r="M521" s="91" t="s">
        <v>0</v>
      </c>
      <c r="Q521" s="91"/>
      <c r="S521" s="91" t="s">
        <v>143</v>
      </c>
      <c r="T521" s="91" t="s">
        <v>3199</v>
      </c>
      <c r="V521" s="91" t="s">
        <v>169</v>
      </c>
      <c r="W521" s="91" t="s">
        <v>180</v>
      </c>
    </row>
    <row r="522" spans="1:23">
      <c r="A522" s="93" t="str">
        <f>TEXT(tblProjectlist[[#This Row],[project-no]],"0")</f>
        <v>0</v>
      </c>
      <c r="H522" s="91">
        <v>6623</v>
      </c>
      <c r="I522" s="91">
        <v>3</v>
      </c>
      <c r="J522" s="91">
        <v>2</v>
      </c>
      <c r="K522" s="91"/>
      <c r="L522" s="91" t="s">
        <v>62</v>
      </c>
      <c r="M522" s="91" t="s">
        <v>4</v>
      </c>
      <c r="Q522" s="91"/>
      <c r="S522" s="91" t="s">
        <v>143</v>
      </c>
      <c r="T522" s="91" t="s">
        <v>4250</v>
      </c>
      <c r="W522" s="91" t="s">
        <v>180</v>
      </c>
    </row>
    <row r="523" spans="1:23">
      <c r="A523" s="93" t="str">
        <f>TEXT(tblProjectlist[[#This Row],[project-no]],"0")</f>
        <v>60010241</v>
      </c>
      <c r="H523" s="91">
        <v>6001</v>
      </c>
      <c r="I523" s="91">
        <v>2</v>
      </c>
      <c r="J523" s="91">
        <v>4</v>
      </c>
      <c r="K523" s="91" t="s">
        <v>766</v>
      </c>
      <c r="L523" s="91" t="s">
        <v>58</v>
      </c>
      <c r="M523" s="91" t="s">
        <v>1</v>
      </c>
      <c r="Q523" s="91"/>
      <c r="S523" s="91" t="s">
        <v>143</v>
      </c>
      <c r="T523" s="91" t="s">
        <v>2662</v>
      </c>
      <c r="W523" s="91" t="s">
        <v>180</v>
      </c>
    </row>
    <row r="524" spans="1:23">
      <c r="A524" s="93" t="str">
        <f>TEXT(tblProjectlist[[#This Row],[project-no]],"0")</f>
        <v>0</v>
      </c>
      <c r="H524" s="91">
        <v>3152</v>
      </c>
      <c r="I524" s="91">
        <v>2</v>
      </c>
      <c r="J524" s="91">
        <v>2</v>
      </c>
      <c r="K524" s="91"/>
      <c r="L524" s="91" t="s">
        <v>2175</v>
      </c>
      <c r="M524" s="91" t="s">
        <v>4</v>
      </c>
      <c r="Q524" s="91"/>
      <c r="S524" s="91" t="s">
        <v>143</v>
      </c>
      <c r="T524" s="91" t="s">
        <v>3670</v>
      </c>
      <c r="V524" s="91" t="s">
        <v>155</v>
      </c>
      <c r="W524" s="91" t="s">
        <v>180</v>
      </c>
    </row>
    <row r="525" spans="1:23">
      <c r="A525" s="93" t="str">
        <f>TEXT(tblProjectlist[[#This Row],[project-no]],"0")</f>
        <v>0</v>
      </c>
      <c r="H525" s="91">
        <v>6074</v>
      </c>
      <c r="I525" s="91">
        <v>7</v>
      </c>
      <c r="J525" s="91">
        <v>4</v>
      </c>
      <c r="K525" s="91"/>
      <c r="L525" s="91" t="s">
        <v>62</v>
      </c>
      <c r="M525" s="91" t="s">
        <v>1</v>
      </c>
      <c r="Q525" s="91"/>
      <c r="S525" s="91" t="s">
        <v>143</v>
      </c>
      <c r="T525" s="91" t="s">
        <v>4076</v>
      </c>
      <c r="W525" s="91" t="s">
        <v>180</v>
      </c>
    </row>
    <row r="526" spans="1:23">
      <c r="A526" s="93" t="str">
        <f>TEXT(tblProjectlist[[#This Row],[project-no]],"0")</f>
        <v>60740243</v>
      </c>
      <c r="H526" s="91">
        <v>6074</v>
      </c>
      <c r="I526" s="91">
        <v>2</v>
      </c>
      <c r="J526" s="91">
        <v>4</v>
      </c>
      <c r="K526" s="91" t="s">
        <v>813</v>
      </c>
      <c r="L526" s="91" t="s">
        <v>62</v>
      </c>
      <c r="M526" s="91" t="s">
        <v>1</v>
      </c>
      <c r="Q526" s="91"/>
      <c r="S526" s="91" t="s">
        <v>143</v>
      </c>
      <c r="T526" s="91" t="s">
        <v>2701</v>
      </c>
      <c r="V526" s="91" t="s">
        <v>164</v>
      </c>
      <c r="W526" s="91" t="s">
        <v>180</v>
      </c>
    </row>
    <row r="527" spans="1:23">
      <c r="A527" s="93" t="str">
        <f>TEXT(tblProjectlist[[#This Row],[project-no]],"0")</f>
        <v>60740244</v>
      </c>
      <c r="H527" s="91">
        <v>6074</v>
      </c>
      <c r="I527" s="91">
        <v>2</v>
      </c>
      <c r="J527" s="91">
        <v>4</v>
      </c>
      <c r="K527" s="91" t="s">
        <v>814</v>
      </c>
      <c r="L527" s="91" t="s">
        <v>62</v>
      </c>
      <c r="M527" s="91" t="s">
        <v>1</v>
      </c>
      <c r="Q527" s="91"/>
      <c r="S527" s="91" t="s">
        <v>143</v>
      </c>
      <c r="T527" s="91" t="s">
        <v>2701</v>
      </c>
      <c r="V527" s="91" t="s">
        <v>160</v>
      </c>
      <c r="W527" s="91" t="s">
        <v>180</v>
      </c>
    </row>
    <row r="528" spans="1:23">
      <c r="A528" s="93" t="str">
        <f>TEXT(tblProjectlist[[#This Row],[project-no]],"0")</f>
        <v>60740249</v>
      </c>
      <c r="H528" s="91">
        <v>6074</v>
      </c>
      <c r="I528" s="91">
        <v>2</v>
      </c>
      <c r="J528" s="91">
        <v>4</v>
      </c>
      <c r="K528" s="91" t="s">
        <v>815</v>
      </c>
      <c r="L528" s="91" t="s">
        <v>62</v>
      </c>
      <c r="M528" s="91" t="s">
        <v>1</v>
      </c>
      <c r="Q528" s="91"/>
      <c r="S528" s="91" t="s">
        <v>143</v>
      </c>
      <c r="T528" s="91" t="s">
        <v>2701</v>
      </c>
      <c r="V528" s="91" t="s">
        <v>158</v>
      </c>
      <c r="W528" s="91" t="s">
        <v>180</v>
      </c>
    </row>
    <row r="529" spans="1:23">
      <c r="A529" s="93" t="str">
        <f>TEXT(tblProjectlist[[#This Row],[project-no]],"0")</f>
        <v>60740444</v>
      </c>
      <c r="H529" s="91">
        <v>6074</v>
      </c>
      <c r="I529" s="91">
        <v>4</v>
      </c>
      <c r="J529" s="91">
        <v>4</v>
      </c>
      <c r="K529" s="91" t="s">
        <v>816</v>
      </c>
      <c r="L529" s="91" t="s">
        <v>62</v>
      </c>
      <c r="M529" s="91" t="s">
        <v>1</v>
      </c>
      <c r="Q529" s="91"/>
      <c r="S529" s="91" t="s">
        <v>143</v>
      </c>
      <c r="T529" s="91" t="s">
        <v>2702</v>
      </c>
      <c r="W529" s="91" t="s">
        <v>180</v>
      </c>
    </row>
    <row r="530" spans="1:23">
      <c r="A530" s="93" t="str">
        <f>TEXT(tblProjectlist[[#This Row],[project-no]],"0")</f>
        <v>60740543</v>
      </c>
      <c r="H530" s="91">
        <v>6074</v>
      </c>
      <c r="I530" s="91">
        <v>5</v>
      </c>
      <c r="J530" s="91">
        <v>4</v>
      </c>
      <c r="K530" s="91" t="s">
        <v>817</v>
      </c>
      <c r="L530" s="91" t="s">
        <v>58</v>
      </c>
      <c r="M530" s="91" t="s">
        <v>1</v>
      </c>
      <c r="Q530" s="91"/>
      <c r="S530" s="91" t="s">
        <v>143</v>
      </c>
      <c r="T530" s="91" t="s">
        <v>2703</v>
      </c>
      <c r="W530" s="91" t="s">
        <v>180</v>
      </c>
    </row>
    <row r="531" spans="1:23">
      <c r="A531" s="93" t="str">
        <f>TEXT(tblProjectlist[[#This Row],[project-no]],"0")</f>
        <v>60740643</v>
      </c>
      <c r="H531" s="91">
        <v>6074</v>
      </c>
      <c r="I531" s="91">
        <v>6</v>
      </c>
      <c r="J531" s="91">
        <v>4</v>
      </c>
      <c r="K531" s="91" t="s">
        <v>818</v>
      </c>
      <c r="L531" s="91" t="s">
        <v>62</v>
      </c>
      <c r="M531" s="91" t="s">
        <v>1</v>
      </c>
      <c r="Q531" s="91"/>
      <c r="S531" s="91" t="s">
        <v>143</v>
      </c>
      <c r="T531" s="91" t="s">
        <v>2704</v>
      </c>
      <c r="W531" s="91" t="s">
        <v>180</v>
      </c>
    </row>
    <row r="532" spans="1:23">
      <c r="A532" s="93" t="str">
        <f>TEXT(tblProjectlist[[#This Row],[project-no]],"0")</f>
        <v>99866141</v>
      </c>
      <c r="H532" s="91">
        <v>6074</v>
      </c>
      <c r="I532" s="91">
        <v>2</v>
      </c>
      <c r="J532" s="91">
        <v>4</v>
      </c>
      <c r="K532" s="91" t="s">
        <v>1395</v>
      </c>
      <c r="L532" s="91" t="s">
        <v>62</v>
      </c>
      <c r="M532" s="91" t="s">
        <v>1</v>
      </c>
      <c r="Q532" s="91"/>
      <c r="S532" s="91" t="s">
        <v>143</v>
      </c>
      <c r="T532" s="91" t="s">
        <v>2701</v>
      </c>
      <c r="V532" s="91" t="s">
        <v>159</v>
      </c>
      <c r="W532" s="91" t="s">
        <v>180</v>
      </c>
    </row>
    <row r="533" spans="1:23">
      <c r="A533" s="93" t="str">
        <f>TEXT(tblProjectlist[[#This Row],[project-no]],"0")</f>
        <v>99866143</v>
      </c>
      <c r="H533" s="91">
        <v>6074</v>
      </c>
      <c r="I533" s="91">
        <v>2</v>
      </c>
      <c r="J533" s="91">
        <v>4</v>
      </c>
      <c r="K533" s="91" t="s">
        <v>1396</v>
      </c>
      <c r="L533" s="91" t="s">
        <v>62</v>
      </c>
      <c r="M533" s="91" t="s">
        <v>1</v>
      </c>
      <c r="Q533" s="91"/>
      <c r="S533" s="91" t="s">
        <v>143</v>
      </c>
      <c r="T533" s="91" t="s">
        <v>2701</v>
      </c>
      <c r="V533" s="91" t="s">
        <v>164</v>
      </c>
      <c r="W533" s="91" t="s">
        <v>180</v>
      </c>
    </row>
    <row r="534" spans="1:23">
      <c r="A534" s="93" t="str">
        <f>TEXT(tblProjectlist[[#This Row],[project-no]],"0")</f>
        <v>99866144</v>
      </c>
      <c r="H534" s="91">
        <v>6074</v>
      </c>
      <c r="I534" s="91">
        <v>2</v>
      </c>
      <c r="J534" s="91">
        <v>4</v>
      </c>
      <c r="K534" s="91" t="s">
        <v>1397</v>
      </c>
      <c r="L534" s="91" t="s">
        <v>62</v>
      </c>
      <c r="M534" s="91" t="s">
        <v>1</v>
      </c>
      <c r="Q534" s="91"/>
      <c r="S534" s="91" t="s">
        <v>143</v>
      </c>
      <c r="T534" s="91" t="s">
        <v>2701</v>
      </c>
      <c r="V534" s="91" t="s">
        <v>160</v>
      </c>
      <c r="W534" s="91" t="s">
        <v>180</v>
      </c>
    </row>
    <row r="535" spans="1:23">
      <c r="A535" s="93" t="str">
        <f>TEXT(tblProjectlist[[#This Row],[project-no]],"0")</f>
        <v>99869144</v>
      </c>
      <c r="H535" s="91">
        <v>6074</v>
      </c>
      <c r="I535" s="91">
        <v>2</v>
      </c>
      <c r="J535" s="91">
        <v>4</v>
      </c>
      <c r="K535" s="91" t="s">
        <v>1421</v>
      </c>
      <c r="L535" s="91" t="s">
        <v>62</v>
      </c>
      <c r="M535" s="91" t="s">
        <v>1</v>
      </c>
      <c r="Q535" s="91"/>
      <c r="S535" s="91" t="s">
        <v>143</v>
      </c>
      <c r="T535" s="91" t="s">
        <v>2701</v>
      </c>
      <c r="V535" s="91" t="s">
        <v>160</v>
      </c>
      <c r="W535" s="91" t="s">
        <v>180</v>
      </c>
    </row>
    <row r="536" spans="1:23">
      <c r="A536" s="93" t="str">
        <f>TEXT(tblProjectlist[[#This Row],[project-no]],"0")</f>
        <v>60990241</v>
      </c>
      <c r="H536" s="91">
        <v>6099</v>
      </c>
      <c r="I536" s="91">
        <v>2</v>
      </c>
      <c r="J536" s="91">
        <v>4</v>
      </c>
      <c r="K536" s="91" t="s">
        <v>830</v>
      </c>
      <c r="L536" s="91" t="s">
        <v>62</v>
      </c>
      <c r="M536" s="91" t="s">
        <v>1</v>
      </c>
      <c r="Q536" s="91"/>
      <c r="S536" s="91" t="s">
        <v>143</v>
      </c>
      <c r="T536" s="91" t="s">
        <v>2716</v>
      </c>
      <c r="V536" s="91" t="s">
        <v>159</v>
      </c>
      <c r="W536" s="91" t="s">
        <v>180</v>
      </c>
    </row>
    <row r="537" spans="1:23">
      <c r="A537" s="93" t="str">
        <f>TEXT(tblProjectlist[[#This Row],[project-no]],"0")</f>
        <v>60990243</v>
      </c>
      <c r="H537" s="91">
        <v>6099</v>
      </c>
      <c r="I537" s="91">
        <v>2</v>
      </c>
      <c r="J537" s="91">
        <v>4</v>
      </c>
      <c r="K537" s="91" t="s">
        <v>831</v>
      </c>
      <c r="L537" s="91" t="s">
        <v>62</v>
      </c>
      <c r="M537" s="91" t="s">
        <v>1</v>
      </c>
      <c r="Q537" s="91"/>
      <c r="S537" s="91" t="s">
        <v>143</v>
      </c>
      <c r="T537" s="91" t="s">
        <v>2716</v>
      </c>
      <c r="V537" s="91" t="s">
        <v>164</v>
      </c>
      <c r="W537" s="91" t="s">
        <v>180</v>
      </c>
    </row>
    <row r="538" spans="1:23">
      <c r="A538" s="93" t="str">
        <f>TEXT(tblProjectlist[[#This Row],[project-no]],"0")</f>
        <v>60990244</v>
      </c>
      <c r="H538" s="91">
        <v>6099</v>
      </c>
      <c r="I538" s="91">
        <v>2</v>
      </c>
      <c r="J538" s="91">
        <v>4</v>
      </c>
      <c r="K538" s="91" t="s">
        <v>832</v>
      </c>
      <c r="L538" s="91" t="s">
        <v>62</v>
      </c>
      <c r="M538" s="91" t="s">
        <v>1</v>
      </c>
      <c r="Q538" s="91"/>
      <c r="S538" s="91" t="s">
        <v>143</v>
      </c>
      <c r="T538" s="91" t="s">
        <v>2716</v>
      </c>
      <c r="V538" s="91" t="s">
        <v>160</v>
      </c>
      <c r="W538" s="91" t="s">
        <v>180</v>
      </c>
    </row>
    <row r="539" spans="1:23">
      <c r="A539" s="93" t="str">
        <f>TEXT(tblProjectlist[[#This Row],[project-no]],"0")</f>
        <v>60990249</v>
      </c>
      <c r="H539" s="91">
        <v>6099</v>
      </c>
      <c r="I539" s="91">
        <v>2</v>
      </c>
      <c r="J539" s="91">
        <v>4</v>
      </c>
      <c r="K539" s="91" t="s">
        <v>833</v>
      </c>
      <c r="L539" s="91" t="s">
        <v>62</v>
      </c>
      <c r="M539" s="91" t="s">
        <v>1</v>
      </c>
      <c r="Q539" s="91"/>
      <c r="S539" s="91" t="s">
        <v>143</v>
      </c>
      <c r="T539" s="91" t="s">
        <v>2716</v>
      </c>
      <c r="V539" s="91" t="s">
        <v>158</v>
      </c>
      <c r="W539" s="91" t="s">
        <v>180</v>
      </c>
    </row>
    <row r="540" spans="1:23">
      <c r="A540" s="93" t="str">
        <f>TEXT(tblProjectlist[[#This Row],[project-no]],"0")</f>
        <v>60990343</v>
      </c>
      <c r="H540" s="91">
        <v>6099</v>
      </c>
      <c r="I540" s="91">
        <v>3</v>
      </c>
      <c r="J540" s="91">
        <v>4</v>
      </c>
      <c r="K540" s="91">
        <v>60990343</v>
      </c>
      <c r="L540" s="91" t="s">
        <v>62</v>
      </c>
      <c r="M540" s="91" t="s">
        <v>1</v>
      </c>
      <c r="Q540" s="91"/>
      <c r="S540" s="91" t="s">
        <v>143</v>
      </c>
      <c r="T540" s="91" t="s">
        <v>4314</v>
      </c>
      <c r="V540" s="91" t="s">
        <v>164</v>
      </c>
      <c r="W540" s="91" t="s">
        <v>180</v>
      </c>
    </row>
    <row r="541" spans="1:23">
      <c r="A541" s="93" t="str">
        <f>TEXT(tblProjectlist[[#This Row],[project-no]],"0")</f>
        <v>99869841</v>
      </c>
      <c r="H541" s="91">
        <v>6099</v>
      </c>
      <c r="I541" s="91">
        <v>2</v>
      </c>
      <c r="J541" s="91">
        <v>4</v>
      </c>
      <c r="K541" s="91" t="s">
        <v>1429</v>
      </c>
      <c r="L541" s="91" t="s">
        <v>62</v>
      </c>
      <c r="M541" s="91" t="s">
        <v>1</v>
      </c>
      <c r="Q541" s="91"/>
      <c r="S541" s="91" t="s">
        <v>143</v>
      </c>
      <c r="T541" s="91" t="s">
        <v>2716</v>
      </c>
      <c r="V541" s="91" t="s">
        <v>159</v>
      </c>
      <c r="W541" s="91" t="s">
        <v>180</v>
      </c>
    </row>
    <row r="542" spans="1:23">
      <c r="A542" s="93" t="str">
        <f>TEXT(tblProjectlist[[#This Row],[project-no]],"0")</f>
        <v>99869843</v>
      </c>
      <c r="H542" s="91">
        <v>6099</v>
      </c>
      <c r="I542" s="91">
        <v>2</v>
      </c>
      <c r="J542" s="91">
        <v>4</v>
      </c>
      <c r="K542" s="91" t="s">
        <v>1430</v>
      </c>
      <c r="L542" s="91" t="s">
        <v>62</v>
      </c>
      <c r="M542" s="91" t="s">
        <v>1</v>
      </c>
      <c r="Q542" s="91"/>
      <c r="S542" s="91" t="s">
        <v>143</v>
      </c>
      <c r="T542" s="91" t="s">
        <v>2716</v>
      </c>
      <c r="V542" s="91" t="s">
        <v>164</v>
      </c>
      <c r="W542" s="91" t="s">
        <v>180</v>
      </c>
    </row>
    <row r="543" spans="1:23">
      <c r="A543" s="93" t="str">
        <f>TEXT(tblProjectlist[[#This Row],[project-no]],"0")</f>
        <v>99869844</v>
      </c>
      <c r="H543" s="91">
        <v>6099</v>
      </c>
      <c r="I543" s="91">
        <v>2</v>
      </c>
      <c r="J543" s="91">
        <v>4</v>
      </c>
      <c r="K543" s="91" t="s">
        <v>1431</v>
      </c>
      <c r="L543" s="91" t="s">
        <v>62</v>
      </c>
      <c r="M543" s="91" t="s">
        <v>1</v>
      </c>
      <c r="Q543" s="91"/>
      <c r="S543" s="91" t="s">
        <v>143</v>
      </c>
      <c r="T543" s="91" t="s">
        <v>2716</v>
      </c>
      <c r="V543" s="91" t="s">
        <v>160</v>
      </c>
      <c r="W543" s="91" t="s">
        <v>180</v>
      </c>
    </row>
    <row r="544" spans="1:23">
      <c r="A544" s="93" t="str">
        <f>TEXT(tblProjectlist[[#This Row],[project-no]],"0")</f>
        <v>99869849</v>
      </c>
      <c r="H544" s="91">
        <v>6099</v>
      </c>
      <c r="I544" s="91">
        <v>2</v>
      </c>
      <c r="J544" s="91">
        <v>4</v>
      </c>
      <c r="K544" s="91" t="s">
        <v>1432</v>
      </c>
      <c r="L544" s="91" t="s">
        <v>62</v>
      </c>
      <c r="M544" s="91" t="s">
        <v>1</v>
      </c>
      <c r="Q544" s="91"/>
      <c r="S544" s="91" t="s">
        <v>143</v>
      </c>
      <c r="T544" s="91" t="s">
        <v>2716</v>
      </c>
      <c r="V544" s="91" t="s">
        <v>158</v>
      </c>
      <c r="W544" s="91" t="s">
        <v>180</v>
      </c>
    </row>
    <row r="545" spans="1:23">
      <c r="A545" s="93" t="str">
        <f>TEXT(tblProjectlist[[#This Row],[project-no]],"0")</f>
        <v>99620811</v>
      </c>
      <c r="H545" s="91">
        <v>9962</v>
      </c>
      <c r="I545" s="91">
        <v>8</v>
      </c>
      <c r="J545" s="91">
        <v>1</v>
      </c>
      <c r="K545" s="91" t="s">
        <v>1295</v>
      </c>
      <c r="L545" s="91" t="s">
        <v>62</v>
      </c>
      <c r="M545" s="91" t="s">
        <v>0</v>
      </c>
      <c r="Q545" s="91"/>
      <c r="S545" s="91" t="s">
        <v>143</v>
      </c>
      <c r="T545" s="91" t="s">
        <v>3144</v>
      </c>
      <c r="V545" s="91" t="s">
        <v>169</v>
      </c>
      <c r="W545" s="91" t="s">
        <v>180</v>
      </c>
    </row>
    <row r="546" spans="1:23">
      <c r="A546" s="93" t="str">
        <f>TEXT(tblProjectlist[[#This Row],[project-no]],"0")</f>
        <v>99859811</v>
      </c>
      <c r="H546" s="91">
        <v>9985</v>
      </c>
      <c r="I546" s="91">
        <v>98</v>
      </c>
      <c r="J546" s="91">
        <v>1</v>
      </c>
      <c r="K546" s="91" t="s">
        <v>1381</v>
      </c>
      <c r="L546" s="91" t="s">
        <v>62</v>
      </c>
      <c r="M546" s="91" t="s">
        <v>0</v>
      </c>
      <c r="Q546" s="91"/>
      <c r="S546" s="91" t="s">
        <v>143</v>
      </c>
      <c r="T546" s="91" t="s">
        <v>3205</v>
      </c>
      <c r="V546" s="91" t="s">
        <v>169</v>
      </c>
      <c r="W546" s="91" t="s">
        <v>180</v>
      </c>
    </row>
    <row r="547" spans="1:23">
      <c r="A547" s="93" t="str">
        <f>TEXT(tblProjectlist[[#This Row],[project-no]],"0")</f>
        <v>99866111</v>
      </c>
      <c r="H547" s="91">
        <v>9985</v>
      </c>
      <c r="I547" s="91">
        <v>98</v>
      </c>
      <c r="J547" s="91">
        <v>1</v>
      </c>
      <c r="K547" s="91" t="s">
        <v>1394</v>
      </c>
      <c r="L547" s="91" t="s">
        <v>62</v>
      </c>
      <c r="M547" s="91" t="s">
        <v>0</v>
      </c>
      <c r="Q547" s="91"/>
      <c r="S547" s="91" t="s">
        <v>143</v>
      </c>
      <c r="T547" s="91" t="s">
        <v>3205</v>
      </c>
      <c r="V547" s="91" t="s">
        <v>169</v>
      </c>
      <c r="W547" s="91" t="s">
        <v>180</v>
      </c>
    </row>
    <row r="548" spans="1:23">
      <c r="A548" s="93" t="str">
        <f>TEXT(tblProjectlist[[#This Row],[project-no]],"0")</f>
        <v>99631044</v>
      </c>
      <c r="H548" s="91">
        <v>9986</v>
      </c>
      <c r="I548" s="91">
        <v>61</v>
      </c>
      <c r="J548" s="91">
        <v>4</v>
      </c>
      <c r="K548" s="91" t="s">
        <v>1308</v>
      </c>
      <c r="L548" s="91" t="s">
        <v>64</v>
      </c>
      <c r="M548" s="91" t="s">
        <v>1</v>
      </c>
      <c r="Q548" s="91"/>
      <c r="S548" s="91" t="s">
        <v>143</v>
      </c>
      <c r="T548" s="91" t="s">
        <v>3152</v>
      </c>
      <c r="W548" s="91" t="s">
        <v>180</v>
      </c>
    </row>
    <row r="549" spans="1:23">
      <c r="A549" s="93" t="str">
        <f>TEXT(tblProjectlist[[#This Row],[project-no]],"0")</f>
        <v>99867713</v>
      </c>
      <c r="H549" s="91">
        <v>9986</v>
      </c>
      <c r="I549" s="91">
        <v>77</v>
      </c>
      <c r="J549" s="91">
        <v>1</v>
      </c>
      <c r="K549" s="91" t="s">
        <v>1403</v>
      </c>
      <c r="L549" s="91" t="s">
        <v>2175</v>
      </c>
      <c r="M549" s="91" t="s">
        <v>0</v>
      </c>
      <c r="Q549" s="91"/>
      <c r="S549" s="91" t="s">
        <v>143</v>
      </c>
      <c r="T549" s="91" t="s">
        <v>3212</v>
      </c>
      <c r="V549" s="91" t="s">
        <v>167</v>
      </c>
      <c r="W549" s="91" t="s">
        <v>180</v>
      </c>
    </row>
    <row r="550" spans="1:23">
      <c r="A550" s="93" t="str">
        <f>TEXT(tblProjectlist[[#This Row],[project-no]],"0")</f>
        <v>99869811</v>
      </c>
      <c r="H550" s="91">
        <v>9986</v>
      </c>
      <c r="I550" s="91">
        <v>98</v>
      </c>
      <c r="J550" s="91">
        <v>1</v>
      </c>
      <c r="K550" s="91" t="s">
        <v>1427</v>
      </c>
      <c r="L550" s="91" t="s">
        <v>2175</v>
      </c>
      <c r="M550" s="91" t="s">
        <v>0</v>
      </c>
      <c r="Q550" s="91"/>
      <c r="S550" s="91" t="s">
        <v>143</v>
      </c>
      <c r="T550" s="91" t="s">
        <v>3214</v>
      </c>
      <c r="V550" s="91" t="s">
        <v>169</v>
      </c>
      <c r="W550" s="91" t="s">
        <v>180</v>
      </c>
    </row>
    <row r="551" spans="1:23">
      <c r="A551" s="93" t="str">
        <f>TEXT(tblProjectlist[[#This Row],[project-no]],"0")</f>
        <v>99869816</v>
      </c>
      <c r="H551" s="91">
        <v>9986</v>
      </c>
      <c r="I551" s="91">
        <v>98</v>
      </c>
      <c r="J551" s="91">
        <v>1</v>
      </c>
      <c r="K551" s="91" t="s">
        <v>1428</v>
      </c>
      <c r="L551" s="91" t="s">
        <v>2175</v>
      </c>
      <c r="M551" s="91" t="s">
        <v>0</v>
      </c>
      <c r="Q551" s="91"/>
      <c r="S551" s="91" t="s">
        <v>143</v>
      </c>
      <c r="T551" s="91" t="s">
        <v>3214</v>
      </c>
      <c r="V551" s="91" t="s">
        <v>168</v>
      </c>
      <c r="W551" s="91" t="s">
        <v>180</v>
      </c>
    </row>
    <row r="552" spans="1:23">
      <c r="A552" s="93" t="str">
        <f>TEXT(tblProjectlist[[#This Row],[project-no]],"0")</f>
        <v>0</v>
      </c>
      <c r="H552" s="91">
        <v>6012</v>
      </c>
      <c r="I552" s="91">
        <v>25</v>
      </c>
      <c r="J552" s="91">
        <v>2</v>
      </c>
      <c r="K552" s="91"/>
      <c r="L552" s="91" t="s">
        <v>64</v>
      </c>
      <c r="M552" s="91" t="s">
        <v>4</v>
      </c>
      <c r="Q552" s="91"/>
      <c r="S552" s="91" t="s">
        <v>143</v>
      </c>
      <c r="T552" s="91" t="s">
        <v>4372</v>
      </c>
      <c r="V552" s="91" t="s">
        <v>155</v>
      </c>
      <c r="W552" s="91" t="s">
        <v>180</v>
      </c>
    </row>
    <row r="553" spans="1:23">
      <c r="A553" s="93" t="str">
        <f>TEXT(tblProjectlist[[#This Row],[project-no]],"0")</f>
        <v>0</v>
      </c>
      <c r="H553" s="91">
        <v>7802</v>
      </c>
      <c r="I553" s="91">
        <v>45</v>
      </c>
      <c r="J553" s="91">
        <v>2</v>
      </c>
      <c r="K553" s="91"/>
      <c r="L553" s="91" t="s">
        <v>2175</v>
      </c>
      <c r="M553" s="91" t="s">
        <v>4</v>
      </c>
      <c r="Q553" s="91"/>
      <c r="S553" s="91" t="s">
        <v>143</v>
      </c>
      <c r="T553" s="91" t="s">
        <v>3702</v>
      </c>
      <c r="V553" s="91" t="s">
        <v>156</v>
      </c>
      <c r="W553" s="91" t="s">
        <v>180</v>
      </c>
    </row>
    <row r="554" spans="1:23">
      <c r="A554" s="93" t="str">
        <f>TEXT(tblProjectlist[[#This Row],[project-no]],"0")</f>
        <v>0</v>
      </c>
      <c r="H554" s="91">
        <v>7802</v>
      </c>
      <c r="I554" s="91">
        <v>46</v>
      </c>
      <c r="J554" s="91">
        <v>2</v>
      </c>
      <c r="K554" s="91"/>
      <c r="L554" s="91" t="s">
        <v>2175</v>
      </c>
      <c r="M554" s="91" t="s">
        <v>4</v>
      </c>
      <c r="Q554" s="91"/>
      <c r="S554" s="91" t="s">
        <v>143</v>
      </c>
      <c r="T554" s="91" t="s">
        <v>3703</v>
      </c>
      <c r="V554" s="91" t="s">
        <v>156</v>
      </c>
      <c r="W554" s="91" t="s">
        <v>180</v>
      </c>
    </row>
    <row r="555" spans="1:23">
      <c r="A555" s="93" t="str">
        <f>TEXT(tblProjectlist[[#This Row],[project-no]],"0")</f>
        <v>78023828</v>
      </c>
      <c r="H555" s="91">
        <v>7802</v>
      </c>
      <c r="I555" s="91">
        <v>38</v>
      </c>
      <c r="J555" s="91">
        <v>2</v>
      </c>
      <c r="K555" s="91" t="s">
        <v>1118</v>
      </c>
      <c r="L555" s="91" t="s">
        <v>2175</v>
      </c>
      <c r="M555" s="91" t="s">
        <v>4</v>
      </c>
      <c r="Q555" s="91"/>
      <c r="S555" s="91" t="s">
        <v>143</v>
      </c>
      <c r="T555" s="91" t="s">
        <v>2984</v>
      </c>
      <c r="V555" s="91" t="s">
        <v>155</v>
      </c>
      <c r="W555" s="91" t="s">
        <v>180</v>
      </c>
    </row>
    <row r="556" spans="1:23">
      <c r="A556" s="93" t="str">
        <f>TEXT(tblProjectlist[[#This Row],[project-no]],"0")</f>
        <v>99967428</v>
      </c>
      <c r="H556" s="91">
        <v>7802</v>
      </c>
      <c r="I556" s="91">
        <v>38</v>
      </c>
      <c r="J556" s="91">
        <v>2</v>
      </c>
      <c r="K556" s="91" t="s">
        <v>1791</v>
      </c>
      <c r="L556" s="91" t="s">
        <v>2175</v>
      </c>
      <c r="M556" s="91" t="s">
        <v>4</v>
      </c>
      <c r="Q556" s="91"/>
      <c r="S556" s="91" t="s">
        <v>143</v>
      </c>
      <c r="T556" s="91" t="s">
        <v>2984</v>
      </c>
      <c r="W556" s="91" t="s">
        <v>180</v>
      </c>
    </row>
    <row r="557" spans="1:23">
      <c r="A557" s="93" t="str">
        <f>TEXT(tblProjectlist[[#This Row],[project-no]],"0")</f>
        <v>0</v>
      </c>
      <c r="H557" s="91">
        <v>8879</v>
      </c>
      <c r="I557" s="91">
        <v>21</v>
      </c>
      <c r="J557" s="91">
        <v>2</v>
      </c>
      <c r="K557" s="91"/>
      <c r="L557" s="91" t="s">
        <v>2175</v>
      </c>
      <c r="M557" s="91" t="s">
        <v>4</v>
      </c>
      <c r="Q557" s="91"/>
      <c r="S557" s="91" t="s">
        <v>143</v>
      </c>
      <c r="T557" s="91" t="s">
        <v>3953</v>
      </c>
      <c r="V557" s="91" t="s">
        <v>155</v>
      </c>
      <c r="W557" s="91" t="s">
        <v>180</v>
      </c>
    </row>
    <row r="558" spans="1:23">
      <c r="A558" s="93" t="str">
        <f>TEXT(tblProjectlist[[#This Row],[project-no]],"0")</f>
        <v>0</v>
      </c>
      <c r="H558" s="91">
        <v>8879</v>
      </c>
      <c r="I558" s="91">
        <v>22</v>
      </c>
      <c r="J558" s="91">
        <v>2</v>
      </c>
      <c r="K558" s="91"/>
      <c r="L558" s="91" t="s">
        <v>2175</v>
      </c>
      <c r="M558" s="91" t="s">
        <v>4</v>
      </c>
      <c r="Q558" s="91"/>
      <c r="S558" s="91" t="s">
        <v>143</v>
      </c>
      <c r="T558" s="91" t="s">
        <v>4288</v>
      </c>
      <c r="V558" s="91" t="s">
        <v>155</v>
      </c>
      <c r="W558" s="91" t="s">
        <v>180</v>
      </c>
    </row>
    <row r="559" spans="1:23">
      <c r="A559" s="93" t="str">
        <f>TEXT(tblProjectlist[[#This Row],[project-no]],"0")</f>
        <v>88791928</v>
      </c>
      <c r="H559" s="91">
        <v>8879</v>
      </c>
      <c r="I559" s="91">
        <v>19</v>
      </c>
      <c r="J559" s="91">
        <v>2</v>
      </c>
      <c r="K559" s="91" t="s">
        <v>1262</v>
      </c>
      <c r="L559" s="91" t="s">
        <v>2175</v>
      </c>
      <c r="M559" s="91" t="s">
        <v>4</v>
      </c>
      <c r="Q559" s="91"/>
      <c r="S559" s="91" t="s">
        <v>143</v>
      </c>
      <c r="T559" s="91" t="s">
        <v>3113</v>
      </c>
      <c r="V559" s="91" t="s">
        <v>155</v>
      </c>
      <c r="W559" s="91" t="s">
        <v>180</v>
      </c>
    </row>
    <row r="560" spans="1:23">
      <c r="A560" s="93" t="str">
        <f>TEXT(tblProjectlist[[#This Row],[project-no]],"0")</f>
        <v>88792028</v>
      </c>
      <c r="H560" s="91">
        <v>8879</v>
      </c>
      <c r="I560" s="91">
        <v>20</v>
      </c>
      <c r="J560" s="91">
        <v>2</v>
      </c>
      <c r="K560" s="91" t="s">
        <v>1263</v>
      </c>
      <c r="L560" s="91" t="s">
        <v>2175</v>
      </c>
      <c r="M560" s="91" t="s">
        <v>4</v>
      </c>
      <c r="Q560" s="91"/>
      <c r="S560" s="91" t="s">
        <v>143</v>
      </c>
      <c r="T560" s="91" t="s">
        <v>3114</v>
      </c>
      <c r="V560" s="91" t="s">
        <v>155</v>
      </c>
      <c r="W560" s="91" t="s">
        <v>180</v>
      </c>
    </row>
    <row r="561" spans="1:23">
      <c r="A561" s="93" t="str">
        <f>TEXT(tblProjectlist[[#This Row],[project-no]],"0")</f>
        <v>99967826</v>
      </c>
      <c r="H561" s="91">
        <v>3124</v>
      </c>
      <c r="I561" s="91">
        <v>9</v>
      </c>
      <c r="J561" s="91">
        <v>2</v>
      </c>
      <c r="K561" s="91" t="s">
        <v>1795</v>
      </c>
      <c r="L561" s="91" t="s">
        <v>2175</v>
      </c>
      <c r="M561" s="91" t="s">
        <v>4</v>
      </c>
      <c r="Q561" s="91"/>
      <c r="S561" s="91" t="s">
        <v>143</v>
      </c>
      <c r="T561" s="91" t="s">
        <v>2626</v>
      </c>
      <c r="V561" s="91" t="s">
        <v>155</v>
      </c>
      <c r="W561" s="91" t="s">
        <v>180</v>
      </c>
    </row>
    <row r="562" spans="1:23">
      <c r="A562" s="93" t="str">
        <f>TEXT(tblProjectlist[[#This Row],[project-no]],"0")</f>
        <v>0</v>
      </c>
      <c r="H562" s="91">
        <v>3124</v>
      </c>
      <c r="I562" s="91">
        <v>11</v>
      </c>
      <c r="J562" s="91">
        <v>2</v>
      </c>
      <c r="K562" s="91"/>
      <c r="L562" s="91" t="s">
        <v>2175</v>
      </c>
      <c r="M562" s="91" t="s">
        <v>4</v>
      </c>
      <c r="Q562" s="91"/>
      <c r="S562" s="91" t="s">
        <v>143</v>
      </c>
      <c r="T562" s="91" t="s">
        <v>3668</v>
      </c>
      <c r="V562" s="91" t="s">
        <v>156</v>
      </c>
      <c r="W562" s="91" t="s">
        <v>180</v>
      </c>
    </row>
    <row r="563" spans="1:23">
      <c r="A563" s="93" t="str">
        <f>TEXT(tblProjectlist[[#This Row],[project-no]],"0")</f>
        <v>31240528</v>
      </c>
      <c r="H563" s="91">
        <v>3124</v>
      </c>
      <c r="I563" s="91">
        <v>5</v>
      </c>
      <c r="J563" s="91">
        <v>2</v>
      </c>
      <c r="K563" s="91" t="s">
        <v>724</v>
      </c>
      <c r="L563" s="91" t="s">
        <v>2175</v>
      </c>
      <c r="M563" s="91" t="s">
        <v>4</v>
      </c>
      <c r="Q563" s="91"/>
      <c r="S563" s="91" t="s">
        <v>143</v>
      </c>
      <c r="T563" s="91" t="s">
        <v>2622</v>
      </c>
      <c r="V563" s="91" t="s">
        <v>155</v>
      </c>
      <c r="W563" s="91" t="s">
        <v>180</v>
      </c>
    </row>
    <row r="564" spans="1:23">
      <c r="A564" s="93" t="str">
        <f>TEXT(tblProjectlist[[#This Row],[project-no]],"0")</f>
        <v>31240628</v>
      </c>
      <c r="H564" s="91">
        <v>3124</v>
      </c>
      <c r="I564" s="91">
        <v>6</v>
      </c>
      <c r="J564" s="91">
        <v>2</v>
      </c>
      <c r="K564" s="91" t="s">
        <v>725</v>
      </c>
      <c r="L564" s="91" t="s">
        <v>2175</v>
      </c>
      <c r="M564" s="91" t="s">
        <v>4</v>
      </c>
      <c r="Q564" s="91"/>
      <c r="S564" s="91" t="s">
        <v>143</v>
      </c>
      <c r="T564" s="91" t="s">
        <v>2623</v>
      </c>
      <c r="V564" s="91" t="s">
        <v>155</v>
      </c>
      <c r="W564" s="91" t="s">
        <v>180</v>
      </c>
    </row>
    <row r="565" spans="1:23">
      <c r="A565" s="93" t="str">
        <f>TEXT(tblProjectlist[[#This Row],[project-no]],"0")</f>
        <v>31240726</v>
      </c>
      <c r="H565" s="91">
        <v>3124</v>
      </c>
      <c r="I565" s="91">
        <v>7</v>
      </c>
      <c r="J565" s="91">
        <v>2</v>
      </c>
      <c r="K565" s="91" t="s">
        <v>726</v>
      </c>
      <c r="L565" s="91" t="s">
        <v>2175</v>
      </c>
      <c r="M565" s="91" t="s">
        <v>4</v>
      </c>
      <c r="Q565" s="91"/>
      <c r="S565" s="91" t="s">
        <v>143</v>
      </c>
      <c r="T565" s="91" t="s">
        <v>2624</v>
      </c>
      <c r="V565" s="91" t="s">
        <v>155</v>
      </c>
      <c r="W565" s="91" t="s">
        <v>180</v>
      </c>
    </row>
    <row r="566" spans="1:23">
      <c r="A566" s="93" t="str">
        <f>TEXT(tblProjectlist[[#This Row],[project-no]],"0")</f>
        <v>31240828</v>
      </c>
      <c r="H566" s="91">
        <v>3124</v>
      </c>
      <c r="I566" s="91">
        <v>8</v>
      </c>
      <c r="J566" s="91">
        <v>2</v>
      </c>
      <c r="K566" s="91" t="s">
        <v>727</v>
      </c>
      <c r="L566" s="91" t="s">
        <v>2175</v>
      </c>
      <c r="M566" s="91" t="s">
        <v>4</v>
      </c>
      <c r="Q566" s="91"/>
      <c r="S566" s="91" t="s">
        <v>143</v>
      </c>
      <c r="T566" s="91" t="s">
        <v>2625</v>
      </c>
      <c r="V566" s="91" t="s">
        <v>155</v>
      </c>
      <c r="W566" s="91" t="s">
        <v>180</v>
      </c>
    </row>
    <row r="567" spans="1:23">
      <c r="A567" s="93" t="str">
        <f>TEXT(tblProjectlist[[#This Row],[project-no]],"0")</f>
        <v>31240926</v>
      </c>
      <c r="H567" s="91">
        <v>3124</v>
      </c>
      <c r="I567" s="91">
        <v>9</v>
      </c>
      <c r="J567" s="91">
        <v>2</v>
      </c>
      <c r="K567" s="91" t="s">
        <v>728</v>
      </c>
      <c r="L567" s="91" t="s">
        <v>2175</v>
      </c>
      <c r="M567" s="91" t="s">
        <v>4</v>
      </c>
      <c r="Q567" s="91"/>
      <c r="S567" s="91" t="s">
        <v>143</v>
      </c>
      <c r="T567" s="91" t="s">
        <v>2626</v>
      </c>
      <c r="V567" s="91" t="s">
        <v>155</v>
      </c>
      <c r="W567" s="91" t="s">
        <v>180</v>
      </c>
    </row>
    <row r="568" spans="1:23">
      <c r="A568" s="93" t="str">
        <f>TEXT(tblProjectlist[[#This Row],[project-no]],"0")</f>
        <v>31241028</v>
      </c>
      <c r="H568" s="91">
        <v>3124</v>
      </c>
      <c r="I568" s="91">
        <v>10</v>
      </c>
      <c r="J568" s="91">
        <v>2</v>
      </c>
      <c r="K568" s="91" t="s">
        <v>729</v>
      </c>
      <c r="L568" s="91" t="s">
        <v>2175</v>
      </c>
      <c r="M568" s="91" t="s">
        <v>4</v>
      </c>
      <c r="Q568" s="91"/>
      <c r="S568" s="91" t="s">
        <v>143</v>
      </c>
      <c r="T568" s="91" t="s">
        <v>2627</v>
      </c>
      <c r="V568" s="91" t="s">
        <v>155</v>
      </c>
      <c r="W568" s="91" t="s">
        <v>180</v>
      </c>
    </row>
    <row r="569" spans="1:23">
      <c r="A569" s="93" t="str">
        <f>TEXT(tblProjectlist[[#This Row],[project-no]],"0")</f>
        <v>99949328</v>
      </c>
      <c r="H569" s="91">
        <v>3124</v>
      </c>
      <c r="I569" s="91">
        <v>5</v>
      </c>
      <c r="J569" s="91">
        <v>2</v>
      </c>
      <c r="K569" s="91" t="s">
        <v>1612</v>
      </c>
      <c r="L569" s="91" t="s">
        <v>2175</v>
      </c>
      <c r="M569" s="91" t="s">
        <v>4</v>
      </c>
      <c r="Q569" s="91"/>
      <c r="S569" s="91" t="s">
        <v>143</v>
      </c>
      <c r="T569" s="91" t="s">
        <v>2622</v>
      </c>
      <c r="V569" s="91" t="s">
        <v>155</v>
      </c>
      <c r="W569" s="91" t="s">
        <v>180</v>
      </c>
    </row>
    <row r="570" spans="1:23">
      <c r="A570" s="93" t="str">
        <f>TEXT(tblProjectlist[[#This Row],[project-no]],"0")</f>
        <v>99962928</v>
      </c>
      <c r="H570" s="91">
        <v>3124</v>
      </c>
      <c r="I570" s="91">
        <v>6</v>
      </c>
      <c r="J570" s="91">
        <v>2</v>
      </c>
      <c r="K570" s="91" t="s">
        <v>1750</v>
      </c>
      <c r="L570" s="91" t="s">
        <v>2175</v>
      </c>
      <c r="M570" s="91" t="s">
        <v>4</v>
      </c>
      <c r="Q570" s="91"/>
      <c r="S570" s="91" t="s">
        <v>143</v>
      </c>
      <c r="T570" s="91" t="s">
        <v>2623</v>
      </c>
      <c r="W570" s="91" t="s">
        <v>180</v>
      </c>
    </row>
    <row r="571" spans="1:23">
      <c r="A571" s="93" t="str">
        <f>TEXT(tblProjectlist[[#This Row],[project-no]],"0")</f>
        <v>31320128</v>
      </c>
      <c r="H571" s="91">
        <v>3132</v>
      </c>
      <c r="I571" s="91">
        <v>1</v>
      </c>
      <c r="J571" s="91">
        <v>2</v>
      </c>
      <c r="K571" s="91" t="s">
        <v>730</v>
      </c>
      <c r="L571" s="91" t="s">
        <v>2175</v>
      </c>
      <c r="M571" s="91" t="s">
        <v>4</v>
      </c>
      <c r="Q571" s="91"/>
      <c r="S571" s="91" t="s">
        <v>143</v>
      </c>
      <c r="T571" s="91" t="s">
        <v>2628</v>
      </c>
      <c r="V571" s="91" t="s">
        <v>155</v>
      </c>
      <c r="W571" s="91" t="s">
        <v>180</v>
      </c>
    </row>
    <row r="572" spans="1:23">
      <c r="A572" s="93" t="str">
        <f>TEXT(tblProjectlist[[#This Row],[project-no]],"0")</f>
        <v>31320528</v>
      </c>
      <c r="H572" s="91">
        <v>3132</v>
      </c>
      <c r="I572" s="91">
        <v>5</v>
      </c>
      <c r="J572" s="91">
        <v>2</v>
      </c>
      <c r="K572" s="91" t="s">
        <v>731</v>
      </c>
      <c r="L572" s="91" t="s">
        <v>2175</v>
      </c>
      <c r="M572" s="91" t="s">
        <v>4</v>
      </c>
      <c r="Q572" s="91"/>
      <c r="S572" s="91" t="s">
        <v>143</v>
      </c>
      <c r="T572" s="91" t="s">
        <v>2629</v>
      </c>
      <c r="V572" s="91" t="s">
        <v>155</v>
      </c>
      <c r="W572" s="91" t="s">
        <v>180</v>
      </c>
    </row>
    <row r="573" spans="1:23">
      <c r="A573" s="93" t="str">
        <f>TEXT(tblProjectlist[[#This Row],[project-no]],"0")</f>
        <v>0</v>
      </c>
      <c r="H573" s="91">
        <v>3150</v>
      </c>
      <c r="I573" s="91">
        <v>3</v>
      </c>
      <c r="J573" s="91">
        <v>2</v>
      </c>
      <c r="K573" s="91"/>
      <c r="L573" s="91" t="s">
        <v>2175</v>
      </c>
      <c r="M573" s="91" t="s">
        <v>4</v>
      </c>
      <c r="Q573" s="91"/>
      <c r="S573" s="91" t="s">
        <v>143</v>
      </c>
      <c r="T573" s="91" t="s">
        <v>3808</v>
      </c>
      <c r="V573" s="91" t="s">
        <v>155</v>
      </c>
      <c r="W573" s="91" t="s">
        <v>180</v>
      </c>
    </row>
    <row r="574" spans="1:23">
      <c r="A574" s="93" t="str">
        <f>TEXT(tblProjectlist[[#This Row],[project-no]],"0")</f>
        <v>0</v>
      </c>
      <c r="H574" s="91">
        <v>3150</v>
      </c>
      <c r="I574" s="91">
        <v>4</v>
      </c>
      <c r="J574" s="91">
        <v>2</v>
      </c>
      <c r="K574" s="91"/>
      <c r="L574" s="91" t="s">
        <v>2175</v>
      </c>
      <c r="M574" s="91" t="s">
        <v>4</v>
      </c>
      <c r="Q574" s="91"/>
      <c r="S574" s="91" t="s">
        <v>143</v>
      </c>
      <c r="T574" s="91" t="s">
        <v>4027</v>
      </c>
      <c r="V574" s="91" t="s">
        <v>155</v>
      </c>
      <c r="W574" s="91" t="s">
        <v>180</v>
      </c>
    </row>
    <row r="575" spans="1:23">
      <c r="A575" s="93" t="str">
        <f>TEXT(tblProjectlist[[#This Row],[project-no]],"0")</f>
        <v>0</v>
      </c>
      <c r="H575" s="91">
        <v>3150</v>
      </c>
      <c r="I575" s="91">
        <v>5</v>
      </c>
      <c r="J575" s="91">
        <v>2</v>
      </c>
      <c r="K575" s="91"/>
      <c r="L575" s="91" t="s">
        <v>2175</v>
      </c>
      <c r="M575" s="91" t="s">
        <v>4</v>
      </c>
      <c r="Q575" s="91"/>
      <c r="S575" s="91" t="s">
        <v>143</v>
      </c>
      <c r="T575" s="91" t="s">
        <v>4190</v>
      </c>
      <c r="V575" s="91" t="s">
        <v>155</v>
      </c>
      <c r="W575" s="91" t="s">
        <v>180</v>
      </c>
    </row>
    <row r="576" spans="1:23">
      <c r="A576" s="93" t="str">
        <f>TEXT(tblProjectlist[[#This Row],[project-no]],"0")</f>
        <v>0</v>
      </c>
      <c r="H576" s="91">
        <v>3150</v>
      </c>
      <c r="I576" s="91">
        <v>2</v>
      </c>
      <c r="J576" s="91">
        <v>2</v>
      </c>
      <c r="K576" s="91"/>
      <c r="L576" s="91" t="s">
        <v>2175</v>
      </c>
      <c r="M576" s="91" t="s">
        <v>4</v>
      </c>
      <c r="Q576" s="91"/>
      <c r="S576" s="91" t="s">
        <v>143</v>
      </c>
      <c r="T576" s="91" t="s">
        <v>3589</v>
      </c>
      <c r="V576" s="91" t="s">
        <v>155</v>
      </c>
      <c r="W576" s="91" t="s">
        <v>180</v>
      </c>
    </row>
    <row r="577" spans="1:23">
      <c r="A577" s="93" t="str">
        <f>TEXT(tblProjectlist[[#This Row],[project-no]],"0")</f>
        <v>0</v>
      </c>
      <c r="H577" s="91">
        <v>7679</v>
      </c>
      <c r="I577" s="91">
        <v>2</v>
      </c>
      <c r="J577" s="91">
        <v>2</v>
      </c>
      <c r="K577" s="91"/>
      <c r="L577" s="91" t="s">
        <v>2175</v>
      </c>
      <c r="M577" s="91" t="s">
        <v>4</v>
      </c>
      <c r="Q577" s="91"/>
      <c r="S577" s="91" t="s">
        <v>143</v>
      </c>
      <c r="T577" s="91" t="s">
        <v>4287</v>
      </c>
      <c r="V577" s="91" t="s">
        <v>155</v>
      </c>
      <c r="W577" s="91" t="s">
        <v>180</v>
      </c>
    </row>
    <row r="578" spans="1:23">
      <c r="A578" s="93" t="str">
        <f>TEXT(tblProjectlist[[#This Row],[project-no]],"0")</f>
        <v>60480226</v>
      </c>
      <c r="H578" s="91">
        <v>6048</v>
      </c>
      <c r="I578" s="91">
        <v>3</v>
      </c>
      <c r="J578" s="91">
        <v>2</v>
      </c>
      <c r="K578" s="91" t="s">
        <v>4377</v>
      </c>
      <c r="L578" s="91" t="s">
        <v>2175</v>
      </c>
      <c r="M578" s="91" t="s">
        <v>4</v>
      </c>
      <c r="Q578" s="91"/>
      <c r="S578" s="91" t="s">
        <v>143</v>
      </c>
      <c r="T578" s="91" t="s">
        <v>4403</v>
      </c>
      <c r="V578" s="91" t="s">
        <v>155</v>
      </c>
      <c r="W578" s="91" t="s">
        <v>180</v>
      </c>
    </row>
    <row r="579" spans="1:23">
      <c r="A579" s="93" t="str">
        <f>TEXT(tblProjectlist[[#This Row],[project-no]],"0")</f>
        <v>75400228</v>
      </c>
      <c r="H579" s="91">
        <v>7540</v>
      </c>
      <c r="I579" s="91">
        <v>2</v>
      </c>
      <c r="J579" s="91">
        <v>2</v>
      </c>
      <c r="K579" s="91" t="s">
        <v>1014</v>
      </c>
      <c r="L579" s="91" t="s">
        <v>2175</v>
      </c>
      <c r="M579" s="91" t="s">
        <v>4</v>
      </c>
      <c r="Q579" s="91"/>
      <c r="S579" s="91" t="s">
        <v>143</v>
      </c>
      <c r="T579" s="91" t="s">
        <v>2883</v>
      </c>
      <c r="V579" s="91" t="s">
        <v>155</v>
      </c>
      <c r="W579" s="91" t="s">
        <v>180</v>
      </c>
    </row>
    <row r="580" spans="1:23">
      <c r="A580" s="93" t="str">
        <f>TEXT(tblProjectlist[[#This Row],[project-no]],"0")</f>
        <v>75400328</v>
      </c>
      <c r="H580" s="91">
        <v>7540</v>
      </c>
      <c r="I580" s="91">
        <v>3</v>
      </c>
      <c r="J580" s="91">
        <v>2</v>
      </c>
      <c r="K580" s="91" t="s">
        <v>1015</v>
      </c>
      <c r="L580" s="91" t="s">
        <v>2175</v>
      </c>
      <c r="M580" s="91" t="s">
        <v>4</v>
      </c>
      <c r="Q580" s="91"/>
      <c r="S580" s="91" t="s">
        <v>143</v>
      </c>
      <c r="T580" s="91" t="s">
        <v>2884</v>
      </c>
      <c r="V580" s="91" t="s">
        <v>155</v>
      </c>
      <c r="W580" s="91" t="s">
        <v>180</v>
      </c>
    </row>
    <row r="581" spans="1:23">
      <c r="A581" s="93" t="str">
        <f>TEXT(tblProjectlist[[#This Row],[project-no]],"0")</f>
        <v>75400428</v>
      </c>
      <c r="H581" s="91">
        <v>7540</v>
      </c>
      <c r="I581" s="91">
        <v>4</v>
      </c>
      <c r="J581" s="91">
        <v>2</v>
      </c>
      <c r="K581" s="91" t="s">
        <v>1016</v>
      </c>
      <c r="L581" s="91" t="s">
        <v>2175</v>
      </c>
      <c r="M581" s="91" t="s">
        <v>4</v>
      </c>
      <c r="Q581" s="91"/>
      <c r="S581" s="91" t="s">
        <v>143</v>
      </c>
      <c r="T581" s="91" t="s">
        <v>2885</v>
      </c>
      <c r="V581" s="91" t="s">
        <v>155</v>
      </c>
      <c r="W581" s="91" t="s">
        <v>180</v>
      </c>
    </row>
    <row r="582" spans="1:23">
      <c r="A582" s="93" t="str">
        <f>TEXT(tblProjectlist[[#This Row],[project-no]],"0")</f>
        <v>76900226</v>
      </c>
      <c r="H582" s="91">
        <v>7690</v>
      </c>
      <c r="I582" s="91">
        <v>2</v>
      </c>
      <c r="J582" s="91">
        <v>2</v>
      </c>
      <c r="K582" s="91" t="s">
        <v>1090</v>
      </c>
      <c r="L582" s="91" t="s">
        <v>197</v>
      </c>
      <c r="M582" s="91" t="s">
        <v>4</v>
      </c>
      <c r="Q582" s="91"/>
      <c r="S582" s="91" t="s">
        <v>143</v>
      </c>
      <c r="T582" s="91" t="s">
        <v>2956</v>
      </c>
      <c r="W582" s="91" t="s">
        <v>180</v>
      </c>
    </row>
    <row r="583" spans="1:23">
      <c r="A583" s="93" t="str">
        <f>TEXT(tblProjectlist[[#This Row],[project-no]],"0")</f>
        <v>0</v>
      </c>
      <c r="H583" s="91">
        <v>7540</v>
      </c>
      <c r="I583" s="91">
        <v>5</v>
      </c>
      <c r="J583" s="91">
        <v>2</v>
      </c>
      <c r="K583" s="91"/>
      <c r="L583" s="91" t="s">
        <v>2175</v>
      </c>
      <c r="M583" s="91" t="s">
        <v>4</v>
      </c>
      <c r="Q583" s="91"/>
      <c r="S583" s="91" t="s">
        <v>143</v>
      </c>
      <c r="T583" s="91" t="s">
        <v>3581</v>
      </c>
      <c r="V583" s="91" t="s">
        <v>155</v>
      </c>
      <c r="W583" s="91" t="s">
        <v>180</v>
      </c>
    </row>
    <row r="584" spans="1:23">
      <c r="A584" s="93" t="str">
        <f>TEXT(tblProjectlist[[#This Row],[project-no]],"0")</f>
        <v>21210228</v>
      </c>
      <c r="H584" s="91">
        <v>2121</v>
      </c>
      <c r="I584" s="91">
        <v>2</v>
      </c>
      <c r="J584" s="91">
        <v>2</v>
      </c>
      <c r="K584" s="91" t="s">
        <v>536</v>
      </c>
      <c r="L584" s="91" t="s">
        <v>197</v>
      </c>
      <c r="M584" s="91" t="s">
        <v>4</v>
      </c>
      <c r="Q584" s="91"/>
      <c r="S584" s="91" t="s">
        <v>143</v>
      </c>
      <c r="T584" s="91" t="s">
        <v>2465</v>
      </c>
      <c r="V584" s="91" t="s">
        <v>155</v>
      </c>
      <c r="W584" s="91" t="s">
        <v>180</v>
      </c>
    </row>
    <row r="585" spans="1:23">
      <c r="A585" s="93" t="str">
        <f>TEXT(tblProjectlist[[#This Row],[project-no]],"0")</f>
        <v>0</v>
      </c>
      <c r="H585" s="91">
        <v>3188</v>
      </c>
      <c r="I585" s="91">
        <v>5</v>
      </c>
      <c r="J585" s="91">
        <v>2</v>
      </c>
      <c r="K585" s="91"/>
      <c r="L585" s="91" t="s">
        <v>62</v>
      </c>
      <c r="M585" s="91" t="s">
        <v>4</v>
      </c>
      <c r="Q585" s="91"/>
      <c r="S585" s="91" t="s">
        <v>143</v>
      </c>
      <c r="T585" s="91" t="s">
        <v>4121</v>
      </c>
      <c r="W585" s="91" t="s">
        <v>180</v>
      </c>
    </row>
    <row r="586" spans="1:23">
      <c r="A586" s="93" t="str">
        <f>TEXT(tblProjectlist[[#This Row],[project-no]],"0")</f>
        <v>75870226</v>
      </c>
      <c r="H586" s="91">
        <v>7587</v>
      </c>
      <c r="I586" s="91">
        <v>2</v>
      </c>
      <c r="J586" s="91">
        <v>2</v>
      </c>
      <c r="K586" s="91" t="s">
        <v>1035</v>
      </c>
      <c r="L586" s="91" t="s">
        <v>2175</v>
      </c>
      <c r="M586" s="91" t="s">
        <v>4</v>
      </c>
      <c r="Q586" s="91"/>
      <c r="S586" s="91" t="s">
        <v>143</v>
      </c>
      <c r="T586" s="91" t="s">
        <v>2902</v>
      </c>
      <c r="V586" s="91" t="s">
        <v>155</v>
      </c>
      <c r="W586" s="91" t="s">
        <v>180</v>
      </c>
    </row>
    <row r="587" spans="1:23">
      <c r="A587" s="93" t="str">
        <f>TEXT(tblProjectlist[[#This Row],[project-no]],"0")</f>
        <v>75870328</v>
      </c>
      <c r="H587" s="91">
        <v>7587</v>
      </c>
      <c r="I587" s="91">
        <v>3</v>
      </c>
      <c r="J587" s="91">
        <v>2</v>
      </c>
      <c r="K587" s="91" t="s">
        <v>1036</v>
      </c>
      <c r="L587" s="91" t="s">
        <v>2175</v>
      </c>
      <c r="M587" s="91" t="s">
        <v>4</v>
      </c>
      <c r="Q587" s="91"/>
      <c r="S587" s="91" t="s">
        <v>143</v>
      </c>
      <c r="T587" s="91" t="s">
        <v>2903</v>
      </c>
      <c r="V587" s="91" t="s">
        <v>155</v>
      </c>
      <c r="W587" s="91" t="s">
        <v>180</v>
      </c>
    </row>
    <row r="588" spans="1:23">
      <c r="A588" s="93" t="str">
        <f>TEXT(tblProjectlist[[#This Row],[project-no]],"0")</f>
        <v>0</v>
      </c>
      <c r="H588" s="91">
        <v>6133</v>
      </c>
      <c r="I588" s="91">
        <v>2</v>
      </c>
      <c r="J588" s="91">
        <v>2</v>
      </c>
      <c r="K588" s="91"/>
      <c r="L588" s="91" t="s">
        <v>2175</v>
      </c>
      <c r="M588" s="91" t="s">
        <v>4</v>
      </c>
      <c r="Q588" s="91"/>
      <c r="S588" s="91" t="s">
        <v>143</v>
      </c>
      <c r="T588" s="91" t="s">
        <v>4274</v>
      </c>
      <c r="V588" s="91" t="s">
        <v>155</v>
      </c>
      <c r="W588" s="91" t="s">
        <v>180</v>
      </c>
    </row>
    <row r="589" spans="1:23">
      <c r="A589" s="93" t="str">
        <f>TEXT(tblProjectlist[[#This Row],[project-no]],"0")</f>
        <v>0</v>
      </c>
      <c r="H589" s="91">
        <v>6133</v>
      </c>
      <c r="I589" s="91">
        <v>3</v>
      </c>
      <c r="J589" s="91">
        <v>2</v>
      </c>
      <c r="K589" s="91"/>
      <c r="L589" s="91" t="s">
        <v>2175</v>
      </c>
      <c r="M589" s="91" t="s">
        <v>4</v>
      </c>
      <c r="Q589" s="91"/>
      <c r="S589" s="91" t="s">
        <v>143</v>
      </c>
      <c r="T589" s="91" t="s">
        <v>4486</v>
      </c>
      <c r="V589" s="91" t="s">
        <v>155</v>
      </c>
      <c r="W589" s="91" t="s">
        <v>180</v>
      </c>
    </row>
    <row r="590" spans="1:23">
      <c r="A590" s="93" t="str">
        <f>TEXT(tblProjectlist[[#This Row],[project-no]],"0")</f>
        <v>0</v>
      </c>
      <c r="H590" s="91">
        <v>6140</v>
      </c>
      <c r="I590" s="91">
        <v>2</v>
      </c>
      <c r="J590" s="91">
        <v>2</v>
      </c>
      <c r="K590" s="91"/>
      <c r="L590" s="91" t="s">
        <v>2175</v>
      </c>
      <c r="M590" s="91" t="s">
        <v>4</v>
      </c>
      <c r="Q590" s="91"/>
      <c r="S590" s="91" t="s">
        <v>143</v>
      </c>
      <c r="T590" s="91" t="s">
        <v>4505</v>
      </c>
      <c r="V590" s="91" t="s">
        <v>155</v>
      </c>
      <c r="W590" s="91" t="s">
        <v>180</v>
      </c>
    </row>
    <row r="591" spans="1:23">
      <c r="A591" s="93" t="str">
        <f>TEXT(tblProjectlist[[#This Row],[project-no]],"0")</f>
        <v>0</v>
      </c>
      <c r="H591" s="91">
        <v>6623</v>
      </c>
      <c r="I591" s="91">
        <v>4</v>
      </c>
      <c r="J591" s="91">
        <v>1</v>
      </c>
      <c r="K591" s="91"/>
      <c r="L591" s="91" t="s">
        <v>62</v>
      </c>
      <c r="M591" s="91" t="s">
        <v>0</v>
      </c>
      <c r="Q591" s="91"/>
      <c r="S591" s="91" t="s">
        <v>143</v>
      </c>
      <c r="T591" s="91" t="s">
        <v>4251</v>
      </c>
      <c r="V591" s="91" t="s">
        <v>169</v>
      </c>
      <c r="W591" s="91" t="s">
        <v>180</v>
      </c>
    </row>
    <row r="592" spans="1:23">
      <c r="A592" s="93" t="str">
        <f>TEXT(tblProjectlist[[#This Row],[project-no]],"0")</f>
        <v>0</v>
      </c>
      <c r="H592" s="91">
        <v>6624</v>
      </c>
      <c r="I592" s="91">
        <v>2</v>
      </c>
      <c r="J592" s="91">
        <v>4</v>
      </c>
      <c r="K592" s="91"/>
      <c r="L592" s="91" t="s">
        <v>58</v>
      </c>
      <c r="M592" s="91" t="s">
        <v>1</v>
      </c>
      <c r="Q592" s="91"/>
      <c r="S592" s="91" t="s">
        <v>143</v>
      </c>
      <c r="T592" s="91" t="s">
        <v>3690</v>
      </c>
      <c r="V592" s="91" t="s">
        <v>158</v>
      </c>
      <c r="W592" s="91" t="s">
        <v>180</v>
      </c>
    </row>
    <row r="593" spans="1:23">
      <c r="A593" s="93" t="str">
        <f>TEXT(tblProjectlist[[#This Row],[project-no]],"0")</f>
        <v>0</v>
      </c>
      <c r="H593" s="91">
        <v>6624</v>
      </c>
      <c r="I593" s="91">
        <v>2</v>
      </c>
      <c r="J593" s="91">
        <v>4</v>
      </c>
      <c r="K593" s="91"/>
      <c r="L593" s="91" t="s">
        <v>58</v>
      </c>
      <c r="M593" s="91" t="s">
        <v>1</v>
      </c>
      <c r="Q593" s="91"/>
      <c r="S593" s="91" t="s">
        <v>143</v>
      </c>
      <c r="T593" s="91" t="s">
        <v>3690</v>
      </c>
      <c r="V593" s="91" t="s">
        <v>164</v>
      </c>
      <c r="W593" s="91" t="s">
        <v>180</v>
      </c>
    </row>
    <row r="594" spans="1:23">
      <c r="A594" s="93" t="str">
        <f>TEXT(tblProjectlist[[#This Row],[project-no]],"0")</f>
        <v>0</v>
      </c>
      <c r="H594" s="91">
        <v>7041</v>
      </c>
      <c r="I594" s="91">
        <v>1</v>
      </c>
      <c r="J594" s="91">
        <v>2</v>
      </c>
      <c r="K594" s="91"/>
      <c r="L594" s="91" t="s">
        <v>2175</v>
      </c>
      <c r="M594" s="91" t="s">
        <v>4</v>
      </c>
      <c r="Q594" s="91"/>
      <c r="S594" s="91" t="s">
        <v>143</v>
      </c>
      <c r="T594" s="91" t="s">
        <v>3938</v>
      </c>
      <c r="V594" s="91" t="s">
        <v>155</v>
      </c>
      <c r="W594" s="91" t="s">
        <v>180</v>
      </c>
    </row>
    <row r="595" spans="1:23">
      <c r="A595" s="93" t="str">
        <f>TEXT(tblProjectlist[[#This Row],[project-no]],"0")</f>
        <v>0</v>
      </c>
      <c r="H595" s="91">
        <v>7042</v>
      </c>
      <c r="I595" s="91">
        <v>3</v>
      </c>
      <c r="J595" s="91">
        <v>2</v>
      </c>
      <c r="K595" s="91"/>
      <c r="L595" s="91" t="s">
        <v>2175</v>
      </c>
      <c r="M595" s="91" t="s">
        <v>4</v>
      </c>
      <c r="Q595" s="91"/>
      <c r="S595" s="91" t="s">
        <v>143</v>
      </c>
      <c r="T595" s="91" t="s">
        <v>3593</v>
      </c>
      <c r="V595" s="91" t="s">
        <v>155</v>
      </c>
      <c r="W595" s="91" t="s">
        <v>180</v>
      </c>
    </row>
    <row r="596" spans="1:23">
      <c r="A596" s="93" t="str">
        <f>TEXT(tblProjectlist[[#This Row],[project-no]],"0")</f>
        <v>0</v>
      </c>
      <c r="H596" s="91">
        <v>7042</v>
      </c>
      <c r="I596" s="91">
        <v>4</v>
      </c>
      <c r="J596" s="91">
        <v>2</v>
      </c>
      <c r="K596" s="91"/>
      <c r="L596" s="91" t="s">
        <v>2175</v>
      </c>
      <c r="M596" s="91" t="s">
        <v>4</v>
      </c>
      <c r="Q596" s="91"/>
      <c r="S596" s="91" t="s">
        <v>143</v>
      </c>
      <c r="T596" s="91" t="s">
        <v>4029</v>
      </c>
      <c r="V596" s="91" t="s">
        <v>155</v>
      </c>
      <c r="W596" s="91" t="s">
        <v>180</v>
      </c>
    </row>
    <row r="597" spans="1:23">
      <c r="A597" s="93" t="str">
        <f>TEXT(tblProjectlist[[#This Row],[project-no]],"0")</f>
        <v>0</v>
      </c>
      <c r="H597" s="91">
        <v>7042</v>
      </c>
      <c r="I597" s="91">
        <v>5</v>
      </c>
      <c r="J597" s="91">
        <v>2</v>
      </c>
      <c r="K597" s="91"/>
      <c r="L597" s="91" t="s">
        <v>2175</v>
      </c>
      <c r="M597" s="91" t="s">
        <v>4</v>
      </c>
      <c r="Q597" s="91"/>
      <c r="S597" s="91" t="s">
        <v>143</v>
      </c>
      <c r="T597" s="91" t="s">
        <v>4143</v>
      </c>
      <c r="V597" s="91" t="s">
        <v>155</v>
      </c>
      <c r="W597" s="91" t="s">
        <v>180</v>
      </c>
    </row>
    <row r="598" spans="1:23">
      <c r="A598" s="93" t="str">
        <f>TEXT(tblProjectlist[[#This Row],[project-no]],"0")</f>
        <v>0</v>
      </c>
      <c r="H598" s="91">
        <v>7042</v>
      </c>
      <c r="I598" s="91">
        <v>6</v>
      </c>
      <c r="J598" s="91">
        <v>2</v>
      </c>
      <c r="K598" s="91"/>
      <c r="L598" s="91" t="s">
        <v>2175</v>
      </c>
      <c r="M598" s="91" t="s">
        <v>4</v>
      </c>
      <c r="Q598" s="91"/>
      <c r="S598" s="91" t="s">
        <v>143</v>
      </c>
      <c r="T598" s="91" t="s">
        <v>4388</v>
      </c>
      <c r="V598" s="91" t="s">
        <v>155</v>
      </c>
      <c r="W598" s="91" t="s">
        <v>180</v>
      </c>
    </row>
    <row r="599" spans="1:23">
      <c r="A599" s="93" t="str">
        <f>TEXT(tblProjectlist[[#This Row],[project-no]],"0")</f>
        <v>0</v>
      </c>
      <c r="H599" s="91">
        <v>7042</v>
      </c>
      <c r="I599" s="91">
        <v>1</v>
      </c>
      <c r="J599" s="91">
        <v>2</v>
      </c>
      <c r="K599" s="91"/>
      <c r="L599" s="91" t="s">
        <v>2175</v>
      </c>
      <c r="M599" s="91" t="s">
        <v>4</v>
      </c>
      <c r="Q599" s="91"/>
      <c r="S599" s="91" t="s">
        <v>143</v>
      </c>
      <c r="T599" s="91" t="s">
        <v>4689</v>
      </c>
      <c r="V599" s="91" t="s">
        <v>155</v>
      </c>
      <c r="W599" s="91" t="s">
        <v>180</v>
      </c>
    </row>
    <row r="600" spans="1:23">
      <c r="A600" s="93" t="str">
        <f>TEXT(tblProjectlist[[#This Row],[project-no]],"0")</f>
        <v>70420228</v>
      </c>
      <c r="H600" s="91">
        <v>7042</v>
      </c>
      <c r="I600" s="91">
        <v>2</v>
      </c>
      <c r="J600" s="91">
        <v>2</v>
      </c>
      <c r="K600" s="91" t="s">
        <v>954</v>
      </c>
      <c r="L600" s="91" t="s">
        <v>2175</v>
      </c>
      <c r="M600" s="91" t="s">
        <v>4</v>
      </c>
      <c r="Q600" s="91"/>
      <c r="S600" s="91" t="s">
        <v>143</v>
      </c>
      <c r="T600" s="91" t="s">
        <v>2826</v>
      </c>
      <c r="V600" s="91" t="s">
        <v>155</v>
      </c>
      <c r="W600" s="91" t="s">
        <v>180</v>
      </c>
    </row>
    <row r="601" spans="1:23">
      <c r="A601" s="93" t="str">
        <f>TEXT(tblProjectlist[[#This Row],[project-no]],"0")</f>
        <v>0</v>
      </c>
      <c r="H601" s="91">
        <v>9956</v>
      </c>
      <c r="I601" s="91">
        <v>8</v>
      </c>
      <c r="J601" s="91">
        <v>5</v>
      </c>
      <c r="K601" s="91"/>
      <c r="L601" s="91" t="s">
        <v>2175</v>
      </c>
      <c r="M601" s="91" t="s">
        <v>5</v>
      </c>
      <c r="Q601" s="91"/>
      <c r="S601" s="91" t="s">
        <v>143</v>
      </c>
      <c r="T601" s="91" t="s">
        <v>3715</v>
      </c>
      <c r="V601" s="91" t="s">
        <v>3721</v>
      </c>
      <c r="W601" s="91" t="s">
        <v>180</v>
      </c>
    </row>
    <row r="602" spans="1:23">
      <c r="A602" s="93" t="str">
        <f>TEXT(tblProjectlist[[#This Row],[project-no]],"0")</f>
        <v>99560556</v>
      </c>
      <c r="H602" s="91">
        <v>9956</v>
      </c>
      <c r="I602" s="91">
        <v>5</v>
      </c>
      <c r="J602" s="91">
        <v>5</v>
      </c>
      <c r="K602" s="91" t="s">
        <v>1285</v>
      </c>
      <c r="L602" s="91" t="s">
        <v>2175</v>
      </c>
      <c r="M602" s="91" t="s">
        <v>5</v>
      </c>
      <c r="Q602" s="91"/>
      <c r="S602" s="91" t="s">
        <v>143</v>
      </c>
      <c r="T602" s="91" t="s">
        <v>3135</v>
      </c>
      <c r="V602" s="91" t="s">
        <v>87</v>
      </c>
      <c r="W602" s="91" t="s">
        <v>180</v>
      </c>
    </row>
    <row r="603" spans="1:23">
      <c r="A603" s="93" t="str">
        <f>TEXT(tblProjectlist[[#This Row],[project-no]],"0")</f>
        <v>0</v>
      </c>
      <c r="H603" s="91">
        <v>9956</v>
      </c>
      <c r="I603" s="91">
        <v>9</v>
      </c>
      <c r="J603" s="91">
        <v>5</v>
      </c>
      <c r="K603" s="91"/>
      <c r="L603" s="91" t="s">
        <v>2175</v>
      </c>
      <c r="M603" s="91" t="s">
        <v>5</v>
      </c>
      <c r="Q603" s="91"/>
      <c r="S603" s="91" t="s">
        <v>143</v>
      </c>
      <c r="T603" s="91" t="s">
        <v>4517</v>
      </c>
      <c r="V603" s="91" t="s">
        <v>3721</v>
      </c>
      <c r="W603" s="91" t="s">
        <v>180</v>
      </c>
    </row>
    <row r="604" spans="1:23">
      <c r="A604" s="93" t="str">
        <f>TEXT(tblProjectlist[[#This Row],[project-no]],"0")</f>
        <v>99600256</v>
      </c>
      <c r="H604" s="91">
        <v>9960</v>
      </c>
      <c r="I604" s="91">
        <v>2</v>
      </c>
      <c r="J604" s="91">
        <v>5</v>
      </c>
      <c r="K604" s="91" t="s">
        <v>1286</v>
      </c>
      <c r="L604" s="91" t="s">
        <v>2175</v>
      </c>
      <c r="M604" s="91" t="s">
        <v>5</v>
      </c>
      <c r="Q604" s="91"/>
      <c r="S604" s="91" t="s">
        <v>143</v>
      </c>
      <c r="T604" s="91" t="s">
        <v>3136</v>
      </c>
      <c r="V604" s="91" t="s">
        <v>3721</v>
      </c>
      <c r="W604" s="91" t="s">
        <v>180</v>
      </c>
    </row>
    <row r="605" spans="1:23">
      <c r="A605" s="93" t="str">
        <f>TEXT(tblProjectlist[[#This Row],[project-no]],"0")</f>
        <v>99600356</v>
      </c>
      <c r="H605" s="91">
        <v>9960</v>
      </c>
      <c r="I605" s="91">
        <v>3</v>
      </c>
      <c r="J605" s="91">
        <v>5</v>
      </c>
      <c r="K605" s="91" t="s">
        <v>1287</v>
      </c>
      <c r="L605" s="91" t="s">
        <v>2175</v>
      </c>
      <c r="M605" s="91" t="s">
        <v>5</v>
      </c>
      <c r="Q605" s="91"/>
      <c r="S605" s="91" t="s">
        <v>143</v>
      </c>
      <c r="T605" s="91" t="s">
        <v>3137</v>
      </c>
      <c r="V605" s="91" t="s">
        <v>3721</v>
      </c>
      <c r="W605" s="91" t="s">
        <v>180</v>
      </c>
    </row>
    <row r="606" spans="1:23">
      <c r="A606" s="93" t="str">
        <f>TEXT(tblProjectlist[[#This Row],[project-no]],"0")</f>
        <v>10111828</v>
      </c>
      <c r="H606" s="91">
        <v>1011</v>
      </c>
      <c r="I606" s="91">
        <v>18</v>
      </c>
      <c r="J606" s="91">
        <v>2</v>
      </c>
      <c r="K606" s="91" t="s">
        <v>184</v>
      </c>
      <c r="L606" s="91" t="s">
        <v>2175</v>
      </c>
      <c r="M606" s="91" t="s">
        <v>4</v>
      </c>
      <c r="Q606" s="91"/>
      <c r="S606" s="91" t="s">
        <v>143</v>
      </c>
      <c r="T606" s="91" t="s">
        <v>2180</v>
      </c>
      <c r="V606" s="91" t="s">
        <v>155</v>
      </c>
      <c r="W606" s="91" t="s">
        <v>180</v>
      </c>
    </row>
    <row r="607" spans="1:23">
      <c r="A607" s="93" t="str">
        <f>TEXT(tblProjectlist[[#This Row],[project-no]],"0")</f>
        <v>10111928</v>
      </c>
      <c r="H607" s="91">
        <v>1011</v>
      </c>
      <c r="I607" s="91">
        <v>19</v>
      </c>
      <c r="J607" s="91">
        <v>2</v>
      </c>
      <c r="K607" s="91" t="s">
        <v>185</v>
      </c>
      <c r="L607" s="91" t="s">
        <v>2175</v>
      </c>
      <c r="M607" s="91" t="s">
        <v>4</v>
      </c>
      <c r="Q607" s="91"/>
      <c r="S607" s="91" t="s">
        <v>143</v>
      </c>
      <c r="T607" s="91" t="s">
        <v>2181</v>
      </c>
      <c r="V607" s="91" t="s">
        <v>155</v>
      </c>
      <c r="W607" s="91" t="s">
        <v>180</v>
      </c>
    </row>
    <row r="608" spans="1:23">
      <c r="A608" s="93" t="str">
        <f>TEXT(tblProjectlist[[#This Row],[project-no]],"0")</f>
        <v>10150728</v>
      </c>
      <c r="H608" s="91">
        <v>1015</v>
      </c>
      <c r="I608" s="91">
        <v>7</v>
      </c>
      <c r="J608" s="91">
        <v>2</v>
      </c>
      <c r="K608" s="91" t="s">
        <v>187</v>
      </c>
      <c r="L608" s="91" t="s">
        <v>2175</v>
      </c>
      <c r="M608" s="91" t="s">
        <v>4</v>
      </c>
      <c r="Q608" s="91"/>
      <c r="S608" s="91" t="s">
        <v>143</v>
      </c>
      <c r="T608" s="91" t="s">
        <v>2183</v>
      </c>
      <c r="V608" s="91" t="s">
        <v>155</v>
      </c>
      <c r="W608" s="91" t="s">
        <v>180</v>
      </c>
    </row>
    <row r="609" spans="1:23">
      <c r="A609" s="93" t="str">
        <f>TEXT(tblProjectlist[[#This Row],[project-no]],"0")</f>
        <v>0</v>
      </c>
      <c r="H609" s="91">
        <v>1044</v>
      </c>
      <c r="I609" s="91">
        <v>14</v>
      </c>
      <c r="J609" s="91">
        <v>2</v>
      </c>
      <c r="K609" s="91"/>
      <c r="L609" s="91" t="s">
        <v>197</v>
      </c>
      <c r="M609" s="91" t="s">
        <v>4</v>
      </c>
      <c r="Q609" s="91"/>
      <c r="S609" s="91" t="s">
        <v>143</v>
      </c>
      <c r="T609" s="91" t="s">
        <v>4178</v>
      </c>
      <c r="V609" s="91" t="s">
        <v>155</v>
      </c>
      <c r="W609" s="91" t="s">
        <v>180</v>
      </c>
    </row>
    <row r="610" spans="1:23">
      <c r="A610" s="93" t="str">
        <f>TEXT(tblProjectlist[[#This Row],[project-no]],"0")</f>
        <v>10441328</v>
      </c>
      <c r="H610" s="91">
        <v>1044</v>
      </c>
      <c r="I610" s="91">
        <v>13</v>
      </c>
      <c r="J610" s="91">
        <v>2</v>
      </c>
      <c r="K610" s="91" t="s">
        <v>196</v>
      </c>
      <c r="L610" s="91" t="s">
        <v>197</v>
      </c>
      <c r="M610" s="91" t="s">
        <v>4</v>
      </c>
      <c r="Q610" s="91"/>
      <c r="S610" s="91" t="s">
        <v>143</v>
      </c>
      <c r="T610" s="91" t="s">
        <v>2192</v>
      </c>
      <c r="V610" s="91" t="s">
        <v>87</v>
      </c>
      <c r="W610" s="91" t="s">
        <v>180</v>
      </c>
    </row>
    <row r="611" spans="1:23">
      <c r="A611" s="93" t="str">
        <f>TEXT(tblProjectlist[[#This Row],[project-no]],"0")</f>
        <v>11060428</v>
      </c>
      <c r="H611" s="91">
        <v>1106</v>
      </c>
      <c r="I611" s="91">
        <v>4</v>
      </c>
      <c r="J611" s="91">
        <v>2</v>
      </c>
      <c r="K611" s="91" t="s">
        <v>205</v>
      </c>
      <c r="L611" s="91" t="s">
        <v>2175</v>
      </c>
      <c r="M611" s="91" t="s">
        <v>4</v>
      </c>
      <c r="Q611" s="91"/>
      <c r="S611" s="91" t="s">
        <v>143</v>
      </c>
      <c r="T611" s="91" t="s">
        <v>2199</v>
      </c>
      <c r="V611" s="91" t="s">
        <v>155</v>
      </c>
      <c r="W611" s="91" t="s">
        <v>180</v>
      </c>
    </row>
    <row r="612" spans="1:23">
      <c r="A612" s="93" t="str">
        <f>TEXT(tblProjectlist[[#This Row],[project-no]],"0")</f>
        <v>11060828</v>
      </c>
      <c r="H612" s="91">
        <v>1106</v>
      </c>
      <c r="I612" s="91">
        <v>8</v>
      </c>
      <c r="J612" s="91">
        <v>2</v>
      </c>
      <c r="K612" s="91" t="s">
        <v>206</v>
      </c>
      <c r="L612" s="91" t="s">
        <v>2175</v>
      </c>
      <c r="M612" s="91" t="s">
        <v>4</v>
      </c>
      <c r="Q612" s="91"/>
      <c r="S612" s="91" t="s">
        <v>143</v>
      </c>
      <c r="T612" s="91" t="s">
        <v>2200</v>
      </c>
      <c r="V612" s="91" t="s">
        <v>155</v>
      </c>
      <c r="W612" s="91" t="s">
        <v>180</v>
      </c>
    </row>
    <row r="613" spans="1:23">
      <c r="A613" s="93" t="str">
        <f>TEXT(tblProjectlist[[#This Row],[project-no]],"0")</f>
        <v>11060928</v>
      </c>
      <c r="H613" s="91">
        <v>1106</v>
      </c>
      <c r="I613" s="91">
        <v>9</v>
      </c>
      <c r="J613" s="91">
        <v>2</v>
      </c>
      <c r="K613" s="91" t="s">
        <v>207</v>
      </c>
      <c r="L613" s="91" t="s">
        <v>2175</v>
      </c>
      <c r="M613" s="91" t="s">
        <v>4</v>
      </c>
      <c r="Q613" s="91"/>
      <c r="S613" s="91" t="s">
        <v>143</v>
      </c>
      <c r="T613" s="91" t="s">
        <v>2201</v>
      </c>
      <c r="V613" s="91" t="s">
        <v>155</v>
      </c>
      <c r="W613" s="91" t="s">
        <v>180</v>
      </c>
    </row>
    <row r="614" spans="1:23">
      <c r="A614" s="93" t="str">
        <f>TEXT(tblProjectlist[[#This Row],[project-no]],"0")</f>
        <v>99945128</v>
      </c>
      <c r="H614" s="91">
        <v>1106</v>
      </c>
      <c r="I614" s="91">
        <v>8</v>
      </c>
      <c r="J614" s="91">
        <v>2</v>
      </c>
      <c r="K614" s="91" t="s">
        <v>1600</v>
      </c>
      <c r="L614" s="91" t="s">
        <v>2175</v>
      </c>
      <c r="M614" s="91" t="s">
        <v>4</v>
      </c>
      <c r="Q614" s="91"/>
      <c r="S614" s="91" t="s">
        <v>143</v>
      </c>
      <c r="T614" s="91" t="s">
        <v>2200</v>
      </c>
      <c r="V614" s="91" t="s">
        <v>155</v>
      </c>
      <c r="W614" s="91" t="s">
        <v>180</v>
      </c>
    </row>
    <row r="615" spans="1:23">
      <c r="A615" s="93" t="str">
        <f>TEXT(tblProjectlist[[#This Row],[project-no]],"0")</f>
        <v>1107134</v>
      </c>
      <c r="H615" s="91">
        <v>1107</v>
      </c>
      <c r="I615" s="91">
        <v>13</v>
      </c>
      <c r="J615" s="91">
        <v>4</v>
      </c>
      <c r="K615" s="91">
        <v>1107134</v>
      </c>
      <c r="L615" s="91" t="s">
        <v>2175</v>
      </c>
      <c r="M615" s="91" t="s">
        <v>1</v>
      </c>
      <c r="Q615" s="91"/>
      <c r="S615" s="91" t="s">
        <v>143</v>
      </c>
      <c r="T615" s="91" t="s">
        <v>4493</v>
      </c>
      <c r="V615" s="91" t="s">
        <v>164</v>
      </c>
      <c r="W615" s="91" t="s">
        <v>180</v>
      </c>
    </row>
    <row r="616" spans="1:23">
      <c r="A616" s="93" t="str">
        <f>TEXT(tblProjectlist[[#This Row],[project-no]],"0")</f>
        <v>1107134</v>
      </c>
      <c r="H616" s="91">
        <v>1107</v>
      </c>
      <c r="I616" s="91">
        <v>13</v>
      </c>
      <c r="J616" s="91">
        <v>4</v>
      </c>
      <c r="K616" s="91">
        <v>1107134</v>
      </c>
      <c r="L616" s="91" t="s">
        <v>58</v>
      </c>
      <c r="M616" s="91" t="s">
        <v>1</v>
      </c>
      <c r="Q616" s="91"/>
      <c r="S616" s="91" t="s">
        <v>143</v>
      </c>
      <c r="T616" s="91" t="s">
        <v>4493</v>
      </c>
      <c r="V616" s="91" t="s">
        <v>164</v>
      </c>
      <c r="W616" s="91" t="s">
        <v>180</v>
      </c>
    </row>
    <row r="617" spans="1:23">
      <c r="A617" s="93" t="str">
        <f>TEXT(tblProjectlist[[#This Row],[project-no]],"0")</f>
        <v>11071328</v>
      </c>
      <c r="H617" s="91">
        <v>1107</v>
      </c>
      <c r="I617" s="91">
        <v>13</v>
      </c>
      <c r="J617" s="91">
        <v>2</v>
      </c>
      <c r="K617" s="91" t="s">
        <v>208</v>
      </c>
      <c r="L617" s="91" t="s">
        <v>2175</v>
      </c>
      <c r="M617" s="91" t="s">
        <v>4</v>
      </c>
      <c r="Q617" s="91"/>
      <c r="S617" s="91" t="s">
        <v>143</v>
      </c>
      <c r="T617" s="91" t="s">
        <v>2202</v>
      </c>
      <c r="V617" s="91" t="s">
        <v>155</v>
      </c>
      <c r="W617" s="91" t="s">
        <v>180</v>
      </c>
    </row>
    <row r="618" spans="1:23">
      <c r="A618" s="93" t="str">
        <f>TEXT(tblProjectlist[[#This Row],[project-no]],"0")</f>
        <v>1110024</v>
      </c>
      <c r="H618" s="91">
        <v>1110</v>
      </c>
      <c r="I618" s="91">
        <v>2</v>
      </c>
      <c r="J618" s="91">
        <v>4</v>
      </c>
      <c r="K618" s="91">
        <v>1110024</v>
      </c>
      <c r="L618" s="91" t="s">
        <v>2175</v>
      </c>
      <c r="M618" s="91" t="s">
        <v>1</v>
      </c>
      <c r="Q618" s="91"/>
      <c r="S618" s="91" t="s">
        <v>143</v>
      </c>
      <c r="T618" s="91" t="s">
        <v>4540</v>
      </c>
      <c r="V618" s="91" t="s">
        <v>164</v>
      </c>
      <c r="W618" s="91" t="s">
        <v>180</v>
      </c>
    </row>
    <row r="619" spans="1:23">
      <c r="A619" s="93" t="str">
        <f>TEXT(tblProjectlist[[#This Row],[project-no]],"0")</f>
        <v>1110024</v>
      </c>
      <c r="H619" s="91">
        <v>1110</v>
      </c>
      <c r="I619" s="91">
        <v>2</v>
      </c>
      <c r="J619" s="91">
        <v>4</v>
      </c>
      <c r="K619" s="91">
        <v>1110024</v>
      </c>
      <c r="L619" s="91" t="s">
        <v>58</v>
      </c>
      <c r="M619" s="91" t="s">
        <v>1</v>
      </c>
      <c r="Q619" s="91"/>
      <c r="S619" s="91" t="s">
        <v>143</v>
      </c>
      <c r="T619" s="91" t="s">
        <v>4540</v>
      </c>
      <c r="V619" s="91" t="s">
        <v>164</v>
      </c>
      <c r="W619" s="91" t="s">
        <v>180</v>
      </c>
    </row>
    <row r="620" spans="1:23">
      <c r="A620" s="93" t="str">
        <f>TEXT(tblProjectlist[[#This Row],[project-no]],"0")</f>
        <v>1110734</v>
      </c>
      <c r="H620" s="91">
        <v>1110</v>
      </c>
      <c r="I620" s="91">
        <v>73</v>
      </c>
      <c r="J620" s="91">
        <v>4</v>
      </c>
      <c r="K620" s="91">
        <v>1110734</v>
      </c>
      <c r="L620" s="91" t="s">
        <v>2175</v>
      </c>
      <c r="M620" s="91" t="s">
        <v>1</v>
      </c>
      <c r="Q620" s="91"/>
      <c r="S620" s="91" t="s">
        <v>143</v>
      </c>
      <c r="T620" s="91" t="s">
        <v>4494</v>
      </c>
      <c r="V620" s="91" t="s">
        <v>164</v>
      </c>
      <c r="W620" s="91" t="s">
        <v>180</v>
      </c>
    </row>
    <row r="621" spans="1:23">
      <c r="A621" s="93" t="str">
        <f>TEXT(tblProjectlist[[#This Row],[project-no]],"0")</f>
        <v>1110734</v>
      </c>
      <c r="H621" s="91">
        <v>1110</v>
      </c>
      <c r="I621" s="91">
        <v>73</v>
      </c>
      <c r="J621" s="91">
        <v>4</v>
      </c>
      <c r="K621" s="91">
        <v>1110734</v>
      </c>
      <c r="L621" s="91" t="s">
        <v>58</v>
      </c>
      <c r="M621" s="91" t="s">
        <v>1</v>
      </c>
      <c r="Q621" s="91"/>
      <c r="S621" s="91" t="s">
        <v>143</v>
      </c>
      <c r="T621" s="91" t="s">
        <v>4494</v>
      </c>
      <c r="V621" s="91" t="s">
        <v>164</v>
      </c>
      <c r="W621" s="91" t="s">
        <v>180</v>
      </c>
    </row>
    <row r="622" spans="1:23">
      <c r="A622" s="93" t="str">
        <f>TEXT(tblProjectlist[[#This Row],[project-no]],"0")</f>
        <v>0</v>
      </c>
      <c r="H622" s="91">
        <v>1110</v>
      </c>
      <c r="I622" s="91">
        <v>80</v>
      </c>
      <c r="J622" s="91">
        <v>2</v>
      </c>
      <c r="K622" s="91"/>
      <c r="L622" s="91" t="s">
        <v>2175</v>
      </c>
      <c r="M622" s="91" t="s">
        <v>4</v>
      </c>
      <c r="Q622" s="91"/>
      <c r="S622" s="91" t="s">
        <v>143</v>
      </c>
      <c r="T622" s="91" t="s">
        <v>4252</v>
      </c>
      <c r="V622" s="91" t="s">
        <v>155</v>
      </c>
      <c r="W622" s="91" t="s">
        <v>180</v>
      </c>
    </row>
    <row r="623" spans="1:23">
      <c r="A623" s="93" t="str">
        <f>TEXT(tblProjectlist[[#This Row],[project-no]],"0")</f>
        <v>0</v>
      </c>
      <c r="H623" s="91">
        <v>1110</v>
      </c>
      <c r="I623" s="91">
        <v>81</v>
      </c>
      <c r="J623" s="91">
        <v>2</v>
      </c>
      <c r="K623" s="91"/>
      <c r="L623" s="91" t="s">
        <v>2175</v>
      </c>
      <c r="M623" s="91" t="s">
        <v>4</v>
      </c>
      <c r="Q623" s="91"/>
      <c r="S623" s="91" t="s">
        <v>143</v>
      </c>
      <c r="T623" s="91" t="s">
        <v>4306</v>
      </c>
      <c r="V623" s="91" t="s">
        <v>155</v>
      </c>
      <c r="W623" s="91" t="s">
        <v>180</v>
      </c>
    </row>
    <row r="624" spans="1:23">
      <c r="A624" s="93" t="str">
        <f>TEXT(tblProjectlist[[#This Row],[project-no]],"0")</f>
        <v>0</v>
      </c>
      <c r="H624" s="91">
        <v>1110</v>
      </c>
      <c r="I624" s="91">
        <v>82</v>
      </c>
      <c r="J624" s="91">
        <v>2</v>
      </c>
      <c r="K624" s="91"/>
      <c r="L624" s="91" t="s">
        <v>2175</v>
      </c>
      <c r="M624" s="91" t="s">
        <v>4</v>
      </c>
      <c r="Q624" s="91"/>
      <c r="S624" s="91" t="s">
        <v>143</v>
      </c>
      <c r="T624" s="91" t="s">
        <v>4307</v>
      </c>
      <c r="V624" s="91" t="s">
        <v>155</v>
      </c>
      <c r="W624" s="91" t="s">
        <v>180</v>
      </c>
    </row>
    <row r="625" spans="1:23">
      <c r="A625" s="93" t="str">
        <f>TEXT(tblProjectlist[[#This Row],[project-no]],"0")</f>
        <v>0</v>
      </c>
      <c r="H625" s="91">
        <v>1110</v>
      </c>
      <c r="I625" s="91">
        <v>83</v>
      </c>
      <c r="J625" s="91">
        <v>1</v>
      </c>
      <c r="K625" s="91"/>
      <c r="L625" s="91" t="s">
        <v>2175</v>
      </c>
      <c r="M625" s="91" t="s">
        <v>0</v>
      </c>
      <c r="Q625" s="91"/>
      <c r="S625" s="91" t="s">
        <v>143</v>
      </c>
      <c r="T625" s="91" t="s">
        <v>4462</v>
      </c>
      <c r="V625" s="91" t="s">
        <v>169</v>
      </c>
      <c r="W625" s="91" t="s">
        <v>180</v>
      </c>
    </row>
    <row r="626" spans="1:23">
      <c r="A626" s="93" t="str">
        <f>TEXT(tblProjectlist[[#This Row],[project-no]],"0")</f>
        <v>0</v>
      </c>
      <c r="H626" s="91">
        <v>1110</v>
      </c>
      <c r="I626" s="91">
        <v>83</v>
      </c>
      <c r="J626" s="91">
        <v>1</v>
      </c>
      <c r="K626" s="91"/>
      <c r="L626" s="91" t="s">
        <v>2175</v>
      </c>
      <c r="M626" s="91" t="s">
        <v>0</v>
      </c>
      <c r="Q626" s="91"/>
      <c r="S626" s="91" t="s">
        <v>143</v>
      </c>
      <c r="T626" s="91" t="s">
        <v>4462</v>
      </c>
      <c r="V626" s="91" t="s">
        <v>167</v>
      </c>
      <c r="W626" s="91" t="s">
        <v>180</v>
      </c>
    </row>
    <row r="627" spans="1:23">
      <c r="A627" s="93" t="str">
        <f>TEXT(tblProjectlist[[#This Row],[project-no]],"0")</f>
        <v>0</v>
      </c>
      <c r="H627" s="91">
        <v>1110</v>
      </c>
      <c r="I627" s="91">
        <v>83</v>
      </c>
      <c r="J627" s="91">
        <v>1</v>
      </c>
      <c r="K627" s="91"/>
      <c r="L627" s="91" t="s">
        <v>2175</v>
      </c>
      <c r="M627" s="91" t="s">
        <v>0</v>
      </c>
      <c r="Q627" s="91"/>
      <c r="S627" s="91" t="s">
        <v>143</v>
      </c>
      <c r="T627" s="91" t="s">
        <v>4462</v>
      </c>
      <c r="V627" s="91" t="s">
        <v>168</v>
      </c>
      <c r="W627" s="91" t="s">
        <v>180</v>
      </c>
    </row>
    <row r="628" spans="1:23">
      <c r="A628" s="93" t="str">
        <f>TEXT(tblProjectlist[[#This Row],[project-no]],"0")</f>
        <v>0</v>
      </c>
      <c r="H628" s="91">
        <v>1110</v>
      </c>
      <c r="I628" s="91">
        <v>84</v>
      </c>
      <c r="J628" s="91">
        <v>2</v>
      </c>
      <c r="K628" s="91"/>
      <c r="L628" s="91" t="s">
        <v>2175</v>
      </c>
      <c r="M628" s="91" t="s">
        <v>4</v>
      </c>
      <c r="Q628" s="91"/>
      <c r="S628" s="91" t="s">
        <v>143</v>
      </c>
      <c r="T628" s="91" t="s">
        <v>4617</v>
      </c>
      <c r="V628" s="91" t="s">
        <v>155</v>
      </c>
      <c r="W628" s="91" t="s">
        <v>180</v>
      </c>
    </row>
    <row r="629" spans="1:23">
      <c r="A629" s="93" t="str">
        <f>TEXT(tblProjectlist[[#This Row],[project-no]],"0")</f>
        <v>0</v>
      </c>
      <c r="H629" s="91">
        <v>1110</v>
      </c>
      <c r="I629" s="91">
        <v>85</v>
      </c>
      <c r="J629" s="91">
        <v>2</v>
      </c>
      <c r="K629" s="91"/>
      <c r="L629" s="91" t="s">
        <v>2175</v>
      </c>
      <c r="M629" s="91" t="s">
        <v>4</v>
      </c>
      <c r="Q629" s="91"/>
      <c r="S629" s="91" t="s">
        <v>143</v>
      </c>
      <c r="T629" s="91" t="s">
        <v>4618</v>
      </c>
      <c r="V629" s="91" t="s">
        <v>155</v>
      </c>
      <c r="W629" s="91" t="s">
        <v>180</v>
      </c>
    </row>
    <row r="630" spans="1:23">
      <c r="A630" s="93" t="str">
        <f>TEXT(tblProjectlist[[#This Row],[project-no]],"0")</f>
        <v>11100128</v>
      </c>
      <c r="H630" s="91">
        <v>1110</v>
      </c>
      <c r="I630" s="91">
        <v>1</v>
      </c>
      <c r="J630" s="91">
        <v>2</v>
      </c>
      <c r="K630" s="91" t="s">
        <v>209</v>
      </c>
      <c r="L630" s="91" t="s">
        <v>2175</v>
      </c>
      <c r="M630" s="91" t="s">
        <v>4</v>
      </c>
      <c r="Q630" s="91"/>
      <c r="S630" s="91" t="s">
        <v>143</v>
      </c>
      <c r="T630" s="91" t="s">
        <v>2203</v>
      </c>
      <c r="V630" s="91" t="s">
        <v>155</v>
      </c>
      <c r="W630" s="91" t="s">
        <v>180</v>
      </c>
    </row>
    <row r="631" spans="1:23">
      <c r="A631" s="93" t="str">
        <f>TEXT(tblProjectlist[[#This Row],[project-no]],"0")</f>
        <v>11105426</v>
      </c>
      <c r="H631" s="91">
        <v>1110</v>
      </c>
      <c r="I631" s="91">
        <v>54</v>
      </c>
      <c r="J631" s="91">
        <v>2</v>
      </c>
      <c r="K631" s="91" t="s">
        <v>210</v>
      </c>
      <c r="L631" s="91" t="s">
        <v>2175</v>
      </c>
      <c r="M631" s="91" t="s">
        <v>4</v>
      </c>
      <c r="Q631" s="91"/>
      <c r="S631" s="91" t="s">
        <v>143</v>
      </c>
      <c r="T631" s="91" t="s">
        <v>2204</v>
      </c>
      <c r="V631" s="91" t="s">
        <v>155</v>
      </c>
      <c r="W631" s="91" t="s">
        <v>180</v>
      </c>
    </row>
    <row r="632" spans="1:23">
      <c r="A632" s="93" t="str">
        <f>TEXT(tblProjectlist[[#This Row],[project-no]],"0")</f>
        <v>11107326</v>
      </c>
      <c r="H632" s="91">
        <v>1110</v>
      </c>
      <c r="I632" s="91">
        <v>73</v>
      </c>
      <c r="J632" s="91">
        <v>2</v>
      </c>
      <c r="K632" s="91" t="s">
        <v>211</v>
      </c>
      <c r="L632" s="91" t="s">
        <v>2175</v>
      </c>
      <c r="M632" s="91" t="s">
        <v>4</v>
      </c>
      <c r="Q632" s="91"/>
      <c r="S632" s="91" t="s">
        <v>143</v>
      </c>
      <c r="T632" s="91" t="s">
        <v>2205</v>
      </c>
      <c r="V632" s="91" t="s">
        <v>155</v>
      </c>
      <c r="W632" s="91" t="s">
        <v>180</v>
      </c>
    </row>
    <row r="633" spans="1:23">
      <c r="A633" s="93" t="str">
        <f>TEXT(tblProjectlist[[#This Row],[project-no]],"0")</f>
        <v>11107528</v>
      </c>
      <c r="H633" s="91">
        <v>1110</v>
      </c>
      <c r="I633" s="91">
        <v>75</v>
      </c>
      <c r="J633" s="91">
        <v>2</v>
      </c>
      <c r="K633" s="91" t="s">
        <v>212</v>
      </c>
      <c r="L633" s="91" t="s">
        <v>2175</v>
      </c>
      <c r="M633" s="91" t="s">
        <v>4</v>
      </c>
      <c r="Q633" s="91"/>
      <c r="S633" s="91" t="s">
        <v>143</v>
      </c>
      <c r="T633" s="91" t="s">
        <v>2206</v>
      </c>
      <c r="V633" s="91" t="s">
        <v>155</v>
      </c>
      <c r="W633" s="91" t="s">
        <v>180</v>
      </c>
    </row>
    <row r="634" spans="1:23">
      <c r="A634" s="93" t="str">
        <f>TEXT(tblProjectlist[[#This Row],[project-no]],"0")</f>
        <v>11107711</v>
      </c>
      <c r="H634" s="91">
        <v>1110</v>
      </c>
      <c r="I634" s="91">
        <v>77</v>
      </c>
      <c r="J634" s="91">
        <v>1</v>
      </c>
      <c r="K634" s="91" t="s">
        <v>213</v>
      </c>
      <c r="L634" s="91" t="s">
        <v>2175</v>
      </c>
      <c r="M634" s="91" t="s">
        <v>0</v>
      </c>
      <c r="Q634" s="91"/>
      <c r="S634" s="91" t="s">
        <v>143</v>
      </c>
      <c r="T634" s="91" t="s">
        <v>2207</v>
      </c>
      <c r="V634" s="91" t="s">
        <v>169</v>
      </c>
      <c r="W634" s="91" t="s">
        <v>180</v>
      </c>
    </row>
    <row r="635" spans="1:23">
      <c r="A635" s="93" t="str">
        <f>TEXT(tblProjectlist[[#This Row],[project-no]],"0")</f>
        <v>11107716</v>
      </c>
      <c r="H635" s="91">
        <v>1110</v>
      </c>
      <c r="I635" s="91">
        <v>77</v>
      </c>
      <c r="J635" s="91">
        <v>1</v>
      </c>
      <c r="K635" s="91" t="s">
        <v>214</v>
      </c>
      <c r="L635" s="91" t="s">
        <v>2175</v>
      </c>
      <c r="M635" s="91" t="s">
        <v>0</v>
      </c>
      <c r="Q635" s="91"/>
      <c r="S635" s="91" t="s">
        <v>143</v>
      </c>
      <c r="T635" s="91" t="s">
        <v>2207</v>
      </c>
      <c r="V635" s="91" t="s">
        <v>168</v>
      </c>
      <c r="W635" s="91" t="s">
        <v>180</v>
      </c>
    </row>
    <row r="636" spans="1:23">
      <c r="A636" s="93" t="str">
        <f>TEXT(tblProjectlist[[#This Row],[project-no]],"0")</f>
        <v>11107828</v>
      </c>
      <c r="H636" s="91">
        <v>1110</v>
      </c>
      <c r="I636" s="91">
        <v>78</v>
      </c>
      <c r="J636" s="91">
        <v>2</v>
      </c>
      <c r="K636" s="91" t="s">
        <v>215</v>
      </c>
      <c r="L636" s="91" t="s">
        <v>2175</v>
      </c>
      <c r="M636" s="91" t="s">
        <v>4</v>
      </c>
      <c r="Q636" s="91"/>
      <c r="S636" s="91" t="s">
        <v>143</v>
      </c>
      <c r="T636" s="91" t="s">
        <v>2208</v>
      </c>
      <c r="V636" s="91" t="s">
        <v>155</v>
      </c>
      <c r="W636" s="91" t="s">
        <v>180</v>
      </c>
    </row>
    <row r="637" spans="1:23">
      <c r="A637" s="93" t="str">
        <f>TEXT(tblProjectlist[[#This Row],[project-no]],"0")</f>
        <v>11107928</v>
      </c>
      <c r="H637" s="91">
        <v>1110</v>
      </c>
      <c r="I637" s="91">
        <v>79</v>
      </c>
      <c r="J637" s="91">
        <v>2</v>
      </c>
      <c r="K637" s="91" t="s">
        <v>216</v>
      </c>
      <c r="L637" s="91" t="s">
        <v>2175</v>
      </c>
      <c r="M637" s="91" t="s">
        <v>4</v>
      </c>
      <c r="Q637" s="91"/>
      <c r="S637" s="91" t="s">
        <v>143</v>
      </c>
      <c r="T637" s="91" t="s">
        <v>2209</v>
      </c>
      <c r="V637" s="91" t="s">
        <v>155</v>
      </c>
      <c r="W637" s="91" t="s">
        <v>180</v>
      </c>
    </row>
    <row r="638" spans="1:23">
      <c r="A638" s="93" t="str">
        <f>TEXT(tblProjectlist[[#This Row],[project-no]],"0")</f>
        <v>99901316</v>
      </c>
      <c r="H638" s="91">
        <v>1110</v>
      </c>
      <c r="I638" s="91">
        <v>77</v>
      </c>
      <c r="J638" s="91">
        <v>1</v>
      </c>
      <c r="K638" s="91" t="s">
        <v>1492</v>
      </c>
      <c r="L638" s="91" t="s">
        <v>2175</v>
      </c>
      <c r="M638" s="91" t="s">
        <v>0</v>
      </c>
      <c r="Q638" s="91"/>
      <c r="S638" s="91" t="s">
        <v>143</v>
      </c>
      <c r="T638" s="91" t="s">
        <v>2207</v>
      </c>
      <c r="V638" s="91" t="s">
        <v>168</v>
      </c>
      <c r="W638" s="91" t="s">
        <v>180</v>
      </c>
    </row>
    <row r="639" spans="1:23">
      <c r="A639" s="93" t="str">
        <f>TEXT(tblProjectlist[[#This Row],[project-no]],"0")</f>
        <v>11131128</v>
      </c>
      <c r="H639" s="91">
        <v>1113</v>
      </c>
      <c r="I639" s="91">
        <v>11</v>
      </c>
      <c r="J639" s="91">
        <v>2</v>
      </c>
      <c r="K639" s="91" t="s">
        <v>217</v>
      </c>
      <c r="L639" s="91" t="s">
        <v>2175</v>
      </c>
      <c r="M639" s="91" t="s">
        <v>4</v>
      </c>
      <c r="Q639" s="91"/>
      <c r="S639" s="91" t="s">
        <v>143</v>
      </c>
      <c r="T639" s="91" t="s">
        <v>2210</v>
      </c>
      <c r="V639" s="91" t="s">
        <v>155</v>
      </c>
      <c r="W639" s="91" t="s">
        <v>180</v>
      </c>
    </row>
    <row r="640" spans="1:23">
      <c r="A640" s="93" t="str">
        <f>TEXT(tblProjectlist[[#This Row],[project-no]],"0")</f>
        <v>11180328</v>
      </c>
      <c r="H640" s="91">
        <v>1118</v>
      </c>
      <c r="I640" s="91">
        <v>3</v>
      </c>
      <c r="J640" s="91">
        <v>2</v>
      </c>
      <c r="K640" s="91" t="s">
        <v>218</v>
      </c>
      <c r="L640" s="91" t="s">
        <v>2175</v>
      </c>
      <c r="M640" s="91" t="s">
        <v>4</v>
      </c>
      <c r="Q640" s="91"/>
      <c r="S640" s="91" t="s">
        <v>143</v>
      </c>
      <c r="T640" s="91" t="s">
        <v>2211</v>
      </c>
      <c r="V640" s="91" t="s">
        <v>155</v>
      </c>
      <c r="W640" s="91" t="s">
        <v>180</v>
      </c>
    </row>
    <row r="641" spans="1:23">
      <c r="A641" s="93" t="str">
        <f>TEXT(tblProjectlist[[#This Row],[project-no]],"0")</f>
        <v>11180728</v>
      </c>
      <c r="H641" s="91">
        <v>1118</v>
      </c>
      <c r="I641" s="91">
        <v>7</v>
      </c>
      <c r="J641" s="91">
        <v>2</v>
      </c>
      <c r="K641" s="91" t="s">
        <v>219</v>
      </c>
      <c r="L641" s="91" t="s">
        <v>2175</v>
      </c>
      <c r="M641" s="91" t="s">
        <v>4</v>
      </c>
      <c r="Q641" s="91"/>
      <c r="S641" s="91" t="s">
        <v>143</v>
      </c>
      <c r="T641" s="91" t="s">
        <v>2212</v>
      </c>
      <c r="V641" s="91" t="s">
        <v>155</v>
      </c>
      <c r="W641" s="91" t="s">
        <v>180</v>
      </c>
    </row>
    <row r="642" spans="1:23">
      <c r="A642" s="93" t="str">
        <f>TEXT(tblProjectlist[[#This Row],[project-no]],"0")</f>
        <v>11181228</v>
      </c>
      <c r="H642" s="91">
        <v>1118</v>
      </c>
      <c r="I642" s="91">
        <v>12</v>
      </c>
      <c r="J642" s="91">
        <v>2</v>
      </c>
      <c r="K642" s="91" t="s">
        <v>220</v>
      </c>
      <c r="L642" s="91" t="s">
        <v>2175</v>
      </c>
      <c r="M642" s="91" t="s">
        <v>4</v>
      </c>
      <c r="Q642" s="91"/>
      <c r="S642" s="91" t="s">
        <v>143</v>
      </c>
      <c r="T642" s="91" t="s">
        <v>2213</v>
      </c>
      <c r="V642" s="91" t="s">
        <v>155</v>
      </c>
      <c r="W642" s="91" t="s">
        <v>180</v>
      </c>
    </row>
    <row r="643" spans="1:23">
      <c r="A643" s="93" t="str">
        <f>TEXT(tblProjectlist[[#This Row],[project-no]],"0")</f>
        <v>11181328</v>
      </c>
      <c r="H643" s="91">
        <v>1118</v>
      </c>
      <c r="I643" s="91">
        <v>13</v>
      </c>
      <c r="J643" s="91">
        <v>2</v>
      </c>
      <c r="K643" s="91" t="s">
        <v>221</v>
      </c>
      <c r="L643" s="91" t="s">
        <v>2175</v>
      </c>
      <c r="M643" s="91" t="s">
        <v>4</v>
      </c>
      <c r="Q643" s="91"/>
      <c r="S643" s="91" t="s">
        <v>143</v>
      </c>
      <c r="T643" s="91" t="s">
        <v>2214</v>
      </c>
      <c r="V643" s="91" t="s">
        <v>155</v>
      </c>
      <c r="W643" s="91" t="s">
        <v>180</v>
      </c>
    </row>
    <row r="644" spans="1:23">
      <c r="A644" s="93" t="str">
        <f>TEXT(tblProjectlist[[#This Row],[project-no]],"0")</f>
        <v>11181428</v>
      </c>
      <c r="H644" s="91">
        <v>1118</v>
      </c>
      <c r="I644" s="91">
        <v>14</v>
      </c>
      <c r="J644" s="91">
        <v>2</v>
      </c>
      <c r="K644" s="91" t="s">
        <v>222</v>
      </c>
      <c r="L644" s="91" t="s">
        <v>2175</v>
      </c>
      <c r="M644" s="91" t="s">
        <v>4</v>
      </c>
      <c r="Q644" s="91"/>
      <c r="S644" s="91" t="s">
        <v>143</v>
      </c>
      <c r="T644" s="91" t="s">
        <v>2215</v>
      </c>
      <c r="V644" s="91" t="s">
        <v>155</v>
      </c>
      <c r="W644" s="91" t="s">
        <v>180</v>
      </c>
    </row>
    <row r="645" spans="1:23">
      <c r="A645" s="93" t="str">
        <f>TEXT(tblProjectlist[[#This Row],[project-no]],"0")</f>
        <v>11181528</v>
      </c>
      <c r="H645" s="91">
        <v>1118</v>
      </c>
      <c r="I645" s="91">
        <v>15</v>
      </c>
      <c r="J645" s="91">
        <v>2</v>
      </c>
      <c r="K645" s="91">
        <v>11181528</v>
      </c>
      <c r="L645" s="91" t="s">
        <v>2175</v>
      </c>
      <c r="M645" s="91" t="s">
        <v>4</v>
      </c>
      <c r="Q645" s="91"/>
      <c r="S645" s="91" t="s">
        <v>143</v>
      </c>
      <c r="T645" s="91" t="s">
        <v>4436</v>
      </c>
      <c r="V645" s="91" t="s">
        <v>155</v>
      </c>
      <c r="W645" s="91" t="s">
        <v>180</v>
      </c>
    </row>
    <row r="646" spans="1:23">
      <c r="A646" s="93" t="str">
        <f>TEXT(tblProjectlist[[#This Row],[project-no]],"0")</f>
        <v>99907128</v>
      </c>
      <c r="H646" s="91">
        <v>1118</v>
      </c>
      <c r="I646" s="91">
        <v>4</v>
      </c>
      <c r="J646" s="91">
        <v>2</v>
      </c>
      <c r="K646" s="91" t="s">
        <v>1494</v>
      </c>
      <c r="L646" s="91" t="s">
        <v>62</v>
      </c>
      <c r="M646" s="91" t="s">
        <v>4</v>
      </c>
      <c r="Q646" s="91"/>
      <c r="S646" s="91" t="s">
        <v>143</v>
      </c>
      <c r="T646" s="91" t="s">
        <v>3243</v>
      </c>
      <c r="V646" s="91" t="s">
        <v>155</v>
      </c>
      <c r="W646" s="91" t="s">
        <v>180</v>
      </c>
    </row>
    <row r="647" spans="1:23">
      <c r="A647" s="93" t="str">
        <f>TEXT(tblProjectlist[[#This Row],[project-no]],"0")</f>
        <v>99961728</v>
      </c>
      <c r="H647" s="91">
        <v>1118</v>
      </c>
      <c r="I647" s="91">
        <v>13</v>
      </c>
      <c r="J647" s="91">
        <v>2</v>
      </c>
      <c r="K647" s="91" t="s">
        <v>1738</v>
      </c>
      <c r="L647" s="91" t="s">
        <v>2175</v>
      </c>
      <c r="M647" s="91" t="s">
        <v>4</v>
      </c>
      <c r="Q647" s="91"/>
      <c r="S647" s="91" t="s">
        <v>143</v>
      </c>
      <c r="T647" s="91" t="s">
        <v>2214</v>
      </c>
      <c r="V647" s="91" t="s">
        <v>155</v>
      </c>
      <c r="W647" s="91" t="s">
        <v>180</v>
      </c>
    </row>
    <row r="648" spans="1:23">
      <c r="A648" s="93" t="str">
        <f>TEXT(tblProjectlist[[#This Row],[project-no]],"0")</f>
        <v>0</v>
      </c>
      <c r="H648" s="91">
        <v>1125</v>
      </c>
      <c r="I648" s="91">
        <v>23</v>
      </c>
      <c r="J648" s="91">
        <v>2</v>
      </c>
      <c r="K648" s="91"/>
      <c r="L648" s="91" t="s">
        <v>62</v>
      </c>
      <c r="M648" s="91" t="s">
        <v>4</v>
      </c>
      <c r="Q648" s="91"/>
      <c r="S648" s="91" t="s">
        <v>143</v>
      </c>
      <c r="T648" s="91" t="s">
        <v>4665</v>
      </c>
      <c r="V648" s="91" t="s">
        <v>155</v>
      </c>
      <c r="W648" s="91" t="s">
        <v>180</v>
      </c>
    </row>
    <row r="649" spans="1:23">
      <c r="A649" s="93" t="str">
        <f>TEXT(tblProjectlist[[#This Row],[project-no]],"0")</f>
        <v>11242928</v>
      </c>
      <c r="H649" s="91">
        <v>1124</v>
      </c>
      <c r="I649" s="91">
        <v>29</v>
      </c>
      <c r="J649" s="91">
        <v>2</v>
      </c>
      <c r="K649" s="91" t="s">
        <v>4096</v>
      </c>
      <c r="L649" s="91" t="s">
        <v>2175</v>
      </c>
      <c r="M649" s="91" t="s">
        <v>4</v>
      </c>
      <c r="Q649" s="91"/>
      <c r="S649" s="91" t="s">
        <v>143</v>
      </c>
      <c r="T649" s="91" t="s">
        <v>4099</v>
      </c>
      <c r="V649" s="91" t="s">
        <v>155</v>
      </c>
      <c r="W649" s="91" t="s">
        <v>180</v>
      </c>
    </row>
    <row r="650" spans="1:23">
      <c r="A650" s="93" t="str">
        <f>TEXT(tblProjectlist[[#This Row],[project-no]],"0")</f>
        <v>11243028</v>
      </c>
      <c r="H650" s="91">
        <v>1124</v>
      </c>
      <c r="I650" s="91">
        <v>30</v>
      </c>
      <c r="J650" s="91">
        <v>2</v>
      </c>
      <c r="K650" s="91" t="s">
        <v>223</v>
      </c>
      <c r="L650" s="91" t="s">
        <v>2175</v>
      </c>
      <c r="M650" s="91" t="s">
        <v>4</v>
      </c>
      <c r="Q650" s="91"/>
      <c r="S650" s="91" t="s">
        <v>143</v>
      </c>
      <c r="T650" s="91" t="s">
        <v>2216</v>
      </c>
      <c r="V650" s="91" t="s">
        <v>155</v>
      </c>
      <c r="W650" s="91" t="s">
        <v>180</v>
      </c>
    </row>
    <row r="651" spans="1:23">
      <c r="A651" s="93" t="str">
        <f>TEXT(tblProjectlist[[#This Row],[project-no]],"0")</f>
        <v>11243128</v>
      </c>
      <c r="H651" s="91">
        <v>1124</v>
      </c>
      <c r="I651" s="91">
        <v>31</v>
      </c>
      <c r="J651" s="91">
        <v>2</v>
      </c>
      <c r="K651" s="91" t="s">
        <v>224</v>
      </c>
      <c r="L651" s="91" t="s">
        <v>2175</v>
      </c>
      <c r="M651" s="91" t="s">
        <v>4</v>
      </c>
      <c r="Q651" s="91"/>
      <c r="S651" s="91" t="s">
        <v>143</v>
      </c>
      <c r="T651" s="91" t="s">
        <v>2217</v>
      </c>
      <c r="V651" s="91" t="s">
        <v>155</v>
      </c>
      <c r="W651" s="91" t="s">
        <v>180</v>
      </c>
    </row>
    <row r="652" spans="1:23">
      <c r="A652" s="93" t="str">
        <f>TEXT(tblProjectlist[[#This Row],[project-no]],"0")</f>
        <v>11243249</v>
      </c>
      <c r="H652" s="91">
        <v>1124</v>
      </c>
      <c r="I652" s="91">
        <v>32</v>
      </c>
      <c r="J652" s="91">
        <v>4</v>
      </c>
      <c r="K652" s="91" t="s">
        <v>225</v>
      </c>
      <c r="L652" s="91" t="s">
        <v>58</v>
      </c>
      <c r="M652" s="91" t="s">
        <v>1</v>
      </c>
      <c r="Q652" s="91"/>
      <c r="S652" s="91" t="s">
        <v>143</v>
      </c>
      <c r="T652" s="91" t="s">
        <v>2218</v>
      </c>
      <c r="V652" s="91" t="s">
        <v>87</v>
      </c>
      <c r="W652" s="91" t="s">
        <v>180</v>
      </c>
    </row>
    <row r="653" spans="1:23">
      <c r="A653" s="93" t="str">
        <f>TEXT(tblProjectlist[[#This Row],[project-no]],"0")</f>
        <v>0</v>
      </c>
      <c r="H653" s="91">
        <v>1156</v>
      </c>
      <c r="I653" s="91">
        <v>23</v>
      </c>
      <c r="J653" s="91">
        <v>2</v>
      </c>
      <c r="K653" s="91"/>
      <c r="L653" s="91" t="s">
        <v>2175</v>
      </c>
      <c r="M653" s="91" t="s">
        <v>4</v>
      </c>
      <c r="Q653" s="91"/>
      <c r="S653" s="91" t="s">
        <v>143</v>
      </c>
      <c r="T653" s="91" t="s">
        <v>3641</v>
      </c>
      <c r="V653" s="91" t="s">
        <v>155</v>
      </c>
    </row>
    <row r="654" spans="1:23">
      <c r="A654" s="93" t="str">
        <f>TEXT(tblProjectlist[[#This Row],[project-no]],"0")</f>
        <v>11561828</v>
      </c>
      <c r="H654" s="91">
        <v>1156</v>
      </c>
      <c r="I654" s="91">
        <v>18</v>
      </c>
      <c r="J654" s="91">
        <v>2</v>
      </c>
      <c r="K654" s="91" t="s">
        <v>226</v>
      </c>
      <c r="L654" s="91" t="s">
        <v>2175</v>
      </c>
      <c r="M654" s="91" t="s">
        <v>4</v>
      </c>
      <c r="Q654" s="91"/>
      <c r="S654" s="91" t="s">
        <v>143</v>
      </c>
      <c r="T654" s="91" t="s">
        <v>2219</v>
      </c>
      <c r="V654" s="91" t="s">
        <v>155</v>
      </c>
      <c r="W654" s="91" t="s">
        <v>180</v>
      </c>
    </row>
    <row r="655" spans="1:23">
      <c r="A655" s="93" t="str">
        <f>TEXT(tblProjectlist[[#This Row],[project-no]],"0")</f>
        <v>11561928</v>
      </c>
      <c r="H655" s="91">
        <v>1156</v>
      </c>
      <c r="I655" s="91">
        <v>19</v>
      </c>
      <c r="J655" s="91">
        <v>2</v>
      </c>
      <c r="K655" s="91" t="s">
        <v>227</v>
      </c>
      <c r="L655" s="91" t="s">
        <v>2175</v>
      </c>
      <c r="M655" s="91" t="s">
        <v>4</v>
      </c>
      <c r="Q655" s="91"/>
      <c r="S655" s="91" t="s">
        <v>143</v>
      </c>
      <c r="T655" s="91" t="s">
        <v>2220</v>
      </c>
      <c r="V655" s="91" t="s">
        <v>155</v>
      </c>
      <c r="W655" s="91" t="s">
        <v>180</v>
      </c>
    </row>
    <row r="656" spans="1:23">
      <c r="A656" s="93" t="str">
        <f>TEXT(tblProjectlist[[#This Row],[project-no]],"0")</f>
        <v>11562028</v>
      </c>
      <c r="H656" s="91">
        <v>1156</v>
      </c>
      <c r="I656" s="91">
        <v>20</v>
      </c>
      <c r="J656" s="91">
        <v>2</v>
      </c>
      <c r="K656" s="91" t="s">
        <v>228</v>
      </c>
      <c r="L656" s="91" t="s">
        <v>2175</v>
      </c>
      <c r="M656" s="91" t="s">
        <v>4</v>
      </c>
      <c r="Q656" s="91"/>
      <c r="S656" s="91" t="s">
        <v>143</v>
      </c>
      <c r="T656" s="91" t="s">
        <v>2221</v>
      </c>
      <c r="V656" s="91" t="s">
        <v>155</v>
      </c>
      <c r="W656" s="91" t="s">
        <v>180</v>
      </c>
    </row>
    <row r="657" spans="1:23">
      <c r="A657" s="93" t="str">
        <f>TEXT(tblProjectlist[[#This Row],[project-no]],"0")</f>
        <v>11562128</v>
      </c>
      <c r="H657" s="91">
        <v>1156</v>
      </c>
      <c r="I657" s="91">
        <v>21</v>
      </c>
      <c r="J657" s="91">
        <v>2</v>
      </c>
      <c r="K657" s="91" t="s">
        <v>229</v>
      </c>
      <c r="L657" s="91" t="s">
        <v>2175</v>
      </c>
      <c r="M657" s="91" t="s">
        <v>4</v>
      </c>
      <c r="Q657" s="91"/>
      <c r="S657" s="91" t="s">
        <v>143</v>
      </c>
      <c r="T657" s="91" t="s">
        <v>2222</v>
      </c>
      <c r="V657" s="91" t="s">
        <v>155</v>
      </c>
      <c r="W657" s="91" t="s">
        <v>180</v>
      </c>
    </row>
    <row r="658" spans="1:23">
      <c r="A658" s="93" t="str">
        <f>TEXT(tblProjectlist[[#This Row],[project-no]],"0")</f>
        <v>11562228</v>
      </c>
      <c r="H658" s="91">
        <v>1156</v>
      </c>
      <c r="I658" s="91">
        <v>22</v>
      </c>
      <c r="J658" s="91">
        <v>2</v>
      </c>
      <c r="K658" s="91" t="s">
        <v>230</v>
      </c>
      <c r="L658" s="91" t="s">
        <v>2175</v>
      </c>
      <c r="M658" s="91" t="s">
        <v>4</v>
      </c>
      <c r="Q658" s="91"/>
      <c r="S658" s="91" t="s">
        <v>143</v>
      </c>
      <c r="T658" s="91" t="s">
        <v>2223</v>
      </c>
      <c r="V658" s="91" t="s">
        <v>155</v>
      </c>
      <c r="W658" s="91" t="s">
        <v>180</v>
      </c>
    </row>
    <row r="659" spans="1:23">
      <c r="A659" s="93" t="str">
        <f>TEXT(tblProjectlist[[#This Row],[project-no]],"0")</f>
        <v>99964228</v>
      </c>
      <c r="H659" s="91">
        <v>1156</v>
      </c>
      <c r="I659" s="91">
        <v>19</v>
      </c>
      <c r="J659" s="91">
        <v>2</v>
      </c>
      <c r="K659" s="91" t="s">
        <v>1761</v>
      </c>
      <c r="L659" s="91" t="s">
        <v>2175</v>
      </c>
      <c r="M659" s="91" t="s">
        <v>4</v>
      </c>
      <c r="Q659" s="91"/>
      <c r="S659" s="91" t="s">
        <v>143</v>
      </c>
      <c r="T659" s="91" t="s">
        <v>2220</v>
      </c>
      <c r="V659" s="91" t="s">
        <v>155</v>
      </c>
      <c r="W659" s="91" t="s">
        <v>180</v>
      </c>
    </row>
    <row r="660" spans="1:23">
      <c r="A660" s="93" t="str">
        <f>TEXT(tblProjectlist[[#This Row],[project-no]],"0")</f>
        <v>99964628</v>
      </c>
      <c r="H660" s="91">
        <v>1156</v>
      </c>
      <c r="I660" s="91">
        <v>20</v>
      </c>
      <c r="J660" s="91">
        <v>2</v>
      </c>
      <c r="K660" s="91" t="s">
        <v>1764</v>
      </c>
      <c r="L660" s="91" t="s">
        <v>2175</v>
      </c>
      <c r="M660" s="91" t="s">
        <v>4</v>
      </c>
      <c r="Q660" s="91"/>
      <c r="S660" s="91" t="s">
        <v>143</v>
      </c>
      <c r="T660" s="91" t="s">
        <v>2221</v>
      </c>
      <c r="W660" s="91" t="s">
        <v>180</v>
      </c>
    </row>
    <row r="661" spans="1:23">
      <c r="A661" s="93" t="str">
        <f>TEXT(tblProjectlist[[#This Row],[project-no]],"0")</f>
        <v>11900428</v>
      </c>
      <c r="H661" s="91">
        <v>1190</v>
      </c>
      <c r="I661" s="91">
        <v>4</v>
      </c>
      <c r="J661" s="91">
        <v>2</v>
      </c>
      <c r="K661" s="91" t="s">
        <v>231</v>
      </c>
      <c r="L661" s="91" t="s">
        <v>2175</v>
      </c>
      <c r="M661" s="91" t="s">
        <v>4</v>
      </c>
      <c r="Q661" s="91"/>
      <c r="S661" s="91" t="s">
        <v>143</v>
      </c>
      <c r="T661" s="91" t="s">
        <v>2224</v>
      </c>
      <c r="V661" s="91" t="s">
        <v>155</v>
      </c>
      <c r="W661" s="91" t="s">
        <v>180</v>
      </c>
    </row>
    <row r="662" spans="1:23">
      <c r="A662" s="93" t="str">
        <f>TEXT(tblProjectlist[[#This Row],[project-no]],"0")</f>
        <v>0</v>
      </c>
      <c r="H662" s="91">
        <v>9962</v>
      </c>
      <c r="I662" s="91">
        <v>10</v>
      </c>
      <c r="J662" s="91">
        <v>1</v>
      </c>
      <c r="K662" s="91"/>
      <c r="L662" s="91" t="s">
        <v>2175</v>
      </c>
      <c r="M662" s="91" t="s">
        <v>0</v>
      </c>
      <c r="Q662" s="91"/>
      <c r="S662" s="91" t="s">
        <v>143</v>
      </c>
      <c r="T662" s="91" t="s">
        <v>3716</v>
      </c>
      <c r="V662" s="91" t="s">
        <v>168</v>
      </c>
      <c r="W662" s="91" t="s">
        <v>180</v>
      </c>
    </row>
    <row r="663" spans="1:23">
      <c r="A663" s="93" t="str">
        <f>TEXT(tblProjectlist[[#This Row],[project-no]],"0")</f>
        <v>99632216</v>
      </c>
      <c r="H663" s="91">
        <v>9963</v>
      </c>
      <c r="I663" s="91">
        <v>22</v>
      </c>
      <c r="J663" s="91">
        <v>1</v>
      </c>
      <c r="K663" s="91" t="s">
        <v>1323</v>
      </c>
      <c r="L663" s="91" t="s">
        <v>2175</v>
      </c>
      <c r="M663" s="91" t="s">
        <v>0</v>
      </c>
      <c r="Q663" s="91"/>
      <c r="S663" s="91" t="s">
        <v>143</v>
      </c>
      <c r="T663" s="91" t="s">
        <v>3164</v>
      </c>
      <c r="V663" s="91" t="s">
        <v>168</v>
      </c>
      <c r="W663" s="91" t="s">
        <v>180</v>
      </c>
    </row>
    <row r="664" spans="1:23">
      <c r="A664" s="93" t="str">
        <f>TEXT(tblProjectlist[[#This Row],[project-no]],"0")</f>
        <v>99857911</v>
      </c>
      <c r="H664" s="91">
        <v>9985</v>
      </c>
      <c r="I664" s="91">
        <v>79</v>
      </c>
      <c r="J664" s="91">
        <v>1</v>
      </c>
      <c r="K664" s="91" t="s">
        <v>1375</v>
      </c>
      <c r="L664" s="91" t="s">
        <v>2175</v>
      </c>
      <c r="M664" s="91" t="s">
        <v>0</v>
      </c>
      <c r="Q664" s="91"/>
      <c r="S664" s="91" t="s">
        <v>143</v>
      </c>
      <c r="T664" s="91" t="s">
        <v>3201</v>
      </c>
      <c r="V664" s="91" t="s">
        <v>169</v>
      </c>
      <c r="W664" s="91" t="s">
        <v>180</v>
      </c>
    </row>
    <row r="665" spans="1:23">
      <c r="A665" s="93" t="str">
        <f>TEXT(tblProjectlist[[#This Row],[project-no]],"0")</f>
        <v>99630311</v>
      </c>
      <c r="H665" s="91">
        <v>9963</v>
      </c>
      <c r="I665" s="91">
        <v>3</v>
      </c>
      <c r="J665" s="91">
        <v>1</v>
      </c>
      <c r="K665" s="91">
        <v>99630311</v>
      </c>
      <c r="L665" s="91" t="s">
        <v>2175</v>
      </c>
      <c r="M665" s="91" t="s">
        <v>0</v>
      </c>
      <c r="Q665" s="91"/>
      <c r="S665" s="91" t="s">
        <v>143</v>
      </c>
      <c r="T665" s="91" t="s">
        <v>4725</v>
      </c>
      <c r="V665" s="91" t="s">
        <v>169</v>
      </c>
      <c r="W665" s="91" t="s">
        <v>180</v>
      </c>
    </row>
    <row r="666" spans="1:23">
      <c r="A666" s="93" t="str">
        <f>TEXT(tblProjectlist[[#This Row],[project-no]],"0")</f>
        <v>99630311</v>
      </c>
      <c r="H666" s="91">
        <v>9963</v>
      </c>
      <c r="I666" s="91">
        <v>3</v>
      </c>
      <c r="J666" s="91">
        <v>2</v>
      </c>
      <c r="K666" s="91">
        <v>99630311</v>
      </c>
      <c r="L666" s="91" t="s">
        <v>2175</v>
      </c>
      <c r="M666" s="91" t="s">
        <v>4</v>
      </c>
      <c r="Q666" s="91"/>
      <c r="S666" s="91" t="s">
        <v>143</v>
      </c>
      <c r="T666" s="91" t="s">
        <v>4726</v>
      </c>
      <c r="V666" s="91" t="s">
        <v>155</v>
      </c>
      <c r="W666" s="91" t="s">
        <v>180</v>
      </c>
    </row>
    <row r="667" spans="1:23">
      <c r="A667" s="93" t="str">
        <f>TEXT(tblProjectlist[[#This Row],[project-no]],"0")</f>
        <v>99859511</v>
      </c>
      <c r="H667" s="91">
        <v>9985</v>
      </c>
      <c r="I667" s="91">
        <v>95</v>
      </c>
      <c r="J667" s="91">
        <v>1</v>
      </c>
      <c r="K667" s="91" t="s">
        <v>1380</v>
      </c>
      <c r="L667" s="91" t="s">
        <v>2175</v>
      </c>
      <c r="M667" s="91" t="s">
        <v>0</v>
      </c>
      <c r="Q667" s="91"/>
      <c r="S667" s="91" t="s">
        <v>143</v>
      </c>
      <c r="T667" s="91" t="s">
        <v>3204</v>
      </c>
      <c r="V667" s="91" t="s">
        <v>169</v>
      </c>
      <c r="W667" s="91" t="s">
        <v>180</v>
      </c>
    </row>
    <row r="668" spans="1:23">
      <c r="A668" s="93" t="str">
        <f>TEXT(tblProjectlist[[#This Row],[project-no]],"0")</f>
        <v>99942043</v>
      </c>
      <c r="H668" s="91">
        <v>9994</v>
      </c>
      <c r="I668" s="91">
        <v>20</v>
      </c>
      <c r="J668" s="91">
        <v>4</v>
      </c>
      <c r="K668" s="91" t="s">
        <v>1594</v>
      </c>
      <c r="L668" s="91" t="s">
        <v>58</v>
      </c>
      <c r="M668" s="91" t="s">
        <v>1</v>
      </c>
      <c r="Q668" s="91"/>
      <c r="S668" s="91" t="s">
        <v>143</v>
      </c>
      <c r="T668" s="91" t="s">
        <v>3270</v>
      </c>
      <c r="V668" s="91" t="s">
        <v>164</v>
      </c>
      <c r="W668" s="91" t="s">
        <v>180</v>
      </c>
    </row>
    <row r="669" spans="1:23">
      <c r="A669" s="93" t="str">
        <f>TEXT(tblProjectlist[[#This Row],[project-no]],"0")</f>
        <v>99942143</v>
      </c>
      <c r="H669" s="91">
        <v>9994</v>
      </c>
      <c r="I669" s="91">
        <v>21</v>
      </c>
      <c r="J669" s="91">
        <v>4</v>
      </c>
      <c r="K669" s="91" t="s">
        <v>1595</v>
      </c>
      <c r="L669" s="91" t="s">
        <v>58</v>
      </c>
      <c r="M669" s="91" t="s">
        <v>1</v>
      </c>
      <c r="Q669" s="91"/>
      <c r="S669" s="91" t="s">
        <v>143</v>
      </c>
      <c r="T669" s="91" t="s">
        <v>3271</v>
      </c>
      <c r="V669" s="91" t="s">
        <v>164</v>
      </c>
      <c r="W669" s="91" t="s">
        <v>180</v>
      </c>
    </row>
    <row r="670" spans="1:23">
      <c r="A670" s="93" t="str">
        <f>TEXT(tblProjectlist[[#This Row],[project-no]],"0")</f>
        <v>99942145</v>
      </c>
      <c r="H670" s="91">
        <v>9994</v>
      </c>
      <c r="I670" s="91">
        <v>21</v>
      </c>
      <c r="J670" s="91">
        <v>4</v>
      </c>
      <c r="K670" s="91" t="s">
        <v>1596</v>
      </c>
      <c r="L670" s="91" t="s">
        <v>58</v>
      </c>
      <c r="M670" s="91" t="s">
        <v>1</v>
      </c>
      <c r="Q670" s="91"/>
      <c r="S670" s="91" t="s">
        <v>143</v>
      </c>
      <c r="T670" s="91" t="s">
        <v>3271</v>
      </c>
      <c r="V670" s="91" t="s">
        <v>164</v>
      </c>
      <c r="W670" s="91" t="s">
        <v>180</v>
      </c>
    </row>
    <row r="671" spans="1:23">
      <c r="A671" s="93" t="str">
        <f>TEXT(tblProjectlist[[#This Row],[project-no]],"0")</f>
        <v>99943443</v>
      </c>
      <c r="H671" s="91">
        <v>9994</v>
      </c>
      <c r="I671" s="91">
        <v>34</v>
      </c>
      <c r="J671" s="91">
        <v>4</v>
      </c>
      <c r="K671" s="91" t="s">
        <v>1597</v>
      </c>
      <c r="L671" s="91" t="s">
        <v>58</v>
      </c>
      <c r="M671" s="91" t="s">
        <v>1</v>
      </c>
      <c r="Q671" s="91"/>
      <c r="S671" s="91" t="s">
        <v>143</v>
      </c>
      <c r="T671" s="91" t="s">
        <v>3272</v>
      </c>
      <c r="V671" s="91" t="s">
        <v>164</v>
      </c>
      <c r="W671" s="91" t="s">
        <v>180</v>
      </c>
    </row>
    <row r="672" spans="1:23">
      <c r="A672" s="93" t="str">
        <f>TEXT(tblProjectlist[[#This Row],[project-no]],"0")</f>
        <v>99950643</v>
      </c>
      <c r="H672" s="91">
        <v>9994</v>
      </c>
      <c r="I672" s="91">
        <v>21</v>
      </c>
      <c r="J672" s="91">
        <v>4</v>
      </c>
      <c r="K672" s="91" t="s">
        <v>1622</v>
      </c>
      <c r="L672" s="91" t="s">
        <v>58</v>
      </c>
      <c r="M672" s="91" t="s">
        <v>1</v>
      </c>
      <c r="Q672" s="91"/>
      <c r="S672" s="91" t="s">
        <v>143</v>
      </c>
      <c r="T672" s="91" t="s">
        <v>3271</v>
      </c>
      <c r="V672" s="91" t="s">
        <v>164</v>
      </c>
      <c r="W672" s="91" t="s">
        <v>180</v>
      </c>
    </row>
    <row r="673" spans="1:23">
      <c r="A673" s="93" t="str">
        <f>TEXT(tblProjectlist[[#This Row],[project-no]],"0")</f>
        <v>99968545</v>
      </c>
      <c r="H673" s="91">
        <v>9996</v>
      </c>
      <c r="I673" s="91">
        <v>85</v>
      </c>
      <c r="J673" s="91">
        <v>4</v>
      </c>
      <c r="K673" s="91" t="s">
        <v>1801</v>
      </c>
      <c r="L673" s="91" t="s">
        <v>58</v>
      </c>
      <c r="M673" s="91" t="s">
        <v>1</v>
      </c>
      <c r="Q673" s="91"/>
      <c r="S673" s="91" t="s">
        <v>143</v>
      </c>
      <c r="T673" s="91" t="s">
        <v>3353</v>
      </c>
      <c r="V673" s="91" t="s">
        <v>164</v>
      </c>
      <c r="W673" s="91" t="s">
        <v>180</v>
      </c>
    </row>
    <row r="674" spans="1:23">
      <c r="A674" s="93" t="str">
        <f>TEXT(tblProjectlist[[#This Row],[project-no]],"0")</f>
        <v>0</v>
      </c>
      <c r="H674" s="91">
        <v>6062</v>
      </c>
      <c r="I674" s="91">
        <v>4</v>
      </c>
      <c r="J674" s="91">
        <v>2</v>
      </c>
      <c r="K674" s="91"/>
      <c r="L674" s="91" t="s">
        <v>2175</v>
      </c>
      <c r="M674" s="91" t="s">
        <v>4</v>
      </c>
      <c r="Q674" s="91"/>
      <c r="S674" s="91" t="s">
        <v>143</v>
      </c>
      <c r="T674" s="91" t="s">
        <v>4636</v>
      </c>
      <c r="V674" s="91" t="s">
        <v>155</v>
      </c>
      <c r="W674" s="91" t="s">
        <v>180</v>
      </c>
    </row>
    <row r="675" spans="1:23">
      <c r="A675" s="93" t="str">
        <f>TEXT(tblProjectlist[[#This Row],[project-no]],"0")</f>
        <v>0</v>
      </c>
      <c r="H675" s="91">
        <v>6062</v>
      </c>
      <c r="I675" s="91">
        <v>5</v>
      </c>
      <c r="J675" s="91">
        <v>2</v>
      </c>
      <c r="K675" s="91"/>
      <c r="L675" s="91" t="s">
        <v>2175</v>
      </c>
      <c r="M675" s="91" t="s">
        <v>4</v>
      </c>
      <c r="Q675" s="91"/>
      <c r="S675" s="91" t="s">
        <v>143</v>
      </c>
      <c r="T675" s="91" t="s">
        <v>4637</v>
      </c>
      <c r="V675" s="91" t="s">
        <v>155</v>
      </c>
      <c r="W675" s="91" t="s">
        <v>180</v>
      </c>
    </row>
    <row r="676" spans="1:23">
      <c r="A676" s="93" t="str">
        <f>TEXT(tblProjectlist[[#This Row],[project-no]],"0")</f>
        <v>74500428</v>
      </c>
      <c r="H676" s="91">
        <v>7450</v>
      </c>
      <c r="I676" s="91">
        <v>4</v>
      </c>
      <c r="J676" s="91">
        <v>2</v>
      </c>
      <c r="K676" s="91" t="s">
        <v>975</v>
      </c>
      <c r="L676" s="91" t="s">
        <v>2175</v>
      </c>
      <c r="M676" s="91" t="s">
        <v>4</v>
      </c>
      <c r="Q676" s="91"/>
      <c r="S676" s="91" t="s">
        <v>143</v>
      </c>
      <c r="T676" s="91" t="s">
        <v>2845</v>
      </c>
      <c r="V676" s="91" t="s">
        <v>155</v>
      </c>
      <c r="W676" s="91" t="s">
        <v>180</v>
      </c>
    </row>
    <row r="677" spans="1:23">
      <c r="A677" s="93" t="str">
        <f>TEXT(tblProjectlist[[#This Row],[project-no]],"0")</f>
        <v>2220024</v>
      </c>
      <c r="H677" s="91">
        <v>2220</v>
      </c>
      <c r="I677" s="91">
        <v>2</v>
      </c>
      <c r="J677" s="91">
        <v>4</v>
      </c>
      <c r="K677" s="91">
        <v>2220024</v>
      </c>
      <c r="L677" s="91" t="s">
        <v>58</v>
      </c>
      <c r="M677" s="91" t="s">
        <v>1</v>
      </c>
      <c r="Q677" s="91"/>
      <c r="S677" s="91" t="s">
        <v>143</v>
      </c>
      <c r="T677" s="91">
        <v>2220024</v>
      </c>
      <c r="V677" s="91" t="s">
        <v>160</v>
      </c>
      <c r="W677" s="91" t="s">
        <v>180</v>
      </c>
    </row>
    <row r="678" spans="1:23">
      <c r="A678" s="93" t="str">
        <f>TEXT(tblProjectlist[[#This Row],[project-no]],"0")</f>
        <v>0</v>
      </c>
      <c r="H678" s="91">
        <v>2220</v>
      </c>
      <c r="I678" s="91">
        <v>21</v>
      </c>
      <c r="J678" s="91">
        <v>4</v>
      </c>
      <c r="K678" s="91"/>
      <c r="L678" s="91" t="s">
        <v>58</v>
      </c>
      <c r="M678" s="91" t="s">
        <v>1</v>
      </c>
      <c r="Q678" s="91"/>
      <c r="S678" s="91" t="s">
        <v>143</v>
      </c>
      <c r="T678" s="91" t="s">
        <v>3846</v>
      </c>
      <c r="W678" s="91" t="s">
        <v>180</v>
      </c>
    </row>
    <row r="679" spans="1:23">
      <c r="A679" s="93" t="str">
        <f>TEXT(tblProjectlist[[#This Row],[project-no]],"0")</f>
        <v>0</v>
      </c>
      <c r="H679" s="91">
        <v>2220</v>
      </c>
      <c r="I679" s="91">
        <v>22</v>
      </c>
      <c r="J679" s="91">
        <v>4</v>
      </c>
      <c r="K679" s="91"/>
      <c r="L679" s="91" t="s">
        <v>58</v>
      </c>
      <c r="M679" s="91" t="s">
        <v>1</v>
      </c>
      <c r="Q679" s="91"/>
      <c r="S679" s="91" t="s">
        <v>143</v>
      </c>
      <c r="T679" s="91" t="s">
        <v>4037</v>
      </c>
      <c r="W679" s="91" t="s">
        <v>180</v>
      </c>
    </row>
    <row r="680" spans="1:23">
      <c r="A680" s="93" t="str">
        <f>TEXT(tblProjectlist[[#This Row],[project-no]],"0")</f>
        <v>0</v>
      </c>
      <c r="H680" s="91">
        <v>2220</v>
      </c>
      <c r="I680" s="91">
        <v>23</v>
      </c>
      <c r="J680" s="91">
        <v>4</v>
      </c>
      <c r="K680" s="91"/>
      <c r="L680" s="91" t="s">
        <v>58</v>
      </c>
      <c r="M680" s="91" t="s">
        <v>1</v>
      </c>
      <c r="Q680" s="91"/>
      <c r="S680" s="91" t="s">
        <v>143</v>
      </c>
      <c r="T680" s="91" t="s">
        <v>4268</v>
      </c>
      <c r="W680" s="91" t="s">
        <v>180</v>
      </c>
    </row>
    <row r="681" spans="1:23">
      <c r="A681" s="93" t="str">
        <f>TEXT(tblProjectlist[[#This Row],[project-no]],"0")</f>
        <v>22201442</v>
      </c>
      <c r="H681" s="91">
        <v>2220</v>
      </c>
      <c r="I681" s="91">
        <v>14</v>
      </c>
      <c r="J681" s="91">
        <v>4</v>
      </c>
      <c r="K681" s="91" t="s">
        <v>560</v>
      </c>
      <c r="L681" s="91" t="s">
        <v>58</v>
      </c>
      <c r="M681" s="91" t="s">
        <v>1</v>
      </c>
      <c r="Q681" s="91"/>
      <c r="S681" s="91" t="s">
        <v>143</v>
      </c>
      <c r="T681" s="91" t="s">
        <v>2481</v>
      </c>
      <c r="V681" s="91" t="s">
        <v>163</v>
      </c>
      <c r="W681" s="91" t="s">
        <v>180</v>
      </c>
    </row>
    <row r="682" spans="1:23">
      <c r="A682" s="93" t="str">
        <f>TEXT(tblProjectlist[[#This Row],[project-no]],"0")</f>
        <v>22201443</v>
      </c>
      <c r="H682" s="91">
        <v>2220</v>
      </c>
      <c r="I682" s="91">
        <v>14</v>
      </c>
      <c r="J682" s="91">
        <v>4</v>
      </c>
      <c r="K682" s="91" t="s">
        <v>561</v>
      </c>
      <c r="L682" s="91" t="s">
        <v>58</v>
      </c>
      <c r="M682" s="91" t="s">
        <v>1</v>
      </c>
      <c r="Q682" s="91"/>
      <c r="S682" s="91" t="s">
        <v>143</v>
      </c>
      <c r="T682" s="91" t="s">
        <v>2481</v>
      </c>
      <c r="V682" s="91" t="s">
        <v>164</v>
      </c>
      <c r="W682" s="91" t="s">
        <v>180</v>
      </c>
    </row>
    <row r="683" spans="1:23">
      <c r="A683" s="93" t="str">
        <f>TEXT(tblProjectlist[[#This Row],[project-no]],"0")</f>
        <v>22201444</v>
      </c>
      <c r="H683" s="91">
        <v>2220</v>
      </c>
      <c r="I683" s="91">
        <v>14</v>
      </c>
      <c r="J683" s="91">
        <v>4</v>
      </c>
      <c r="K683" s="91" t="s">
        <v>562</v>
      </c>
      <c r="L683" s="91" t="s">
        <v>58</v>
      </c>
      <c r="M683" s="91" t="s">
        <v>1</v>
      </c>
      <c r="Q683" s="91"/>
      <c r="S683" s="91" t="s">
        <v>143</v>
      </c>
      <c r="T683" s="91" t="s">
        <v>2481</v>
      </c>
      <c r="V683" s="91" t="s">
        <v>160</v>
      </c>
      <c r="W683" s="91" t="s">
        <v>180</v>
      </c>
    </row>
    <row r="684" spans="1:23">
      <c r="A684" s="93" t="str">
        <f>TEXT(tblProjectlist[[#This Row],[project-no]],"0")</f>
        <v>22201447</v>
      </c>
      <c r="H684" s="91">
        <v>2220</v>
      </c>
      <c r="I684" s="91">
        <v>14</v>
      </c>
      <c r="J684" s="91">
        <v>4</v>
      </c>
      <c r="K684" s="91" t="s">
        <v>563</v>
      </c>
      <c r="L684" s="91" t="s">
        <v>58</v>
      </c>
      <c r="M684" s="91" t="s">
        <v>1</v>
      </c>
      <c r="Q684" s="91"/>
      <c r="S684" s="91" t="s">
        <v>143</v>
      </c>
      <c r="T684" s="91" t="s">
        <v>2481</v>
      </c>
      <c r="V684" s="91" t="s">
        <v>162</v>
      </c>
      <c r="W684" s="91" t="s">
        <v>180</v>
      </c>
    </row>
    <row r="685" spans="1:23">
      <c r="A685" s="93" t="str">
        <f>TEXT(tblProjectlist[[#This Row],[project-no]],"0")</f>
        <v>22201744</v>
      </c>
      <c r="H685" s="91">
        <v>2220</v>
      </c>
      <c r="I685" s="91">
        <v>17</v>
      </c>
      <c r="J685" s="91">
        <v>4</v>
      </c>
      <c r="K685" s="91" t="s">
        <v>564</v>
      </c>
      <c r="L685" s="91" t="s">
        <v>58</v>
      </c>
      <c r="M685" s="91" t="s">
        <v>1</v>
      </c>
      <c r="Q685" s="91"/>
      <c r="S685" s="91" t="s">
        <v>143</v>
      </c>
      <c r="T685" s="91" t="s">
        <v>2482</v>
      </c>
      <c r="V685" s="91" t="s">
        <v>160</v>
      </c>
      <c r="W685" s="91" t="s">
        <v>180</v>
      </c>
    </row>
    <row r="686" spans="1:23">
      <c r="A686" s="93" t="str">
        <f>TEXT(tblProjectlist[[#This Row],[project-no]],"0")</f>
        <v>22201943</v>
      </c>
      <c r="H686" s="91">
        <v>2220</v>
      </c>
      <c r="I686" s="91">
        <v>19</v>
      </c>
      <c r="J686" s="91">
        <v>4</v>
      </c>
      <c r="K686" s="91" t="s">
        <v>565</v>
      </c>
      <c r="L686" s="91" t="s">
        <v>58</v>
      </c>
      <c r="M686" s="91" t="s">
        <v>1</v>
      </c>
      <c r="Q686" s="91"/>
      <c r="S686" s="91" t="s">
        <v>143</v>
      </c>
      <c r="T686" s="91" t="s">
        <v>2483</v>
      </c>
      <c r="W686" s="91" t="s">
        <v>180</v>
      </c>
    </row>
    <row r="687" spans="1:23">
      <c r="A687" s="93" t="str">
        <f>TEXT(tblProjectlist[[#This Row],[project-no]],"0")</f>
        <v>22202044</v>
      </c>
      <c r="H687" s="91">
        <v>2220</v>
      </c>
      <c r="I687" s="91">
        <v>20</v>
      </c>
      <c r="J687" s="91">
        <v>4</v>
      </c>
      <c r="K687" s="91" t="s">
        <v>566</v>
      </c>
      <c r="L687" s="91" t="s">
        <v>58</v>
      </c>
      <c r="M687" s="91" t="s">
        <v>1</v>
      </c>
      <c r="Q687" s="91"/>
      <c r="S687" s="91" t="s">
        <v>143</v>
      </c>
      <c r="T687" s="91" t="s">
        <v>2484</v>
      </c>
      <c r="W687" s="91" t="s">
        <v>180</v>
      </c>
    </row>
    <row r="688" spans="1:23">
      <c r="A688" s="93" t="str">
        <f>TEXT(tblProjectlist[[#This Row],[project-no]],"0")</f>
        <v>22202443</v>
      </c>
      <c r="H688" s="91">
        <v>2220</v>
      </c>
      <c r="I688" s="91">
        <v>24</v>
      </c>
      <c r="J688" s="91">
        <v>4</v>
      </c>
      <c r="K688" s="91">
        <v>22202443</v>
      </c>
      <c r="L688" s="91" t="s">
        <v>58</v>
      </c>
      <c r="M688" s="91" t="s">
        <v>1</v>
      </c>
      <c r="Q688" s="91"/>
      <c r="S688" s="91" t="s">
        <v>143</v>
      </c>
      <c r="T688" s="91" t="s">
        <v>4625</v>
      </c>
      <c r="V688" s="91" t="s">
        <v>164</v>
      </c>
      <c r="W688" s="91" t="s">
        <v>180</v>
      </c>
    </row>
    <row r="689" spans="1:23">
      <c r="A689" s="93" t="str">
        <f>TEXT(tblProjectlist[[#This Row],[project-no]],"0")</f>
        <v>99912743</v>
      </c>
      <c r="H689" s="91">
        <v>2220</v>
      </c>
      <c r="I689" s="91">
        <v>14</v>
      </c>
      <c r="J689" s="91">
        <v>4</v>
      </c>
      <c r="K689" s="91" t="s">
        <v>1517</v>
      </c>
      <c r="L689" s="91" t="s">
        <v>58</v>
      </c>
      <c r="M689" s="91" t="s">
        <v>1</v>
      </c>
      <c r="Q689" s="91"/>
      <c r="S689" s="91" t="s">
        <v>143</v>
      </c>
      <c r="T689" s="91" t="s">
        <v>2481</v>
      </c>
      <c r="V689" s="91" t="s">
        <v>164</v>
      </c>
      <c r="W689" s="91" t="s">
        <v>180</v>
      </c>
    </row>
    <row r="690" spans="1:23">
      <c r="A690" s="93" t="str">
        <f>TEXT(tblProjectlist[[#This Row],[project-no]],"0")</f>
        <v>99912744</v>
      </c>
      <c r="H690" s="91">
        <v>2220</v>
      </c>
      <c r="I690" s="91">
        <v>14</v>
      </c>
      <c r="J690" s="91">
        <v>4</v>
      </c>
      <c r="K690" s="91" t="s">
        <v>1518</v>
      </c>
      <c r="L690" s="91" t="s">
        <v>58</v>
      </c>
      <c r="M690" s="91" t="s">
        <v>1</v>
      </c>
      <c r="Q690" s="91"/>
      <c r="S690" s="91" t="s">
        <v>143</v>
      </c>
      <c r="T690" s="91" t="s">
        <v>2481</v>
      </c>
      <c r="V690" s="91" t="s">
        <v>160</v>
      </c>
      <c r="W690" s="91" t="s">
        <v>180</v>
      </c>
    </row>
    <row r="691" spans="1:23">
      <c r="A691" s="93" t="str">
        <f>TEXT(tblProjectlist[[#This Row],[project-no]],"0")</f>
        <v>22210228</v>
      </c>
      <c r="H691" s="91">
        <v>2221</v>
      </c>
      <c r="I691" s="91">
        <v>2</v>
      </c>
      <c r="J691" s="91">
        <v>2</v>
      </c>
      <c r="K691" s="91" t="s">
        <v>567</v>
      </c>
      <c r="L691" s="91" t="s">
        <v>64</v>
      </c>
      <c r="M691" s="91" t="s">
        <v>4</v>
      </c>
      <c r="Q691" s="91"/>
      <c r="S691" s="91" t="s">
        <v>143</v>
      </c>
      <c r="T691" s="91" t="s">
        <v>2485</v>
      </c>
      <c r="V691" s="91" t="s">
        <v>155</v>
      </c>
      <c r="W691" s="91" t="s">
        <v>180</v>
      </c>
    </row>
    <row r="692" spans="1:23">
      <c r="A692" s="93" t="str">
        <f>TEXT(tblProjectlist[[#This Row],[project-no]],"0")</f>
        <v>99632216</v>
      </c>
      <c r="H692" s="91">
        <v>9963</v>
      </c>
      <c r="I692" s="91">
        <v>22</v>
      </c>
      <c r="J692" s="91">
        <v>1</v>
      </c>
      <c r="K692" s="91">
        <v>99632216</v>
      </c>
      <c r="L692" s="91" t="s">
        <v>2175</v>
      </c>
      <c r="M692" s="91" t="s">
        <v>0</v>
      </c>
      <c r="Q692" s="91"/>
      <c r="S692" s="91" t="s">
        <v>143</v>
      </c>
      <c r="T692" s="91" t="s">
        <v>3164</v>
      </c>
      <c r="V692" s="91" t="s">
        <v>168</v>
      </c>
      <c r="W692" s="91" t="s">
        <v>180</v>
      </c>
    </row>
    <row r="693" spans="1:23">
      <c r="A693" s="93" t="str">
        <f>TEXT(tblProjectlist[[#This Row],[project-no]],"0")</f>
        <v>99912711</v>
      </c>
      <c r="H693" s="91">
        <v>9991</v>
      </c>
      <c r="I693" s="91">
        <v>27</v>
      </c>
      <c r="J693" s="91">
        <v>1</v>
      </c>
      <c r="K693" s="91" t="s">
        <v>1515</v>
      </c>
      <c r="L693" s="91" t="s">
        <v>2175</v>
      </c>
      <c r="M693" s="91" t="s">
        <v>0</v>
      </c>
      <c r="Q693" s="91"/>
      <c r="S693" s="91" t="s">
        <v>143</v>
      </c>
      <c r="T693" s="91" t="s">
        <v>3248</v>
      </c>
      <c r="V693" s="91" t="s">
        <v>169</v>
      </c>
      <c r="W693" s="91" t="s">
        <v>180</v>
      </c>
    </row>
    <row r="694" spans="1:23">
      <c r="A694" s="93" t="str">
        <f>TEXT(tblProjectlist[[#This Row],[project-no]],"0")</f>
        <v>99912716</v>
      </c>
      <c r="H694" s="91">
        <v>9991</v>
      </c>
      <c r="I694" s="91">
        <v>27</v>
      </c>
      <c r="J694" s="91">
        <v>1</v>
      </c>
      <c r="K694" s="91" t="s">
        <v>1516</v>
      </c>
      <c r="L694" s="91" t="s">
        <v>2175</v>
      </c>
      <c r="M694" s="91" t="s">
        <v>0</v>
      </c>
      <c r="Q694" s="91"/>
      <c r="S694" s="91" t="s">
        <v>143</v>
      </c>
      <c r="T694" s="91" t="s">
        <v>3248</v>
      </c>
      <c r="V694" s="91" t="s">
        <v>168</v>
      </c>
      <c r="W694" s="91" t="s">
        <v>180</v>
      </c>
    </row>
    <row r="695" spans="1:23">
      <c r="A695" s="93" t="str">
        <f>TEXT(tblProjectlist[[#This Row],[project-no]],"0")</f>
        <v>0</v>
      </c>
      <c r="H695" s="91">
        <v>2221</v>
      </c>
      <c r="I695" s="91">
        <v>3</v>
      </c>
      <c r="J695" s="91">
        <v>2</v>
      </c>
      <c r="K695" s="91"/>
      <c r="L695" s="91" t="s">
        <v>64</v>
      </c>
      <c r="M695" s="91" t="s">
        <v>4</v>
      </c>
      <c r="Q695" s="91"/>
      <c r="S695" s="91" t="s">
        <v>143</v>
      </c>
      <c r="T695" s="91" t="s">
        <v>4719</v>
      </c>
      <c r="V695" s="91" t="s">
        <v>155</v>
      </c>
      <c r="W695" s="91" t="s">
        <v>180</v>
      </c>
    </row>
    <row r="696" spans="1:23">
      <c r="A696" s="93" t="str">
        <f>TEXT(tblProjectlist[[#This Row],[project-no]],"0")</f>
        <v>99913111</v>
      </c>
      <c r="H696" s="91">
        <v>9991</v>
      </c>
      <c r="I696" s="91">
        <v>31</v>
      </c>
      <c r="J696" s="91">
        <v>1</v>
      </c>
      <c r="K696" s="91" t="s">
        <v>1520</v>
      </c>
      <c r="L696" s="91" t="s">
        <v>2175</v>
      </c>
      <c r="M696" s="91" t="s">
        <v>0</v>
      </c>
      <c r="Q696" s="91"/>
      <c r="S696" s="91" t="s">
        <v>143</v>
      </c>
      <c r="T696" s="91" t="s">
        <v>3250</v>
      </c>
      <c r="V696" s="91" t="s">
        <v>169</v>
      </c>
      <c r="W696" s="91" t="s">
        <v>180</v>
      </c>
    </row>
    <row r="697" spans="1:23">
      <c r="A697" s="93" t="str">
        <f>TEXT(tblProjectlist[[#This Row],[project-no]],"0")</f>
        <v>99931911</v>
      </c>
      <c r="H697" s="91">
        <v>9991</v>
      </c>
      <c r="I697" s="91">
        <v>27</v>
      </c>
      <c r="J697" s="91">
        <v>1</v>
      </c>
      <c r="K697" s="91" t="s">
        <v>1578</v>
      </c>
      <c r="L697" s="91" t="s">
        <v>2175</v>
      </c>
      <c r="M697" s="91" t="s">
        <v>0</v>
      </c>
      <c r="Q697" s="91"/>
      <c r="S697" s="91" t="s">
        <v>143</v>
      </c>
      <c r="T697" s="91" t="s">
        <v>3248</v>
      </c>
      <c r="V697" s="91" t="s">
        <v>169</v>
      </c>
      <c r="W697" s="91" t="s">
        <v>180</v>
      </c>
    </row>
    <row r="698" spans="1:23">
      <c r="A698" s="93" t="str">
        <f>TEXT(tblProjectlist[[#This Row],[project-no]],"0")</f>
        <v>99953416</v>
      </c>
      <c r="H698" s="91">
        <v>9995</v>
      </c>
      <c r="I698" s="91">
        <v>34</v>
      </c>
      <c r="J698" s="91">
        <v>1</v>
      </c>
      <c r="K698" s="91" t="s">
        <v>1647</v>
      </c>
      <c r="L698" s="91" t="s">
        <v>2175</v>
      </c>
      <c r="M698" s="91" t="s">
        <v>0</v>
      </c>
      <c r="Q698" s="91"/>
      <c r="S698" s="91" t="s">
        <v>143</v>
      </c>
      <c r="T698" s="91" t="s">
        <v>3293</v>
      </c>
      <c r="V698" s="91" t="s">
        <v>168</v>
      </c>
      <c r="W698" s="91" t="s">
        <v>180</v>
      </c>
    </row>
    <row r="699" spans="1:23">
      <c r="A699" s="93" t="str">
        <f>TEXT(tblProjectlist[[#This Row],[project-no]],"0")</f>
        <v>99957013</v>
      </c>
      <c r="H699" s="91">
        <v>9995</v>
      </c>
      <c r="I699" s="91">
        <v>70</v>
      </c>
      <c r="J699" s="91">
        <v>1</v>
      </c>
      <c r="K699" s="91" t="s">
        <v>1686</v>
      </c>
      <c r="L699" s="91" t="s">
        <v>2175</v>
      </c>
      <c r="M699" s="91" t="s">
        <v>0</v>
      </c>
      <c r="Q699" s="91"/>
      <c r="S699" s="91" t="s">
        <v>143</v>
      </c>
      <c r="T699" s="91" t="s">
        <v>3323</v>
      </c>
      <c r="V699" s="91" t="s">
        <v>167</v>
      </c>
      <c r="W699" s="91" t="s">
        <v>180</v>
      </c>
    </row>
    <row r="700" spans="1:23">
      <c r="A700" s="93" t="str">
        <f>TEXT(tblProjectlist[[#This Row],[project-no]],"0")</f>
        <v>29240342</v>
      </c>
      <c r="H700" s="91">
        <v>2924</v>
      </c>
      <c r="I700" s="91">
        <v>3</v>
      </c>
      <c r="J700" s="91">
        <v>4</v>
      </c>
      <c r="K700" s="91" t="s">
        <v>592</v>
      </c>
      <c r="L700" s="91" t="s">
        <v>58</v>
      </c>
      <c r="M700" s="91" t="s">
        <v>1</v>
      </c>
      <c r="Q700" s="91"/>
      <c r="S700" s="91" t="s">
        <v>143</v>
      </c>
      <c r="T700" s="91" t="s">
        <v>2508</v>
      </c>
      <c r="V700" s="91" t="s">
        <v>163</v>
      </c>
      <c r="W700" s="91" t="s">
        <v>180</v>
      </c>
    </row>
    <row r="701" spans="1:23">
      <c r="A701" s="93" t="str">
        <f>TEXT(tblProjectlist[[#This Row],[project-no]],"0")</f>
        <v>29240343</v>
      </c>
      <c r="H701" s="91">
        <v>2924</v>
      </c>
      <c r="I701" s="91">
        <v>3</v>
      </c>
      <c r="J701" s="91">
        <v>4</v>
      </c>
      <c r="K701" s="91" t="s">
        <v>593</v>
      </c>
      <c r="L701" s="91" t="s">
        <v>58</v>
      </c>
      <c r="M701" s="91" t="s">
        <v>1</v>
      </c>
      <c r="Q701" s="91"/>
      <c r="S701" s="91" t="s">
        <v>143</v>
      </c>
      <c r="T701" s="91" t="s">
        <v>2508</v>
      </c>
      <c r="V701" s="91" t="s">
        <v>164</v>
      </c>
      <c r="W701" s="91" t="s">
        <v>180</v>
      </c>
    </row>
    <row r="702" spans="1:23">
      <c r="A702" s="93" t="str">
        <f>TEXT(tblProjectlist[[#This Row],[project-no]],"0")</f>
        <v>29240344</v>
      </c>
      <c r="H702" s="91">
        <v>2924</v>
      </c>
      <c r="I702" s="91">
        <v>3</v>
      </c>
      <c r="J702" s="91">
        <v>4</v>
      </c>
      <c r="K702" s="91" t="s">
        <v>594</v>
      </c>
      <c r="L702" s="91" t="s">
        <v>58</v>
      </c>
      <c r="M702" s="91" t="s">
        <v>1</v>
      </c>
      <c r="Q702" s="91"/>
      <c r="S702" s="91" t="s">
        <v>143</v>
      </c>
      <c r="T702" s="91" t="s">
        <v>2508</v>
      </c>
      <c r="V702" s="91" t="s">
        <v>160</v>
      </c>
      <c r="W702" s="91" t="s">
        <v>180</v>
      </c>
    </row>
    <row r="703" spans="1:23">
      <c r="A703" s="93" t="str">
        <f>TEXT(tblProjectlist[[#This Row],[project-no]],"0")</f>
        <v>29240347</v>
      </c>
      <c r="H703" s="91">
        <v>2924</v>
      </c>
      <c r="I703" s="91">
        <v>3</v>
      </c>
      <c r="J703" s="91">
        <v>4</v>
      </c>
      <c r="K703" s="91" t="s">
        <v>595</v>
      </c>
      <c r="L703" s="91" t="s">
        <v>58</v>
      </c>
      <c r="M703" s="91" t="s">
        <v>1</v>
      </c>
      <c r="Q703" s="91"/>
      <c r="S703" s="91" t="s">
        <v>143</v>
      </c>
      <c r="T703" s="91" t="s">
        <v>2508</v>
      </c>
      <c r="V703" s="91" t="s">
        <v>162</v>
      </c>
      <c r="W703" s="91" t="s">
        <v>180</v>
      </c>
    </row>
    <row r="704" spans="1:23">
      <c r="A704" s="93" t="str">
        <f>TEXT(tblProjectlist[[#This Row],[project-no]],"0")</f>
        <v>29240349</v>
      </c>
      <c r="H704" s="91">
        <v>2924</v>
      </c>
      <c r="I704" s="91">
        <v>3</v>
      </c>
      <c r="J704" s="91">
        <v>4</v>
      </c>
      <c r="K704" s="91" t="s">
        <v>596</v>
      </c>
      <c r="L704" s="91" t="s">
        <v>58</v>
      </c>
      <c r="M704" s="91" t="s">
        <v>1</v>
      </c>
      <c r="Q704" s="91"/>
      <c r="S704" s="91" t="s">
        <v>143</v>
      </c>
      <c r="T704" s="91" t="s">
        <v>2508</v>
      </c>
      <c r="V704" s="91" t="s">
        <v>158</v>
      </c>
      <c r="W704" s="91" t="s">
        <v>180</v>
      </c>
    </row>
    <row r="705" spans="1:23">
      <c r="A705" s="93" t="str">
        <f>TEXT(tblProjectlist[[#This Row],[project-no]],"0")</f>
        <v>99882543</v>
      </c>
      <c r="H705" s="91">
        <v>2924</v>
      </c>
      <c r="I705" s="91">
        <v>3</v>
      </c>
      <c r="J705" s="91">
        <v>4</v>
      </c>
      <c r="K705" s="91" t="s">
        <v>1444</v>
      </c>
      <c r="L705" s="91" t="s">
        <v>58</v>
      </c>
      <c r="M705" s="91" t="s">
        <v>1</v>
      </c>
      <c r="Q705" s="91"/>
      <c r="S705" s="91" t="s">
        <v>143</v>
      </c>
      <c r="T705" s="91" t="s">
        <v>2508</v>
      </c>
      <c r="V705" s="91" t="s">
        <v>164</v>
      </c>
      <c r="W705" s="91" t="s">
        <v>180</v>
      </c>
    </row>
    <row r="706" spans="1:23">
      <c r="A706" s="93" t="str">
        <f>TEXT(tblProjectlist[[#This Row],[project-no]],"0")</f>
        <v>99882544</v>
      </c>
      <c r="H706" s="91">
        <v>2924</v>
      </c>
      <c r="I706" s="91">
        <v>3</v>
      </c>
      <c r="J706" s="91">
        <v>4</v>
      </c>
      <c r="K706" s="91" t="s">
        <v>1445</v>
      </c>
      <c r="L706" s="91" t="s">
        <v>58</v>
      </c>
      <c r="M706" s="91" t="s">
        <v>1</v>
      </c>
      <c r="Q706" s="91"/>
      <c r="S706" s="91" t="s">
        <v>143</v>
      </c>
      <c r="T706" s="91" t="s">
        <v>2508</v>
      </c>
      <c r="V706" s="91" t="s">
        <v>160</v>
      </c>
      <c r="W706" s="91" t="s">
        <v>180</v>
      </c>
    </row>
    <row r="707" spans="1:23">
      <c r="A707" s="93" t="str">
        <f>TEXT(tblProjectlist[[#This Row],[project-no]],"0")</f>
        <v>29240542</v>
      </c>
      <c r="H707" s="91">
        <v>2924</v>
      </c>
      <c r="I707" s="91">
        <v>5</v>
      </c>
      <c r="J707" s="91">
        <v>4</v>
      </c>
      <c r="K707" s="91" t="s">
        <v>597</v>
      </c>
      <c r="L707" s="91" t="s">
        <v>58</v>
      </c>
      <c r="M707" s="91" t="s">
        <v>1</v>
      </c>
      <c r="Q707" s="91"/>
      <c r="S707" s="91" t="s">
        <v>143</v>
      </c>
      <c r="T707" s="91" t="s">
        <v>2509</v>
      </c>
      <c r="V707" s="91" t="s">
        <v>163</v>
      </c>
      <c r="W707" s="91" t="s">
        <v>180</v>
      </c>
    </row>
    <row r="708" spans="1:23">
      <c r="A708" s="93" t="str">
        <f>TEXT(tblProjectlist[[#This Row],[project-no]],"0")</f>
        <v>29240644</v>
      </c>
      <c r="H708" s="91">
        <v>2924</v>
      </c>
      <c r="I708" s="91">
        <v>6</v>
      </c>
      <c r="J708" s="91">
        <v>4</v>
      </c>
      <c r="K708" s="91" t="s">
        <v>598</v>
      </c>
      <c r="L708" s="91" t="s">
        <v>58</v>
      </c>
      <c r="M708" s="91" t="s">
        <v>1</v>
      </c>
      <c r="Q708" s="91"/>
      <c r="S708" s="91" t="s">
        <v>143</v>
      </c>
      <c r="T708" s="91" t="s">
        <v>2510</v>
      </c>
      <c r="V708" s="91" t="s">
        <v>160</v>
      </c>
      <c r="W708" s="91" t="s">
        <v>180</v>
      </c>
    </row>
    <row r="709" spans="1:23">
      <c r="A709" s="93" t="str">
        <f>TEXT(tblProjectlist[[#This Row],[project-no]],"0")</f>
        <v>99916644</v>
      </c>
      <c r="H709" s="91">
        <v>2924</v>
      </c>
      <c r="I709" s="91">
        <v>6</v>
      </c>
      <c r="J709" s="91">
        <v>4</v>
      </c>
      <c r="K709" s="91" t="s">
        <v>1529</v>
      </c>
      <c r="L709" s="91" t="s">
        <v>58</v>
      </c>
      <c r="M709" s="91" t="s">
        <v>1</v>
      </c>
      <c r="Q709" s="91"/>
      <c r="S709" s="91" t="s">
        <v>143</v>
      </c>
      <c r="T709" s="91" t="s">
        <v>2510</v>
      </c>
      <c r="V709" s="91" t="s">
        <v>160</v>
      </c>
      <c r="W709" s="91" t="s">
        <v>180</v>
      </c>
    </row>
    <row r="710" spans="1:23">
      <c r="A710" s="93" t="str">
        <f>TEXT(tblProjectlist[[#This Row],[project-no]],"0")</f>
        <v>29240842</v>
      </c>
      <c r="H710" s="91">
        <v>2924</v>
      </c>
      <c r="I710" s="91">
        <v>8</v>
      </c>
      <c r="J710" s="91">
        <v>4</v>
      </c>
      <c r="K710" s="91" t="s">
        <v>599</v>
      </c>
      <c r="L710" s="91" t="s">
        <v>58</v>
      </c>
      <c r="M710" s="91" t="s">
        <v>1</v>
      </c>
      <c r="Q710" s="91"/>
      <c r="S710" s="91" t="s">
        <v>143</v>
      </c>
      <c r="T710" s="91" t="s">
        <v>2511</v>
      </c>
      <c r="V710" s="91" t="s">
        <v>163</v>
      </c>
      <c r="W710" s="91" t="s">
        <v>180</v>
      </c>
    </row>
    <row r="711" spans="1:23">
      <c r="A711" s="93" t="str">
        <f>TEXT(tblProjectlist[[#This Row],[project-no]],"0")</f>
        <v>29241241</v>
      </c>
      <c r="H711" s="91">
        <v>2924</v>
      </c>
      <c r="I711" s="91">
        <v>12</v>
      </c>
      <c r="J711" s="91">
        <v>4</v>
      </c>
      <c r="K711" s="91" t="s">
        <v>600</v>
      </c>
      <c r="L711" s="91" t="s">
        <v>58</v>
      </c>
      <c r="M711" s="91" t="s">
        <v>1</v>
      </c>
      <c r="Q711" s="91"/>
      <c r="S711" s="91" t="s">
        <v>143</v>
      </c>
      <c r="T711" s="91" t="s">
        <v>2512</v>
      </c>
      <c r="V711" s="91" t="s">
        <v>159</v>
      </c>
      <c r="W711" s="91" t="s">
        <v>180</v>
      </c>
    </row>
    <row r="712" spans="1:23">
      <c r="A712" s="93" t="str">
        <f>TEXT(tblProjectlist[[#This Row],[project-no]],"0")</f>
        <v>29241341</v>
      </c>
      <c r="H712" s="91">
        <v>2924</v>
      </c>
      <c r="I712" s="91">
        <v>13</v>
      </c>
      <c r="J712" s="91">
        <v>4</v>
      </c>
      <c r="K712" s="91" t="s">
        <v>601</v>
      </c>
      <c r="L712" s="91" t="s">
        <v>58</v>
      </c>
      <c r="M712" s="91" t="s">
        <v>1</v>
      </c>
      <c r="Q712" s="91"/>
      <c r="S712" s="91" t="s">
        <v>143</v>
      </c>
      <c r="T712" s="91" t="s">
        <v>2513</v>
      </c>
      <c r="V712" s="91" t="s">
        <v>159</v>
      </c>
      <c r="W712" s="91" t="s">
        <v>180</v>
      </c>
    </row>
    <row r="713" spans="1:23">
      <c r="A713" s="93" t="str">
        <f>TEXT(tblProjectlist[[#This Row],[project-no]],"0")</f>
        <v>29241441</v>
      </c>
      <c r="H713" s="91">
        <v>2924</v>
      </c>
      <c r="I713" s="91">
        <v>14</v>
      </c>
      <c r="J713" s="91">
        <v>4</v>
      </c>
      <c r="K713" s="91" t="s">
        <v>3603</v>
      </c>
      <c r="L713" s="91" t="s">
        <v>58</v>
      </c>
      <c r="M713" s="91" t="s">
        <v>1</v>
      </c>
      <c r="Q713" s="91"/>
      <c r="S713" s="91" t="s">
        <v>143</v>
      </c>
      <c r="T713" s="91" t="s">
        <v>3663</v>
      </c>
      <c r="V713" s="91" t="s">
        <v>159</v>
      </c>
      <c r="W713" s="91" t="s">
        <v>180</v>
      </c>
    </row>
    <row r="714" spans="1:23">
      <c r="A714" s="93" t="str">
        <f>TEXT(tblProjectlist[[#This Row],[project-no]],"0")</f>
        <v>29241841</v>
      </c>
      <c r="H714" s="91">
        <v>2924</v>
      </c>
      <c r="I714" s="91">
        <v>18</v>
      </c>
      <c r="J714" s="91">
        <v>4</v>
      </c>
      <c r="K714" s="91" t="s">
        <v>602</v>
      </c>
      <c r="L714" s="91" t="s">
        <v>58</v>
      </c>
      <c r="M714" s="91" t="s">
        <v>1</v>
      </c>
      <c r="Q714" s="91"/>
      <c r="S714" s="91" t="s">
        <v>143</v>
      </c>
      <c r="T714" s="91" t="s">
        <v>2514</v>
      </c>
      <c r="W714" s="91" t="s">
        <v>180</v>
      </c>
    </row>
    <row r="715" spans="1:23">
      <c r="A715" s="93" t="str">
        <f>TEXT(tblProjectlist[[#This Row],[project-no]],"0")</f>
        <v>29241843</v>
      </c>
      <c r="H715" s="91">
        <v>2924</v>
      </c>
      <c r="I715" s="91">
        <v>18</v>
      </c>
      <c r="J715" s="91">
        <v>4</v>
      </c>
      <c r="K715" s="91" t="s">
        <v>603</v>
      </c>
      <c r="L715" s="91" t="s">
        <v>58</v>
      </c>
      <c r="M715" s="91" t="s">
        <v>1</v>
      </c>
      <c r="Q715" s="91"/>
      <c r="S715" s="91" t="s">
        <v>143</v>
      </c>
      <c r="T715" s="91" t="s">
        <v>2514</v>
      </c>
      <c r="V715" s="91" t="s">
        <v>166</v>
      </c>
      <c r="W715" s="91" t="s">
        <v>180</v>
      </c>
    </row>
    <row r="716" spans="1:23">
      <c r="A716" s="93" t="str">
        <f>TEXT(tblProjectlist[[#This Row],[project-no]],"0")</f>
        <v>29241941</v>
      </c>
      <c r="H716" s="91">
        <v>2924</v>
      </c>
      <c r="I716" s="91">
        <v>19</v>
      </c>
      <c r="J716" s="91">
        <v>4</v>
      </c>
      <c r="K716" s="91" t="s">
        <v>604</v>
      </c>
      <c r="L716" s="91" t="s">
        <v>58</v>
      </c>
      <c r="M716" s="91" t="s">
        <v>1</v>
      </c>
      <c r="Q716" s="91"/>
      <c r="S716" s="91" t="s">
        <v>143</v>
      </c>
      <c r="T716" s="91" t="s">
        <v>2515</v>
      </c>
      <c r="W716" s="91" t="s">
        <v>180</v>
      </c>
    </row>
    <row r="717" spans="1:23">
      <c r="A717" s="93" t="str">
        <f>TEXT(tblProjectlist[[#This Row],[project-no]],"0")</f>
        <v>29242043</v>
      </c>
      <c r="H717" s="91">
        <v>2924</v>
      </c>
      <c r="I717" s="91">
        <v>20</v>
      </c>
      <c r="J717" s="91">
        <v>4</v>
      </c>
      <c r="K717" s="91" t="s">
        <v>605</v>
      </c>
      <c r="L717" s="91" t="s">
        <v>58</v>
      </c>
      <c r="M717" s="91" t="s">
        <v>1</v>
      </c>
      <c r="Q717" s="91"/>
      <c r="S717" s="91" t="s">
        <v>143</v>
      </c>
      <c r="T717" s="91" t="s">
        <v>2516</v>
      </c>
      <c r="V717" s="91" t="s">
        <v>164</v>
      </c>
      <c r="W717" s="91" t="s">
        <v>180</v>
      </c>
    </row>
    <row r="718" spans="1:23">
      <c r="A718" s="93" t="str">
        <f>TEXT(tblProjectlist[[#This Row],[project-no]],"0")</f>
        <v>29242143</v>
      </c>
      <c r="H718" s="91">
        <v>2924</v>
      </c>
      <c r="I718" s="91">
        <v>21</v>
      </c>
      <c r="J718" s="91">
        <v>4</v>
      </c>
      <c r="K718" s="91" t="s">
        <v>606</v>
      </c>
      <c r="L718" s="91" t="s">
        <v>58</v>
      </c>
      <c r="M718" s="91" t="s">
        <v>1</v>
      </c>
      <c r="Q718" s="91"/>
      <c r="S718" s="91" t="s">
        <v>143</v>
      </c>
      <c r="T718" s="91" t="s">
        <v>2517</v>
      </c>
      <c r="W718" s="91" t="s">
        <v>180</v>
      </c>
    </row>
    <row r="719" spans="1:23">
      <c r="A719" s="93" t="str">
        <f>TEXT(tblProjectlist[[#This Row],[project-no]],"0")</f>
        <v>29242243</v>
      </c>
      <c r="H719" s="91">
        <v>2924</v>
      </c>
      <c r="I719" s="91">
        <v>22</v>
      </c>
      <c r="J719" s="91">
        <v>4</v>
      </c>
      <c r="K719" s="91" t="s">
        <v>607</v>
      </c>
      <c r="L719" s="91" t="s">
        <v>58</v>
      </c>
      <c r="M719" s="91" t="s">
        <v>1</v>
      </c>
      <c r="Q719" s="91"/>
      <c r="S719" s="91" t="s">
        <v>143</v>
      </c>
      <c r="T719" s="91" t="s">
        <v>2518</v>
      </c>
      <c r="W719" s="91" t="s">
        <v>180</v>
      </c>
    </row>
    <row r="720" spans="1:23">
      <c r="A720" s="93" t="str">
        <f>TEXT(tblProjectlist[[#This Row],[project-no]],"0")</f>
        <v>29242328</v>
      </c>
      <c r="H720" s="91">
        <v>2924</v>
      </c>
      <c r="I720" s="91">
        <v>23</v>
      </c>
      <c r="J720" s="91">
        <v>2</v>
      </c>
      <c r="K720" s="91" t="s">
        <v>608</v>
      </c>
      <c r="L720" s="91" t="s">
        <v>2175</v>
      </c>
      <c r="M720" s="91" t="s">
        <v>4</v>
      </c>
      <c r="Q720" s="91"/>
      <c r="S720" s="91" t="s">
        <v>143</v>
      </c>
      <c r="T720" s="91" t="s">
        <v>2519</v>
      </c>
      <c r="V720" s="91" t="s">
        <v>155</v>
      </c>
      <c r="W720" s="91" t="s">
        <v>180</v>
      </c>
    </row>
    <row r="721" spans="1:23">
      <c r="A721" s="93" t="str">
        <f>TEXT(tblProjectlist[[#This Row],[project-no]],"0")</f>
        <v>29242428</v>
      </c>
      <c r="H721" s="91">
        <v>2924</v>
      </c>
      <c r="I721" s="91">
        <v>24</v>
      </c>
      <c r="J721" s="91">
        <v>2</v>
      </c>
      <c r="K721" s="91" t="s">
        <v>609</v>
      </c>
      <c r="L721" s="91" t="s">
        <v>2175</v>
      </c>
      <c r="M721" s="91" t="s">
        <v>4</v>
      </c>
      <c r="Q721" s="91"/>
      <c r="S721" s="91" t="s">
        <v>143</v>
      </c>
      <c r="T721" s="91" t="s">
        <v>2520</v>
      </c>
      <c r="V721" s="91" t="s">
        <v>155</v>
      </c>
      <c r="W721" s="91" t="s">
        <v>180</v>
      </c>
    </row>
    <row r="722" spans="1:23">
      <c r="A722" s="93" t="str">
        <f>TEXT(tblProjectlist[[#This Row],[project-no]],"0")</f>
        <v>29242541</v>
      </c>
      <c r="H722" s="91">
        <v>2924</v>
      </c>
      <c r="I722" s="91">
        <v>25</v>
      </c>
      <c r="J722" s="91">
        <v>4</v>
      </c>
      <c r="K722" s="91" t="s">
        <v>610</v>
      </c>
      <c r="L722" s="91" t="s">
        <v>58</v>
      </c>
      <c r="M722" s="91" t="s">
        <v>1</v>
      </c>
      <c r="Q722" s="91"/>
      <c r="S722" s="91" t="s">
        <v>143</v>
      </c>
      <c r="T722" s="91" t="s">
        <v>2521</v>
      </c>
      <c r="W722" s="91" t="s">
        <v>180</v>
      </c>
    </row>
    <row r="723" spans="1:23">
      <c r="A723" s="93" t="str">
        <f>TEXT(tblProjectlist[[#This Row],[project-no]],"0")</f>
        <v>0</v>
      </c>
      <c r="H723" s="91">
        <v>2924</v>
      </c>
      <c r="I723" s="91">
        <v>26</v>
      </c>
      <c r="J723" s="91">
        <v>4</v>
      </c>
      <c r="K723" s="91"/>
      <c r="L723" s="91" t="s">
        <v>58</v>
      </c>
      <c r="M723" s="91" t="s">
        <v>1</v>
      </c>
      <c r="Q723" s="91"/>
      <c r="S723" s="91" t="s">
        <v>143</v>
      </c>
      <c r="T723" s="91" t="s">
        <v>3664</v>
      </c>
      <c r="V723" s="91" t="s">
        <v>159</v>
      </c>
      <c r="W723" s="91" t="s">
        <v>180</v>
      </c>
    </row>
    <row r="724" spans="1:23">
      <c r="A724" s="93" t="str">
        <f>TEXT(tblProjectlist[[#This Row],[project-no]],"0")</f>
        <v>0</v>
      </c>
      <c r="H724" s="91">
        <v>2924</v>
      </c>
      <c r="I724" s="91">
        <v>27</v>
      </c>
      <c r="J724" s="91">
        <v>4</v>
      </c>
      <c r="K724" s="91"/>
      <c r="L724" s="91" t="s">
        <v>58</v>
      </c>
      <c r="M724" s="91" t="s">
        <v>1</v>
      </c>
      <c r="Q724" s="91"/>
      <c r="S724" s="91" t="s">
        <v>143</v>
      </c>
      <c r="T724" s="91" t="s">
        <v>3665</v>
      </c>
      <c r="W724" s="91" t="s">
        <v>180</v>
      </c>
    </row>
    <row r="725" spans="1:23">
      <c r="A725" s="93" t="str">
        <f>TEXT(tblProjectlist[[#This Row],[project-no]],"0")</f>
        <v>29242847</v>
      </c>
      <c r="H725" s="91">
        <v>2924</v>
      </c>
      <c r="I725" s="91">
        <v>28</v>
      </c>
      <c r="J725" s="91">
        <v>4</v>
      </c>
      <c r="K725" s="91">
        <v>29242847</v>
      </c>
      <c r="L725" s="91" t="s">
        <v>58</v>
      </c>
      <c r="M725" s="91" t="s">
        <v>1</v>
      </c>
      <c r="Q725" s="91"/>
      <c r="S725" s="91" t="s">
        <v>143</v>
      </c>
      <c r="T725" s="91" t="s">
        <v>3807</v>
      </c>
      <c r="V725" s="91" t="s">
        <v>162</v>
      </c>
      <c r="W725" s="91" t="s">
        <v>180</v>
      </c>
    </row>
    <row r="726" spans="1:23">
      <c r="A726" s="93" t="str">
        <f>TEXT(tblProjectlist[[#This Row],[project-no]],"0")</f>
        <v>0</v>
      </c>
      <c r="H726" s="91">
        <v>2924</v>
      </c>
      <c r="I726" s="91">
        <v>29</v>
      </c>
      <c r="J726" s="91">
        <v>4</v>
      </c>
      <c r="K726" s="91"/>
      <c r="L726" s="91" t="s">
        <v>58</v>
      </c>
      <c r="M726" s="91" t="s">
        <v>1</v>
      </c>
      <c r="Q726" s="91"/>
      <c r="S726" s="91" t="s">
        <v>143</v>
      </c>
      <c r="T726" s="91" t="s">
        <v>3849</v>
      </c>
      <c r="V726" s="91" t="s">
        <v>162</v>
      </c>
      <c r="W726" s="91" t="s">
        <v>180</v>
      </c>
    </row>
    <row r="727" spans="1:23">
      <c r="A727" s="93" t="str">
        <f>TEXT(tblProjectlist[[#This Row],[project-no]],"0")</f>
        <v>0</v>
      </c>
      <c r="H727" s="91">
        <v>2924</v>
      </c>
      <c r="I727" s="91">
        <v>30</v>
      </c>
      <c r="J727" s="91">
        <v>4</v>
      </c>
      <c r="K727" s="91"/>
      <c r="L727" s="91" t="s">
        <v>58</v>
      </c>
      <c r="M727" s="91" t="s">
        <v>1</v>
      </c>
      <c r="Q727" s="91"/>
      <c r="S727" s="91" t="s">
        <v>143</v>
      </c>
      <c r="T727" s="91" t="s">
        <v>4110</v>
      </c>
      <c r="V727" s="91" t="s">
        <v>162</v>
      </c>
      <c r="W727" s="91" t="s">
        <v>180</v>
      </c>
    </row>
    <row r="728" spans="1:23">
      <c r="A728" s="93" t="str">
        <f>TEXT(tblProjectlist[[#This Row],[project-no]],"0")</f>
        <v>0</v>
      </c>
      <c r="H728" s="91">
        <v>2924</v>
      </c>
      <c r="I728" s="91">
        <v>31</v>
      </c>
      <c r="J728" s="91">
        <v>4</v>
      </c>
      <c r="K728" s="91"/>
      <c r="L728" s="91" t="s">
        <v>58</v>
      </c>
      <c r="M728" s="91" t="s">
        <v>1</v>
      </c>
      <c r="Q728" s="91"/>
      <c r="S728" s="91" t="s">
        <v>143</v>
      </c>
      <c r="T728" s="91" t="s">
        <v>4111</v>
      </c>
      <c r="V728" s="91" t="s">
        <v>164</v>
      </c>
      <c r="W728" s="91" t="s">
        <v>180</v>
      </c>
    </row>
    <row r="729" spans="1:23">
      <c r="A729" s="93" t="str">
        <f>TEXT(tblProjectlist[[#This Row],[project-no]],"0")</f>
        <v>29243243</v>
      </c>
      <c r="H729" s="91">
        <v>2924</v>
      </c>
      <c r="I729" s="91">
        <v>32</v>
      </c>
      <c r="J729" s="91">
        <v>4</v>
      </c>
      <c r="K729" s="91">
        <v>29243243</v>
      </c>
      <c r="L729" s="91" t="s">
        <v>58</v>
      </c>
      <c r="M729" s="91" t="s">
        <v>1</v>
      </c>
      <c r="Q729" s="91"/>
      <c r="S729" s="91" t="s">
        <v>143</v>
      </c>
      <c r="T729" s="91" t="s">
        <v>4442</v>
      </c>
      <c r="V729" s="91" t="s">
        <v>164</v>
      </c>
      <c r="W729" s="91" t="s">
        <v>180</v>
      </c>
    </row>
    <row r="730" spans="1:23">
      <c r="A730" s="93" t="str">
        <f>TEXT(tblProjectlist[[#This Row],[project-no]],"0")</f>
        <v>0</v>
      </c>
      <c r="H730" s="91">
        <v>2924</v>
      </c>
      <c r="I730" s="91">
        <v>33</v>
      </c>
      <c r="J730" s="91">
        <v>4</v>
      </c>
      <c r="K730" s="91"/>
      <c r="L730" s="91" t="s">
        <v>58</v>
      </c>
      <c r="M730" s="91" t="s">
        <v>1</v>
      </c>
      <c r="Q730" s="91"/>
      <c r="S730" s="91" t="s">
        <v>143</v>
      </c>
      <c r="T730" s="91" t="s">
        <v>4167</v>
      </c>
      <c r="V730" s="91" t="s">
        <v>162</v>
      </c>
      <c r="W730" s="91" t="s">
        <v>180</v>
      </c>
    </row>
    <row r="731" spans="1:23">
      <c r="A731" s="93" t="str">
        <f>TEXT(tblProjectlist[[#This Row],[project-no]],"0")</f>
        <v>0</v>
      </c>
      <c r="H731" s="91">
        <v>2924</v>
      </c>
      <c r="I731" s="91">
        <v>34</v>
      </c>
      <c r="J731" s="91">
        <v>4</v>
      </c>
      <c r="K731" s="91"/>
      <c r="L731" s="91" t="s">
        <v>58</v>
      </c>
      <c r="M731" s="91" t="s">
        <v>1</v>
      </c>
      <c r="Q731" s="91"/>
      <c r="S731" s="91" t="s">
        <v>143</v>
      </c>
      <c r="T731" s="91" t="s">
        <v>4189</v>
      </c>
      <c r="V731" s="91" t="s">
        <v>164</v>
      </c>
      <c r="W731" s="91" t="s">
        <v>180</v>
      </c>
    </row>
    <row r="732" spans="1:23">
      <c r="A732" s="93" t="str">
        <f>TEXT(tblProjectlist[[#This Row],[project-no]],"0")</f>
        <v>0</v>
      </c>
      <c r="H732" s="91">
        <v>2924</v>
      </c>
      <c r="I732" s="91">
        <v>35</v>
      </c>
      <c r="J732" s="91">
        <v>2</v>
      </c>
      <c r="K732" s="91"/>
      <c r="L732" s="91" t="s">
        <v>2175</v>
      </c>
      <c r="M732" s="91" t="s">
        <v>4</v>
      </c>
      <c r="Q732" s="91"/>
      <c r="S732" s="91" t="s">
        <v>143</v>
      </c>
      <c r="T732" s="91" t="s">
        <v>4317</v>
      </c>
      <c r="V732" s="91" t="s">
        <v>155</v>
      </c>
      <c r="W732" s="91" t="s">
        <v>180</v>
      </c>
    </row>
    <row r="733" spans="1:23">
      <c r="A733" s="93" t="str">
        <f>TEXT(tblProjectlist[[#This Row],[project-no]],"0")</f>
        <v>0</v>
      </c>
      <c r="H733" s="91">
        <v>2924</v>
      </c>
      <c r="I733" s="91">
        <v>35</v>
      </c>
      <c r="J733" s="91">
        <v>4</v>
      </c>
      <c r="K733" s="91"/>
      <c r="L733" s="91" t="s">
        <v>58</v>
      </c>
      <c r="M733" s="91" t="s">
        <v>1</v>
      </c>
      <c r="Q733" s="91"/>
      <c r="S733" s="91" t="s">
        <v>143</v>
      </c>
      <c r="T733" s="91" t="s">
        <v>4188</v>
      </c>
      <c r="V733" s="91" t="s">
        <v>159</v>
      </c>
      <c r="W733" s="91" t="s">
        <v>180</v>
      </c>
    </row>
    <row r="734" spans="1:23">
      <c r="A734" s="93" t="str">
        <f>TEXT(tblProjectlist[[#This Row],[project-no]],"0")</f>
        <v>0</v>
      </c>
      <c r="H734" s="91">
        <v>2924</v>
      </c>
      <c r="I734" s="91">
        <v>36</v>
      </c>
      <c r="J734" s="91">
        <v>4</v>
      </c>
      <c r="K734" s="91"/>
      <c r="L734" s="91" t="s">
        <v>58</v>
      </c>
      <c r="M734" s="91" t="s">
        <v>1</v>
      </c>
      <c r="Q734" s="91"/>
      <c r="S734" s="91" t="s">
        <v>143</v>
      </c>
      <c r="T734" s="91" t="s">
        <v>4558</v>
      </c>
      <c r="V734" s="91" t="s">
        <v>162</v>
      </c>
      <c r="W734" s="91" t="s">
        <v>180</v>
      </c>
    </row>
    <row r="735" spans="1:23">
      <c r="A735" s="93" t="str">
        <f>TEXT(tblProjectlist[[#This Row],[project-no]],"0")</f>
        <v>0</v>
      </c>
      <c r="H735" s="91">
        <v>2924</v>
      </c>
      <c r="I735" s="91">
        <v>37</v>
      </c>
      <c r="J735" s="91">
        <v>4</v>
      </c>
      <c r="K735" s="91"/>
      <c r="L735" s="91" t="s">
        <v>58</v>
      </c>
      <c r="M735" s="91" t="s">
        <v>1</v>
      </c>
      <c r="Q735" s="91"/>
      <c r="S735" s="91" t="s">
        <v>143</v>
      </c>
      <c r="T735" s="91" t="s">
        <v>4667</v>
      </c>
      <c r="V735" s="91" t="s">
        <v>162</v>
      </c>
      <c r="W735" s="91" t="s">
        <v>180</v>
      </c>
    </row>
    <row r="736" spans="1:23">
      <c r="A736" s="93" t="str">
        <f>TEXT(tblProjectlist[[#This Row],[project-no]],"0")</f>
        <v>99632726</v>
      </c>
      <c r="H736" s="91">
        <v>9963</v>
      </c>
      <c r="I736" s="91">
        <v>27</v>
      </c>
      <c r="J736" s="91">
        <v>2</v>
      </c>
      <c r="K736" s="91" t="s">
        <v>1328</v>
      </c>
      <c r="L736" s="91" t="s">
        <v>197</v>
      </c>
      <c r="M736" s="91" t="s">
        <v>4</v>
      </c>
      <c r="Q736" s="91"/>
      <c r="S736" s="91" t="s">
        <v>143</v>
      </c>
      <c r="T736" s="91" t="s">
        <v>3165</v>
      </c>
      <c r="V736" s="91" t="s">
        <v>155</v>
      </c>
      <c r="W736" s="91" t="s">
        <v>180</v>
      </c>
    </row>
    <row r="737" spans="1:23">
      <c r="A737" s="93" t="str">
        <f>TEXT(tblProjectlist[[#This Row],[project-no]],"0")</f>
        <v>99632813</v>
      </c>
      <c r="H737" s="91">
        <v>9963</v>
      </c>
      <c r="I737" s="91">
        <v>28</v>
      </c>
      <c r="J737" s="91">
        <v>1</v>
      </c>
      <c r="K737" s="91" t="s">
        <v>1329</v>
      </c>
      <c r="L737" s="91" t="s">
        <v>2175</v>
      </c>
      <c r="M737" s="91" t="s">
        <v>0</v>
      </c>
      <c r="Q737" s="91"/>
      <c r="S737" s="91" t="s">
        <v>143</v>
      </c>
      <c r="T737" s="91" t="s">
        <v>3166</v>
      </c>
      <c r="V737" s="91" t="s">
        <v>167</v>
      </c>
      <c r="W737" s="91" t="s">
        <v>180</v>
      </c>
    </row>
    <row r="738" spans="1:23">
      <c r="A738" s="93" t="str">
        <f>TEXT(tblProjectlist[[#This Row],[project-no]],"0")</f>
        <v>99632913</v>
      </c>
      <c r="H738" s="91">
        <v>9963</v>
      </c>
      <c r="I738" s="91">
        <v>29</v>
      </c>
      <c r="J738" s="91">
        <v>1</v>
      </c>
      <c r="K738" s="91" t="s">
        <v>1330</v>
      </c>
      <c r="L738" s="91" t="s">
        <v>2175</v>
      </c>
      <c r="M738" s="91" t="s">
        <v>0</v>
      </c>
      <c r="Q738" s="91"/>
      <c r="S738" s="91" t="s">
        <v>143</v>
      </c>
      <c r="T738" s="91" t="s">
        <v>3167</v>
      </c>
      <c r="V738" s="91" t="s">
        <v>167</v>
      </c>
      <c r="W738" s="91" t="s">
        <v>180</v>
      </c>
    </row>
    <row r="739" spans="1:23">
      <c r="A739" s="93" t="str">
        <f>TEXT(tblProjectlist[[#This Row],[project-no]],"0")</f>
        <v>99633013</v>
      </c>
      <c r="H739" s="91">
        <v>9963</v>
      </c>
      <c r="I739" s="91">
        <v>30</v>
      </c>
      <c r="J739" s="91">
        <v>1</v>
      </c>
      <c r="K739" s="91" t="s">
        <v>1331</v>
      </c>
      <c r="L739" s="91" t="s">
        <v>2175</v>
      </c>
      <c r="M739" s="91" t="s">
        <v>0</v>
      </c>
      <c r="Q739" s="91"/>
      <c r="S739" s="91" t="s">
        <v>143</v>
      </c>
      <c r="T739" s="91" t="s">
        <v>3168</v>
      </c>
      <c r="V739" s="91" t="s">
        <v>167</v>
      </c>
      <c r="W739" s="91" t="s">
        <v>180</v>
      </c>
    </row>
    <row r="740" spans="1:23">
      <c r="A740" s="93" t="str">
        <f>TEXT(tblProjectlist[[#This Row],[project-no]],"0")</f>
        <v>99882511</v>
      </c>
      <c r="H740" s="91">
        <v>9988</v>
      </c>
      <c r="I740" s="91">
        <v>25</v>
      </c>
      <c r="J740" s="91">
        <v>1</v>
      </c>
      <c r="K740" s="91" t="s">
        <v>1443</v>
      </c>
      <c r="L740" s="91" t="s">
        <v>2175</v>
      </c>
      <c r="M740" s="91" t="s">
        <v>0</v>
      </c>
      <c r="Q740" s="91"/>
      <c r="S740" s="91" t="s">
        <v>143</v>
      </c>
      <c r="T740" s="91" t="s">
        <v>3218</v>
      </c>
      <c r="V740" s="91" t="s">
        <v>169</v>
      </c>
      <c r="W740" s="91" t="s">
        <v>180</v>
      </c>
    </row>
    <row r="741" spans="1:23">
      <c r="A741" s="93" t="str">
        <f>TEXT(tblProjectlist[[#This Row],[project-no]],"0")</f>
        <v>99934211</v>
      </c>
      <c r="H741" s="91">
        <v>9988</v>
      </c>
      <c r="I741" s="91">
        <v>25</v>
      </c>
      <c r="J741" s="91">
        <v>1</v>
      </c>
      <c r="K741" s="91" t="s">
        <v>1585</v>
      </c>
      <c r="L741" s="91" t="s">
        <v>2175</v>
      </c>
      <c r="M741" s="91" t="s">
        <v>0</v>
      </c>
      <c r="Q741" s="91"/>
      <c r="S741" s="91" t="s">
        <v>143</v>
      </c>
      <c r="T741" s="91" t="s">
        <v>3218</v>
      </c>
      <c r="V741" s="91" t="s">
        <v>169</v>
      </c>
      <c r="W741" s="91" t="s">
        <v>180</v>
      </c>
    </row>
    <row r="742" spans="1:23">
      <c r="A742" s="93" t="str">
        <f>TEXT(tblProjectlist[[#This Row],[project-no]],"0")</f>
        <v>99893511</v>
      </c>
      <c r="H742" s="91">
        <v>9989</v>
      </c>
      <c r="I742" s="91">
        <v>35</v>
      </c>
      <c r="J742" s="91">
        <v>1</v>
      </c>
      <c r="K742" s="91" t="s">
        <v>1460</v>
      </c>
      <c r="L742" s="91" t="s">
        <v>2175</v>
      </c>
      <c r="M742" s="91" t="s">
        <v>0</v>
      </c>
      <c r="Q742" s="91"/>
      <c r="S742" s="91" t="s">
        <v>143</v>
      </c>
      <c r="T742" s="91" t="s">
        <v>3226</v>
      </c>
      <c r="V742" s="91" t="s">
        <v>169</v>
      </c>
      <c r="W742" s="91" t="s">
        <v>180</v>
      </c>
    </row>
    <row r="743" spans="1:23">
      <c r="A743" s="93" t="str">
        <f>TEXT(tblProjectlist[[#This Row],[project-no]],"0")</f>
        <v>99953216</v>
      </c>
      <c r="H743" s="91">
        <v>9995</v>
      </c>
      <c r="I743" s="91">
        <v>32</v>
      </c>
      <c r="J743" s="91">
        <v>1</v>
      </c>
      <c r="K743" s="91" t="s">
        <v>1645</v>
      </c>
      <c r="L743" s="91" t="s">
        <v>2175</v>
      </c>
      <c r="M743" s="91" t="s">
        <v>0</v>
      </c>
      <c r="Q743" s="91"/>
      <c r="S743" s="91" t="s">
        <v>143</v>
      </c>
      <c r="T743" s="91" t="s">
        <v>3291</v>
      </c>
      <c r="V743" s="91" t="s">
        <v>168</v>
      </c>
      <c r="W743" s="91" t="s">
        <v>180</v>
      </c>
    </row>
    <row r="744" spans="1:23">
      <c r="A744" s="93" t="str">
        <f>TEXT(tblProjectlist[[#This Row],[project-no]],"0")</f>
        <v>99954613</v>
      </c>
      <c r="H744" s="91">
        <v>9995</v>
      </c>
      <c r="I744" s="91">
        <v>46</v>
      </c>
      <c r="J744" s="91">
        <v>1</v>
      </c>
      <c r="K744" s="91" t="s">
        <v>1658</v>
      </c>
      <c r="L744" s="91" t="s">
        <v>2175</v>
      </c>
      <c r="M744" s="91" t="s">
        <v>0</v>
      </c>
      <c r="Q744" s="91"/>
      <c r="S744" s="91" t="s">
        <v>143</v>
      </c>
      <c r="T744" s="91" t="s">
        <v>3302</v>
      </c>
      <c r="V744" s="91" t="s">
        <v>167</v>
      </c>
      <c r="W744" s="91" t="s">
        <v>180</v>
      </c>
    </row>
    <row r="745" spans="1:23">
      <c r="A745" s="93" t="str">
        <f>TEXT(tblProjectlist[[#This Row],[project-no]],"0")</f>
        <v>99955713</v>
      </c>
      <c r="H745" s="91">
        <v>9995</v>
      </c>
      <c r="I745" s="91">
        <v>57</v>
      </c>
      <c r="J745" s="91">
        <v>1</v>
      </c>
      <c r="K745" s="91" t="s">
        <v>1671</v>
      </c>
      <c r="L745" s="91" t="s">
        <v>2175</v>
      </c>
      <c r="M745" s="91" t="s">
        <v>0</v>
      </c>
      <c r="Q745" s="91"/>
      <c r="S745" s="91" t="s">
        <v>143</v>
      </c>
      <c r="T745" s="91" t="s">
        <v>3310</v>
      </c>
      <c r="V745" s="91" t="s">
        <v>167</v>
      </c>
      <c r="W745" s="91" t="s">
        <v>180</v>
      </c>
    </row>
    <row r="746" spans="1:23">
      <c r="A746" s="93" t="str">
        <f>TEXT(tblProjectlist[[#This Row],[project-no]],"0")</f>
        <v>99957113</v>
      </c>
      <c r="H746" s="91">
        <v>9995</v>
      </c>
      <c r="I746" s="91">
        <v>71</v>
      </c>
      <c r="J746" s="91">
        <v>1</v>
      </c>
      <c r="K746" s="91" t="s">
        <v>1687</v>
      </c>
      <c r="L746" s="91" t="s">
        <v>2175</v>
      </c>
      <c r="M746" s="91" t="s">
        <v>0</v>
      </c>
      <c r="Q746" s="91"/>
      <c r="S746" s="91" t="s">
        <v>143</v>
      </c>
      <c r="T746" s="91" t="s">
        <v>3324</v>
      </c>
      <c r="V746" s="91" t="s">
        <v>167</v>
      </c>
      <c r="W746" s="91" t="s">
        <v>180</v>
      </c>
    </row>
    <row r="747" spans="1:23">
      <c r="A747" s="93" t="str">
        <f>TEXT(tblProjectlist[[#This Row],[project-no]],"0")</f>
        <v>0</v>
      </c>
      <c r="H747" s="91">
        <v>3183</v>
      </c>
      <c r="I747" s="91">
        <v>2</v>
      </c>
      <c r="J747" s="91">
        <v>2</v>
      </c>
      <c r="K747" s="91"/>
      <c r="L747" s="91" t="s">
        <v>2175</v>
      </c>
      <c r="M747" s="91" t="s">
        <v>4</v>
      </c>
      <c r="Q747" s="91"/>
      <c r="S747" s="91" t="s">
        <v>143</v>
      </c>
      <c r="T747" s="91" t="s">
        <v>4632</v>
      </c>
      <c r="V747" s="91" t="s">
        <v>155</v>
      </c>
      <c r="W747" s="91" t="s">
        <v>180</v>
      </c>
    </row>
    <row r="748" spans="1:23">
      <c r="A748" s="93" t="str">
        <f>TEXT(tblProjectlist[[#This Row],[project-no]],"0")</f>
        <v>78020511</v>
      </c>
      <c r="H748" s="91">
        <v>7802</v>
      </c>
      <c r="I748" s="91">
        <v>5</v>
      </c>
      <c r="J748" s="91">
        <v>1</v>
      </c>
      <c r="K748" s="91" t="s">
        <v>1101</v>
      </c>
      <c r="L748" s="91" t="s">
        <v>2175</v>
      </c>
      <c r="M748" s="91" t="s">
        <v>0</v>
      </c>
      <c r="Q748" s="91"/>
      <c r="S748" s="91" t="s">
        <v>143</v>
      </c>
      <c r="T748" s="91" t="s">
        <v>2967</v>
      </c>
      <c r="V748" s="91" t="s">
        <v>169</v>
      </c>
      <c r="W748" s="91" t="s">
        <v>180</v>
      </c>
    </row>
    <row r="749" spans="1:23">
      <c r="A749" s="93" t="str">
        <f>TEXT(tblProjectlist[[#This Row],[project-no]],"0")</f>
        <v>99933111</v>
      </c>
      <c r="H749" s="91">
        <v>7802</v>
      </c>
      <c r="I749" s="91">
        <v>5</v>
      </c>
      <c r="J749" s="91">
        <v>1</v>
      </c>
      <c r="K749" s="91" t="s">
        <v>1584</v>
      </c>
      <c r="L749" s="91" t="s">
        <v>2175</v>
      </c>
      <c r="M749" s="91" t="s">
        <v>0</v>
      </c>
      <c r="Q749" s="91"/>
      <c r="S749" s="91" t="s">
        <v>143</v>
      </c>
      <c r="T749" s="91" t="s">
        <v>2967</v>
      </c>
      <c r="V749" s="91" t="s">
        <v>169</v>
      </c>
      <c r="W749" s="91" t="s">
        <v>180</v>
      </c>
    </row>
    <row r="750" spans="1:23">
      <c r="A750" s="93" t="str">
        <f>TEXT(tblProjectlist[[#This Row],[project-no]],"0")</f>
        <v>79040216</v>
      </c>
      <c r="H750" s="91">
        <v>7904</v>
      </c>
      <c r="I750" s="91">
        <v>2</v>
      </c>
      <c r="J750" s="91">
        <v>1</v>
      </c>
      <c r="K750" s="91" t="s">
        <v>1141</v>
      </c>
      <c r="L750" s="91" t="s">
        <v>62</v>
      </c>
      <c r="M750" s="91" t="s">
        <v>0</v>
      </c>
      <c r="Q750" s="91"/>
      <c r="S750" s="91" t="s">
        <v>143</v>
      </c>
      <c r="T750" s="91" t="s">
        <v>3005</v>
      </c>
      <c r="V750" s="91" t="s">
        <v>168</v>
      </c>
      <c r="W750" s="91" t="s">
        <v>180</v>
      </c>
    </row>
    <row r="751" spans="1:23">
      <c r="A751" s="93" t="str">
        <f>TEXT(tblProjectlist[[#This Row],[project-no]],"0")</f>
        <v>99866016</v>
      </c>
      <c r="H751" s="91">
        <v>7904</v>
      </c>
      <c r="I751" s="91">
        <v>2</v>
      </c>
      <c r="J751" s="91">
        <v>1</v>
      </c>
      <c r="K751" s="91" t="s">
        <v>1393</v>
      </c>
      <c r="L751" s="91" t="s">
        <v>62</v>
      </c>
      <c r="M751" s="91" t="s">
        <v>0</v>
      </c>
      <c r="Q751" s="91"/>
      <c r="S751" s="91" t="s">
        <v>143</v>
      </c>
      <c r="T751" s="91" t="s">
        <v>3005</v>
      </c>
      <c r="V751" s="91" t="s">
        <v>168</v>
      </c>
      <c r="W751" s="91" t="s">
        <v>180</v>
      </c>
    </row>
    <row r="752" spans="1:23">
      <c r="A752" s="93" t="str">
        <f>TEXT(tblProjectlist[[#This Row],[project-no]],"0")</f>
        <v>61010228</v>
      </c>
      <c r="H752" s="91">
        <v>6101</v>
      </c>
      <c r="I752" s="91">
        <v>2</v>
      </c>
      <c r="J752" s="91">
        <v>2</v>
      </c>
      <c r="K752" s="91" t="s">
        <v>834</v>
      </c>
      <c r="L752" s="91" t="s">
        <v>62</v>
      </c>
      <c r="M752" s="91" t="s">
        <v>4</v>
      </c>
      <c r="Q752" s="91"/>
      <c r="S752" s="91" t="s">
        <v>143</v>
      </c>
      <c r="T752" s="91" t="s">
        <v>2717</v>
      </c>
      <c r="W752" s="91" t="s">
        <v>180</v>
      </c>
    </row>
    <row r="753" spans="1:23">
      <c r="A753" s="93" t="str">
        <f>TEXT(tblProjectlist[[#This Row],[project-no]],"0")</f>
        <v>0</v>
      </c>
      <c r="H753" s="91">
        <v>6304</v>
      </c>
      <c r="I753" s="91">
        <v>2</v>
      </c>
      <c r="J753" s="91">
        <v>2</v>
      </c>
      <c r="K753" s="91"/>
      <c r="L753" s="91" t="s">
        <v>2175</v>
      </c>
      <c r="M753" s="91" t="s">
        <v>4</v>
      </c>
      <c r="Q753" s="91"/>
      <c r="S753" s="91" t="s">
        <v>143</v>
      </c>
      <c r="T753" s="91" t="s">
        <v>3932</v>
      </c>
      <c r="V753" s="91" t="s">
        <v>155</v>
      </c>
      <c r="W753" s="91" t="s">
        <v>180</v>
      </c>
    </row>
    <row r="754" spans="1:23">
      <c r="A754" s="93" t="str">
        <f>TEXT(tblProjectlist[[#This Row],[project-no]],"0")</f>
        <v>0</v>
      </c>
      <c r="H754" s="91">
        <v>7688</v>
      </c>
      <c r="I754" s="91">
        <v>2</v>
      </c>
      <c r="J754" s="91">
        <v>2</v>
      </c>
      <c r="K754" s="91"/>
      <c r="L754" s="91" t="s">
        <v>2175</v>
      </c>
      <c r="M754" s="91" t="s">
        <v>4</v>
      </c>
      <c r="Q754" s="91"/>
      <c r="S754" s="91" t="s">
        <v>143</v>
      </c>
      <c r="T754" s="91" t="s">
        <v>4390</v>
      </c>
      <c r="V754" s="91" t="s">
        <v>155</v>
      </c>
      <c r="W754" s="91" t="s">
        <v>180</v>
      </c>
    </row>
    <row r="755" spans="1:23">
      <c r="A755" s="93" t="str">
        <f>TEXT(tblProjectlist[[#This Row],[project-no]],"0")</f>
        <v>0</v>
      </c>
      <c r="H755" s="91">
        <v>2110</v>
      </c>
      <c r="I755" s="91">
        <v>2</v>
      </c>
      <c r="J755" s="91">
        <v>2</v>
      </c>
      <c r="K755" s="91"/>
      <c r="L755" s="91" t="s">
        <v>2175</v>
      </c>
      <c r="M755" s="91" t="s">
        <v>4</v>
      </c>
      <c r="Q755" s="91"/>
      <c r="S755" s="91" t="s">
        <v>143</v>
      </c>
      <c r="T755" s="91" t="s">
        <v>4326</v>
      </c>
      <c r="V755" s="91" t="s">
        <v>155</v>
      </c>
      <c r="W755" s="91" t="s">
        <v>180</v>
      </c>
    </row>
    <row r="756" spans="1:23">
      <c r="A756" s="93" t="str">
        <f>TEXT(tblProjectlist[[#This Row],[project-no]],"0")</f>
        <v>0</v>
      </c>
      <c r="H756" s="91">
        <v>3144</v>
      </c>
      <c r="I756" s="91">
        <v>3</v>
      </c>
      <c r="J756" s="91">
        <v>2</v>
      </c>
      <c r="K756" s="91"/>
      <c r="L756" s="91" t="s">
        <v>2175</v>
      </c>
      <c r="M756" s="91" t="s">
        <v>4</v>
      </c>
      <c r="Q756" s="91"/>
      <c r="S756" s="91" t="s">
        <v>143</v>
      </c>
      <c r="T756" s="91" t="s">
        <v>3919</v>
      </c>
      <c r="V756" s="91" t="s">
        <v>155</v>
      </c>
      <c r="W756" s="91" t="s">
        <v>180</v>
      </c>
    </row>
    <row r="757" spans="1:23">
      <c r="A757" s="93" t="str">
        <f>TEXT(tblProjectlist[[#This Row],[project-no]],"0")</f>
        <v>31440228</v>
      </c>
      <c r="H757" s="91">
        <v>3144</v>
      </c>
      <c r="I757" s="91">
        <v>2</v>
      </c>
      <c r="J757" s="91">
        <v>2</v>
      </c>
      <c r="K757" s="91" t="s">
        <v>742</v>
      </c>
      <c r="L757" s="91" t="s">
        <v>2175</v>
      </c>
      <c r="M757" s="91" t="s">
        <v>4</v>
      </c>
      <c r="Q757" s="91"/>
      <c r="S757" s="91" t="s">
        <v>143</v>
      </c>
      <c r="T757" s="91" t="s">
        <v>2640</v>
      </c>
      <c r="V757" s="91" t="s">
        <v>155</v>
      </c>
      <c r="W757" s="91" t="s">
        <v>180</v>
      </c>
    </row>
    <row r="758" spans="1:23">
      <c r="A758" s="93" t="str">
        <f>TEXT(tblProjectlist[[#This Row],[project-no]],"0")</f>
        <v>0</v>
      </c>
      <c r="H758" s="91">
        <v>3144</v>
      </c>
      <c r="I758" s="91">
        <v>4</v>
      </c>
      <c r="J758" s="91">
        <v>2</v>
      </c>
      <c r="K758" s="91"/>
      <c r="L758" s="91" t="s">
        <v>2175</v>
      </c>
      <c r="M758" s="91" t="s">
        <v>4</v>
      </c>
      <c r="Q758" s="91"/>
      <c r="S758" s="91" t="s">
        <v>143</v>
      </c>
      <c r="T758" s="91" t="s">
        <v>3920</v>
      </c>
      <c r="V758" s="91" t="s">
        <v>155</v>
      </c>
      <c r="W758" s="91" t="s">
        <v>180</v>
      </c>
    </row>
    <row r="759" spans="1:23">
      <c r="A759" s="93" t="str">
        <f>TEXT(tblProjectlist[[#This Row],[project-no]],"0")</f>
        <v>99961128</v>
      </c>
      <c r="H759" s="91">
        <v>8045</v>
      </c>
      <c r="I759" s="91">
        <v>5</v>
      </c>
      <c r="J759" s="91">
        <v>2</v>
      </c>
      <c r="K759" s="91" t="s">
        <v>1732</v>
      </c>
      <c r="L759" s="91" t="s">
        <v>2175</v>
      </c>
      <c r="M759" s="91" t="s">
        <v>4</v>
      </c>
      <c r="Q759" s="91"/>
      <c r="S759" s="91" t="s">
        <v>143</v>
      </c>
      <c r="T759" s="91" t="s">
        <v>3042</v>
      </c>
      <c r="V759" s="91" t="s">
        <v>155</v>
      </c>
      <c r="W759" s="91" t="s">
        <v>180</v>
      </c>
    </row>
    <row r="760" spans="1:23">
      <c r="A760" s="93" t="str">
        <f>TEXT(tblProjectlist[[#This Row],[project-no]],"0")</f>
        <v>0</v>
      </c>
      <c r="H760" s="91">
        <v>8045</v>
      </c>
      <c r="I760" s="91">
        <v>6</v>
      </c>
      <c r="J760" s="91">
        <v>2</v>
      </c>
      <c r="K760" s="91"/>
      <c r="L760" s="91" t="s">
        <v>2175</v>
      </c>
      <c r="M760" s="91" t="s">
        <v>4</v>
      </c>
      <c r="Q760" s="91"/>
      <c r="S760" s="91" t="s">
        <v>143</v>
      </c>
      <c r="T760" s="91" t="s">
        <v>3877</v>
      </c>
      <c r="V760" s="91" t="s">
        <v>156</v>
      </c>
      <c r="W760" s="91" t="s">
        <v>180</v>
      </c>
    </row>
    <row r="761" spans="1:23">
      <c r="A761" s="93" t="str">
        <f>TEXT(tblProjectlist[[#This Row],[project-no]],"0")</f>
        <v>80450528</v>
      </c>
      <c r="H761" s="91">
        <v>8045</v>
      </c>
      <c r="I761" s="91">
        <v>5</v>
      </c>
      <c r="J761" s="91">
        <v>2</v>
      </c>
      <c r="K761" s="91" t="s">
        <v>1186</v>
      </c>
      <c r="L761" s="91" t="s">
        <v>2175</v>
      </c>
      <c r="M761" s="91" t="s">
        <v>4</v>
      </c>
      <c r="Q761" s="91"/>
      <c r="S761" s="91" t="s">
        <v>143</v>
      </c>
      <c r="T761" s="91" t="s">
        <v>3042</v>
      </c>
      <c r="V761" s="91" t="s">
        <v>155</v>
      </c>
      <c r="W761" s="91" t="s">
        <v>180</v>
      </c>
    </row>
    <row r="762" spans="1:23">
      <c r="A762" s="93" t="str">
        <f>TEXT(tblProjectlist[[#This Row],[project-no]],"0")</f>
        <v>0</v>
      </c>
      <c r="H762" s="91">
        <v>8045</v>
      </c>
      <c r="I762" s="91">
        <v>7</v>
      </c>
      <c r="J762" s="91">
        <v>2</v>
      </c>
      <c r="K762" s="91"/>
      <c r="L762" s="91" t="s">
        <v>2175</v>
      </c>
      <c r="M762" s="91" t="s">
        <v>4</v>
      </c>
      <c r="Q762" s="91"/>
      <c r="S762" s="91" t="s">
        <v>143</v>
      </c>
      <c r="T762" s="91" t="s">
        <v>4052</v>
      </c>
      <c r="V762" s="91" t="s">
        <v>155</v>
      </c>
      <c r="W762" s="91" t="s">
        <v>180</v>
      </c>
    </row>
    <row r="763" spans="1:23">
      <c r="A763" s="93" t="str">
        <f>TEXT(tblProjectlist[[#This Row],[project-no]],"0")</f>
        <v>0</v>
      </c>
      <c r="H763" s="91">
        <v>8045</v>
      </c>
      <c r="I763" s="91">
        <v>8</v>
      </c>
      <c r="J763" s="91">
        <v>2</v>
      </c>
      <c r="K763" s="91"/>
      <c r="L763" s="91" t="s">
        <v>2175</v>
      </c>
      <c r="M763" s="91" t="s">
        <v>4</v>
      </c>
      <c r="Q763" s="91"/>
      <c r="S763" s="91" t="s">
        <v>143</v>
      </c>
      <c r="T763" s="91" t="s">
        <v>4675</v>
      </c>
      <c r="V763" s="91" t="s">
        <v>155</v>
      </c>
      <c r="W763" s="91" t="s">
        <v>180</v>
      </c>
    </row>
    <row r="764" spans="1:23">
      <c r="A764" s="93" t="str">
        <f>TEXT(tblProjectlist[[#This Row],[project-no]],"0")</f>
        <v>78020911</v>
      </c>
      <c r="H764" s="91">
        <v>7802</v>
      </c>
      <c r="I764" s="91">
        <v>9</v>
      </c>
      <c r="J764" s="91">
        <v>1</v>
      </c>
      <c r="K764" s="91" t="s">
        <v>1102</v>
      </c>
      <c r="L764" s="91" t="s">
        <v>2175</v>
      </c>
      <c r="M764" s="91" t="s">
        <v>0</v>
      </c>
      <c r="Q764" s="91"/>
      <c r="S764" s="91" t="s">
        <v>143</v>
      </c>
      <c r="T764" s="91" t="s">
        <v>2968</v>
      </c>
      <c r="V764" s="91" t="s">
        <v>169</v>
      </c>
      <c r="W764" s="91" t="s">
        <v>180</v>
      </c>
    </row>
    <row r="765" spans="1:23">
      <c r="A765" s="93" t="str">
        <f>TEXT(tblProjectlist[[#This Row],[project-no]],"0")</f>
        <v>99940411</v>
      </c>
      <c r="H765" s="91">
        <v>7802</v>
      </c>
      <c r="I765" s="91">
        <v>9</v>
      </c>
      <c r="J765" s="91">
        <v>1</v>
      </c>
      <c r="K765" s="91" t="s">
        <v>1590</v>
      </c>
      <c r="L765" s="91" t="s">
        <v>2175</v>
      </c>
      <c r="M765" s="91" t="s">
        <v>0</v>
      </c>
      <c r="Q765" s="91"/>
      <c r="S765" s="91" t="s">
        <v>143</v>
      </c>
      <c r="T765" s="91" t="s">
        <v>2968</v>
      </c>
      <c r="V765" s="91" t="s">
        <v>169</v>
      </c>
      <c r="W765" s="91" t="s">
        <v>180</v>
      </c>
    </row>
    <row r="766" spans="1:23">
      <c r="A766" s="93" t="str">
        <f>TEXT(tblProjectlist[[#This Row],[project-no]],"0")</f>
        <v>0</v>
      </c>
      <c r="H766" s="91">
        <v>8911</v>
      </c>
      <c r="I766" s="91">
        <v>17</v>
      </c>
      <c r="J766" s="91">
        <v>2</v>
      </c>
      <c r="K766" s="91"/>
      <c r="L766" s="91" t="s">
        <v>2175</v>
      </c>
      <c r="M766" s="91" t="s">
        <v>4</v>
      </c>
      <c r="Q766" s="91"/>
      <c r="S766" s="91" t="s">
        <v>143</v>
      </c>
      <c r="T766" s="91" t="s">
        <v>3823</v>
      </c>
      <c r="V766" s="91" t="s">
        <v>155</v>
      </c>
      <c r="W766" s="91" t="s">
        <v>180</v>
      </c>
    </row>
    <row r="767" spans="1:23">
      <c r="A767" s="93" t="str">
        <f>TEXT(tblProjectlist[[#This Row],[project-no]],"0")</f>
        <v>0</v>
      </c>
      <c r="H767" s="91">
        <v>8911</v>
      </c>
      <c r="I767" s="91">
        <v>20</v>
      </c>
      <c r="J767" s="91">
        <v>2</v>
      </c>
      <c r="K767" s="91"/>
      <c r="L767" s="91" t="s">
        <v>2175</v>
      </c>
      <c r="M767" s="91" t="s">
        <v>4</v>
      </c>
      <c r="Q767" s="91"/>
      <c r="S767" s="91" t="s">
        <v>143</v>
      </c>
      <c r="T767" s="91" t="s">
        <v>4246</v>
      </c>
      <c r="V767" s="91" t="s">
        <v>155</v>
      </c>
      <c r="W767" s="91" t="s">
        <v>180</v>
      </c>
    </row>
    <row r="768" spans="1:23">
      <c r="A768" s="93" t="str">
        <f>TEXT(tblProjectlist[[#This Row],[project-no]],"0")</f>
        <v>0</v>
      </c>
      <c r="H768" s="91">
        <v>8911</v>
      </c>
      <c r="I768" s="91">
        <v>22</v>
      </c>
      <c r="J768" s="91">
        <v>2</v>
      </c>
      <c r="K768" s="91"/>
      <c r="L768" s="91" t="s">
        <v>2175</v>
      </c>
      <c r="M768" s="91" t="s">
        <v>4</v>
      </c>
      <c r="Q768" s="91"/>
      <c r="S768" s="91" t="s">
        <v>143</v>
      </c>
      <c r="T768" s="91" t="s">
        <v>4318</v>
      </c>
      <c r="V768" s="91" t="s">
        <v>155</v>
      </c>
      <c r="W768" s="91" t="s">
        <v>180</v>
      </c>
    </row>
    <row r="769" spans="1:23">
      <c r="A769" s="93" t="str">
        <f>TEXT(tblProjectlist[[#This Row],[project-no]],"0")</f>
        <v>0</v>
      </c>
      <c r="H769" s="91">
        <v>8911</v>
      </c>
      <c r="I769" s="91">
        <v>23</v>
      </c>
      <c r="J769" s="91">
        <v>2</v>
      </c>
      <c r="K769" s="91"/>
      <c r="L769" s="91" t="s">
        <v>64</v>
      </c>
      <c r="M769" s="91" t="s">
        <v>4</v>
      </c>
      <c r="Q769" s="91"/>
      <c r="S769" s="91" t="s">
        <v>143</v>
      </c>
      <c r="T769" s="91" t="s">
        <v>4659</v>
      </c>
      <c r="V769" s="91" t="s">
        <v>155</v>
      </c>
      <c r="W769" s="91" t="s">
        <v>180</v>
      </c>
    </row>
    <row r="770" spans="1:23">
      <c r="A770" s="93" t="str">
        <f>TEXT(tblProjectlist[[#This Row],[project-no]],"0")</f>
        <v>89110628</v>
      </c>
      <c r="H770" s="91">
        <v>8911</v>
      </c>
      <c r="I770" s="91">
        <v>6</v>
      </c>
      <c r="J770" s="91">
        <v>2</v>
      </c>
      <c r="K770" s="91" t="s">
        <v>1271</v>
      </c>
      <c r="L770" s="91" t="s">
        <v>62</v>
      </c>
      <c r="M770" s="91" t="s">
        <v>4</v>
      </c>
      <c r="Q770" s="91"/>
      <c r="S770" s="91" t="s">
        <v>143</v>
      </c>
      <c r="T770" s="91" t="s">
        <v>3122</v>
      </c>
      <c r="V770" s="91" t="s">
        <v>155</v>
      </c>
      <c r="W770" s="91" t="s">
        <v>180</v>
      </c>
    </row>
    <row r="771" spans="1:23">
      <c r="A771" s="93" t="str">
        <f>TEXT(tblProjectlist[[#This Row],[project-no]],"0")</f>
        <v>89110711</v>
      </c>
      <c r="H771" s="91">
        <v>8911</v>
      </c>
      <c r="I771" s="91">
        <v>7</v>
      </c>
      <c r="J771" s="91">
        <v>1</v>
      </c>
      <c r="K771" s="91" t="s">
        <v>1272</v>
      </c>
      <c r="L771" s="91" t="s">
        <v>2175</v>
      </c>
      <c r="M771" s="91" t="s">
        <v>0</v>
      </c>
      <c r="Q771" s="91"/>
      <c r="S771" s="91" t="s">
        <v>143</v>
      </c>
      <c r="T771" s="91" t="s">
        <v>3123</v>
      </c>
      <c r="V771" s="91" t="s">
        <v>169</v>
      </c>
      <c r="W771" s="91" t="s">
        <v>180</v>
      </c>
    </row>
    <row r="772" spans="1:23">
      <c r="A772" s="93" t="str">
        <f>TEXT(tblProjectlist[[#This Row],[project-no]],"0")</f>
        <v>89110926</v>
      </c>
      <c r="H772" s="91">
        <v>8911</v>
      </c>
      <c r="I772" s="91">
        <v>9</v>
      </c>
      <c r="J772" s="91">
        <v>2</v>
      </c>
      <c r="K772" s="91" t="s">
        <v>1273</v>
      </c>
      <c r="L772" s="91" t="s">
        <v>2175</v>
      </c>
      <c r="M772" s="91" t="s">
        <v>4</v>
      </c>
      <c r="Q772" s="91"/>
      <c r="S772" s="91" t="s">
        <v>143</v>
      </c>
      <c r="T772" s="91" t="s">
        <v>3124</v>
      </c>
      <c r="V772" s="91" t="s">
        <v>155</v>
      </c>
      <c r="W772" s="91" t="s">
        <v>180</v>
      </c>
    </row>
    <row r="773" spans="1:23">
      <c r="A773" s="93" t="str">
        <f>TEXT(tblProjectlist[[#This Row],[project-no]],"0")</f>
        <v>89111026</v>
      </c>
      <c r="H773" s="91">
        <v>8911</v>
      </c>
      <c r="I773" s="91">
        <v>10</v>
      </c>
      <c r="J773" s="91">
        <v>2</v>
      </c>
      <c r="K773" s="91" t="s">
        <v>1274</v>
      </c>
      <c r="L773" s="91" t="s">
        <v>2175</v>
      </c>
      <c r="M773" s="91" t="s">
        <v>4</v>
      </c>
      <c r="Q773" s="91"/>
      <c r="S773" s="91" t="s">
        <v>143</v>
      </c>
      <c r="T773" s="91" t="s">
        <v>3125</v>
      </c>
      <c r="V773" s="91" t="s">
        <v>155</v>
      </c>
      <c r="W773" s="91" t="s">
        <v>180</v>
      </c>
    </row>
    <row r="774" spans="1:23">
      <c r="A774" s="93" t="str">
        <f>TEXT(tblProjectlist[[#This Row],[project-no]],"0")</f>
        <v>89111128</v>
      </c>
      <c r="H774" s="91">
        <v>8911</v>
      </c>
      <c r="I774" s="91">
        <v>11</v>
      </c>
      <c r="J774" s="91">
        <v>2</v>
      </c>
      <c r="K774" s="91" t="s">
        <v>1275</v>
      </c>
      <c r="L774" s="91" t="s">
        <v>62</v>
      </c>
      <c r="M774" s="91" t="s">
        <v>4</v>
      </c>
      <c r="Q774" s="91"/>
      <c r="S774" s="91" t="s">
        <v>143</v>
      </c>
      <c r="T774" s="91" t="s">
        <v>3126</v>
      </c>
      <c r="W774" s="91" t="s">
        <v>180</v>
      </c>
    </row>
    <row r="775" spans="1:23">
      <c r="A775" s="93" t="str">
        <f>TEXT(tblProjectlist[[#This Row],[project-no]],"0")</f>
        <v>89111228</v>
      </c>
      <c r="H775" s="91">
        <v>8911</v>
      </c>
      <c r="I775" s="91">
        <v>12</v>
      </c>
      <c r="J775" s="91">
        <v>2</v>
      </c>
      <c r="K775" s="91" t="s">
        <v>1276</v>
      </c>
      <c r="L775" s="91" t="s">
        <v>2175</v>
      </c>
      <c r="M775" s="91" t="s">
        <v>4</v>
      </c>
      <c r="Q775" s="91"/>
      <c r="S775" s="91" t="s">
        <v>143</v>
      </c>
      <c r="T775" s="91" t="s">
        <v>3127</v>
      </c>
      <c r="V775" s="91" t="s">
        <v>155</v>
      </c>
      <c r="W775" s="91" t="s">
        <v>180</v>
      </c>
    </row>
    <row r="776" spans="1:23">
      <c r="A776" s="93" t="str">
        <f>TEXT(tblProjectlist[[#This Row],[project-no]],"0")</f>
        <v>89111328</v>
      </c>
      <c r="H776" s="91">
        <v>8911</v>
      </c>
      <c r="I776" s="91">
        <v>13</v>
      </c>
      <c r="J776" s="91">
        <v>2</v>
      </c>
      <c r="K776" s="91" t="s">
        <v>1277</v>
      </c>
      <c r="L776" s="91" t="s">
        <v>62</v>
      </c>
      <c r="M776" s="91" t="s">
        <v>4</v>
      </c>
      <c r="Q776" s="91"/>
      <c r="S776" s="91" t="s">
        <v>143</v>
      </c>
      <c r="T776" s="91" t="s">
        <v>3128</v>
      </c>
      <c r="W776" s="91" t="s">
        <v>180</v>
      </c>
    </row>
    <row r="777" spans="1:23">
      <c r="A777" s="93" t="str">
        <f>TEXT(tblProjectlist[[#This Row],[project-no]],"0")</f>
        <v>89111411</v>
      </c>
      <c r="H777" s="91">
        <v>8911</v>
      </c>
      <c r="I777" s="91">
        <v>14</v>
      </c>
      <c r="J777" s="91">
        <v>1</v>
      </c>
      <c r="K777" s="91" t="s">
        <v>1278</v>
      </c>
      <c r="L777" s="91" t="s">
        <v>2175</v>
      </c>
      <c r="M777" s="91" t="s">
        <v>0</v>
      </c>
      <c r="Q777" s="91"/>
      <c r="S777" s="91" t="s">
        <v>143</v>
      </c>
      <c r="T777" s="91" t="s">
        <v>3129</v>
      </c>
      <c r="V777" s="91" t="s">
        <v>169</v>
      </c>
      <c r="W777" s="91" t="s">
        <v>180</v>
      </c>
    </row>
    <row r="778" spans="1:23">
      <c r="A778" s="93" t="str">
        <f>TEXT(tblProjectlist[[#This Row],[project-no]],"0")</f>
        <v>89111528</v>
      </c>
      <c r="H778" s="91">
        <v>8911</v>
      </c>
      <c r="I778" s="91">
        <v>15</v>
      </c>
      <c r="J778" s="91">
        <v>2</v>
      </c>
      <c r="K778" s="91" t="s">
        <v>1279</v>
      </c>
      <c r="L778" s="91" t="s">
        <v>2175</v>
      </c>
      <c r="M778" s="91" t="s">
        <v>4</v>
      </c>
      <c r="Q778" s="91"/>
      <c r="S778" s="91" t="s">
        <v>143</v>
      </c>
      <c r="T778" s="91" t="s">
        <v>3130</v>
      </c>
      <c r="V778" s="91" t="s">
        <v>155</v>
      </c>
      <c r="W778" s="91" t="s">
        <v>180</v>
      </c>
    </row>
    <row r="779" spans="1:23">
      <c r="A779" s="93" t="str">
        <f>TEXT(tblProjectlist[[#This Row],[project-no]],"0")</f>
        <v>0</v>
      </c>
      <c r="H779" s="91">
        <v>8911</v>
      </c>
      <c r="I779" s="91">
        <v>16</v>
      </c>
      <c r="J779" s="91">
        <v>1</v>
      </c>
      <c r="K779" s="91"/>
      <c r="L779" s="91" t="s">
        <v>2175</v>
      </c>
      <c r="M779" s="91" t="s">
        <v>0</v>
      </c>
      <c r="Q779" s="91"/>
      <c r="S779" s="91" t="s">
        <v>143</v>
      </c>
      <c r="T779" s="91" t="s">
        <v>3714</v>
      </c>
      <c r="V779" s="91" t="s">
        <v>169</v>
      </c>
      <c r="W779" s="91" t="s">
        <v>180</v>
      </c>
    </row>
    <row r="780" spans="1:23">
      <c r="A780" s="93" t="str">
        <f>TEXT(tblProjectlist[[#This Row],[project-no]],"0")</f>
        <v>0</v>
      </c>
      <c r="H780" s="91">
        <v>8911</v>
      </c>
      <c r="I780" s="91">
        <v>16</v>
      </c>
      <c r="J780" s="91">
        <v>1</v>
      </c>
      <c r="K780" s="91"/>
      <c r="L780" s="91" t="s">
        <v>2175</v>
      </c>
      <c r="M780" s="91" t="s">
        <v>0</v>
      </c>
      <c r="Q780" s="91"/>
      <c r="S780" s="91" t="s">
        <v>143</v>
      </c>
      <c r="T780" s="91" t="s">
        <v>3714</v>
      </c>
      <c r="V780" s="91" t="s">
        <v>168</v>
      </c>
      <c r="W780" s="91" t="s">
        <v>180</v>
      </c>
    </row>
    <row r="781" spans="1:23">
      <c r="A781" s="93" t="str">
        <f>TEXT(tblProjectlist[[#This Row],[project-no]],"0")</f>
        <v>0</v>
      </c>
      <c r="H781" s="91">
        <v>8911</v>
      </c>
      <c r="I781" s="91">
        <v>18</v>
      </c>
      <c r="J781" s="91">
        <v>2</v>
      </c>
      <c r="K781" s="91"/>
      <c r="L781" s="91" t="s">
        <v>2175</v>
      </c>
      <c r="M781" s="91" t="s">
        <v>4</v>
      </c>
      <c r="Q781" s="91"/>
      <c r="S781" s="91" t="s">
        <v>143</v>
      </c>
      <c r="T781" s="91" t="s">
        <v>3955</v>
      </c>
      <c r="V781" s="91" t="s">
        <v>155</v>
      </c>
      <c r="W781" s="91" t="s">
        <v>180</v>
      </c>
    </row>
    <row r="782" spans="1:23">
      <c r="A782" s="93" t="str">
        <f>TEXT(tblProjectlist[[#This Row],[project-no]],"0")</f>
        <v>0</v>
      </c>
      <c r="H782" s="91">
        <v>8911</v>
      </c>
      <c r="I782" s="91">
        <v>19</v>
      </c>
      <c r="J782" s="91">
        <v>2</v>
      </c>
      <c r="K782" s="91"/>
      <c r="L782" s="91" t="s">
        <v>2175</v>
      </c>
      <c r="M782" s="91" t="s">
        <v>4</v>
      </c>
      <c r="Q782" s="91"/>
      <c r="S782" s="91" t="s">
        <v>143</v>
      </c>
      <c r="T782" s="91" t="s">
        <v>3974</v>
      </c>
      <c r="V782" s="91" t="s">
        <v>155</v>
      </c>
      <c r="W782" s="91" t="s">
        <v>180</v>
      </c>
    </row>
    <row r="783" spans="1:23">
      <c r="A783" s="93" t="str">
        <f>TEXT(tblProjectlist[[#This Row],[project-no]],"0")</f>
        <v>0</v>
      </c>
      <c r="H783" s="91">
        <v>8911</v>
      </c>
      <c r="I783" s="91">
        <v>21</v>
      </c>
      <c r="J783" s="91">
        <v>2</v>
      </c>
      <c r="K783" s="91"/>
      <c r="L783" s="91" t="s">
        <v>62</v>
      </c>
      <c r="M783" s="91" t="s">
        <v>4</v>
      </c>
      <c r="Q783" s="91"/>
      <c r="S783" s="91" t="s">
        <v>143</v>
      </c>
      <c r="T783" s="91" t="s">
        <v>4157</v>
      </c>
      <c r="V783" s="91" t="s">
        <v>155</v>
      </c>
      <c r="W783" s="91" t="s">
        <v>180</v>
      </c>
    </row>
    <row r="784" spans="1:23">
      <c r="A784" s="93" t="str">
        <f>TEXT(tblProjectlist[[#This Row],[project-no]],"0")</f>
        <v>0</v>
      </c>
      <c r="H784" s="91">
        <v>8911</v>
      </c>
      <c r="I784" s="91">
        <v>21</v>
      </c>
      <c r="J784" s="91">
        <v>2</v>
      </c>
      <c r="K784" s="91"/>
      <c r="L784" s="91" t="s">
        <v>2175</v>
      </c>
      <c r="M784" s="91" t="s">
        <v>4</v>
      </c>
      <c r="Q784" s="91"/>
      <c r="S784" s="91" t="s">
        <v>143</v>
      </c>
      <c r="T784" s="91" t="s">
        <v>4157</v>
      </c>
      <c r="V784" s="91" t="s">
        <v>155</v>
      </c>
      <c r="W784" s="91" t="s">
        <v>180</v>
      </c>
    </row>
    <row r="785" spans="1:23">
      <c r="A785" s="93" t="str">
        <f>TEXT(tblProjectlist[[#This Row],[project-no]],"0")</f>
        <v>99865928</v>
      </c>
      <c r="H785" s="91">
        <v>8911</v>
      </c>
      <c r="I785" s="91">
        <v>6</v>
      </c>
      <c r="J785" s="91">
        <v>2</v>
      </c>
      <c r="K785" s="91" t="s">
        <v>1392</v>
      </c>
      <c r="L785" s="91" t="s">
        <v>62</v>
      </c>
      <c r="M785" s="91" t="s">
        <v>4</v>
      </c>
      <c r="Q785" s="91"/>
      <c r="S785" s="91" t="s">
        <v>143</v>
      </c>
      <c r="T785" s="91" t="s">
        <v>3122</v>
      </c>
      <c r="V785" s="91" t="s">
        <v>155</v>
      </c>
      <c r="W785" s="91" t="s">
        <v>180</v>
      </c>
    </row>
    <row r="786" spans="1:23">
      <c r="A786" s="93" t="str">
        <f>TEXT(tblProjectlist[[#This Row],[project-no]],"0")</f>
        <v>99965228</v>
      </c>
      <c r="H786" s="91">
        <v>8911</v>
      </c>
      <c r="I786" s="91">
        <v>10</v>
      </c>
      <c r="J786" s="91">
        <v>2</v>
      </c>
      <c r="K786" s="91" t="s">
        <v>1770</v>
      </c>
      <c r="L786" s="91" t="s">
        <v>2175</v>
      </c>
      <c r="M786" s="91" t="s">
        <v>4</v>
      </c>
      <c r="Q786" s="91"/>
      <c r="S786" s="91" t="s">
        <v>143</v>
      </c>
      <c r="T786" s="91" t="s">
        <v>3125</v>
      </c>
      <c r="W786" s="91" t="s">
        <v>180</v>
      </c>
    </row>
    <row r="787" spans="1:23">
      <c r="A787" s="93" t="str">
        <f>TEXT(tblProjectlist[[#This Row],[project-no]],"0")</f>
        <v>89120228</v>
      </c>
      <c r="H787" s="91">
        <v>8912</v>
      </c>
      <c r="I787" s="91">
        <v>2</v>
      </c>
      <c r="J787" s="91">
        <v>2</v>
      </c>
      <c r="K787" s="91" t="s">
        <v>1280</v>
      </c>
      <c r="L787" s="91" t="s">
        <v>197</v>
      </c>
      <c r="M787" s="91" t="s">
        <v>4</v>
      </c>
      <c r="Q787" s="91"/>
      <c r="S787" s="91" t="s">
        <v>143</v>
      </c>
      <c r="T787" s="91" t="s">
        <v>3131</v>
      </c>
      <c r="V787" s="91" t="s">
        <v>155</v>
      </c>
      <c r="W787" s="91" t="s">
        <v>180</v>
      </c>
    </row>
    <row r="788" spans="1:23">
      <c r="A788" s="93" t="str">
        <f>TEXT(tblProjectlist[[#This Row],[project-no]],"0")</f>
        <v>99865816</v>
      </c>
      <c r="H788" s="91">
        <v>9986</v>
      </c>
      <c r="I788" s="91">
        <v>58</v>
      </c>
      <c r="J788" s="91">
        <v>1</v>
      </c>
      <c r="K788" s="91" t="s">
        <v>1391</v>
      </c>
      <c r="L788" s="91" t="s">
        <v>2175</v>
      </c>
      <c r="M788" s="91" t="s">
        <v>0</v>
      </c>
      <c r="Q788" s="91"/>
      <c r="S788" s="91" t="s">
        <v>143</v>
      </c>
      <c r="T788" s="91" t="s">
        <v>3210</v>
      </c>
      <c r="V788" s="91" t="s">
        <v>168</v>
      </c>
      <c r="W788" s="91" t="s">
        <v>180</v>
      </c>
    </row>
    <row r="789" spans="1:23">
      <c r="A789" s="93" t="str">
        <f>TEXT(tblProjectlist[[#This Row],[project-no]],"0")</f>
        <v>0</v>
      </c>
      <c r="H789" s="91">
        <v>7802</v>
      </c>
      <c r="I789" s="91">
        <v>53</v>
      </c>
      <c r="J789" s="91">
        <v>2</v>
      </c>
      <c r="K789" s="91"/>
      <c r="L789" s="91" t="s">
        <v>2175</v>
      </c>
      <c r="M789" s="91" t="s">
        <v>4</v>
      </c>
      <c r="Q789" s="91"/>
      <c r="S789" s="91" t="s">
        <v>143</v>
      </c>
      <c r="T789" s="91" t="s">
        <v>3948</v>
      </c>
      <c r="V789" s="91" t="s">
        <v>156</v>
      </c>
      <c r="W789" s="91" t="s">
        <v>180</v>
      </c>
    </row>
    <row r="790" spans="1:23">
      <c r="A790" s="93" t="str">
        <f>TEXT(tblProjectlist[[#This Row],[project-no]],"0")</f>
        <v>78023128</v>
      </c>
      <c r="H790" s="91">
        <v>7802</v>
      </c>
      <c r="I790" s="91">
        <v>31</v>
      </c>
      <c r="J790" s="91">
        <v>2</v>
      </c>
      <c r="K790" s="91" t="s">
        <v>1111</v>
      </c>
      <c r="L790" s="91" t="s">
        <v>2175</v>
      </c>
      <c r="M790" s="91" t="s">
        <v>4</v>
      </c>
      <c r="Q790" s="91"/>
      <c r="S790" s="91" t="s">
        <v>143</v>
      </c>
      <c r="T790" s="91" t="s">
        <v>2977</v>
      </c>
      <c r="V790" s="91" t="s">
        <v>155</v>
      </c>
      <c r="W790" s="91" t="s">
        <v>180</v>
      </c>
    </row>
    <row r="791" spans="1:23">
      <c r="A791" s="93" t="str">
        <f>TEXT(tblProjectlist[[#This Row],[project-no]],"0")</f>
        <v>78023628</v>
      </c>
      <c r="H791" s="91">
        <v>7802</v>
      </c>
      <c r="I791" s="91">
        <v>36</v>
      </c>
      <c r="J791" s="91">
        <v>2</v>
      </c>
      <c r="K791" s="91" t="s">
        <v>1116</v>
      </c>
      <c r="L791" s="91" t="s">
        <v>2175</v>
      </c>
      <c r="M791" s="91" t="s">
        <v>4</v>
      </c>
      <c r="Q791" s="91"/>
      <c r="S791" s="91" t="s">
        <v>143</v>
      </c>
      <c r="T791" s="91" t="s">
        <v>2982</v>
      </c>
      <c r="V791" s="91" t="s">
        <v>155</v>
      </c>
      <c r="W791" s="91" t="s">
        <v>180</v>
      </c>
    </row>
    <row r="792" spans="1:23">
      <c r="A792" s="93" t="str">
        <f>TEXT(tblProjectlist[[#This Row],[project-no]],"0")</f>
        <v>0</v>
      </c>
      <c r="H792" s="91">
        <v>7802</v>
      </c>
      <c r="I792" s="91">
        <v>56</v>
      </c>
      <c r="J792" s="91">
        <v>2</v>
      </c>
      <c r="K792" s="91"/>
      <c r="L792" s="91" t="s">
        <v>2175</v>
      </c>
      <c r="M792" s="91" t="s">
        <v>4</v>
      </c>
      <c r="Q792" s="91"/>
      <c r="S792" s="91" t="s">
        <v>143</v>
      </c>
      <c r="T792" s="91" t="s">
        <v>4051</v>
      </c>
      <c r="V792" s="91" t="s">
        <v>155</v>
      </c>
      <c r="W792" s="91" t="s">
        <v>180</v>
      </c>
    </row>
    <row r="793" spans="1:23">
      <c r="A793" s="93" t="str">
        <f>TEXT(tblProjectlist[[#This Row],[project-no]],"0")</f>
        <v>99960628</v>
      </c>
      <c r="H793" s="91">
        <v>7802</v>
      </c>
      <c r="I793" s="91">
        <v>31</v>
      </c>
      <c r="J793" s="91">
        <v>2</v>
      </c>
      <c r="K793" s="91" t="s">
        <v>1729</v>
      </c>
      <c r="L793" s="91" t="s">
        <v>2175</v>
      </c>
      <c r="M793" s="91" t="s">
        <v>4</v>
      </c>
      <c r="Q793" s="91"/>
      <c r="S793" s="91" t="s">
        <v>143</v>
      </c>
      <c r="T793" s="91" t="s">
        <v>2977</v>
      </c>
      <c r="V793" s="91" t="s">
        <v>155</v>
      </c>
      <c r="W793" s="91" t="s">
        <v>180</v>
      </c>
    </row>
    <row r="794" spans="1:23">
      <c r="A794" s="93" t="str">
        <f>TEXT(tblProjectlist[[#This Row],[project-no]],"0")</f>
        <v>0</v>
      </c>
      <c r="H794" s="91">
        <v>1570</v>
      </c>
      <c r="I794" s="91">
        <v>37</v>
      </c>
      <c r="J794" s="91">
        <v>2</v>
      </c>
      <c r="K794" s="91"/>
      <c r="L794" s="91" t="s">
        <v>2175</v>
      </c>
      <c r="M794" s="91" t="s">
        <v>4</v>
      </c>
      <c r="Q794" s="91"/>
      <c r="S794" s="91" t="s">
        <v>143</v>
      </c>
      <c r="T794" s="91" t="s">
        <v>4369</v>
      </c>
      <c r="V794" s="91" t="s">
        <v>155</v>
      </c>
      <c r="W794" s="91" t="s">
        <v>180</v>
      </c>
    </row>
    <row r="795" spans="1:23">
      <c r="A795" s="93" t="str">
        <f>TEXT(tblProjectlist[[#This Row],[project-no]],"0")</f>
        <v>15700128</v>
      </c>
      <c r="H795" s="91">
        <v>1570</v>
      </c>
      <c r="I795" s="91">
        <v>1</v>
      </c>
      <c r="J795" s="91">
        <v>2</v>
      </c>
      <c r="K795" s="91">
        <v>15700128</v>
      </c>
      <c r="L795" s="91" t="s">
        <v>2175</v>
      </c>
      <c r="M795" s="91" t="s">
        <v>4</v>
      </c>
      <c r="Q795" s="91"/>
      <c r="S795" s="91" t="s">
        <v>143</v>
      </c>
      <c r="T795" s="91" t="s">
        <v>4463</v>
      </c>
      <c r="V795" s="91" t="s">
        <v>155</v>
      </c>
      <c r="W795" s="91" t="s">
        <v>180</v>
      </c>
    </row>
    <row r="796" spans="1:23">
      <c r="A796" s="93" t="str">
        <f>TEXT(tblProjectlist[[#This Row],[project-no]],"0")</f>
        <v>15703228</v>
      </c>
      <c r="H796" s="91">
        <v>1570</v>
      </c>
      <c r="I796" s="91">
        <v>32</v>
      </c>
      <c r="J796" s="91">
        <v>2</v>
      </c>
      <c r="K796" s="91" t="s">
        <v>330</v>
      </c>
      <c r="L796" s="91" t="s">
        <v>2175</v>
      </c>
      <c r="M796" s="91" t="s">
        <v>4</v>
      </c>
      <c r="Q796" s="91"/>
      <c r="S796" s="91" t="s">
        <v>143</v>
      </c>
      <c r="T796" s="91" t="s">
        <v>2315</v>
      </c>
      <c r="V796" s="91" t="s">
        <v>155</v>
      </c>
      <c r="W796" s="91" t="s">
        <v>180</v>
      </c>
    </row>
    <row r="797" spans="1:23">
      <c r="A797" s="93" t="str">
        <f>TEXT(tblProjectlist[[#This Row],[project-no]],"0")</f>
        <v>15703528</v>
      </c>
      <c r="H797" s="91">
        <v>1570</v>
      </c>
      <c r="I797" s="91">
        <v>35</v>
      </c>
      <c r="J797" s="91">
        <v>2</v>
      </c>
      <c r="K797" s="91" t="s">
        <v>331</v>
      </c>
      <c r="L797" s="91" t="s">
        <v>2175</v>
      </c>
      <c r="M797" s="91" t="s">
        <v>4</v>
      </c>
      <c r="Q797" s="91"/>
      <c r="S797" s="91" t="s">
        <v>143</v>
      </c>
      <c r="T797" s="91" t="s">
        <v>2316</v>
      </c>
      <c r="V797" s="91" t="s">
        <v>155</v>
      </c>
      <c r="W797" s="91" t="s">
        <v>180</v>
      </c>
    </row>
    <row r="798" spans="1:23">
      <c r="A798" s="93" t="str">
        <f>TEXT(tblProjectlist[[#This Row],[project-no]],"0")</f>
        <v>15703628</v>
      </c>
      <c r="H798" s="91">
        <v>1570</v>
      </c>
      <c r="I798" s="91">
        <v>36</v>
      </c>
      <c r="J798" s="91">
        <v>2</v>
      </c>
      <c r="K798" s="91" t="s">
        <v>332</v>
      </c>
      <c r="L798" s="91" t="s">
        <v>197</v>
      </c>
      <c r="M798" s="91" t="s">
        <v>4</v>
      </c>
      <c r="Q798" s="91"/>
      <c r="S798" s="91" t="s">
        <v>143</v>
      </c>
      <c r="T798" s="91" t="s">
        <v>2317</v>
      </c>
      <c r="W798" s="91" t="s">
        <v>180</v>
      </c>
    </row>
    <row r="799" spans="1:23">
      <c r="A799" s="93" t="str">
        <f>TEXT(tblProjectlist[[#This Row],[project-no]],"0")</f>
        <v>0</v>
      </c>
      <c r="H799" s="91">
        <v>1570</v>
      </c>
      <c r="I799" s="91">
        <v>38</v>
      </c>
      <c r="J799" s="91">
        <v>1</v>
      </c>
      <c r="K799" s="91"/>
      <c r="L799" s="91" t="s">
        <v>2175</v>
      </c>
      <c r="M799" s="91" t="s">
        <v>0</v>
      </c>
      <c r="Q799" s="91"/>
      <c r="S799" s="91" t="s">
        <v>143</v>
      </c>
      <c r="T799" s="91" t="s">
        <v>4690</v>
      </c>
      <c r="V799" s="91" t="s">
        <v>168</v>
      </c>
      <c r="W799" s="91" t="s">
        <v>180</v>
      </c>
    </row>
    <row r="800" spans="1:23">
      <c r="A800" s="93" t="str">
        <f>TEXT(tblProjectlist[[#This Row],[project-no]],"0")</f>
        <v>0</v>
      </c>
      <c r="H800" s="91">
        <v>1574</v>
      </c>
      <c r="I800" s="91">
        <v>2</v>
      </c>
      <c r="J800" s="91">
        <v>2</v>
      </c>
      <c r="K800" s="91"/>
      <c r="L800" s="91" t="s">
        <v>197</v>
      </c>
      <c r="M800" s="91" t="s">
        <v>4</v>
      </c>
      <c r="Q800" s="91"/>
      <c r="S800" s="91" t="s">
        <v>143</v>
      </c>
      <c r="T800" s="91" t="s">
        <v>4336</v>
      </c>
      <c r="V800" s="91" t="s">
        <v>155</v>
      </c>
      <c r="W800" s="91" t="s">
        <v>180</v>
      </c>
    </row>
    <row r="801" spans="1:23">
      <c r="A801" s="93" t="str">
        <f>TEXT(tblProjectlist[[#This Row],[project-no]],"0")</f>
        <v>0</v>
      </c>
      <c r="H801" s="91">
        <v>6123</v>
      </c>
      <c r="I801" s="91">
        <v>2</v>
      </c>
      <c r="J801" s="91">
        <v>2</v>
      </c>
      <c r="K801" s="91"/>
      <c r="L801" s="91" t="s">
        <v>62</v>
      </c>
      <c r="M801" s="91" t="s">
        <v>4</v>
      </c>
      <c r="Q801" s="91"/>
      <c r="S801" s="91" t="s">
        <v>143</v>
      </c>
      <c r="T801" s="91" t="s">
        <v>4131</v>
      </c>
      <c r="V801" s="91" t="s">
        <v>169</v>
      </c>
      <c r="W801" s="91" t="s">
        <v>180</v>
      </c>
    </row>
    <row r="802" spans="1:23">
      <c r="A802" s="93" t="str">
        <f>TEXT(tblProjectlist[[#This Row],[project-no]],"0")</f>
        <v>64050228</v>
      </c>
      <c r="H802" s="91">
        <v>6405</v>
      </c>
      <c r="I802" s="91">
        <v>2</v>
      </c>
      <c r="J802" s="91">
        <v>2</v>
      </c>
      <c r="K802" s="91" t="s">
        <v>851</v>
      </c>
      <c r="L802" s="91" t="s">
        <v>64</v>
      </c>
      <c r="M802" s="91" t="s">
        <v>4</v>
      </c>
      <c r="Q802" s="91"/>
      <c r="S802" s="91" t="s">
        <v>143</v>
      </c>
      <c r="T802" s="91" t="s">
        <v>2733</v>
      </c>
      <c r="W802" s="91" t="s">
        <v>180</v>
      </c>
    </row>
    <row r="803" spans="1:23">
      <c r="A803" s="93" t="str">
        <f>TEXT(tblProjectlist[[#This Row],[project-no]],"0")</f>
        <v>60960243</v>
      </c>
      <c r="H803" s="91">
        <v>6096</v>
      </c>
      <c r="I803" s="91">
        <v>2</v>
      </c>
      <c r="J803" s="91">
        <v>4</v>
      </c>
      <c r="K803" s="91" t="s">
        <v>827</v>
      </c>
      <c r="L803" s="91" t="s">
        <v>197</v>
      </c>
      <c r="M803" s="91" t="s">
        <v>1</v>
      </c>
      <c r="Q803" s="91"/>
      <c r="S803" s="91" t="s">
        <v>143</v>
      </c>
      <c r="T803" s="91" t="s">
        <v>2713</v>
      </c>
      <c r="V803" s="91" t="s">
        <v>164</v>
      </c>
      <c r="W803" s="91" t="s">
        <v>180</v>
      </c>
    </row>
    <row r="804" spans="1:23">
      <c r="A804" s="93" t="str">
        <f>TEXT(tblProjectlist[[#This Row],[project-no]],"0")</f>
        <v>99850711</v>
      </c>
      <c r="H804" s="91">
        <v>9985</v>
      </c>
      <c r="I804" s="91">
        <v>7</v>
      </c>
      <c r="J804" s="91">
        <v>1</v>
      </c>
      <c r="K804" s="91" t="s">
        <v>1361</v>
      </c>
      <c r="L804" s="91" t="s">
        <v>197</v>
      </c>
      <c r="M804" s="91" t="s">
        <v>0</v>
      </c>
      <c r="Q804" s="91"/>
      <c r="S804" s="91" t="s">
        <v>143</v>
      </c>
      <c r="T804" s="91" t="s">
        <v>3191</v>
      </c>
      <c r="V804" s="91" t="s">
        <v>169</v>
      </c>
      <c r="W804" s="91" t="s">
        <v>180</v>
      </c>
    </row>
    <row r="805" spans="1:23">
      <c r="A805" s="93" t="str">
        <f>TEXT(tblProjectlist[[#This Row],[project-no]],"0")</f>
        <v>99859311</v>
      </c>
      <c r="H805" s="91">
        <v>9985</v>
      </c>
      <c r="I805" s="91">
        <v>93</v>
      </c>
      <c r="J805" s="91">
        <v>1</v>
      </c>
      <c r="K805" s="91" t="s">
        <v>1379</v>
      </c>
      <c r="L805" s="91" t="s">
        <v>197</v>
      </c>
      <c r="M805" s="91" t="s">
        <v>0</v>
      </c>
      <c r="Q805" s="91"/>
      <c r="S805" s="91" t="s">
        <v>143</v>
      </c>
      <c r="T805" s="91" t="s">
        <v>3203</v>
      </c>
      <c r="V805" s="91" t="s">
        <v>169</v>
      </c>
      <c r="W805" s="91" t="s">
        <v>180</v>
      </c>
    </row>
    <row r="806" spans="1:23">
      <c r="A806" s="93" t="str">
        <f>TEXT(tblProjectlist[[#This Row],[project-no]],"0")</f>
        <v>0</v>
      </c>
      <c r="H806" s="91">
        <v>6624</v>
      </c>
      <c r="I806" s="91">
        <v>2</v>
      </c>
      <c r="J806" s="91">
        <v>4</v>
      </c>
      <c r="K806" s="91"/>
      <c r="L806" s="91" t="s">
        <v>58</v>
      </c>
      <c r="M806" s="91" t="s">
        <v>1</v>
      </c>
      <c r="Q806" s="91"/>
      <c r="S806" s="91" t="s">
        <v>143</v>
      </c>
      <c r="T806" s="91" t="s">
        <v>3690</v>
      </c>
      <c r="V806" s="91" t="s">
        <v>160</v>
      </c>
      <c r="W806" s="91" t="s">
        <v>180</v>
      </c>
    </row>
    <row r="807" spans="1:23">
      <c r="A807" s="93" t="str">
        <f>TEXT(tblProjectlist[[#This Row],[project-no]],"0")</f>
        <v>0</v>
      </c>
      <c r="H807" s="91">
        <v>6121</v>
      </c>
      <c r="I807" s="91">
        <v>2</v>
      </c>
      <c r="J807" s="91">
        <v>2</v>
      </c>
      <c r="K807" s="91"/>
      <c r="L807" s="91" t="s">
        <v>64</v>
      </c>
      <c r="M807" s="91" t="s">
        <v>4</v>
      </c>
      <c r="Q807" s="91"/>
      <c r="S807" s="91" t="s">
        <v>143</v>
      </c>
      <c r="T807" s="91" t="s">
        <v>4129</v>
      </c>
      <c r="V807" s="91" t="s">
        <v>155</v>
      </c>
      <c r="W807" s="91" t="s">
        <v>180</v>
      </c>
    </row>
    <row r="808" spans="1:23">
      <c r="A808" s="93" t="str">
        <f>TEXT(tblProjectlist[[#This Row],[project-no]],"0")</f>
        <v>0</v>
      </c>
      <c r="H808" s="91">
        <v>7675</v>
      </c>
      <c r="I808" s="91">
        <v>2</v>
      </c>
      <c r="J808" s="91">
        <v>1</v>
      </c>
      <c r="K808" s="91"/>
      <c r="L808" s="91" t="s">
        <v>62</v>
      </c>
      <c r="M808" s="91" t="s">
        <v>0</v>
      </c>
      <c r="Q808" s="91"/>
      <c r="S808" s="91" t="s">
        <v>143</v>
      </c>
      <c r="T808" s="91" t="s">
        <v>4148</v>
      </c>
      <c r="V808" s="91" t="s">
        <v>169</v>
      </c>
      <c r="W808" s="91" t="s">
        <v>180</v>
      </c>
    </row>
    <row r="809" spans="1:23">
      <c r="A809" s="93" t="str">
        <f>TEXT(tblProjectlist[[#This Row],[project-no]],"0")</f>
        <v>0</v>
      </c>
      <c r="H809" s="91">
        <v>6624</v>
      </c>
      <c r="I809" s="91">
        <v>2</v>
      </c>
      <c r="J809" s="91">
        <v>4</v>
      </c>
      <c r="K809" s="91"/>
      <c r="L809" s="91" t="s">
        <v>58</v>
      </c>
      <c r="M809" s="91" t="s">
        <v>1</v>
      </c>
      <c r="Q809" s="91"/>
      <c r="S809" s="91" t="s">
        <v>143</v>
      </c>
      <c r="T809" s="91" t="s">
        <v>3690</v>
      </c>
      <c r="V809" s="91" t="s">
        <v>162</v>
      </c>
      <c r="W809" s="91" t="s">
        <v>180</v>
      </c>
    </row>
    <row r="810" spans="1:23">
      <c r="A810" s="93" t="str">
        <f>TEXT(tblProjectlist[[#This Row],[project-no]],"0")</f>
        <v>0</v>
      </c>
      <c r="H810" s="91">
        <v>6627</v>
      </c>
      <c r="I810" s="91">
        <v>2</v>
      </c>
      <c r="J810" s="91">
        <v>2</v>
      </c>
      <c r="K810" s="91"/>
      <c r="L810" s="91" t="s">
        <v>62</v>
      </c>
      <c r="M810" s="91" t="s">
        <v>4</v>
      </c>
      <c r="Q810" s="91"/>
      <c r="S810" s="91" t="s">
        <v>143</v>
      </c>
      <c r="T810" s="91" t="s">
        <v>4293</v>
      </c>
      <c r="V810" s="91" t="s">
        <v>155</v>
      </c>
      <c r="W810" s="91" t="s">
        <v>180</v>
      </c>
    </row>
    <row r="811" spans="1:23">
      <c r="A811" s="93" t="str">
        <f>TEXT(tblProjectlist[[#This Row],[project-no]],"0")</f>
        <v>0</v>
      </c>
      <c r="H811" s="91">
        <v>6630</v>
      </c>
      <c r="I811" s="91">
        <v>4</v>
      </c>
      <c r="J811" s="91">
        <v>2</v>
      </c>
      <c r="K811" s="91"/>
      <c r="L811" s="91" t="s">
        <v>2175</v>
      </c>
      <c r="M811" s="91" t="s">
        <v>4</v>
      </c>
      <c r="Q811" s="91"/>
      <c r="S811" s="91" t="s">
        <v>143</v>
      </c>
      <c r="T811" s="91" t="s">
        <v>4670</v>
      </c>
      <c r="V811" s="91" t="s">
        <v>155</v>
      </c>
      <c r="W811" s="91" t="s">
        <v>180</v>
      </c>
    </row>
    <row r="812" spans="1:23">
      <c r="A812" s="93" t="str">
        <f>TEXT(tblProjectlist[[#This Row],[project-no]],"0")</f>
        <v>0</v>
      </c>
      <c r="H812" s="91">
        <v>6631</v>
      </c>
      <c r="I812" s="91">
        <v>3</v>
      </c>
      <c r="J812" s="91">
        <v>2</v>
      </c>
      <c r="K812" s="91"/>
      <c r="L812" s="91" t="s">
        <v>2175</v>
      </c>
      <c r="M812" s="91" t="s">
        <v>4</v>
      </c>
      <c r="Q812" s="91"/>
      <c r="S812" s="91" t="s">
        <v>143</v>
      </c>
      <c r="T812" s="91" t="s">
        <v>4512</v>
      </c>
      <c r="V812" s="91" t="s">
        <v>155</v>
      </c>
      <c r="W812" s="91" t="s">
        <v>180</v>
      </c>
    </row>
    <row r="813" spans="1:23">
      <c r="A813" s="93" t="str">
        <f>TEXT(tblProjectlist[[#This Row],[project-no]],"0")</f>
        <v>0</v>
      </c>
      <c r="H813" s="91">
        <v>6646</v>
      </c>
      <c r="I813" s="91">
        <v>19</v>
      </c>
      <c r="J813" s="91">
        <v>2</v>
      </c>
      <c r="K813" s="91"/>
      <c r="L813" s="91" t="s">
        <v>197</v>
      </c>
      <c r="M813" s="91" t="s">
        <v>4</v>
      </c>
      <c r="Q813" s="91"/>
      <c r="S813" s="91" t="s">
        <v>143</v>
      </c>
      <c r="T813" s="91" t="s">
        <v>3576</v>
      </c>
      <c r="V813" s="91" t="s">
        <v>155</v>
      </c>
      <c r="W813" s="91" t="s">
        <v>180</v>
      </c>
    </row>
    <row r="814" spans="1:23">
      <c r="A814" s="93" t="str">
        <f>TEXT(tblProjectlist[[#This Row],[project-no]],"0")</f>
        <v>0</v>
      </c>
      <c r="H814" s="91">
        <v>6646</v>
      </c>
      <c r="I814" s="91">
        <v>20</v>
      </c>
      <c r="J814" s="91">
        <v>2</v>
      </c>
      <c r="K814" s="91"/>
      <c r="L814" s="91" t="s">
        <v>197</v>
      </c>
      <c r="M814" s="91" t="s">
        <v>4</v>
      </c>
      <c r="Q814" s="91"/>
      <c r="S814" s="91" t="s">
        <v>143</v>
      </c>
      <c r="T814" s="91" t="s">
        <v>3813</v>
      </c>
      <c r="V814" s="91" t="s">
        <v>155</v>
      </c>
      <c r="W814" s="91" t="s">
        <v>180</v>
      </c>
    </row>
    <row r="815" spans="1:23">
      <c r="A815" s="93" t="str">
        <f>TEXT(tblProjectlist[[#This Row],[project-no]],"0")</f>
        <v>0</v>
      </c>
      <c r="H815" s="91">
        <v>6646</v>
      </c>
      <c r="I815" s="91">
        <v>21</v>
      </c>
      <c r="J815" s="91">
        <v>2</v>
      </c>
      <c r="K815" s="91"/>
      <c r="L815" s="91" t="s">
        <v>62</v>
      </c>
      <c r="M815" s="91" t="s">
        <v>4</v>
      </c>
      <c r="Q815" s="91"/>
      <c r="S815" s="91" t="s">
        <v>143</v>
      </c>
      <c r="T815" s="91" t="s">
        <v>4140</v>
      </c>
      <c r="V815" s="91" t="s">
        <v>155</v>
      </c>
      <c r="W815" s="91" t="s">
        <v>180</v>
      </c>
    </row>
    <row r="816" spans="1:23">
      <c r="A816" s="93" t="str">
        <f>TEXT(tblProjectlist[[#This Row],[project-no]],"0")</f>
        <v>0</v>
      </c>
      <c r="H816" s="91">
        <v>6646</v>
      </c>
      <c r="I816" s="91">
        <v>22</v>
      </c>
      <c r="J816" s="91">
        <v>2</v>
      </c>
      <c r="K816" s="91"/>
      <c r="L816" s="91" t="s">
        <v>197</v>
      </c>
      <c r="M816" s="91" t="s">
        <v>4</v>
      </c>
      <c r="Q816" s="91"/>
      <c r="S816" s="91" t="s">
        <v>143</v>
      </c>
      <c r="T816" s="91" t="s">
        <v>4141</v>
      </c>
      <c r="V816" s="91" t="s">
        <v>155</v>
      </c>
      <c r="W816" s="91" t="s">
        <v>180</v>
      </c>
    </row>
    <row r="817" spans="1:23">
      <c r="A817" s="93" t="str">
        <f>TEXT(tblProjectlist[[#This Row],[project-no]],"0")</f>
        <v>0</v>
      </c>
      <c r="H817" s="91">
        <v>6646</v>
      </c>
      <c r="I817" s="91">
        <v>24</v>
      </c>
      <c r="J817" s="91">
        <v>2</v>
      </c>
      <c r="K817" s="91"/>
      <c r="L817" s="91" t="s">
        <v>197</v>
      </c>
      <c r="M817" s="91" t="s">
        <v>4</v>
      </c>
      <c r="Q817" s="91"/>
      <c r="S817" s="91" t="s">
        <v>143</v>
      </c>
      <c r="T817" s="91" t="s">
        <v>4359</v>
      </c>
      <c r="V817" s="91" t="s">
        <v>155</v>
      </c>
      <c r="W817" s="91" t="s">
        <v>180</v>
      </c>
    </row>
    <row r="818" spans="1:23">
      <c r="A818" s="93" t="str">
        <f>TEXT(tblProjectlist[[#This Row],[project-no]],"0")</f>
        <v>0</v>
      </c>
      <c r="H818" s="91">
        <v>6646</v>
      </c>
      <c r="I818" s="91">
        <v>25</v>
      </c>
      <c r="J818" s="91">
        <v>2</v>
      </c>
      <c r="K818" s="91"/>
      <c r="L818" s="91" t="s">
        <v>197</v>
      </c>
      <c r="M818" s="91" t="s">
        <v>4</v>
      </c>
      <c r="Q818" s="91"/>
      <c r="S818" s="91" t="s">
        <v>143</v>
      </c>
      <c r="T818" s="91" t="s">
        <v>4579</v>
      </c>
      <c r="V818" s="91" t="s">
        <v>155</v>
      </c>
      <c r="W818" s="91" t="s">
        <v>180</v>
      </c>
    </row>
    <row r="819" spans="1:23">
      <c r="A819" s="93" t="str">
        <f>TEXT(tblProjectlist[[#This Row],[project-no]],"0")</f>
        <v>0</v>
      </c>
      <c r="H819" s="91">
        <v>7674</v>
      </c>
      <c r="I819" s="91">
        <v>2</v>
      </c>
      <c r="J819" s="91">
        <v>1</v>
      </c>
      <c r="K819" s="91"/>
      <c r="L819" s="91" t="s">
        <v>2175</v>
      </c>
      <c r="M819" s="91" t="s">
        <v>0</v>
      </c>
      <c r="Q819" s="91"/>
      <c r="S819" s="91" t="s">
        <v>143</v>
      </c>
      <c r="T819" s="91" t="s">
        <v>4049</v>
      </c>
      <c r="W819" s="91" t="s">
        <v>180</v>
      </c>
    </row>
    <row r="820" spans="1:23">
      <c r="A820" s="93" t="str">
        <f>TEXT(tblProjectlist[[#This Row],[project-no]],"0")</f>
        <v>0</v>
      </c>
      <c r="H820" s="91">
        <v>2118</v>
      </c>
      <c r="I820" s="91">
        <v>2</v>
      </c>
      <c r="J820" s="91">
        <v>2</v>
      </c>
      <c r="K820" s="91"/>
      <c r="L820" s="91" t="s">
        <v>197</v>
      </c>
      <c r="M820" s="91" t="s">
        <v>4</v>
      </c>
      <c r="Q820" s="91"/>
      <c r="S820" s="91" t="s">
        <v>143</v>
      </c>
      <c r="T820" s="91" t="s">
        <v>3911</v>
      </c>
      <c r="V820" s="91" t="s">
        <v>155</v>
      </c>
      <c r="W820" s="91" t="s">
        <v>180</v>
      </c>
    </row>
    <row r="821" spans="1:23">
      <c r="A821" s="93" t="str">
        <f>TEXT(tblProjectlist[[#This Row],[project-no]],"0")</f>
        <v>0</v>
      </c>
      <c r="H821" s="91">
        <v>2118</v>
      </c>
      <c r="I821" s="91">
        <v>3</v>
      </c>
      <c r="J821" s="91">
        <v>2</v>
      </c>
      <c r="K821" s="91"/>
      <c r="L821" s="91" t="s">
        <v>197</v>
      </c>
      <c r="M821" s="91" t="s">
        <v>4</v>
      </c>
      <c r="Q821" s="91"/>
      <c r="S821" s="91" t="s">
        <v>143</v>
      </c>
      <c r="T821" s="91" t="s">
        <v>4069</v>
      </c>
      <c r="V821" s="91" t="s">
        <v>155</v>
      </c>
      <c r="W821" s="91" t="s">
        <v>180</v>
      </c>
    </row>
    <row r="822" spans="1:23">
      <c r="A822" s="93" t="str">
        <f>TEXT(tblProjectlist[[#This Row],[project-no]],"0")</f>
        <v>0</v>
      </c>
      <c r="H822" s="91">
        <v>2118</v>
      </c>
      <c r="I822" s="91">
        <v>4</v>
      </c>
      <c r="J822" s="91">
        <v>2</v>
      </c>
      <c r="K822" s="91"/>
      <c r="L822" s="91" t="s">
        <v>197</v>
      </c>
      <c r="M822" s="91" t="s">
        <v>4</v>
      </c>
      <c r="Q822" s="91"/>
      <c r="S822" s="91" t="s">
        <v>143</v>
      </c>
      <c r="T822" s="91" t="s">
        <v>4070</v>
      </c>
      <c r="V822" s="91" t="s">
        <v>155</v>
      </c>
      <c r="W822" s="91" t="s">
        <v>180</v>
      </c>
    </row>
    <row r="823" spans="1:23">
      <c r="A823" s="93" t="str">
        <f>TEXT(tblProjectlist[[#This Row],[project-no]],"0")</f>
        <v>79360228</v>
      </c>
      <c r="H823" s="91">
        <v>7936</v>
      </c>
      <c r="I823" s="91">
        <v>3</v>
      </c>
      <c r="J823" s="91">
        <v>2</v>
      </c>
      <c r="K823" s="91" t="s">
        <v>4097</v>
      </c>
      <c r="L823" s="91" t="s">
        <v>197</v>
      </c>
      <c r="M823" s="91" t="s">
        <v>4</v>
      </c>
      <c r="Q823" s="91"/>
      <c r="S823" s="91" t="s">
        <v>143</v>
      </c>
      <c r="T823" s="91" t="s">
        <v>4152</v>
      </c>
      <c r="V823" s="91" t="s">
        <v>155</v>
      </c>
      <c r="W823" s="91" t="s">
        <v>180</v>
      </c>
    </row>
    <row r="824" spans="1:23">
      <c r="A824" s="93" t="str">
        <f>TEXT(tblProjectlist[[#This Row],[project-no]],"0")</f>
        <v>0</v>
      </c>
      <c r="H824" s="91">
        <v>7061</v>
      </c>
      <c r="I824" s="91">
        <v>2</v>
      </c>
      <c r="J824" s="91">
        <v>2</v>
      </c>
      <c r="K824" s="91"/>
      <c r="L824" s="91" t="s">
        <v>197</v>
      </c>
      <c r="M824" s="91" t="s">
        <v>4</v>
      </c>
      <c r="Q824" s="91"/>
      <c r="S824" s="91" t="s">
        <v>143</v>
      </c>
      <c r="T824" s="91" t="s">
        <v>4411</v>
      </c>
      <c r="V824" s="91" t="s">
        <v>155</v>
      </c>
      <c r="W824" s="91" t="s">
        <v>180</v>
      </c>
    </row>
    <row r="825" spans="1:23">
      <c r="A825" s="93" t="str">
        <f>TEXT(tblProjectlist[[#This Row],[project-no]],"0")</f>
        <v>0</v>
      </c>
      <c r="H825" s="91">
        <v>6107</v>
      </c>
      <c r="I825" s="91">
        <v>2</v>
      </c>
      <c r="J825" s="91">
        <v>2</v>
      </c>
      <c r="K825" s="91"/>
      <c r="L825" s="91" t="s">
        <v>2175</v>
      </c>
      <c r="M825" s="91" t="s">
        <v>4</v>
      </c>
      <c r="Q825" s="91"/>
      <c r="S825" s="91" t="s">
        <v>143</v>
      </c>
      <c r="T825" s="91" t="s">
        <v>3681</v>
      </c>
      <c r="V825" s="91" t="s">
        <v>156</v>
      </c>
      <c r="W825" s="91" t="s">
        <v>180</v>
      </c>
    </row>
    <row r="826" spans="1:23">
      <c r="A826" s="93" t="str">
        <f>TEXT(tblProjectlist[[#This Row],[project-no]],"0")</f>
        <v>0</v>
      </c>
      <c r="H826" s="91">
        <v>6107</v>
      </c>
      <c r="I826" s="91">
        <v>3</v>
      </c>
      <c r="J826" s="91">
        <v>2</v>
      </c>
      <c r="K826" s="91"/>
      <c r="L826" s="91" t="s">
        <v>2175</v>
      </c>
      <c r="M826" s="91" t="s">
        <v>4</v>
      </c>
      <c r="Q826" s="91"/>
      <c r="S826" s="91" t="s">
        <v>143</v>
      </c>
      <c r="T826" s="91" t="s">
        <v>4043</v>
      </c>
      <c r="V826" s="91" t="s">
        <v>155</v>
      </c>
      <c r="W826" s="91" t="s">
        <v>180</v>
      </c>
    </row>
    <row r="827" spans="1:23">
      <c r="A827" s="93" t="str">
        <f>TEXT(tblProjectlist[[#This Row],[project-no]],"0")</f>
        <v>0</v>
      </c>
      <c r="H827" s="91">
        <v>6107</v>
      </c>
      <c r="I827" s="91">
        <v>4</v>
      </c>
      <c r="J827" s="91">
        <v>2</v>
      </c>
      <c r="K827" s="91"/>
      <c r="L827" s="91" t="s">
        <v>2175</v>
      </c>
      <c r="M827" s="91" t="s">
        <v>4</v>
      </c>
      <c r="Q827" s="91"/>
      <c r="S827" s="91" t="s">
        <v>143</v>
      </c>
      <c r="T827" s="91" t="s">
        <v>4084</v>
      </c>
      <c r="V827" s="91" t="s">
        <v>155</v>
      </c>
      <c r="W827" s="91" t="s">
        <v>180</v>
      </c>
    </row>
    <row r="828" spans="1:23">
      <c r="A828" s="93" t="str">
        <f>TEXT(tblProjectlist[[#This Row],[project-no]],"0")</f>
        <v>76580528</v>
      </c>
      <c r="H828" s="91">
        <v>7658</v>
      </c>
      <c r="I828" s="91">
        <v>5</v>
      </c>
      <c r="J828" s="91">
        <v>2</v>
      </c>
      <c r="K828" s="91" t="s">
        <v>1086</v>
      </c>
      <c r="L828" s="91" t="s">
        <v>197</v>
      </c>
      <c r="M828" s="91" t="s">
        <v>4</v>
      </c>
      <c r="Q828" s="91"/>
      <c r="S828" s="91" t="s">
        <v>143</v>
      </c>
      <c r="T828" s="91" t="s">
        <v>2952</v>
      </c>
      <c r="V828" s="91" t="s">
        <v>155</v>
      </c>
      <c r="W828" s="91" t="s">
        <v>180</v>
      </c>
    </row>
    <row r="829" spans="1:23">
      <c r="A829" s="93" t="str">
        <f>TEXT(tblProjectlist[[#This Row],[project-no]],"0")</f>
        <v>76580628</v>
      </c>
      <c r="H829" s="91">
        <v>7658</v>
      </c>
      <c r="I829" s="91">
        <v>6</v>
      </c>
      <c r="J829" s="91">
        <v>2</v>
      </c>
      <c r="K829" s="91" t="s">
        <v>1087</v>
      </c>
      <c r="L829" s="91" t="s">
        <v>197</v>
      </c>
      <c r="M829" s="91" t="s">
        <v>4</v>
      </c>
      <c r="Q829" s="91"/>
      <c r="S829" s="91" t="s">
        <v>143</v>
      </c>
      <c r="T829" s="91" t="s">
        <v>2953</v>
      </c>
      <c r="W829" s="91" t="s">
        <v>180</v>
      </c>
    </row>
    <row r="830" spans="1:23">
      <c r="A830" s="93" t="str">
        <f>TEXT(tblProjectlist[[#This Row],[project-no]],"0")</f>
        <v>76590328</v>
      </c>
      <c r="H830" s="91">
        <v>7659</v>
      </c>
      <c r="I830" s="91">
        <v>3</v>
      </c>
      <c r="J830" s="91">
        <v>2</v>
      </c>
      <c r="K830" s="91" t="s">
        <v>1088</v>
      </c>
      <c r="L830" s="91" t="s">
        <v>197</v>
      </c>
      <c r="M830" s="91" t="s">
        <v>4</v>
      </c>
      <c r="Q830" s="91"/>
      <c r="S830" s="91" t="s">
        <v>143</v>
      </c>
      <c r="T830" s="91" t="s">
        <v>2954</v>
      </c>
      <c r="V830" s="91" t="s">
        <v>155</v>
      </c>
      <c r="W830" s="91" t="s">
        <v>180</v>
      </c>
    </row>
    <row r="831" spans="1:23">
      <c r="A831" s="93" t="str">
        <f>TEXT(tblProjectlist[[#This Row],[project-no]],"0")</f>
        <v>76590428</v>
      </c>
      <c r="H831" s="91">
        <v>7659</v>
      </c>
      <c r="I831" s="91">
        <v>4</v>
      </c>
      <c r="J831" s="91">
        <v>2</v>
      </c>
      <c r="K831" s="91" t="s">
        <v>1089</v>
      </c>
      <c r="L831" s="91" t="s">
        <v>197</v>
      </c>
      <c r="M831" s="91" t="s">
        <v>4</v>
      </c>
      <c r="Q831" s="91"/>
      <c r="S831" s="91" t="s">
        <v>143</v>
      </c>
      <c r="T831" s="91" t="s">
        <v>2955</v>
      </c>
      <c r="V831" s="91" t="s">
        <v>155</v>
      </c>
      <c r="W831" s="91" t="s">
        <v>180</v>
      </c>
    </row>
    <row r="832" spans="1:23">
      <c r="A832" s="93" t="str">
        <f>TEXT(tblProjectlist[[#This Row],[project-no]],"0")</f>
        <v>70580211</v>
      </c>
      <c r="H832" s="91">
        <v>7058</v>
      </c>
      <c r="I832" s="91">
        <v>2</v>
      </c>
      <c r="J832" s="91">
        <v>1</v>
      </c>
      <c r="K832" s="91" t="s">
        <v>962</v>
      </c>
      <c r="L832" s="91" t="s">
        <v>197</v>
      </c>
      <c r="M832" s="91" t="s">
        <v>0</v>
      </c>
      <c r="Q832" s="91"/>
      <c r="S832" s="91" t="s">
        <v>143</v>
      </c>
      <c r="T832" s="91" t="s">
        <v>2834</v>
      </c>
      <c r="V832" s="91" t="s">
        <v>169</v>
      </c>
      <c r="W832" s="91" t="s">
        <v>180</v>
      </c>
    </row>
    <row r="833" spans="1:23">
      <c r="A833" s="93" t="str">
        <f>TEXT(tblProjectlist[[#This Row],[project-no]],"0")</f>
        <v>70590211</v>
      </c>
      <c r="H833" s="91">
        <v>7059</v>
      </c>
      <c r="I833" s="91">
        <v>2</v>
      </c>
      <c r="J833" s="91">
        <v>1</v>
      </c>
      <c r="K833" s="91" t="s">
        <v>963</v>
      </c>
      <c r="L833" s="91" t="s">
        <v>197</v>
      </c>
      <c r="M833" s="91" t="s">
        <v>0</v>
      </c>
      <c r="Q833" s="91"/>
      <c r="S833" s="91" t="s">
        <v>143</v>
      </c>
      <c r="T833" s="91" t="s">
        <v>2835</v>
      </c>
      <c r="V833" s="91" t="s">
        <v>169</v>
      </c>
      <c r="W833" s="91" t="s">
        <v>180</v>
      </c>
    </row>
    <row r="834" spans="1:23">
      <c r="A834" s="93" t="str">
        <f>TEXT(tblProjectlist[[#This Row],[project-no]],"0")</f>
        <v>70590217</v>
      </c>
      <c r="H834" s="91">
        <v>7059</v>
      </c>
      <c r="I834" s="91">
        <v>2</v>
      </c>
      <c r="J834" s="91">
        <v>1</v>
      </c>
      <c r="K834" s="91" t="s">
        <v>964</v>
      </c>
      <c r="L834" s="91" t="s">
        <v>197</v>
      </c>
      <c r="M834" s="91" t="s">
        <v>0</v>
      </c>
      <c r="Q834" s="91"/>
      <c r="S834" s="91" t="s">
        <v>143</v>
      </c>
      <c r="T834" s="91" t="s">
        <v>2835</v>
      </c>
      <c r="V834" s="91" t="s">
        <v>168</v>
      </c>
      <c r="W834" s="91" t="s">
        <v>180</v>
      </c>
    </row>
    <row r="835" spans="1:23">
      <c r="A835" s="93" t="str">
        <f>TEXT(tblProjectlist[[#This Row],[project-no]],"0")</f>
        <v>0</v>
      </c>
      <c r="H835" s="91">
        <v>6647</v>
      </c>
      <c r="I835" s="91">
        <v>2</v>
      </c>
      <c r="J835" s="91">
        <v>4</v>
      </c>
      <c r="K835" s="91"/>
      <c r="L835" s="91" t="s">
        <v>62</v>
      </c>
      <c r="M835" s="91" t="s">
        <v>1</v>
      </c>
      <c r="Q835" s="91"/>
      <c r="S835" s="91" t="s">
        <v>143</v>
      </c>
      <c r="T835" s="91" t="s">
        <v>4595</v>
      </c>
      <c r="V835" s="91" t="s">
        <v>160</v>
      </c>
      <c r="W835" s="91" t="s">
        <v>180</v>
      </c>
    </row>
    <row r="836" spans="1:23">
      <c r="A836" s="93" t="str">
        <f>TEXT(tblProjectlist[[#This Row],[project-no]],"0")</f>
        <v>0</v>
      </c>
      <c r="H836" s="91">
        <v>6649</v>
      </c>
      <c r="I836" s="91">
        <v>7</v>
      </c>
      <c r="J836" s="91">
        <v>2</v>
      </c>
      <c r="K836" s="91"/>
      <c r="L836" s="91" t="s">
        <v>2175</v>
      </c>
      <c r="M836" s="91" t="s">
        <v>4</v>
      </c>
      <c r="Q836" s="91"/>
      <c r="S836" s="91" t="s">
        <v>143</v>
      </c>
      <c r="T836" s="91" t="s">
        <v>4197</v>
      </c>
      <c r="V836" s="91" t="s">
        <v>155</v>
      </c>
      <c r="W836" s="91" t="s">
        <v>180</v>
      </c>
    </row>
    <row r="837" spans="1:23">
      <c r="A837" s="93" t="str">
        <f>TEXT(tblProjectlist[[#This Row],[project-no]],"0")</f>
        <v>0</v>
      </c>
      <c r="H837" s="91">
        <v>7052</v>
      </c>
      <c r="I837" s="91">
        <v>2</v>
      </c>
      <c r="J837" s="91">
        <v>2</v>
      </c>
      <c r="K837" s="91"/>
      <c r="L837" s="91" t="s">
        <v>197</v>
      </c>
      <c r="M837" s="91" t="s">
        <v>4</v>
      </c>
      <c r="Q837" s="91"/>
      <c r="S837" s="91" t="s">
        <v>143</v>
      </c>
      <c r="T837" s="91" t="s">
        <v>3941</v>
      </c>
      <c r="V837" s="91" t="s">
        <v>155</v>
      </c>
      <c r="W837" s="91" t="s">
        <v>180</v>
      </c>
    </row>
    <row r="838" spans="1:23">
      <c r="A838" s="93" t="str">
        <f>TEXT(tblProjectlist[[#This Row],[project-no]],"0")</f>
        <v>76140228</v>
      </c>
      <c r="H838" s="91">
        <v>7614</v>
      </c>
      <c r="I838" s="91">
        <v>2</v>
      </c>
      <c r="J838" s="91">
        <v>2</v>
      </c>
      <c r="K838" s="91" t="s">
        <v>1058</v>
      </c>
      <c r="L838" s="91" t="s">
        <v>2175</v>
      </c>
      <c r="M838" s="91" t="s">
        <v>4</v>
      </c>
      <c r="Q838" s="91"/>
      <c r="S838" s="91" t="s">
        <v>143</v>
      </c>
      <c r="T838" s="91" t="s">
        <v>2924</v>
      </c>
      <c r="V838" s="91" t="s">
        <v>155</v>
      </c>
      <c r="W838" s="91" t="s">
        <v>180</v>
      </c>
    </row>
    <row r="839" spans="1:23">
      <c r="A839" s="93" t="str">
        <f>TEXT(tblProjectlist[[#This Row],[project-no]],"0")</f>
        <v>60180244</v>
      </c>
      <c r="H839" s="91">
        <v>6018</v>
      </c>
      <c r="I839" s="91">
        <v>2</v>
      </c>
      <c r="J839" s="91">
        <v>4</v>
      </c>
      <c r="K839" s="91" t="s">
        <v>768</v>
      </c>
      <c r="L839" s="91" t="s">
        <v>58</v>
      </c>
      <c r="M839" s="91" t="s">
        <v>1</v>
      </c>
      <c r="Q839" s="91"/>
      <c r="S839" s="91" t="s">
        <v>143</v>
      </c>
      <c r="T839" s="91" t="s">
        <v>2664</v>
      </c>
      <c r="V839" s="91" t="s">
        <v>160</v>
      </c>
      <c r="W839" s="91" t="s">
        <v>180</v>
      </c>
    </row>
    <row r="840" spans="1:23">
      <c r="A840" s="93" t="str">
        <f>TEXT(tblProjectlist[[#This Row],[project-no]],"0")</f>
        <v>0</v>
      </c>
      <c r="H840" s="91">
        <v>2054</v>
      </c>
      <c r="I840" s="91">
        <v>4</v>
      </c>
      <c r="J840" s="91">
        <v>2</v>
      </c>
      <c r="K840" s="91"/>
      <c r="L840" s="91" t="s">
        <v>2175</v>
      </c>
      <c r="M840" s="91" t="s">
        <v>4</v>
      </c>
      <c r="Q840" s="91"/>
      <c r="S840" s="91" t="s">
        <v>143</v>
      </c>
      <c r="T840" s="91" t="s">
        <v>4621</v>
      </c>
      <c r="V840" s="91" t="s">
        <v>155</v>
      </c>
      <c r="W840" s="91" t="s">
        <v>180</v>
      </c>
    </row>
    <row r="841" spans="1:23">
      <c r="A841" s="93" t="str">
        <f>TEXT(tblProjectlist[[#This Row],[project-no]],"0")</f>
        <v>0</v>
      </c>
      <c r="H841" s="91">
        <v>6649</v>
      </c>
      <c r="I841" s="91">
        <v>8</v>
      </c>
      <c r="J841" s="91">
        <v>2</v>
      </c>
      <c r="K841" s="91"/>
      <c r="L841" s="91" t="s">
        <v>265</v>
      </c>
      <c r="M841" s="91" t="s">
        <v>4</v>
      </c>
      <c r="Q841" s="91"/>
      <c r="S841" s="91" t="s">
        <v>143</v>
      </c>
      <c r="T841" s="91" t="s">
        <v>4003</v>
      </c>
      <c r="V841" s="91" t="s">
        <v>156</v>
      </c>
      <c r="W841" s="91" t="s">
        <v>180</v>
      </c>
    </row>
    <row r="842" spans="1:23">
      <c r="A842" s="93" t="str">
        <f>TEXT(tblProjectlist[[#This Row],[project-no]],"0")</f>
        <v>0</v>
      </c>
      <c r="H842" s="91">
        <v>6649</v>
      </c>
      <c r="I842" s="91">
        <v>9</v>
      </c>
      <c r="J842" s="91">
        <v>2</v>
      </c>
      <c r="K842" s="91"/>
      <c r="L842" s="91" t="s">
        <v>265</v>
      </c>
      <c r="M842" s="91" t="s">
        <v>4</v>
      </c>
      <c r="Q842" s="91"/>
      <c r="S842" s="91" t="s">
        <v>143</v>
      </c>
      <c r="T842" s="91" t="s">
        <v>4004</v>
      </c>
      <c r="V842" s="91" t="s">
        <v>156</v>
      </c>
      <c r="W842" s="91" t="s">
        <v>180</v>
      </c>
    </row>
    <row r="843" spans="1:23">
      <c r="A843" s="93" t="str">
        <f>TEXT(tblProjectlist[[#This Row],[project-no]],"0")</f>
        <v>60370316</v>
      </c>
      <c r="H843" s="91">
        <v>6037</v>
      </c>
      <c r="I843" s="91">
        <v>3</v>
      </c>
      <c r="J843" s="91">
        <v>1</v>
      </c>
      <c r="K843" s="91" t="s">
        <v>792</v>
      </c>
      <c r="L843" s="91" t="s">
        <v>62</v>
      </c>
      <c r="M843" s="91" t="s">
        <v>0</v>
      </c>
      <c r="Q843" s="91"/>
      <c r="S843" s="91" t="s">
        <v>143</v>
      </c>
      <c r="T843" s="91" t="s">
        <v>2688</v>
      </c>
      <c r="V843" s="91" t="s">
        <v>168</v>
      </c>
      <c r="W843" s="91" t="s">
        <v>180</v>
      </c>
    </row>
    <row r="844" spans="1:23">
      <c r="A844" s="93" t="str">
        <f>TEXT(tblProjectlist[[#This Row],[project-no]],"0")</f>
        <v>99869016</v>
      </c>
      <c r="H844" s="91">
        <v>6037</v>
      </c>
      <c r="I844" s="91">
        <v>3</v>
      </c>
      <c r="J844" s="91">
        <v>1</v>
      </c>
      <c r="K844" s="91" t="s">
        <v>1419</v>
      </c>
      <c r="L844" s="91" t="s">
        <v>62</v>
      </c>
      <c r="M844" s="91" t="s">
        <v>0</v>
      </c>
      <c r="Q844" s="91"/>
      <c r="S844" s="91" t="s">
        <v>143</v>
      </c>
      <c r="T844" s="91" t="s">
        <v>2688</v>
      </c>
      <c r="V844" s="91" t="s">
        <v>168</v>
      </c>
      <c r="W844" s="91" t="s">
        <v>180</v>
      </c>
    </row>
    <row r="845" spans="1:23">
      <c r="A845" s="93" t="str">
        <f>TEXT(tblProjectlist[[#This Row],[project-no]],"0")</f>
        <v>0</v>
      </c>
      <c r="H845" s="91">
        <v>6040</v>
      </c>
      <c r="I845" s="91">
        <v>7</v>
      </c>
      <c r="J845" s="91">
        <v>1</v>
      </c>
      <c r="K845" s="91"/>
      <c r="L845" s="91" t="s">
        <v>62</v>
      </c>
      <c r="M845" s="91" t="s">
        <v>0</v>
      </c>
      <c r="Q845" s="91"/>
      <c r="S845" s="91" t="s">
        <v>143</v>
      </c>
      <c r="T845" s="91" t="s">
        <v>4126</v>
      </c>
      <c r="V845" s="91" t="s">
        <v>167</v>
      </c>
      <c r="W845" s="91" t="s">
        <v>180</v>
      </c>
    </row>
    <row r="846" spans="1:23">
      <c r="A846" s="93" t="str">
        <f>TEXT(tblProjectlist[[#This Row],[project-no]],"0")</f>
        <v>60400216</v>
      </c>
      <c r="H846" s="91">
        <v>6040</v>
      </c>
      <c r="I846" s="91">
        <v>2</v>
      </c>
      <c r="J846" s="91">
        <v>1</v>
      </c>
      <c r="K846" s="91" t="s">
        <v>793</v>
      </c>
      <c r="L846" s="91" t="s">
        <v>62</v>
      </c>
      <c r="M846" s="91" t="s">
        <v>0</v>
      </c>
      <c r="Q846" s="91"/>
      <c r="S846" s="91" t="s">
        <v>143</v>
      </c>
      <c r="T846" s="91" t="s">
        <v>2689</v>
      </c>
      <c r="V846" s="91" t="s">
        <v>168</v>
      </c>
      <c r="W846" s="91" t="s">
        <v>180</v>
      </c>
    </row>
    <row r="847" spans="1:23">
      <c r="A847" s="93" t="str">
        <f>TEXT(tblProjectlist[[#This Row],[project-no]],"0")</f>
        <v>0</v>
      </c>
      <c r="H847" s="91">
        <v>6040</v>
      </c>
      <c r="I847" s="91">
        <v>4</v>
      </c>
      <c r="J847" s="91">
        <v>1</v>
      </c>
      <c r="K847" s="91"/>
      <c r="L847" s="91" t="s">
        <v>62</v>
      </c>
      <c r="M847" s="91" t="s">
        <v>0</v>
      </c>
      <c r="Q847" s="91"/>
      <c r="S847" s="91" t="s">
        <v>143</v>
      </c>
      <c r="T847" s="91" t="s">
        <v>4124</v>
      </c>
      <c r="V847" s="91" t="s">
        <v>169</v>
      </c>
      <c r="W847" s="91" t="s">
        <v>180</v>
      </c>
    </row>
    <row r="848" spans="1:23">
      <c r="A848" s="93" t="str">
        <f>TEXT(tblProjectlist[[#This Row],[project-no]],"0")</f>
        <v>0</v>
      </c>
      <c r="H848" s="91">
        <v>6040</v>
      </c>
      <c r="I848" s="91">
        <v>5</v>
      </c>
      <c r="J848" s="91">
        <v>1</v>
      </c>
      <c r="K848" s="91"/>
      <c r="L848" s="91" t="s">
        <v>62</v>
      </c>
      <c r="M848" s="91" t="s">
        <v>0</v>
      </c>
      <c r="Q848" s="91"/>
      <c r="S848" s="91" t="s">
        <v>143</v>
      </c>
      <c r="T848" s="91" t="s">
        <v>4125</v>
      </c>
      <c r="V848" s="91" t="s">
        <v>168</v>
      </c>
      <c r="W848" s="91" t="s">
        <v>180</v>
      </c>
    </row>
    <row r="849" spans="1:23">
      <c r="A849" s="93" t="str">
        <f>TEXT(tblProjectlist[[#This Row],[project-no]],"0")</f>
        <v>99868916</v>
      </c>
      <c r="H849" s="91">
        <v>6040</v>
      </c>
      <c r="I849" s="91">
        <v>2</v>
      </c>
      <c r="J849" s="91">
        <v>1</v>
      </c>
      <c r="K849" s="91" t="s">
        <v>1418</v>
      </c>
      <c r="L849" s="91" t="s">
        <v>62</v>
      </c>
      <c r="M849" s="91" t="s">
        <v>0</v>
      </c>
      <c r="Q849" s="91"/>
      <c r="S849" s="91" t="s">
        <v>143</v>
      </c>
      <c r="T849" s="91" t="s">
        <v>2689</v>
      </c>
      <c r="V849" s="91" t="s">
        <v>168</v>
      </c>
      <c r="W849" s="91" t="s">
        <v>180</v>
      </c>
    </row>
    <row r="850" spans="1:23">
      <c r="A850" s="93" t="str">
        <f>TEXT(tblProjectlist[[#This Row],[project-no]],"0")</f>
        <v>78022111</v>
      </c>
      <c r="H850" s="91">
        <v>7802</v>
      </c>
      <c r="I850" s="91">
        <v>21</v>
      </c>
      <c r="J850" s="91">
        <v>1</v>
      </c>
      <c r="K850" s="91" t="s">
        <v>1106</v>
      </c>
      <c r="L850" s="91" t="s">
        <v>2175</v>
      </c>
      <c r="M850" s="91" t="s">
        <v>0</v>
      </c>
      <c r="Q850" s="91"/>
      <c r="S850" s="91" t="s">
        <v>143</v>
      </c>
      <c r="T850" s="91" t="s">
        <v>2972</v>
      </c>
      <c r="V850" s="91" t="s">
        <v>169</v>
      </c>
      <c r="W850" s="91" t="s">
        <v>180</v>
      </c>
    </row>
    <row r="851" spans="1:23">
      <c r="A851" s="93" t="str">
        <f>TEXT(tblProjectlist[[#This Row],[project-no]],"0")</f>
        <v>99940511</v>
      </c>
      <c r="H851" s="91">
        <v>7802</v>
      </c>
      <c r="I851" s="91">
        <v>21</v>
      </c>
      <c r="J851" s="91">
        <v>1</v>
      </c>
      <c r="K851" s="91" t="s">
        <v>1591</v>
      </c>
      <c r="L851" s="91" t="s">
        <v>2175</v>
      </c>
      <c r="M851" s="91" t="s">
        <v>0</v>
      </c>
      <c r="Q851" s="91"/>
      <c r="S851" s="91" t="s">
        <v>143</v>
      </c>
      <c r="T851" s="91" t="s">
        <v>2972</v>
      </c>
      <c r="V851" s="91" t="s">
        <v>169</v>
      </c>
      <c r="W851" s="91" t="s">
        <v>180</v>
      </c>
    </row>
    <row r="852" spans="1:23">
      <c r="A852" s="93" t="str">
        <f>TEXT(tblProjectlist[[#This Row],[project-no]],"0")</f>
        <v>99620628</v>
      </c>
      <c r="H852" s="91">
        <v>9962</v>
      </c>
      <c r="I852" s="91">
        <v>6</v>
      </c>
      <c r="J852" s="91">
        <v>2</v>
      </c>
      <c r="K852" s="91" t="s">
        <v>1292</v>
      </c>
      <c r="L852" s="91" t="s">
        <v>62</v>
      </c>
      <c r="M852" s="91" t="s">
        <v>4</v>
      </c>
      <c r="Q852" s="91"/>
      <c r="S852" s="91" t="s">
        <v>143</v>
      </c>
      <c r="T852" s="91" t="s">
        <v>3142</v>
      </c>
      <c r="W852" s="91" t="s">
        <v>180</v>
      </c>
    </row>
    <row r="853" spans="1:23">
      <c r="A853" s="93" t="str">
        <f>TEXT(tblProjectlist[[#This Row],[project-no]],"0")</f>
        <v>99869028</v>
      </c>
      <c r="H853" s="91">
        <v>9986</v>
      </c>
      <c r="I853" s="91">
        <v>90</v>
      </c>
      <c r="J853" s="91">
        <v>2</v>
      </c>
      <c r="K853" s="91" t="s">
        <v>1420</v>
      </c>
      <c r="L853" s="91" t="s">
        <v>62</v>
      </c>
      <c r="M853" s="91" t="s">
        <v>4</v>
      </c>
      <c r="Q853" s="91"/>
      <c r="S853" s="91" t="s">
        <v>143</v>
      </c>
      <c r="T853" s="91" t="s">
        <v>3213</v>
      </c>
      <c r="W853" s="91" t="s">
        <v>180</v>
      </c>
    </row>
    <row r="854" spans="1:23">
      <c r="A854" s="93" t="str">
        <f>TEXT(tblProjectlist[[#This Row],[project-no]],"0")</f>
        <v>20960228</v>
      </c>
      <c r="H854" s="91">
        <v>2096</v>
      </c>
      <c r="I854" s="91">
        <v>2</v>
      </c>
      <c r="J854" s="91">
        <v>2</v>
      </c>
      <c r="K854" s="91" t="s">
        <v>516</v>
      </c>
      <c r="L854" s="91" t="s">
        <v>265</v>
      </c>
      <c r="M854" s="91" t="s">
        <v>4</v>
      </c>
      <c r="Q854" s="91"/>
      <c r="S854" s="91" t="s">
        <v>143</v>
      </c>
      <c r="T854" s="91" t="s">
        <v>2452</v>
      </c>
      <c r="V854" s="91" t="s">
        <v>155</v>
      </c>
      <c r="W854" s="91" t="s">
        <v>180</v>
      </c>
    </row>
    <row r="855" spans="1:23">
      <c r="A855" s="93" t="str">
        <f>TEXT(tblProjectlist[[#This Row],[project-no]],"0")</f>
        <v>20960428</v>
      </c>
      <c r="H855" s="91">
        <v>2096</v>
      </c>
      <c r="I855" s="91">
        <v>4</v>
      </c>
      <c r="J855" s="91">
        <v>2</v>
      </c>
      <c r="K855" s="91" t="s">
        <v>517</v>
      </c>
      <c r="L855" s="91" t="s">
        <v>265</v>
      </c>
      <c r="M855" s="91" t="s">
        <v>4</v>
      </c>
      <c r="Q855" s="91"/>
      <c r="S855" s="91" t="s">
        <v>143</v>
      </c>
      <c r="T855" s="91" t="s">
        <v>2453</v>
      </c>
      <c r="W855" s="91" t="s">
        <v>180</v>
      </c>
    </row>
    <row r="856" spans="1:23">
      <c r="A856" s="93" t="str">
        <f>TEXT(tblProjectlist[[#This Row],[project-no]],"0")</f>
        <v>20970843</v>
      </c>
      <c r="H856" s="91">
        <v>2097</v>
      </c>
      <c r="I856" s="91">
        <v>8</v>
      </c>
      <c r="J856" s="91">
        <v>4</v>
      </c>
      <c r="K856" s="91" t="s">
        <v>518</v>
      </c>
      <c r="L856" s="91" t="s">
        <v>197</v>
      </c>
      <c r="M856" s="91" t="s">
        <v>1</v>
      </c>
      <c r="Q856" s="91"/>
      <c r="S856" s="91" t="s">
        <v>143</v>
      </c>
      <c r="T856" s="91" t="s">
        <v>2454</v>
      </c>
      <c r="V856" s="91" t="s">
        <v>164</v>
      </c>
      <c r="W856" s="91" t="s">
        <v>180</v>
      </c>
    </row>
    <row r="857" spans="1:23">
      <c r="A857" s="93" t="str">
        <f>TEXT(tblProjectlist[[#This Row],[project-no]],"0")</f>
        <v>20970844</v>
      </c>
      <c r="H857" s="91">
        <v>2097</v>
      </c>
      <c r="I857" s="91">
        <v>8</v>
      </c>
      <c r="J857" s="91">
        <v>4</v>
      </c>
      <c r="K857" s="91" t="s">
        <v>519</v>
      </c>
      <c r="L857" s="91" t="s">
        <v>197</v>
      </c>
      <c r="M857" s="91" t="s">
        <v>1</v>
      </c>
      <c r="Q857" s="91"/>
      <c r="S857" s="91" t="s">
        <v>143</v>
      </c>
      <c r="T857" s="91" t="s">
        <v>2454</v>
      </c>
      <c r="V857" s="91" t="s">
        <v>160</v>
      </c>
      <c r="W857" s="91" t="s">
        <v>180</v>
      </c>
    </row>
    <row r="858" spans="1:23">
      <c r="A858" s="93" t="str">
        <f>TEXT(tblProjectlist[[#This Row],[project-no]],"0")</f>
        <v>20970847</v>
      </c>
      <c r="H858" s="91">
        <v>2097</v>
      </c>
      <c r="I858" s="91">
        <v>8</v>
      </c>
      <c r="J858" s="91">
        <v>4</v>
      </c>
      <c r="K858" s="91" t="s">
        <v>520</v>
      </c>
      <c r="L858" s="91" t="s">
        <v>197</v>
      </c>
      <c r="M858" s="91" t="s">
        <v>1</v>
      </c>
      <c r="Q858" s="91"/>
      <c r="S858" s="91" t="s">
        <v>143</v>
      </c>
      <c r="T858" s="91" t="s">
        <v>2454</v>
      </c>
      <c r="V858" s="91" t="s">
        <v>162</v>
      </c>
      <c r="W858" s="91" t="s">
        <v>180</v>
      </c>
    </row>
    <row r="859" spans="1:23">
      <c r="A859" s="93" t="str">
        <f>TEXT(tblProjectlist[[#This Row],[project-no]],"0")</f>
        <v>20970849</v>
      </c>
      <c r="H859" s="91">
        <v>2097</v>
      </c>
      <c r="I859" s="91">
        <v>8</v>
      </c>
      <c r="J859" s="91">
        <v>4</v>
      </c>
      <c r="K859" s="91" t="s">
        <v>521</v>
      </c>
      <c r="L859" s="91" t="s">
        <v>197</v>
      </c>
      <c r="M859" s="91" t="s">
        <v>1</v>
      </c>
      <c r="Q859" s="91"/>
      <c r="S859" s="91" t="s">
        <v>143</v>
      </c>
      <c r="T859" s="91" t="s">
        <v>2454</v>
      </c>
      <c r="V859" s="91" t="s">
        <v>158</v>
      </c>
      <c r="W859" s="91" t="s">
        <v>180</v>
      </c>
    </row>
    <row r="860" spans="1:23">
      <c r="A860" s="93" t="str">
        <f>TEXT(tblProjectlist[[#This Row],[project-no]],"0")</f>
        <v>20981712</v>
      </c>
      <c r="H860" s="91">
        <v>2098</v>
      </c>
      <c r="I860" s="91">
        <v>17</v>
      </c>
      <c r="J860" s="91">
        <v>1</v>
      </c>
      <c r="K860" s="91" t="s">
        <v>522</v>
      </c>
      <c r="L860" s="91" t="s">
        <v>2175</v>
      </c>
      <c r="M860" s="91" t="s">
        <v>0</v>
      </c>
      <c r="Q860" s="91"/>
      <c r="S860" s="91" t="s">
        <v>143</v>
      </c>
      <c r="T860" s="91" t="s">
        <v>2455</v>
      </c>
      <c r="V860" s="91" t="s">
        <v>169</v>
      </c>
      <c r="W860" s="91" t="s">
        <v>180</v>
      </c>
    </row>
    <row r="861" spans="1:23">
      <c r="A861" s="93" t="str">
        <f>TEXT(tblProjectlist[[#This Row],[project-no]],"0")</f>
        <v>0</v>
      </c>
      <c r="H861" s="91">
        <v>2099</v>
      </c>
      <c r="I861" s="91">
        <v>8</v>
      </c>
      <c r="J861" s="91">
        <v>2</v>
      </c>
      <c r="K861" s="91"/>
      <c r="L861" s="91" t="s">
        <v>62</v>
      </c>
      <c r="M861" s="91" t="s">
        <v>4</v>
      </c>
      <c r="Q861" s="91"/>
      <c r="S861" s="91" t="s">
        <v>143</v>
      </c>
      <c r="T861" s="91" t="s">
        <v>3658</v>
      </c>
      <c r="V861" s="91" t="s">
        <v>155</v>
      </c>
      <c r="W861" s="91" t="s">
        <v>180</v>
      </c>
    </row>
    <row r="862" spans="1:23">
      <c r="A862" s="93" t="str">
        <f>TEXT(tblProjectlist[[#This Row],[project-no]],"0")</f>
        <v>20990428</v>
      </c>
      <c r="H862" s="91">
        <v>2099</v>
      </c>
      <c r="I862" s="91">
        <v>4</v>
      </c>
      <c r="J862" s="91">
        <v>2</v>
      </c>
      <c r="K862" s="91" t="s">
        <v>523</v>
      </c>
      <c r="L862" s="91" t="s">
        <v>265</v>
      </c>
      <c r="M862" s="91" t="s">
        <v>4</v>
      </c>
      <c r="Q862" s="91"/>
      <c r="S862" s="91" t="s">
        <v>143</v>
      </c>
      <c r="T862" s="91" t="s">
        <v>2456</v>
      </c>
      <c r="V862" s="91" t="s">
        <v>155</v>
      </c>
      <c r="W862" s="91" t="s">
        <v>180</v>
      </c>
    </row>
    <row r="863" spans="1:23">
      <c r="A863" s="93" t="str">
        <f>TEXT(tblProjectlist[[#This Row],[project-no]],"0")</f>
        <v>20990628</v>
      </c>
      <c r="H863" s="91">
        <v>2099</v>
      </c>
      <c r="I863" s="91">
        <v>6</v>
      </c>
      <c r="J863" s="91">
        <v>2</v>
      </c>
      <c r="K863" s="91" t="s">
        <v>524</v>
      </c>
      <c r="L863" s="91" t="s">
        <v>265</v>
      </c>
      <c r="M863" s="91" t="s">
        <v>4</v>
      </c>
      <c r="Q863" s="91"/>
      <c r="S863" s="91" t="s">
        <v>143</v>
      </c>
      <c r="T863" s="91" t="s">
        <v>2457</v>
      </c>
      <c r="V863" s="91" t="s">
        <v>155</v>
      </c>
      <c r="W863" s="91" t="s">
        <v>180</v>
      </c>
    </row>
    <row r="864" spans="1:23">
      <c r="A864" s="93" t="str">
        <f>TEXT(tblProjectlist[[#This Row],[project-no]],"0")</f>
        <v>20990728</v>
      </c>
      <c r="H864" s="91">
        <v>2099</v>
      </c>
      <c r="I864" s="91">
        <v>7</v>
      </c>
      <c r="J864" s="91">
        <v>2</v>
      </c>
      <c r="K864" s="91" t="s">
        <v>525</v>
      </c>
      <c r="L864" s="91" t="s">
        <v>62</v>
      </c>
      <c r="M864" s="91" t="s">
        <v>4</v>
      </c>
      <c r="Q864" s="91"/>
      <c r="S864" s="91" t="s">
        <v>143</v>
      </c>
      <c r="T864" s="91" t="s">
        <v>2458</v>
      </c>
      <c r="W864" s="91" t="s">
        <v>180</v>
      </c>
    </row>
    <row r="865" spans="1:23">
      <c r="A865" s="93" t="str">
        <f>TEXT(tblProjectlist[[#This Row],[project-no]],"0")</f>
        <v>99846713</v>
      </c>
      <c r="H865" s="91">
        <v>9984</v>
      </c>
      <c r="I865" s="91">
        <v>67</v>
      </c>
      <c r="J865" s="91">
        <v>1</v>
      </c>
      <c r="K865" s="91" t="s">
        <v>1356</v>
      </c>
      <c r="L865" s="91" t="s">
        <v>2175</v>
      </c>
      <c r="M865" s="91" t="s">
        <v>0</v>
      </c>
      <c r="Q865" s="91"/>
      <c r="S865" s="91" t="s">
        <v>143</v>
      </c>
      <c r="T865" s="91" t="s">
        <v>3187</v>
      </c>
      <c r="V865" s="91" t="s">
        <v>167</v>
      </c>
      <c r="W865" s="91" t="s">
        <v>180</v>
      </c>
    </row>
    <row r="866" spans="1:23">
      <c r="A866" s="93" t="str">
        <f>TEXT(tblProjectlist[[#This Row],[project-no]],"0")</f>
        <v>99843711</v>
      </c>
      <c r="H866" s="91">
        <v>9985</v>
      </c>
      <c r="I866" s="91">
        <v>75</v>
      </c>
      <c r="J866" s="91">
        <v>1</v>
      </c>
      <c r="K866" s="91" t="s">
        <v>1353</v>
      </c>
      <c r="L866" s="91" t="s">
        <v>197</v>
      </c>
      <c r="M866" s="91" t="s">
        <v>0</v>
      </c>
      <c r="Q866" s="91"/>
      <c r="S866" s="91" t="s">
        <v>143</v>
      </c>
      <c r="T866" s="91" t="s">
        <v>3184</v>
      </c>
      <c r="V866" s="91" t="s">
        <v>169</v>
      </c>
      <c r="W866" s="91" t="s">
        <v>180</v>
      </c>
    </row>
    <row r="867" spans="1:23">
      <c r="A867" s="93" t="str">
        <f>TEXT(tblProjectlist[[#This Row],[project-no]],"0")</f>
        <v>99857511</v>
      </c>
      <c r="H867" s="91">
        <v>9985</v>
      </c>
      <c r="I867" s="91">
        <v>75</v>
      </c>
      <c r="J867" s="91">
        <v>1</v>
      </c>
      <c r="K867" s="91" t="s">
        <v>1373</v>
      </c>
      <c r="L867" s="91" t="s">
        <v>197</v>
      </c>
      <c r="M867" s="91" t="s">
        <v>0</v>
      </c>
      <c r="Q867" s="91"/>
      <c r="S867" s="91" t="s">
        <v>143</v>
      </c>
      <c r="T867" s="91" t="s">
        <v>3184</v>
      </c>
      <c r="V867" s="91" t="s">
        <v>169</v>
      </c>
      <c r="W867" s="91" t="s">
        <v>180</v>
      </c>
    </row>
    <row r="868" spans="1:23">
      <c r="A868" s="93" t="str">
        <f>TEXT(tblProjectlist[[#This Row],[project-no]],"0")</f>
        <v>99857611</v>
      </c>
      <c r="H868" s="91">
        <v>9985</v>
      </c>
      <c r="I868" s="91">
        <v>76</v>
      </c>
      <c r="J868" s="91">
        <v>1</v>
      </c>
      <c r="K868" s="91" t="s">
        <v>1374</v>
      </c>
      <c r="L868" s="91" t="s">
        <v>197</v>
      </c>
      <c r="M868" s="91" t="s">
        <v>0</v>
      </c>
      <c r="Q868" s="91"/>
      <c r="S868" s="91" t="s">
        <v>143</v>
      </c>
      <c r="T868" s="91" t="s">
        <v>3200</v>
      </c>
      <c r="V868" s="91" t="s">
        <v>169</v>
      </c>
      <c r="W868" s="91" t="s">
        <v>180</v>
      </c>
    </row>
    <row r="869" spans="1:23">
      <c r="A869" s="93" t="str">
        <f>TEXT(tblProjectlist[[#This Row],[project-no]],"0")</f>
        <v>0</v>
      </c>
      <c r="H869" s="91">
        <v>2031</v>
      </c>
      <c r="I869" s="91">
        <v>6</v>
      </c>
      <c r="J869" s="91">
        <v>2</v>
      </c>
      <c r="K869" s="91"/>
      <c r="L869" s="91" t="s">
        <v>2175</v>
      </c>
      <c r="M869" s="91" t="s">
        <v>4</v>
      </c>
      <c r="Q869" s="91"/>
      <c r="S869" s="91" t="s">
        <v>143</v>
      </c>
      <c r="T869" s="91" t="s">
        <v>3652</v>
      </c>
      <c r="V869" s="91" t="s">
        <v>155</v>
      </c>
      <c r="W869" s="91" t="s">
        <v>180</v>
      </c>
    </row>
    <row r="870" spans="1:23">
      <c r="A870" s="93" t="str">
        <f>TEXT(tblProjectlist[[#This Row],[project-no]],"0")</f>
        <v>0</v>
      </c>
      <c r="H870" s="91">
        <v>2031</v>
      </c>
      <c r="I870" s="91">
        <v>7</v>
      </c>
      <c r="J870" s="91">
        <v>2</v>
      </c>
      <c r="K870" s="91"/>
      <c r="L870" s="91" t="s">
        <v>2175</v>
      </c>
      <c r="M870" s="91" t="s">
        <v>4</v>
      </c>
      <c r="Q870" s="91"/>
      <c r="S870" s="91" t="s">
        <v>143</v>
      </c>
      <c r="T870" s="91" t="s">
        <v>4222</v>
      </c>
      <c r="V870" s="91" t="s">
        <v>155</v>
      </c>
      <c r="W870" s="91" t="s">
        <v>180</v>
      </c>
    </row>
    <row r="871" spans="1:23">
      <c r="A871" s="93" t="str">
        <f>TEXT(tblProjectlist[[#This Row],[project-no]],"0")</f>
        <v>0</v>
      </c>
      <c r="H871" s="91">
        <v>2031</v>
      </c>
      <c r="I871" s="91">
        <v>8</v>
      </c>
      <c r="J871" s="91">
        <v>2</v>
      </c>
      <c r="K871" s="91"/>
      <c r="L871" s="91" t="s">
        <v>2175</v>
      </c>
      <c r="M871" s="91" t="s">
        <v>4</v>
      </c>
      <c r="Q871" s="91"/>
      <c r="S871" s="91" t="s">
        <v>143</v>
      </c>
      <c r="T871" s="91" t="s">
        <v>4379</v>
      </c>
      <c r="V871" s="91" t="s">
        <v>155</v>
      </c>
      <c r="W871" s="91" t="s">
        <v>180</v>
      </c>
    </row>
    <row r="872" spans="1:23">
      <c r="A872" s="93" t="str">
        <f>TEXT(tblProjectlist[[#This Row],[project-no]],"0")</f>
        <v>0</v>
      </c>
      <c r="H872" s="91">
        <v>2031</v>
      </c>
      <c r="I872" s="91">
        <v>9</v>
      </c>
      <c r="J872" s="91">
        <v>2</v>
      </c>
      <c r="K872" s="91"/>
      <c r="L872" s="91" t="s">
        <v>2175</v>
      </c>
      <c r="M872" s="91" t="s">
        <v>4</v>
      </c>
      <c r="Q872" s="91"/>
      <c r="S872" s="91" t="s">
        <v>143</v>
      </c>
      <c r="T872" s="91" t="s">
        <v>4619</v>
      </c>
      <c r="V872" s="91" t="s">
        <v>156</v>
      </c>
      <c r="W872" s="91" t="s">
        <v>180</v>
      </c>
    </row>
    <row r="873" spans="1:23">
      <c r="A873" s="93" t="str">
        <f>TEXT(tblProjectlist[[#This Row],[project-no]],"0")</f>
        <v>20310328</v>
      </c>
      <c r="H873" s="91">
        <v>2031</v>
      </c>
      <c r="I873" s="91">
        <v>3</v>
      </c>
      <c r="J873" s="91">
        <v>2</v>
      </c>
      <c r="K873" s="91" t="s">
        <v>476</v>
      </c>
      <c r="L873" s="91" t="s">
        <v>265</v>
      </c>
      <c r="M873" s="91" t="s">
        <v>4</v>
      </c>
      <c r="Q873" s="91"/>
      <c r="S873" s="91" t="s">
        <v>143</v>
      </c>
      <c r="T873" s="91" t="s">
        <v>2420</v>
      </c>
      <c r="W873" s="91" t="s">
        <v>180</v>
      </c>
    </row>
    <row r="874" spans="1:23">
      <c r="A874" s="93" t="str">
        <f>TEXT(tblProjectlist[[#This Row],[project-no]],"0")</f>
        <v>20310428</v>
      </c>
      <c r="H874" s="91">
        <v>2031</v>
      </c>
      <c r="I874" s="91">
        <v>4</v>
      </c>
      <c r="J874" s="91">
        <v>2</v>
      </c>
      <c r="K874" s="91" t="s">
        <v>477</v>
      </c>
      <c r="L874" s="91" t="s">
        <v>2175</v>
      </c>
      <c r="M874" s="91" t="s">
        <v>4</v>
      </c>
      <c r="Q874" s="91"/>
      <c r="S874" s="91" t="s">
        <v>143</v>
      </c>
      <c r="T874" s="91" t="s">
        <v>2421</v>
      </c>
      <c r="V874" s="91" t="s">
        <v>155</v>
      </c>
      <c r="W874" s="91" t="s">
        <v>180</v>
      </c>
    </row>
    <row r="875" spans="1:23">
      <c r="A875" s="93" t="str">
        <f>TEXT(tblProjectlist[[#This Row],[project-no]],"0")</f>
        <v>20310528</v>
      </c>
      <c r="H875" s="91">
        <v>2031</v>
      </c>
      <c r="I875" s="91">
        <v>5</v>
      </c>
      <c r="J875" s="91">
        <v>2</v>
      </c>
      <c r="K875" s="91" t="s">
        <v>478</v>
      </c>
      <c r="L875" s="91" t="s">
        <v>2175</v>
      </c>
      <c r="M875" s="91" t="s">
        <v>4</v>
      </c>
      <c r="Q875" s="91"/>
      <c r="S875" s="91" t="s">
        <v>143</v>
      </c>
      <c r="T875" s="91" t="s">
        <v>2422</v>
      </c>
      <c r="V875" s="91" t="s">
        <v>155</v>
      </c>
      <c r="W875" s="91" t="s">
        <v>180</v>
      </c>
    </row>
    <row r="876" spans="1:23">
      <c r="A876" s="93" t="str">
        <f>TEXT(tblProjectlist[[#This Row],[project-no]],"0")</f>
        <v>31220243</v>
      </c>
      <c r="H876" s="91">
        <v>3122</v>
      </c>
      <c r="I876" s="91">
        <v>2</v>
      </c>
      <c r="J876" s="91">
        <v>4</v>
      </c>
      <c r="K876" s="91" t="s">
        <v>723</v>
      </c>
      <c r="L876" s="91" t="s">
        <v>197</v>
      </c>
      <c r="M876" s="91" t="s">
        <v>1</v>
      </c>
      <c r="Q876" s="91"/>
      <c r="S876" s="91" t="s">
        <v>143</v>
      </c>
      <c r="T876" s="91" t="s">
        <v>2621</v>
      </c>
      <c r="V876" s="91" t="s">
        <v>164</v>
      </c>
      <c r="W876" s="91" t="s">
        <v>180</v>
      </c>
    </row>
    <row r="877" spans="1:23">
      <c r="A877" s="93" t="str">
        <f>TEXT(tblProjectlist[[#This Row],[project-no]],"0")</f>
        <v>99845911</v>
      </c>
      <c r="H877" s="91">
        <v>9985</v>
      </c>
      <c r="I877" s="91">
        <v>88</v>
      </c>
      <c r="J877" s="91">
        <v>1</v>
      </c>
      <c r="K877" s="91" t="s">
        <v>1354</v>
      </c>
      <c r="L877" s="91" t="s">
        <v>197</v>
      </c>
      <c r="M877" s="91" t="s">
        <v>0</v>
      </c>
      <c r="Q877" s="91"/>
      <c r="S877" s="91" t="s">
        <v>143</v>
      </c>
      <c r="T877" s="91" t="s">
        <v>3185</v>
      </c>
      <c r="V877" s="91" t="s">
        <v>169</v>
      </c>
      <c r="W877" s="91" t="s">
        <v>180</v>
      </c>
    </row>
    <row r="878" spans="1:23">
      <c r="A878" s="93" t="str">
        <f>TEXT(tblProjectlist[[#This Row],[project-no]],"0")</f>
        <v>99858811</v>
      </c>
      <c r="H878" s="91">
        <v>9985</v>
      </c>
      <c r="I878" s="91">
        <v>88</v>
      </c>
      <c r="J878" s="91">
        <v>1</v>
      </c>
      <c r="K878" s="91" t="s">
        <v>1377</v>
      </c>
      <c r="L878" s="91" t="s">
        <v>197</v>
      </c>
      <c r="M878" s="91" t="s">
        <v>0</v>
      </c>
      <c r="Q878" s="91"/>
      <c r="S878" s="91" t="s">
        <v>143</v>
      </c>
      <c r="T878" s="91" t="s">
        <v>3185</v>
      </c>
      <c r="V878" s="91" t="s">
        <v>169</v>
      </c>
      <c r="W878" s="91" t="s">
        <v>180</v>
      </c>
    </row>
    <row r="879" spans="1:23">
      <c r="A879" s="93" t="str">
        <f>TEXT(tblProjectlist[[#This Row],[project-no]],"0")</f>
        <v>0</v>
      </c>
      <c r="H879" s="91">
        <v>2023</v>
      </c>
      <c r="I879" s="91">
        <v>3</v>
      </c>
      <c r="J879" s="91">
        <v>2</v>
      </c>
      <c r="K879" s="91"/>
      <c r="L879" s="91" t="s">
        <v>62</v>
      </c>
      <c r="M879" s="91" t="s">
        <v>4</v>
      </c>
      <c r="Q879" s="91"/>
      <c r="S879" s="91" t="s">
        <v>143</v>
      </c>
      <c r="T879" s="91" t="s">
        <v>4319</v>
      </c>
      <c r="V879" s="91" t="s">
        <v>155</v>
      </c>
      <c r="W879" s="91" t="s">
        <v>180</v>
      </c>
    </row>
    <row r="880" spans="1:23">
      <c r="A880" s="93" t="str">
        <f>TEXT(tblProjectlist[[#This Row],[project-no]],"0")</f>
        <v>0</v>
      </c>
      <c r="H880" s="91">
        <v>6113</v>
      </c>
      <c r="I880" s="91">
        <v>2</v>
      </c>
      <c r="J880" s="91">
        <v>2</v>
      </c>
      <c r="K880" s="91"/>
      <c r="L880" s="91" t="s">
        <v>64</v>
      </c>
      <c r="M880" s="91" t="s">
        <v>4</v>
      </c>
      <c r="Q880" s="91"/>
      <c r="S880" s="91" t="s">
        <v>143</v>
      </c>
      <c r="T880" s="91" t="s">
        <v>3859</v>
      </c>
      <c r="V880" s="91" t="s">
        <v>155</v>
      </c>
      <c r="W880" s="91" t="s">
        <v>180</v>
      </c>
    </row>
    <row r="881" spans="1:23">
      <c r="A881" s="93" t="str">
        <f>TEXT(tblProjectlist[[#This Row],[project-no]],"0")</f>
        <v>70260528</v>
      </c>
      <c r="H881" s="91">
        <v>7026</v>
      </c>
      <c r="I881" s="91">
        <v>5</v>
      </c>
      <c r="J881" s="91">
        <v>2</v>
      </c>
      <c r="K881" s="91" t="s">
        <v>942</v>
      </c>
      <c r="L881" s="91" t="s">
        <v>2175</v>
      </c>
      <c r="M881" s="91" t="s">
        <v>4</v>
      </c>
      <c r="Q881" s="91"/>
      <c r="S881" s="91" t="s">
        <v>143</v>
      </c>
      <c r="T881" s="91" t="s">
        <v>2815</v>
      </c>
      <c r="V881" s="91" t="s">
        <v>155</v>
      </c>
      <c r="W881" s="91" t="s">
        <v>180</v>
      </c>
    </row>
    <row r="882" spans="1:23">
      <c r="A882" s="93" t="str">
        <f>TEXT(tblProjectlist[[#This Row],[project-no]],"0")</f>
        <v>70260628</v>
      </c>
      <c r="H882" s="91">
        <v>7026</v>
      </c>
      <c r="I882" s="91">
        <v>6</v>
      </c>
      <c r="J882" s="91">
        <v>2</v>
      </c>
      <c r="K882" s="91" t="s">
        <v>943</v>
      </c>
      <c r="L882" s="91" t="s">
        <v>2175</v>
      </c>
      <c r="M882" s="91" t="s">
        <v>4</v>
      </c>
      <c r="Q882" s="91"/>
      <c r="S882" s="91" t="s">
        <v>143</v>
      </c>
      <c r="T882" s="91" t="s">
        <v>2816</v>
      </c>
      <c r="V882" s="91" t="s">
        <v>155</v>
      </c>
      <c r="W882" s="91" t="s">
        <v>180</v>
      </c>
    </row>
    <row r="883" spans="1:23">
      <c r="A883" s="93" t="str">
        <f>TEXT(tblProjectlist[[#This Row],[project-no]],"0")</f>
        <v>75340228</v>
      </c>
      <c r="H883" s="91">
        <v>7534</v>
      </c>
      <c r="I883" s="91">
        <v>2</v>
      </c>
      <c r="J883" s="91">
        <v>2</v>
      </c>
      <c r="K883" s="91" t="s">
        <v>1010</v>
      </c>
      <c r="L883" s="91" t="s">
        <v>2175</v>
      </c>
      <c r="M883" s="91" t="s">
        <v>4</v>
      </c>
      <c r="Q883" s="91"/>
      <c r="S883" s="91" t="s">
        <v>143</v>
      </c>
      <c r="T883" s="91" t="s">
        <v>2879</v>
      </c>
      <c r="V883" s="91" t="s">
        <v>155</v>
      </c>
      <c r="W883" s="91" t="s">
        <v>180</v>
      </c>
    </row>
    <row r="884" spans="1:23">
      <c r="A884" s="93" t="str">
        <f>TEXT(tblProjectlist[[#This Row],[project-no]],"0")</f>
        <v>99963428</v>
      </c>
      <c r="H884" s="91">
        <v>7534</v>
      </c>
      <c r="I884" s="91">
        <v>2</v>
      </c>
      <c r="J884" s="91">
        <v>2</v>
      </c>
      <c r="K884" s="91" t="s">
        <v>1755</v>
      </c>
      <c r="L884" s="91" t="s">
        <v>2175</v>
      </c>
      <c r="M884" s="91" t="s">
        <v>4</v>
      </c>
      <c r="Q884" s="91"/>
      <c r="S884" s="91" t="s">
        <v>143</v>
      </c>
      <c r="T884" s="91" t="s">
        <v>2879</v>
      </c>
      <c r="W884" s="91" t="s">
        <v>180</v>
      </c>
    </row>
    <row r="885" spans="1:23">
      <c r="A885" s="93" t="str">
        <f>TEXT(tblProjectlist[[#This Row],[project-no]],"0")</f>
        <v>0</v>
      </c>
      <c r="H885" s="91">
        <v>8807</v>
      </c>
      <c r="I885" s="91">
        <v>2</v>
      </c>
      <c r="J885" s="91">
        <v>4</v>
      </c>
      <c r="K885" s="91"/>
      <c r="L885" s="91" t="s">
        <v>58</v>
      </c>
      <c r="M885" s="91" t="s">
        <v>1</v>
      </c>
      <c r="Q885" s="91"/>
      <c r="S885" s="91" t="s">
        <v>143</v>
      </c>
      <c r="T885" s="91" t="s">
        <v>3824</v>
      </c>
      <c r="V885" s="91" t="s">
        <v>163</v>
      </c>
      <c r="W885" s="91" t="s">
        <v>180</v>
      </c>
    </row>
    <row r="886" spans="1:23">
      <c r="A886" s="93" t="str">
        <f>TEXT(tblProjectlist[[#This Row],[project-no]],"0")</f>
        <v>0</v>
      </c>
      <c r="H886" s="91">
        <v>8807</v>
      </c>
      <c r="I886" s="91">
        <v>3</v>
      </c>
      <c r="J886" s="91">
        <v>4</v>
      </c>
      <c r="K886" s="91"/>
      <c r="L886" s="91" t="s">
        <v>58</v>
      </c>
      <c r="M886" s="91" t="s">
        <v>1</v>
      </c>
      <c r="Q886" s="91"/>
      <c r="S886" s="91" t="s">
        <v>143</v>
      </c>
      <c r="T886" s="91" t="s">
        <v>4210</v>
      </c>
      <c r="V886" s="91" t="s">
        <v>163</v>
      </c>
      <c r="W886" s="91" t="s">
        <v>180</v>
      </c>
    </row>
    <row r="887" spans="1:23">
      <c r="A887" s="93" t="str">
        <f>TEXT(tblProjectlist[[#This Row],[project-no]],"0")</f>
        <v>0</v>
      </c>
      <c r="H887" s="91">
        <v>8807</v>
      </c>
      <c r="I887" s="91">
        <v>3</v>
      </c>
      <c r="J887" s="91">
        <v>4</v>
      </c>
      <c r="K887" s="91"/>
      <c r="L887" s="91" t="s">
        <v>58</v>
      </c>
      <c r="M887" s="91" t="s">
        <v>1</v>
      </c>
      <c r="Q887" s="91"/>
      <c r="S887" s="91" t="s">
        <v>143</v>
      </c>
      <c r="T887" s="91" t="s">
        <v>4210</v>
      </c>
      <c r="V887" s="91" t="s">
        <v>164</v>
      </c>
      <c r="W887" s="91" t="s">
        <v>180</v>
      </c>
    </row>
    <row r="888" spans="1:23">
      <c r="A888" s="93" t="str">
        <f>TEXT(tblProjectlist[[#This Row],[project-no]],"0")</f>
        <v>0</v>
      </c>
      <c r="H888" s="91">
        <v>8807</v>
      </c>
      <c r="I888" s="91">
        <v>3</v>
      </c>
      <c r="J888" s="91">
        <v>4</v>
      </c>
      <c r="K888" s="91"/>
      <c r="L888" s="91" t="s">
        <v>58</v>
      </c>
      <c r="M888" s="91" t="s">
        <v>1</v>
      </c>
      <c r="Q888" s="91"/>
      <c r="S888" s="91" t="s">
        <v>143</v>
      </c>
      <c r="T888" s="91" t="s">
        <v>4210</v>
      </c>
      <c r="V888" s="91" t="s">
        <v>160</v>
      </c>
      <c r="W888" s="91" t="s">
        <v>180</v>
      </c>
    </row>
    <row r="889" spans="1:23">
      <c r="A889" s="93" t="str">
        <f>TEXT(tblProjectlist[[#This Row],[project-no]],"0")</f>
        <v>0</v>
      </c>
      <c r="H889" s="91">
        <v>8807</v>
      </c>
      <c r="I889" s="91">
        <v>3</v>
      </c>
      <c r="J889" s="91">
        <v>4</v>
      </c>
      <c r="K889" s="91"/>
      <c r="L889" s="91" t="s">
        <v>58</v>
      </c>
      <c r="M889" s="91" t="s">
        <v>1</v>
      </c>
      <c r="Q889" s="91"/>
      <c r="S889" s="91" t="s">
        <v>143</v>
      </c>
      <c r="T889" s="91" t="s">
        <v>4210</v>
      </c>
      <c r="V889" s="91" t="s">
        <v>162</v>
      </c>
      <c r="W889" s="91" t="s">
        <v>180</v>
      </c>
    </row>
    <row r="890" spans="1:23">
      <c r="A890" s="93" t="str">
        <f>TEXT(tblProjectlist[[#This Row],[project-no]],"0")</f>
        <v>99633111</v>
      </c>
      <c r="H890" s="91">
        <v>9963</v>
      </c>
      <c r="I890" s="91">
        <v>31</v>
      </c>
      <c r="J890" s="91">
        <v>1</v>
      </c>
      <c r="K890" s="91" t="s">
        <v>1332</v>
      </c>
      <c r="L890" s="91" t="s">
        <v>2175</v>
      </c>
      <c r="M890" s="91" t="s">
        <v>0</v>
      </c>
      <c r="Q890" s="91"/>
      <c r="S890" s="91" t="s">
        <v>143</v>
      </c>
      <c r="T890" s="91" t="s">
        <v>3169</v>
      </c>
      <c r="V890" s="91" t="s">
        <v>169</v>
      </c>
      <c r="W890" s="91" t="s">
        <v>180</v>
      </c>
    </row>
    <row r="891" spans="1:23">
      <c r="A891" s="93" t="str">
        <f>TEXT(tblProjectlist[[#This Row],[project-no]],"0")</f>
        <v>99633213</v>
      </c>
      <c r="H891" s="91">
        <v>9963</v>
      </c>
      <c r="I891" s="91">
        <v>32</v>
      </c>
      <c r="J891" s="91">
        <v>1</v>
      </c>
      <c r="K891" s="91" t="s">
        <v>1333</v>
      </c>
      <c r="L891" s="91" t="s">
        <v>2175</v>
      </c>
      <c r="M891" s="91" t="s">
        <v>0</v>
      </c>
      <c r="Q891" s="91"/>
      <c r="S891" s="91" t="s">
        <v>143</v>
      </c>
      <c r="T891" s="91" t="s">
        <v>3170</v>
      </c>
      <c r="V891" s="91" t="s">
        <v>167</v>
      </c>
      <c r="W891" s="91" t="s">
        <v>180</v>
      </c>
    </row>
    <row r="892" spans="1:23">
      <c r="A892" s="93" t="str">
        <f>TEXT(tblProjectlist[[#This Row],[project-no]],"0")</f>
        <v>99633313</v>
      </c>
      <c r="H892" s="91">
        <v>9963</v>
      </c>
      <c r="I892" s="91">
        <v>33</v>
      </c>
      <c r="J892" s="91">
        <v>1</v>
      </c>
      <c r="K892" s="91" t="s">
        <v>1334</v>
      </c>
      <c r="L892" s="91" t="s">
        <v>2175</v>
      </c>
      <c r="M892" s="91" t="s">
        <v>0</v>
      </c>
      <c r="Q892" s="91"/>
      <c r="S892" s="91" t="s">
        <v>143</v>
      </c>
      <c r="T892" s="91" t="s">
        <v>3171</v>
      </c>
      <c r="V892" s="91" t="s">
        <v>167</v>
      </c>
      <c r="W892" s="91" t="s">
        <v>180</v>
      </c>
    </row>
    <row r="893" spans="1:23">
      <c r="A893" s="93" t="str">
        <f>TEXT(tblProjectlist[[#This Row],[project-no]],"0")</f>
        <v>99633411</v>
      </c>
      <c r="H893" s="91">
        <v>9963</v>
      </c>
      <c r="I893" s="91">
        <v>34</v>
      </c>
      <c r="J893" s="91">
        <v>1</v>
      </c>
      <c r="K893" s="91" t="s">
        <v>1335</v>
      </c>
      <c r="L893" s="91" t="s">
        <v>2175</v>
      </c>
      <c r="M893" s="91" t="s">
        <v>0</v>
      </c>
      <c r="Q893" s="91"/>
      <c r="S893" s="91" t="s">
        <v>143</v>
      </c>
      <c r="T893" s="91" t="s">
        <v>3172</v>
      </c>
      <c r="V893" s="91" t="s">
        <v>169</v>
      </c>
      <c r="W893" s="91" t="s">
        <v>180</v>
      </c>
    </row>
    <row r="894" spans="1:23">
      <c r="A894" s="93" t="str">
        <f>TEXT(tblProjectlist[[#This Row],[project-no]],"0")</f>
        <v>99633513</v>
      </c>
      <c r="H894" s="91">
        <v>9963</v>
      </c>
      <c r="I894" s="91">
        <v>35</v>
      </c>
      <c r="J894" s="91">
        <v>1</v>
      </c>
      <c r="K894" s="91" t="s">
        <v>1336</v>
      </c>
      <c r="L894" s="91" t="s">
        <v>2175</v>
      </c>
      <c r="M894" s="91" t="s">
        <v>0</v>
      </c>
      <c r="Q894" s="91"/>
      <c r="S894" s="91" t="s">
        <v>143</v>
      </c>
      <c r="T894" s="91" t="s">
        <v>3173</v>
      </c>
      <c r="V894" s="91" t="s">
        <v>167</v>
      </c>
      <c r="W894" s="91" t="s">
        <v>180</v>
      </c>
    </row>
    <row r="895" spans="1:23">
      <c r="A895" s="93" t="str">
        <f>TEXT(tblProjectlist[[#This Row],[project-no]],"0")</f>
        <v>99633611</v>
      </c>
      <c r="H895" s="91">
        <v>9963</v>
      </c>
      <c r="I895" s="91">
        <v>36</v>
      </c>
      <c r="J895" s="91">
        <v>1</v>
      </c>
      <c r="K895" s="91" t="s">
        <v>1337</v>
      </c>
      <c r="L895" s="91" t="s">
        <v>2175</v>
      </c>
      <c r="M895" s="91" t="s">
        <v>0</v>
      </c>
      <c r="Q895" s="91"/>
      <c r="S895" s="91" t="s">
        <v>143</v>
      </c>
      <c r="T895" s="91" t="s">
        <v>3174</v>
      </c>
      <c r="V895" s="91" t="s">
        <v>169</v>
      </c>
      <c r="W895" s="91" t="s">
        <v>180</v>
      </c>
    </row>
    <row r="896" spans="1:23">
      <c r="A896" s="93" t="str">
        <f>TEXT(tblProjectlist[[#This Row],[project-no]],"0")</f>
        <v>99633711</v>
      </c>
      <c r="H896" s="91">
        <v>9963</v>
      </c>
      <c r="I896" s="91">
        <v>37</v>
      </c>
      <c r="J896" s="91">
        <v>1</v>
      </c>
      <c r="K896" s="91" t="s">
        <v>1338</v>
      </c>
      <c r="L896" s="91" t="s">
        <v>2175</v>
      </c>
      <c r="M896" s="91" t="s">
        <v>0</v>
      </c>
      <c r="Q896" s="91"/>
      <c r="S896" s="91" t="s">
        <v>143</v>
      </c>
      <c r="T896" s="91" t="s">
        <v>3175</v>
      </c>
      <c r="V896" s="91" t="s">
        <v>169</v>
      </c>
      <c r="W896" s="91" t="s">
        <v>180</v>
      </c>
    </row>
    <row r="897" spans="1:23">
      <c r="A897" s="93" t="str">
        <f>TEXT(tblProjectlist[[#This Row],[project-no]],"0")</f>
        <v>99633716</v>
      </c>
      <c r="H897" s="91">
        <v>9963</v>
      </c>
      <c r="I897" s="91">
        <v>37</v>
      </c>
      <c r="J897" s="91">
        <v>1</v>
      </c>
      <c r="K897" s="91" t="s">
        <v>1339</v>
      </c>
      <c r="L897" s="91" t="s">
        <v>2175</v>
      </c>
      <c r="M897" s="91" t="s">
        <v>0</v>
      </c>
      <c r="Q897" s="91"/>
      <c r="S897" s="91" t="s">
        <v>143</v>
      </c>
      <c r="T897" s="91" t="s">
        <v>3175</v>
      </c>
      <c r="V897" s="91" t="s">
        <v>168</v>
      </c>
      <c r="W897" s="91" t="s">
        <v>180</v>
      </c>
    </row>
    <row r="898" spans="1:23">
      <c r="A898" s="93" t="str">
        <f>TEXT(tblProjectlist[[#This Row],[project-no]],"0")</f>
        <v>99634013</v>
      </c>
      <c r="H898" s="91">
        <v>9963</v>
      </c>
      <c r="I898" s="91">
        <v>40</v>
      </c>
      <c r="J898" s="91">
        <v>1</v>
      </c>
      <c r="K898" s="91" t="s">
        <v>1343</v>
      </c>
      <c r="L898" s="91" t="s">
        <v>2175</v>
      </c>
      <c r="M898" s="91" t="s">
        <v>0</v>
      </c>
      <c r="Q898" s="91"/>
      <c r="S898" s="91" t="s">
        <v>143</v>
      </c>
      <c r="T898" s="91" t="s">
        <v>3176</v>
      </c>
      <c r="V898" s="91" t="s">
        <v>167</v>
      </c>
      <c r="W898" s="91" t="s">
        <v>180</v>
      </c>
    </row>
    <row r="899" spans="1:23">
      <c r="A899" s="93" t="str">
        <f>TEXT(tblProjectlist[[#This Row],[project-no]],"0")</f>
        <v>99634111</v>
      </c>
      <c r="H899" s="91">
        <v>9963</v>
      </c>
      <c r="I899" s="91">
        <v>41</v>
      </c>
      <c r="J899" s="91">
        <v>1</v>
      </c>
      <c r="K899" s="91" t="s">
        <v>1344</v>
      </c>
      <c r="L899" s="91" t="s">
        <v>2175</v>
      </c>
      <c r="M899" s="91" t="s">
        <v>0</v>
      </c>
      <c r="Q899" s="91"/>
      <c r="S899" s="91" t="s">
        <v>143</v>
      </c>
      <c r="T899" s="91" t="s">
        <v>3177</v>
      </c>
      <c r="V899" s="91" t="s">
        <v>169</v>
      </c>
      <c r="W899" s="91" t="s">
        <v>180</v>
      </c>
    </row>
    <row r="900" spans="1:23">
      <c r="A900" s="93" t="str">
        <f>TEXT(tblProjectlist[[#This Row],[project-no]],"0")</f>
        <v>60600128</v>
      </c>
      <c r="H900" s="91">
        <v>6060</v>
      </c>
      <c r="I900" s="91">
        <v>1</v>
      </c>
      <c r="J900" s="91">
        <v>2</v>
      </c>
      <c r="K900" s="91" t="s">
        <v>809</v>
      </c>
      <c r="L900" s="91" t="s">
        <v>2175</v>
      </c>
      <c r="M900" s="91" t="s">
        <v>4</v>
      </c>
      <c r="Q900" s="91"/>
      <c r="S900" s="91" t="s">
        <v>143</v>
      </c>
      <c r="T900" s="91" t="s">
        <v>2697</v>
      </c>
      <c r="V900" s="91" t="s">
        <v>155</v>
      </c>
      <c r="W900" s="91" t="s">
        <v>180</v>
      </c>
    </row>
    <row r="901" spans="1:23">
      <c r="A901" s="93" t="str">
        <f>TEXT(tblProjectlist[[#This Row],[project-no]],"0")</f>
        <v>60600228</v>
      </c>
      <c r="H901" s="91">
        <v>6060</v>
      </c>
      <c r="I901" s="91">
        <v>2</v>
      </c>
      <c r="J901" s="91">
        <v>2</v>
      </c>
      <c r="K901" s="91" t="s">
        <v>810</v>
      </c>
      <c r="L901" s="91" t="s">
        <v>2175</v>
      </c>
      <c r="M901" s="91" t="s">
        <v>4</v>
      </c>
      <c r="Q901" s="91"/>
      <c r="S901" s="91" t="s">
        <v>143</v>
      </c>
      <c r="T901" s="91" t="s">
        <v>2698</v>
      </c>
      <c r="V901" s="91" t="s">
        <v>155</v>
      </c>
      <c r="W901" s="91" t="s">
        <v>180</v>
      </c>
    </row>
    <row r="902" spans="1:23">
      <c r="A902" s="93" t="str">
        <f>TEXT(tblProjectlist[[#This Row],[project-no]],"0")</f>
        <v>60600328</v>
      </c>
      <c r="H902" s="91">
        <v>6060</v>
      </c>
      <c r="I902" s="91">
        <v>3</v>
      </c>
      <c r="J902" s="91">
        <v>2</v>
      </c>
      <c r="K902" s="91" t="s">
        <v>811</v>
      </c>
      <c r="L902" s="91" t="s">
        <v>2175</v>
      </c>
      <c r="M902" s="91" t="s">
        <v>4</v>
      </c>
      <c r="Q902" s="91"/>
      <c r="S902" s="91" t="s">
        <v>143</v>
      </c>
      <c r="T902" s="91" t="s">
        <v>2699</v>
      </c>
      <c r="V902" s="91" t="s">
        <v>155</v>
      </c>
      <c r="W902" s="91" t="s">
        <v>180</v>
      </c>
    </row>
    <row r="903" spans="1:23">
      <c r="A903" s="93" t="str">
        <f>TEXT(tblProjectlist[[#This Row],[project-no]],"0")</f>
        <v>0</v>
      </c>
      <c r="H903" s="91">
        <v>6649</v>
      </c>
      <c r="I903" s="91">
        <v>10</v>
      </c>
      <c r="J903" s="91">
        <v>2</v>
      </c>
      <c r="K903" s="91"/>
      <c r="L903" s="91" t="s">
        <v>2175</v>
      </c>
      <c r="M903" s="91" t="s">
        <v>4</v>
      </c>
      <c r="Q903" s="91"/>
      <c r="S903" s="91" t="s">
        <v>143</v>
      </c>
      <c r="T903" s="91" t="s">
        <v>4559</v>
      </c>
      <c r="V903" s="91" t="s">
        <v>155</v>
      </c>
      <c r="W903" s="91" t="s">
        <v>180</v>
      </c>
    </row>
    <row r="904" spans="1:23">
      <c r="A904" s="93" t="str">
        <f>TEXT(tblProjectlist[[#This Row],[project-no]],"0")</f>
        <v>0</v>
      </c>
      <c r="H904" s="91">
        <v>6649</v>
      </c>
      <c r="I904" s="91">
        <v>11</v>
      </c>
      <c r="J904" s="91">
        <v>2</v>
      </c>
      <c r="K904" s="91"/>
      <c r="L904" s="91" t="s">
        <v>2175</v>
      </c>
      <c r="M904" s="91" t="s">
        <v>4</v>
      </c>
      <c r="Q904" s="91"/>
      <c r="S904" s="91" t="s">
        <v>143</v>
      </c>
      <c r="T904" s="91" t="s">
        <v>4560</v>
      </c>
      <c r="V904" s="91" t="s">
        <v>156</v>
      </c>
      <c r="W904" s="91" t="s">
        <v>180</v>
      </c>
    </row>
    <row r="905" spans="1:23">
      <c r="A905" s="93" t="str">
        <f>TEXT(tblProjectlist[[#This Row],[project-no]],"0")</f>
        <v>99847011</v>
      </c>
      <c r="H905" s="91">
        <v>9985</v>
      </c>
      <c r="I905" s="91">
        <v>16</v>
      </c>
      <c r="J905" s="91">
        <v>1</v>
      </c>
      <c r="K905" s="91" t="s">
        <v>1358</v>
      </c>
      <c r="L905" s="91" t="s">
        <v>197</v>
      </c>
      <c r="M905" s="91" t="s">
        <v>0</v>
      </c>
      <c r="Q905" s="91"/>
      <c r="S905" s="91" t="s">
        <v>143</v>
      </c>
      <c r="T905" s="91" t="s">
        <v>3188</v>
      </c>
      <c r="V905" s="91" t="s">
        <v>169</v>
      </c>
      <c r="W905" s="91" t="s">
        <v>180</v>
      </c>
    </row>
    <row r="906" spans="1:23">
      <c r="A906" s="93" t="str">
        <f>TEXT(tblProjectlist[[#This Row],[project-no]],"0")</f>
        <v>99847111</v>
      </c>
      <c r="H906" s="91">
        <v>9985</v>
      </c>
      <c r="I906" s="91">
        <v>17</v>
      </c>
      <c r="J906" s="91">
        <v>1</v>
      </c>
      <c r="K906" s="91" t="s">
        <v>1359</v>
      </c>
      <c r="L906" s="91" t="s">
        <v>197</v>
      </c>
      <c r="M906" s="91" t="s">
        <v>0</v>
      </c>
      <c r="Q906" s="91"/>
      <c r="S906" s="91" t="s">
        <v>143</v>
      </c>
      <c r="T906" s="91" t="s">
        <v>3189</v>
      </c>
      <c r="V906" s="91" t="s">
        <v>169</v>
      </c>
      <c r="W906" s="91" t="s">
        <v>180</v>
      </c>
    </row>
    <row r="907" spans="1:23">
      <c r="A907" s="93" t="str">
        <f>TEXT(tblProjectlist[[#This Row],[project-no]],"0")</f>
        <v>99851611</v>
      </c>
      <c r="H907" s="91">
        <v>9985</v>
      </c>
      <c r="I907" s="91">
        <v>16</v>
      </c>
      <c r="J907" s="91">
        <v>1</v>
      </c>
      <c r="K907" s="91" t="s">
        <v>1368</v>
      </c>
      <c r="L907" s="91" t="s">
        <v>197</v>
      </c>
      <c r="M907" s="91" t="s">
        <v>0</v>
      </c>
      <c r="Q907" s="91"/>
      <c r="S907" s="91" t="s">
        <v>143</v>
      </c>
      <c r="T907" s="91" t="s">
        <v>3188</v>
      </c>
      <c r="V907" s="91" t="s">
        <v>169</v>
      </c>
      <c r="W907" s="91" t="s">
        <v>180</v>
      </c>
    </row>
    <row r="908" spans="1:23">
      <c r="A908" s="93" t="str">
        <f>TEXT(tblProjectlist[[#This Row],[project-no]],"0")</f>
        <v>99851711</v>
      </c>
      <c r="H908" s="91">
        <v>9985</v>
      </c>
      <c r="I908" s="91">
        <v>17</v>
      </c>
      <c r="J908" s="91">
        <v>1</v>
      </c>
      <c r="K908" s="91" t="s">
        <v>1369</v>
      </c>
      <c r="L908" s="91" t="s">
        <v>197</v>
      </c>
      <c r="M908" s="91" t="s">
        <v>0</v>
      </c>
      <c r="Q908" s="91"/>
      <c r="S908" s="91" t="s">
        <v>143</v>
      </c>
      <c r="T908" s="91" t="s">
        <v>3189</v>
      </c>
      <c r="V908" s="91" t="s">
        <v>169</v>
      </c>
      <c r="W908" s="91" t="s">
        <v>180</v>
      </c>
    </row>
    <row r="909" spans="1:23">
      <c r="A909" s="93" t="str">
        <f>TEXT(tblProjectlist[[#This Row],[project-no]],"0")</f>
        <v>0</v>
      </c>
      <c r="H909" s="91">
        <v>6415</v>
      </c>
      <c r="I909" s="91">
        <v>3</v>
      </c>
      <c r="J909" s="91">
        <v>2</v>
      </c>
      <c r="K909" s="91"/>
      <c r="L909" s="91" t="s">
        <v>1749</v>
      </c>
      <c r="M909" s="91" t="s">
        <v>4</v>
      </c>
      <c r="Q909" s="91"/>
      <c r="S909" s="91" t="s">
        <v>143</v>
      </c>
      <c r="T909" s="91" t="s">
        <v>4691</v>
      </c>
      <c r="V909" s="91" t="s">
        <v>155</v>
      </c>
      <c r="W909" s="91" t="s">
        <v>180</v>
      </c>
    </row>
    <row r="910" spans="1:23">
      <c r="A910" s="93" t="str">
        <f>TEXT(tblProjectlist[[#This Row],[project-no]],"0")</f>
        <v>0</v>
      </c>
      <c r="H910" s="91">
        <v>6415</v>
      </c>
      <c r="I910" s="91">
        <v>2</v>
      </c>
      <c r="J910" s="91">
        <v>2</v>
      </c>
      <c r="K910" s="91"/>
      <c r="L910" s="91" t="s">
        <v>1749</v>
      </c>
      <c r="M910" s="91" t="s">
        <v>4</v>
      </c>
      <c r="Q910" s="91"/>
      <c r="S910" s="91" t="s">
        <v>143</v>
      </c>
      <c r="T910" s="91" t="s">
        <v>4643</v>
      </c>
      <c r="V910" s="91" t="s">
        <v>155</v>
      </c>
      <c r="W910" s="91" t="s">
        <v>180</v>
      </c>
    </row>
    <row r="911" spans="1:23">
      <c r="A911" s="93" t="str">
        <f>TEXT(tblProjectlist[[#This Row],[project-no]],"0")</f>
        <v>12010128</v>
      </c>
      <c r="H911" s="91">
        <v>1201</v>
      </c>
      <c r="I911" s="91">
        <v>1</v>
      </c>
      <c r="J911" s="91">
        <v>2</v>
      </c>
      <c r="K911" s="91" t="s">
        <v>232</v>
      </c>
      <c r="L911" s="91" t="s">
        <v>2175</v>
      </c>
      <c r="M911" s="91" t="s">
        <v>4</v>
      </c>
      <c r="Q911" s="91"/>
      <c r="S911" s="91" t="s">
        <v>143</v>
      </c>
      <c r="T911" s="91" t="s">
        <v>2225</v>
      </c>
      <c r="V911" s="91" t="s">
        <v>155</v>
      </c>
      <c r="W911" s="91" t="s">
        <v>180</v>
      </c>
    </row>
    <row r="912" spans="1:23">
      <c r="A912" s="93" t="str">
        <f>TEXT(tblProjectlist[[#This Row],[project-no]],"0")</f>
        <v>12019928</v>
      </c>
      <c r="H912" s="91">
        <v>1201</v>
      </c>
      <c r="I912" s="91">
        <v>99</v>
      </c>
      <c r="J912" s="91">
        <v>2</v>
      </c>
      <c r="K912" s="91">
        <v>12019928</v>
      </c>
      <c r="L912" s="91" t="s">
        <v>2175</v>
      </c>
      <c r="M912" s="91" t="s">
        <v>4</v>
      </c>
      <c r="Q912" s="91"/>
      <c r="S912" s="91" t="s">
        <v>143</v>
      </c>
      <c r="T912" s="91" t="s">
        <v>3643</v>
      </c>
      <c r="V912" s="91" t="s">
        <v>155</v>
      </c>
    </row>
    <row r="913" spans="1:23">
      <c r="A913" s="93" t="str">
        <f>TEXT(tblProjectlist[[#This Row],[project-no]],"0")</f>
        <v>0</v>
      </c>
      <c r="H913" s="91">
        <v>1203</v>
      </c>
      <c r="I913" s="91">
        <v>1</v>
      </c>
      <c r="J913" s="91">
        <v>2</v>
      </c>
      <c r="K913" s="91"/>
      <c r="L913" s="91" t="s">
        <v>2175</v>
      </c>
      <c r="M913" s="91" t="s">
        <v>4</v>
      </c>
      <c r="Q913" s="91"/>
      <c r="S913" s="91" t="s">
        <v>143</v>
      </c>
      <c r="T913" s="91" t="s">
        <v>4692</v>
      </c>
      <c r="V913" s="91" t="s">
        <v>155</v>
      </c>
      <c r="W913" s="91" t="s">
        <v>180</v>
      </c>
    </row>
    <row r="914" spans="1:23">
      <c r="A914" s="93" t="str">
        <f>TEXT(tblProjectlist[[#This Row],[project-no]],"0")</f>
        <v>13328628</v>
      </c>
      <c r="H914" s="91">
        <v>1332</v>
      </c>
      <c r="I914" s="91">
        <v>86</v>
      </c>
      <c r="J914" s="91">
        <v>2</v>
      </c>
      <c r="K914" s="91" t="s">
        <v>285</v>
      </c>
      <c r="L914" s="91" t="s">
        <v>2175</v>
      </c>
      <c r="M914" s="91" t="s">
        <v>4</v>
      </c>
      <c r="Q914" s="91"/>
      <c r="S914" s="91" t="s">
        <v>143</v>
      </c>
      <c r="T914" s="91" t="s">
        <v>2273</v>
      </c>
      <c r="V914" s="91" t="s">
        <v>155</v>
      </c>
      <c r="W914" s="91" t="s">
        <v>180</v>
      </c>
    </row>
    <row r="915" spans="1:23">
      <c r="A915" s="93" t="str">
        <f>TEXT(tblProjectlist[[#This Row],[project-no]],"0")</f>
        <v>13329528</v>
      </c>
      <c r="H915" s="91">
        <v>1332</v>
      </c>
      <c r="I915" s="91">
        <v>95</v>
      </c>
      <c r="J915" s="91">
        <v>2</v>
      </c>
      <c r="K915" s="91" t="s">
        <v>286</v>
      </c>
      <c r="L915" s="91" t="s">
        <v>2175</v>
      </c>
      <c r="M915" s="91" t="s">
        <v>4</v>
      </c>
      <c r="Q915" s="91"/>
      <c r="S915" s="91" t="s">
        <v>143</v>
      </c>
      <c r="T915" s="91" t="s">
        <v>2274</v>
      </c>
      <c r="V915" s="91" t="s">
        <v>155</v>
      </c>
      <c r="W915" s="91" t="s">
        <v>180</v>
      </c>
    </row>
    <row r="916" spans="1:23">
      <c r="A916" s="93" t="str">
        <f>TEXT(tblProjectlist[[#This Row],[project-no]],"0")</f>
        <v>0</v>
      </c>
      <c r="H916" s="91">
        <v>1336</v>
      </c>
      <c r="I916" s="91">
        <v>28</v>
      </c>
      <c r="J916" s="91">
        <v>2</v>
      </c>
      <c r="K916" s="91"/>
      <c r="L916" s="91" t="s">
        <v>2175</v>
      </c>
      <c r="M916" s="91" t="s">
        <v>4</v>
      </c>
      <c r="Q916" s="91"/>
      <c r="S916" s="91" t="s">
        <v>143</v>
      </c>
      <c r="T916" s="91" t="s">
        <v>3645</v>
      </c>
      <c r="V916" s="91" t="s">
        <v>155</v>
      </c>
      <c r="W916" s="91" t="s">
        <v>180</v>
      </c>
    </row>
    <row r="917" spans="1:23">
      <c r="A917" s="93" t="str">
        <f>TEXT(tblProjectlist[[#This Row],[project-no]],"0")</f>
        <v>0</v>
      </c>
      <c r="H917" s="91">
        <v>1336</v>
      </c>
      <c r="I917" s="91">
        <v>29</v>
      </c>
      <c r="J917" s="91">
        <v>2</v>
      </c>
      <c r="K917" s="91"/>
      <c r="L917" s="91" t="s">
        <v>2175</v>
      </c>
      <c r="M917" s="91" t="s">
        <v>4</v>
      </c>
      <c r="Q917" s="91"/>
      <c r="S917" s="91" t="s">
        <v>143</v>
      </c>
      <c r="T917" s="91" t="s">
        <v>3647</v>
      </c>
      <c r="V917" s="91" t="s">
        <v>155</v>
      </c>
      <c r="W917" s="91" t="s">
        <v>180</v>
      </c>
    </row>
    <row r="918" spans="1:23">
      <c r="A918" s="93" t="str">
        <f>TEXT(tblProjectlist[[#This Row],[project-no]],"0")</f>
        <v>0</v>
      </c>
      <c r="H918" s="91">
        <v>1336</v>
      </c>
      <c r="I918" s="91">
        <v>31</v>
      </c>
      <c r="J918" s="91">
        <v>2</v>
      </c>
      <c r="K918" s="91"/>
      <c r="L918" s="91" t="s">
        <v>2175</v>
      </c>
      <c r="M918" s="91" t="s">
        <v>4</v>
      </c>
      <c r="Q918" s="91"/>
      <c r="S918" s="91" t="s">
        <v>143</v>
      </c>
      <c r="T918" s="91" t="s">
        <v>3904</v>
      </c>
      <c r="V918" s="91" t="s">
        <v>155</v>
      </c>
      <c r="W918" s="91" t="s">
        <v>180</v>
      </c>
    </row>
    <row r="919" spans="1:23">
      <c r="A919" s="93" t="str">
        <f>TEXT(tblProjectlist[[#This Row],[project-no]],"0")</f>
        <v>0</v>
      </c>
      <c r="H919" s="91">
        <v>1336</v>
      </c>
      <c r="I919" s="91">
        <v>33</v>
      </c>
      <c r="J919" s="91">
        <v>2</v>
      </c>
      <c r="K919" s="91"/>
      <c r="L919" s="91" t="s">
        <v>2175</v>
      </c>
      <c r="M919" s="91" t="s">
        <v>4</v>
      </c>
      <c r="Q919" s="91"/>
      <c r="S919" s="91" t="s">
        <v>143</v>
      </c>
      <c r="T919" s="91" t="s">
        <v>3986</v>
      </c>
      <c r="V919" s="91" t="s">
        <v>155</v>
      </c>
      <c r="W919" s="91" t="s">
        <v>180</v>
      </c>
    </row>
    <row r="920" spans="1:23">
      <c r="A920" s="93" t="str">
        <f>TEXT(tblProjectlist[[#This Row],[project-no]],"0")</f>
        <v>0</v>
      </c>
      <c r="H920" s="91">
        <v>1336</v>
      </c>
      <c r="I920" s="91">
        <v>34</v>
      </c>
      <c r="J920" s="91">
        <v>2</v>
      </c>
      <c r="K920" s="91"/>
      <c r="L920" s="91" t="s">
        <v>2175</v>
      </c>
      <c r="M920" s="91" t="s">
        <v>4</v>
      </c>
      <c r="Q920" s="91"/>
      <c r="S920" s="91" t="s">
        <v>143</v>
      </c>
      <c r="T920" s="91" t="s">
        <v>4165</v>
      </c>
      <c r="V920" s="91" t="s">
        <v>155</v>
      </c>
      <c r="W920" s="91" t="s">
        <v>180</v>
      </c>
    </row>
    <row r="921" spans="1:23">
      <c r="A921" s="93" t="str">
        <f>TEXT(tblProjectlist[[#This Row],[project-no]],"0")</f>
        <v>0</v>
      </c>
      <c r="H921" s="91">
        <v>1336</v>
      </c>
      <c r="I921" s="91">
        <v>38</v>
      </c>
      <c r="J921" s="91">
        <v>2</v>
      </c>
      <c r="K921" s="91"/>
      <c r="L921" s="91" t="s">
        <v>2175</v>
      </c>
      <c r="M921" s="91" t="s">
        <v>4</v>
      </c>
      <c r="Q921" s="91"/>
      <c r="S921" s="91" t="s">
        <v>143</v>
      </c>
      <c r="T921" s="91" t="s">
        <v>4217</v>
      </c>
      <c r="V921" s="91" t="s">
        <v>155</v>
      </c>
      <c r="W921" s="91" t="s">
        <v>180</v>
      </c>
    </row>
    <row r="922" spans="1:23">
      <c r="A922" s="93" t="str">
        <f>TEXT(tblProjectlist[[#This Row],[project-no]],"0")</f>
        <v>0</v>
      </c>
      <c r="H922" s="91">
        <v>1336</v>
      </c>
      <c r="I922" s="91">
        <v>39</v>
      </c>
      <c r="J922" s="91">
        <v>2</v>
      </c>
      <c r="K922" s="91"/>
      <c r="L922" s="91" t="s">
        <v>2175</v>
      </c>
      <c r="M922" s="91" t="s">
        <v>4</v>
      </c>
      <c r="Q922" s="91"/>
      <c r="S922" s="91" t="s">
        <v>143</v>
      </c>
      <c r="T922" s="91" t="s">
        <v>4218</v>
      </c>
      <c r="V922" s="91" t="s">
        <v>155</v>
      </c>
      <c r="W922" s="91" t="s">
        <v>180</v>
      </c>
    </row>
    <row r="923" spans="1:23">
      <c r="A923" s="93" t="str">
        <f>TEXT(tblProjectlist[[#This Row],[project-no]],"0")</f>
        <v>0</v>
      </c>
      <c r="H923" s="91">
        <v>1336</v>
      </c>
      <c r="I923" s="91">
        <v>40</v>
      </c>
      <c r="J923" s="91">
        <v>2</v>
      </c>
      <c r="K923" s="91"/>
      <c r="L923" s="91" t="s">
        <v>2175</v>
      </c>
      <c r="M923" s="91" t="s">
        <v>4</v>
      </c>
      <c r="Q923" s="91"/>
      <c r="S923" s="91" t="s">
        <v>143</v>
      </c>
      <c r="T923" s="91" t="s">
        <v>4254</v>
      </c>
      <c r="V923" s="91" t="s">
        <v>155</v>
      </c>
      <c r="W923" s="91" t="s">
        <v>180</v>
      </c>
    </row>
    <row r="924" spans="1:23">
      <c r="A924" s="93" t="str">
        <f>TEXT(tblProjectlist[[#This Row],[project-no]],"0")</f>
        <v>0</v>
      </c>
      <c r="H924" s="91">
        <v>1336</v>
      </c>
      <c r="I924" s="91">
        <v>41</v>
      </c>
      <c r="J924" s="91">
        <v>2</v>
      </c>
      <c r="K924" s="91"/>
      <c r="L924" s="91" t="s">
        <v>2175</v>
      </c>
      <c r="M924" s="91" t="s">
        <v>4</v>
      </c>
      <c r="Q924" s="91"/>
      <c r="S924" s="91" t="s">
        <v>143</v>
      </c>
      <c r="T924" s="91" t="s">
        <v>4394</v>
      </c>
      <c r="V924" s="91" t="s">
        <v>155</v>
      </c>
      <c r="W924" s="91" t="s">
        <v>180</v>
      </c>
    </row>
    <row r="925" spans="1:23">
      <c r="A925" s="93" t="str">
        <f>TEXT(tblProjectlist[[#This Row],[project-no]],"0")</f>
        <v>0</v>
      </c>
      <c r="H925" s="91">
        <v>1336</v>
      </c>
      <c r="I925" s="91">
        <v>42</v>
      </c>
      <c r="J925" s="91">
        <v>2</v>
      </c>
      <c r="K925" s="91"/>
      <c r="L925" s="91" t="s">
        <v>2175</v>
      </c>
      <c r="M925" s="91" t="s">
        <v>4</v>
      </c>
      <c r="Q925" s="91"/>
      <c r="S925" s="91" t="s">
        <v>143</v>
      </c>
      <c r="T925" s="91" t="s">
        <v>4395</v>
      </c>
      <c r="V925" s="91" t="s">
        <v>155</v>
      </c>
      <c r="W925" s="91" t="s">
        <v>180</v>
      </c>
    </row>
    <row r="926" spans="1:23">
      <c r="A926" s="93" t="str">
        <f>TEXT(tblProjectlist[[#This Row],[project-no]],"0")</f>
        <v>0</v>
      </c>
      <c r="H926" s="91">
        <v>1336</v>
      </c>
      <c r="I926" s="91">
        <v>43</v>
      </c>
      <c r="J926" s="91">
        <v>2</v>
      </c>
      <c r="K926" s="91"/>
      <c r="L926" s="91" t="s">
        <v>2175</v>
      </c>
      <c r="M926" s="91" t="s">
        <v>4</v>
      </c>
      <c r="Q926" s="91"/>
      <c r="S926" s="91" t="s">
        <v>143</v>
      </c>
      <c r="T926" s="91" t="s">
        <v>4437</v>
      </c>
      <c r="V926" s="91" t="s">
        <v>155</v>
      </c>
      <c r="W926" s="91" t="s">
        <v>180</v>
      </c>
    </row>
    <row r="927" spans="1:23">
      <c r="A927" s="93" t="str">
        <f>TEXT(tblProjectlist[[#This Row],[project-no]],"0")</f>
        <v>13360128</v>
      </c>
      <c r="H927" s="91">
        <v>1336</v>
      </c>
      <c r="I927" s="91">
        <v>1</v>
      </c>
      <c r="J927" s="91">
        <v>2</v>
      </c>
      <c r="K927" s="91" t="s">
        <v>287</v>
      </c>
      <c r="L927" s="91" t="s">
        <v>2175</v>
      </c>
      <c r="M927" s="91" t="s">
        <v>4</v>
      </c>
      <c r="Q927" s="91"/>
      <c r="S927" s="91" t="s">
        <v>143</v>
      </c>
      <c r="T927" s="91" t="s">
        <v>2275</v>
      </c>
      <c r="V927" s="91" t="s">
        <v>155</v>
      </c>
      <c r="W927" s="91" t="s">
        <v>180</v>
      </c>
    </row>
    <row r="928" spans="1:23">
      <c r="A928" s="93" t="str">
        <f>TEXT(tblProjectlist[[#This Row],[project-no]],"0")</f>
        <v>13360428</v>
      </c>
      <c r="H928" s="91">
        <v>1336</v>
      </c>
      <c r="I928" s="91">
        <v>4</v>
      </c>
      <c r="J928" s="91">
        <v>2</v>
      </c>
      <c r="K928" s="91" t="s">
        <v>288</v>
      </c>
      <c r="L928" s="91" t="s">
        <v>2175</v>
      </c>
      <c r="M928" s="91" t="s">
        <v>4</v>
      </c>
      <c r="Q928" s="91"/>
      <c r="S928" s="91" t="s">
        <v>143</v>
      </c>
      <c r="T928" s="91" t="s">
        <v>2276</v>
      </c>
      <c r="V928" s="91" t="s">
        <v>155</v>
      </c>
      <c r="W928" s="91" t="s">
        <v>180</v>
      </c>
    </row>
    <row r="929" spans="1:23">
      <c r="A929" s="93" t="str">
        <f>TEXT(tblProjectlist[[#This Row],[project-no]],"0")</f>
        <v>13360928</v>
      </c>
      <c r="H929" s="91">
        <v>1336</v>
      </c>
      <c r="I929" s="91">
        <v>9</v>
      </c>
      <c r="J929" s="91">
        <v>2</v>
      </c>
      <c r="K929" s="91" t="s">
        <v>289</v>
      </c>
      <c r="L929" s="91" t="s">
        <v>2175</v>
      </c>
      <c r="M929" s="91" t="s">
        <v>4</v>
      </c>
      <c r="Q929" s="91"/>
      <c r="S929" s="91" t="s">
        <v>143</v>
      </c>
      <c r="T929" s="91" t="s">
        <v>2277</v>
      </c>
      <c r="V929" s="91" t="s">
        <v>155</v>
      </c>
      <c r="W929" s="91" t="s">
        <v>180</v>
      </c>
    </row>
    <row r="930" spans="1:23">
      <c r="A930" s="93" t="str">
        <f>TEXT(tblProjectlist[[#This Row],[project-no]],"0")</f>
        <v>13361028</v>
      </c>
      <c r="H930" s="91">
        <v>1336</v>
      </c>
      <c r="I930" s="91">
        <v>10</v>
      </c>
      <c r="J930" s="91">
        <v>2</v>
      </c>
      <c r="K930" s="91" t="s">
        <v>290</v>
      </c>
      <c r="L930" s="91" t="s">
        <v>2175</v>
      </c>
      <c r="M930" s="91" t="s">
        <v>4</v>
      </c>
      <c r="Q930" s="91"/>
      <c r="S930" s="91" t="s">
        <v>143</v>
      </c>
      <c r="T930" s="91" t="s">
        <v>2278</v>
      </c>
      <c r="V930" s="91" t="s">
        <v>155</v>
      </c>
      <c r="W930" s="91" t="s">
        <v>180</v>
      </c>
    </row>
    <row r="931" spans="1:23">
      <c r="A931" s="93" t="str">
        <f>TEXT(tblProjectlist[[#This Row],[project-no]],"0")</f>
        <v>13361128</v>
      </c>
      <c r="H931" s="91">
        <v>1336</v>
      </c>
      <c r="I931" s="91">
        <v>11</v>
      </c>
      <c r="J931" s="91">
        <v>2</v>
      </c>
      <c r="K931" s="91" t="s">
        <v>291</v>
      </c>
      <c r="L931" s="91" t="s">
        <v>2175</v>
      </c>
      <c r="M931" s="91" t="s">
        <v>4</v>
      </c>
      <c r="Q931" s="91"/>
      <c r="S931" s="91" t="s">
        <v>143</v>
      </c>
      <c r="T931" s="91" t="s">
        <v>2279</v>
      </c>
      <c r="V931" s="91" t="s">
        <v>155</v>
      </c>
      <c r="W931" s="91" t="s">
        <v>180</v>
      </c>
    </row>
    <row r="932" spans="1:23">
      <c r="A932" s="93" t="str">
        <f>TEXT(tblProjectlist[[#This Row],[project-no]],"0")</f>
        <v>13361228</v>
      </c>
      <c r="H932" s="91">
        <v>1336</v>
      </c>
      <c r="I932" s="91">
        <v>12</v>
      </c>
      <c r="J932" s="91">
        <v>2</v>
      </c>
      <c r="K932" s="91" t="s">
        <v>292</v>
      </c>
      <c r="L932" s="91" t="s">
        <v>2175</v>
      </c>
      <c r="M932" s="91" t="s">
        <v>4</v>
      </c>
      <c r="Q932" s="91"/>
      <c r="S932" s="91" t="s">
        <v>143</v>
      </c>
      <c r="T932" s="91" t="s">
        <v>2280</v>
      </c>
      <c r="V932" s="91" t="s">
        <v>155</v>
      </c>
      <c r="W932" s="91" t="s">
        <v>180</v>
      </c>
    </row>
    <row r="933" spans="1:23">
      <c r="A933" s="93" t="str">
        <f>TEXT(tblProjectlist[[#This Row],[project-no]],"0")</f>
        <v>13361328</v>
      </c>
      <c r="H933" s="91">
        <v>1336</v>
      </c>
      <c r="I933" s="91">
        <v>13</v>
      </c>
      <c r="J933" s="91">
        <v>2</v>
      </c>
      <c r="K933" s="91" t="s">
        <v>293</v>
      </c>
      <c r="L933" s="91" t="s">
        <v>2175</v>
      </c>
      <c r="M933" s="91" t="s">
        <v>4</v>
      </c>
      <c r="Q933" s="91"/>
      <c r="S933" s="91" t="s">
        <v>143</v>
      </c>
      <c r="T933" s="91" t="s">
        <v>2281</v>
      </c>
      <c r="V933" s="91" t="s">
        <v>155</v>
      </c>
      <c r="W933" s="91" t="s">
        <v>180</v>
      </c>
    </row>
    <row r="934" spans="1:23">
      <c r="A934" s="93" t="str">
        <f>TEXT(tblProjectlist[[#This Row],[project-no]],"0")</f>
        <v>13361428</v>
      </c>
      <c r="H934" s="91">
        <v>1336</v>
      </c>
      <c r="I934" s="91">
        <v>14</v>
      </c>
      <c r="J934" s="91">
        <v>2</v>
      </c>
      <c r="K934" s="91" t="s">
        <v>294</v>
      </c>
      <c r="L934" s="91" t="s">
        <v>2175</v>
      </c>
      <c r="M934" s="91" t="s">
        <v>4</v>
      </c>
      <c r="Q934" s="91"/>
      <c r="S934" s="91" t="s">
        <v>143</v>
      </c>
      <c r="T934" s="91" t="s">
        <v>2282</v>
      </c>
      <c r="V934" s="91" t="s">
        <v>155</v>
      </c>
      <c r="W934" s="91" t="s">
        <v>180</v>
      </c>
    </row>
    <row r="935" spans="1:23">
      <c r="A935" s="93" t="str">
        <f>TEXT(tblProjectlist[[#This Row],[project-no]],"0")</f>
        <v>13361528</v>
      </c>
      <c r="H935" s="91">
        <v>1336</v>
      </c>
      <c r="I935" s="91">
        <v>15</v>
      </c>
      <c r="J935" s="91">
        <v>2</v>
      </c>
      <c r="K935" s="91" t="s">
        <v>295</v>
      </c>
      <c r="L935" s="91" t="s">
        <v>2175</v>
      </c>
      <c r="M935" s="91" t="s">
        <v>4</v>
      </c>
      <c r="Q935" s="91"/>
      <c r="S935" s="91" t="s">
        <v>143</v>
      </c>
      <c r="T935" s="91" t="s">
        <v>2283</v>
      </c>
      <c r="V935" s="91" t="s">
        <v>155</v>
      </c>
      <c r="W935" s="91" t="s">
        <v>180</v>
      </c>
    </row>
    <row r="936" spans="1:23">
      <c r="A936" s="93" t="str">
        <f>TEXT(tblProjectlist[[#This Row],[project-no]],"0")</f>
        <v>13361628</v>
      </c>
      <c r="H936" s="91">
        <v>1336</v>
      </c>
      <c r="I936" s="91">
        <v>16</v>
      </c>
      <c r="J936" s="91">
        <v>2</v>
      </c>
      <c r="K936" s="91" t="s">
        <v>296</v>
      </c>
      <c r="L936" s="91" t="s">
        <v>2175</v>
      </c>
      <c r="M936" s="91" t="s">
        <v>4</v>
      </c>
      <c r="Q936" s="91"/>
      <c r="S936" s="91" t="s">
        <v>143</v>
      </c>
      <c r="T936" s="91" t="s">
        <v>2284</v>
      </c>
      <c r="V936" s="91" t="s">
        <v>155</v>
      </c>
      <c r="W936" s="91" t="s">
        <v>180</v>
      </c>
    </row>
    <row r="937" spans="1:23">
      <c r="A937" s="93" t="str">
        <f>TEXT(tblProjectlist[[#This Row],[project-no]],"0")</f>
        <v>13361728</v>
      </c>
      <c r="H937" s="91">
        <v>1336</v>
      </c>
      <c r="I937" s="91">
        <v>17</v>
      </c>
      <c r="J937" s="91">
        <v>2</v>
      </c>
      <c r="K937" s="91" t="s">
        <v>297</v>
      </c>
      <c r="L937" s="91" t="s">
        <v>2175</v>
      </c>
      <c r="M937" s="91" t="s">
        <v>4</v>
      </c>
      <c r="Q937" s="91"/>
      <c r="S937" s="91" t="s">
        <v>143</v>
      </c>
      <c r="T937" s="91" t="s">
        <v>2285</v>
      </c>
      <c r="V937" s="91" t="s">
        <v>155</v>
      </c>
      <c r="W937" s="91" t="s">
        <v>180</v>
      </c>
    </row>
    <row r="938" spans="1:23">
      <c r="A938" s="93" t="str">
        <f>TEXT(tblProjectlist[[#This Row],[project-no]],"0")</f>
        <v>13361828</v>
      </c>
      <c r="H938" s="91">
        <v>1336</v>
      </c>
      <c r="I938" s="91">
        <v>18</v>
      </c>
      <c r="J938" s="91">
        <v>2</v>
      </c>
      <c r="K938" s="91" t="s">
        <v>298</v>
      </c>
      <c r="L938" s="91" t="s">
        <v>2175</v>
      </c>
      <c r="M938" s="91" t="s">
        <v>4</v>
      </c>
      <c r="Q938" s="91"/>
      <c r="S938" s="91" t="s">
        <v>143</v>
      </c>
      <c r="T938" s="91" t="s">
        <v>2286</v>
      </c>
      <c r="V938" s="91" t="s">
        <v>155</v>
      </c>
      <c r="W938" s="91" t="s">
        <v>180</v>
      </c>
    </row>
    <row r="939" spans="1:23">
      <c r="A939" s="93" t="str">
        <f>TEXT(tblProjectlist[[#This Row],[project-no]],"0")</f>
        <v>13361928</v>
      </c>
      <c r="H939" s="91">
        <v>1336</v>
      </c>
      <c r="I939" s="91">
        <v>19</v>
      </c>
      <c r="J939" s="91">
        <v>2</v>
      </c>
      <c r="K939" s="91" t="s">
        <v>299</v>
      </c>
      <c r="L939" s="91" t="s">
        <v>2175</v>
      </c>
      <c r="M939" s="91" t="s">
        <v>4</v>
      </c>
      <c r="Q939" s="91"/>
      <c r="S939" s="91" t="s">
        <v>143</v>
      </c>
      <c r="T939" s="91" t="s">
        <v>2287</v>
      </c>
      <c r="V939" s="91" t="s">
        <v>155</v>
      </c>
      <c r="W939" s="91" t="s">
        <v>180</v>
      </c>
    </row>
    <row r="940" spans="1:23">
      <c r="A940" s="93" t="str">
        <f>TEXT(tblProjectlist[[#This Row],[project-no]],"0")</f>
        <v>13362028</v>
      </c>
      <c r="H940" s="91">
        <v>1336</v>
      </c>
      <c r="I940" s="91">
        <v>20</v>
      </c>
      <c r="J940" s="91">
        <v>2</v>
      </c>
      <c r="K940" s="91" t="s">
        <v>300</v>
      </c>
      <c r="L940" s="91" t="s">
        <v>2175</v>
      </c>
      <c r="M940" s="91" t="s">
        <v>4</v>
      </c>
      <c r="Q940" s="91"/>
      <c r="S940" s="91" t="s">
        <v>143</v>
      </c>
      <c r="T940" s="91" t="s">
        <v>2288</v>
      </c>
      <c r="V940" s="91" t="s">
        <v>155</v>
      </c>
      <c r="W940" s="91" t="s">
        <v>180</v>
      </c>
    </row>
    <row r="941" spans="1:23">
      <c r="A941" s="93" t="str">
        <f>TEXT(tblProjectlist[[#This Row],[project-no]],"0")</f>
        <v>13362128</v>
      </c>
      <c r="H941" s="91">
        <v>1336</v>
      </c>
      <c r="I941" s="91">
        <v>21</v>
      </c>
      <c r="J941" s="91">
        <v>2</v>
      </c>
      <c r="K941" s="91" t="s">
        <v>301</v>
      </c>
      <c r="L941" s="91" t="s">
        <v>2175</v>
      </c>
      <c r="M941" s="91" t="s">
        <v>4</v>
      </c>
      <c r="Q941" s="91"/>
      <c r="S941" s="91" t="s">
        <v>143</v>
      </c>
      <c r="T941" s="91" t="s">
        <v>2289</v>
      </c>
      <c r="V941" s="91" t="s">
        <v>155</v>
      </c>
      <c r="W941" s="91" t="s">
        <v>180</v>
      </c>
    </row>
    <row r="942" spans="1:23">
      <c r="A942" s="93" t="str">
        <f>TEXT(tblProjectlist[[#This Row],[project-no]],"0")</f>
        <v>13362228</v>
      </c>
      <c r="H942" s="91">
        <v>1336</v>
      </c>
      <c r="I942" s="91">
        <v>22</v>
      </c>
      <c r="J942" s="91">
        <v>2</v>
      </c>
      <c r="K942" s="91" t="s">
        <v>302</v>
      </c>
      <c r="L942" s="91" t="s">
        <v>2175</v>
      </c>
      <c r="M942" s="91" t="s">
        <v>4</v>
      </c>
      <c r="Q942" s="91"/>
      <c r="S942" s="91" t="s">
        <v>143</v>
      </c>
      <c r="T942" s="91" t="s">
        <v>2290</v>
      </c>
      <c r="V942" s="91" t="s">
        <v>155</v>
      </c>
      <c r="W942" s="91" t="s">
        <v>180</v>
      </c>
    </row>
    <row r="943" spans="1:23">
      <c r="A943" s="93" t="str">
        <f>TEXT(tblProjectlist[[#This Row],[project-no]],"0")</f>
        <v>13362328</v>
      </c>
      <c r="H943" s="91">
        <v>1336</v>
      </c>
      <c r="I943" s="91">
        <v>23</v>
      </c>
      <c r="J943" s="91">
        <v>2</v>
      </c>
      <c r="K943" s="91" t="s">
        <v>303</v>
      </c>
      <c r="L943" s="91" t="s">
        <v>2175</v>
      </c>
      <c r="M943" s="91" t="s">
        <v>4</v>
      </c>
      <c r="Q943" s="91"/>
      <c r="S943" s="91" t="s">
        <v>143</v>
      </c>
      <c r="T943" s="91" t="s">
        <v>2291</v>
      </c>
      <c r="V943" s="91" t="s">
        <v>155</v>
      </c>
      <c r="W943" s="91" t="s">
        <v>180</v>
      </c>
    </row>
    <row r="944" spans="1:23">
      <c r="A944" s="93" t="str">
        <f>TEXT(tblProjectlist[[#This Row],[project-no]],"0")</f>
        <v>13362428</v>
      </c>
      <c r="H944" s="91">
        <v>1336</v>
      </c>
      <c r="I944" s="91">
        <v>24</v>
      </c>
      <c r="J944" s="91">
        <v>2</v>
      </c>
      <c r="K944" s="91" t="s">
        <v>304</v>
      </c>
      <c r="L944" s="91" t="s">
        <v>2175</v>
      </c>
      <c r="M944" s="91" t="s">
        <v>4</v>
      </c>
      <c r="Q944" s="91"/>
      <c r="S944" s="91" t="s">
        <v>143</v>
      </c>
      <c r="T944" s="91" t="s">
        <v>2292</v>
      </c>
      <c r="V944" s="91" t="s">
        <v>155</v>
      </c>
      <c r="W944" s="91" t="s">
        <v>180</v>
      </c>
    </row>
    <row r="945" spans="1:23">
      <c r="A945" s="93" t="str">
        <f>TEXT(tblProjectlist[[#This Row],[project-no]],"0")</f>
        <v>13362528</v>
      </c>
      <c r="H945" s="91">
        <v>1336</v>
      </c>
      <c r="I945" s="91">
        <v>25</v>
      </c>
      <c r="J945" s="91">
        <v>2</v>
      </c>
      <c r="K945" s="91" t="s">
        <v>305</v>
      </c>
      <c r="L945" s="91" t="s">
        <v>2175</v>
      </c>
      <c r="M945" s="91" t="s">
        <v>4</v>
      </c>
      <c r="Q945" s="91"/>
      <c r="S945" s="91" t="s">
        <v>143</v>
      </c>
      <c r="T945" s="91" t="s">
        <v>2293</v>
      </c>
      <c r="V945" s="91" t="s">
        <v>155</v>
      </c>
      <c r="W945" s="91" t="s">
        <v>180</v>
      </c>
    </row>
    <row r="946" spans="1:23">
      <c r="A946" s="93" t="str">
        <f>TEXT(tblProjectlist[[#This Row],[project-no]],"0")</f>
        <v>13362628</v>
      </c>
      <c r="H946" s="91">
        <v>1336</v>
      </c>
      <c r="I946" s="91">
        <v>26</v>
      </c>
      <c r="J946" s="91">
        <v>2</v>
      </c>
      <c r="K946" s="91" t="s">
        <v>306</v>
      </c>
      <c r="L946" s="91" t="s">
        <v>2175</v>
      </c>
      <c r="M946" s="91" t="s">
        <v>4</v>
      </c>
      <c r="Q946" s="91"/>
      <c r="S946" s="91" t="s">
        <v>143</v>
      </c>
      <c r="T946" s="91" t="s">
        <v>2294</v>
      </c>
      <c r="V946" s="91" t="s">
        <v>155</v>
      </c>
      <c r="W946" s="91" t="s">
        <v>180</v>
      </c>
    </row>
    <row r="947" spans="1:23">
      <c r="A947" s="93" t="str">
        <f>TEXT(tblProjectlist[[#This Row],[project-no]],"0")</f>
        <v>0</v>
      </c>
      <c r="H947" s="91">
        <v>1336</v>
      </c>
      <c r="I947" s="91">
        <v>27</v>
      </c>
      <c r="J947" s="91">
        <v>2</v>
      </c>
      <c r="K947" s="91"/>
      <c r="L947" s="91" t="s">
        <v>2175</v>
      </c>
      <c r="M947" s="91" t="s">
        <v>4</v>
      </c>
      <c r="Q947" s="91"/>
      <c r="S947" s="91" t="s">
        <v>143</v>
      </c>
      <c r="T947" s="91" t="s">
        <v>3646</v>
      </c>
      <c r="V947" s="91" t="s">
        <v>155</v>
      </c>
    </row>
    <row r="948" spans="1:23">
      <c r="A948" s="93" t="str">
        <f>TEXT(tblProjectlist[[#This Row],[project-no]],"0")</f>
        <v>0</v>
      </c>
      <c r="H948" s="91">
        <v>1336</v>
      </c>
      <c r="I948" s="91">
        <v>30</v>
      </c>
      <c r="J948" s="91">
        <v>2</v>
      </c>
      <c r="K948" s="91"/>
      <c r="L948" s="91" t="s">
        <v>2175</v>
      </c>
      <c r="M948" s="91" t="s">
        <v>4</v>
      </c>
      <c r="Q948" s="91"/>
      <c r="S948" s="91" t="s">
        <v>143</v>
      </c>
      <c r="T948" s="91" t="s">
        <v>3761</v>
      </c>
      <c r="V948" s="91" t="s">
        <v>155</v>
      </c>
      <c r="W948" s="91" t="s">
        <v>180</v>
      </c>
    </row>
    <row r="949" spans="1:23">
      <c r="A949" s="93" t="str">
        <f>TEXT(tblProjectlist[[#This Row],[project-no]],"0")</f>
        <v>0</v>
      </c>
      <c r="H949" s="91">
        <v>1336</v>
      </c>
      <c r="I949" s="91">
        <v>32</v>
      </c>
      <c r="J949" s="91">
        <v>2</v>
      </c>
      <c r="K949" s="91"/>
      <c r="L949" s="91" t="s">
        <v>2175</v>
      </c>
      <c r="M949" s="91" t="s">
        <v>4</v>
      </c>
      <c r="Q949" s="91"/>
      <c r="S949" s="91" t="s">
        <v>143</v>
      </c>
      <c r="T949" s="91" t="s">
        <v>3957</v>
      </c>
      <c r="V949" s="91" t="s">
        <v>155</v>
      </c>
      <c r="W949" s="91" t="s">
        <v>180</v>
      </c>
    </row>
    <row r="950" spans="1:23">
      <c r="A950" s="93" t="str">
        <f>TEXT(tblProjectlist[[#This Row],[project-no]],"0")</f>
        <v>0</v>
      </c>
      <c r="H950" s="91">
        <v>1336</v>
      </c>
      <c r="I950" s="91">
        <v>35</v>
      </c>
      <c r="J950" s="91">
        <v>2</v>
      </c>
      <c r="K950" s="91"/>
      <c r="L950" s="91" t="s">
        <v>2175</v>
      </c>
      <c r="M950" s="91" t="s">
        <v>4</v>
      </c>
      <c r="Q950" s="91"/>
      <c r="S950" s="91" t="s">
        <v>143</v>
      </c>
      <c r="T950" s="91" t="s">
        <v>4182</v>
      </c>
      <c r="V950" s="91" t="s">
        <v>155</v>
      </c>
      <c r="W950" s="91" t="s">
        <v>180</v>
      </c>
    </row>
    <row r="951" spans="1:23">
      <c r="A951" s="93" t="str">
        <f>TEXT(tblProjectlist[[#This Row],[project-no]],"0")</f>
        <v>0</v>
      </c>
      <c r="H951" s="91">
        <v>1336</v>
      </c>
      <c r="I951" s="91">
        <v>36</v>
      </c>
      <c r="J951" s="91">
        <v>2</v>
      </c>
      <c r="K951" s="91"/>
      <c r="L951" s="91" t="s">
        <v>2175</v>
      </c>
      <c r="M951" s="91" t="s">
        <v>4</v>
      </c>
      <c r="Q951" s="91"/>
      <c r="S951" s="91" t="s">
        <v>143</v>
      </c>
      <c r="T951" s="91" t="s">
        <v>4183</v>
      </c>
      <c r="V951" s="91" t="s">
        <v>155</v>
      </c>
      <c r="W951" s="91" t="s">
        <v>180</v>
      </c>
    </row>
    <row r="952" spans="1:23">
      <c r="A952" s="93" t="str">
        <f>TEXT(tblProjectlist[[#This Row],[project-no]],"0")</f>
        <v>0</v>
      </c>
      <c r="H952" s="91">
        <v>1336</v>
      </c>
      <c r="I952" s="91">
        <v>37</v>
      </c>
      <c r="J952" s="91">
        <v>2</v>
      </c>
      <c r="K952" s="91"/>
      <c r="L952" s="91" t="s">
        <v>2175</v>
      </c>
      <c r="M952" s="91" t="s">
        <v>4</v>
      </c>
      <c r="Q952" s="91"/>
      <c r="S952" s="91" t="s">
        <v>143</v>
      </c>
      <c r="T952" s="91" t="s">
        <v>4184</v>
      </c>
      <c r="V952" s="91" t="s">
        <v>155</v>
      </c>
      <c r="W952" s="91" t="s">
        <v>180</v>
      </c>
    </row>
    <row r="953" spans="1:23">
      <c r="A953" s="93" t="str">
        <f>TEXT(tblProjectlist[[#This Row],[project-no]],"0")</f>
        <v>0</v>
      </c>
      <c r="H953" s="91">
        <v>6664</v>
      </c>
      <c r="I953" s="91">
        <v>3</v>
      </c>
      <c r="J953" s="91">
        <v>2</v>
      </c>
      <c r="K953" s="91"/>
      <c r="L953" s="91" t="s">
        <v>2175</v>
      </c>
      <c r="M953" s="91" t="s">
        <v>4</v>
      </c>
      <c r="Q953" s="91"/>
      <c r="S953" s="91" t="s">
        <v>143</v>
      </c>
      <c r="T953" s="91" t="s">
        <v>4276</v>
      </c>
      <c r="V953" s="91" t="s">
        <v>155</v>
      </c>
      <c r="W953" s="91" t="s">
        <v>180</v>
      </c>
    </row>
    <row r="954" spans="1:23">
      <c r="A954" s="93" t="str">
        <f>TEXT(tblProjectlist[[#This Row],[project-no]],"0")</f>
        <v>0</v>
      </c>
      <c r="H954" s="91">
        <v>6664</v>
      </c>
      <c r="I954" s="91">
        <v>4</v>
      </c>
      <c r="J954" s="91">
        <v>2</v>
      </c>
      <c r="L954" s="91" t="s">
        <v>2175</v>
      </c>
      <c r="M954" s="91" t="s">
        <v>4</v>
      </c>
      <c r="Q954" s="91"/>
      <c r="S954" s="91" t="s">
        <v>143</v>
      </c>
      <c r="T954" s="91" t="s">
        <v>4296</v>
      </c>
      <c r="V954" s="91" t="s">
        <v>155</v>
      </c>
      <c r="W954" s="91" t="s">
        <v>180</v>
      </c>
    </row>
    <row r="955" spans="1:23">
      <c r="A955" s="93" t="str">
        <f>TEXT(tblProjectlist[[#This Row],[project-no]],"0")</f>
        <v>0</v>
      </c>
      <c r="H955" s="91">
        <v>6665</v>
      </c>
      <c r="I955" s="91">
        <v>1</v>
      </c>
      <c r="J955" s="91">
        <v>2</v>
      </c>
      <c r="L955" s="91" t="s">
        <v>2175</v>
      </c>
      <c r="M955" s="91" t="s">
        <v>4</v>
      </c>
      <c r="Q955" s="91"/>
      <c r="S955" s="91" t="s">
        <v>143</v>
      </c>
      <c r="T955" s="91" t="s">
        <v>4693</v>
      </c>
      <c r="V955" s="91" t="s">
        <v>155</v>
      </c>
      <c r="W955" s="91" t="s">
        <v>180</v>
      </c>
    </row>
    <row r="956" spans="1:23">
      <c r="A956" s="93" t="str">
        <f>TEXT(tblProjectlist[[#This Row],[project-no]],"0")</f>
        <v>0</v>
      </c>
      <c r="H956" s="91">
        <v>6665</v>
      </c>
      <c r="I956" s="91">
        <v>2</v>
      </c>
      <c r="J956" s="91">
        <v>2</v>
      </c>
      <c r="L956" s="91" t="s">
        <v>2175</v>
      </c>
      <c r="M956" s="91" t="s">
        <v>4</v>
      </c>
      <c r="Q956" s="91"/>
      <c r="S956" s="91" t="s">
        <v>143</v>
      </c>
      <c r="T956" s="91" t="s">
        <v>4045</v>
      </c>
      <c r="V956" s="91" t="s">
        <v>155</v>
      </c>
      <c r="W956" s="91" t="s">
        <v>180</v>
      </c>
    </row>
    <row r="957" spans="1:23">
      <c r="A957" s="93" t="str">
        <f>TEXT(tblProjectlist[[#This Row],[project-no]],"0")</f>
        <v>0</v>
      </c>
      <c r="H957" s="91">
        <v>6670</v>
      </c>
      <c r="I957" s="91">
        <v>2</v>
      </c>
      <c r="J957" s="91">
        <v>2</v>
      </c>
      <c r="L957" s="91" t="s">
        <v>2175</v>
      </c>
      <c r="M957" s="91" t="s">
        <v>4</v>
      </c>
      <c r="Q957" s="91"/>
      <c r="S957" s="91" t="s">
        <v>143</v>
      </c>
      <c r="T957" s="91" t="s">
        <v>4198</v>
      </c>
      <c r="V957" s="91" t="s">
        <v>155</v>
      </c>
      <c r="W957" s="91" t="s">
        <v>180</v>
      </c>
    </row>
    <row r="958" spans="1:23">
      <c r="A958" s="93" t="str">
        <f>TEXT(tblProjectlist[[#This Row],[project-no]],"0")</f>
        <v>0</v>
      </c>
      <c r="H958" s="91">
        <v>6672</v>
      </c>
      <c r="I958" s="91">
        <v>2</v>
      </c>
      <c r="J958" s="91">
        <v>2</v>
      </c>
      <c r="L958" s="91" t="s">
        <v>64</v>
      </c>
      <c r="M958" s="91" t="s">
        <v>4</v>
      </c>
      <c r="Q958" s="91"/>
      <c r="S958" s="91" t="s">
        <v>143</v>
      </c>
      <c r="T958" s="91" t="s">
        <v>4315</v>
      </c>
      <c r="V958" s="91" t="s">
        <v>155</v>
      </c>
      <c r="W958" s="91" t="s">
        <v>180</v>
      </c>
    </row>
    <row r="959" spans="1:23">
      <c r="A959" s="93" t="str">
        <f>TEXT(tblProjectlist[[#This Row],[project-no]],"0")</f>
        <v>0</v>
      </c>
      <c r="H959" s="91">
        <v>6673</v>
      </c>
      <c r="I959" s="91">
        <v>2</v>
      </c>
      <c r="J959" s="91">
        <v>2</v>
      </c>
      <c r="L959" s="91" t="s">
        <v>2175</v>
      </c>
      <c r="M959" s="91" t="s">
        <v>4</v>
      </c>
      <c r="Q959" s="91"/>
      <c r="S959" s="91" t="s">
        <v>143</v>
      </c>
      <c r="T959" s="91" t="s">
        <v>4409</v>
      </c>
      <c r="V959" s="91" t="s">
        <v>155</v>
      </c>
      <c r="W959" s="91" t="s">
        <v>180</v>
      </c>
    </row>
    <row r="960" spans="1:23">
      <c r="A960" s="93" t="str">
        <f>TEXT(tblProjectlist[[#This Row],[project-no]],"0")</f>
        <v>0</v>
      </c>
      <c r="H960" s="91">
        <v>6674</v>
      </c>
      <c r="I960" s="91">
        <v>2</v>
      </c>
      <c r="J960" s="91">
        <v>2</v>
      </c>
      <c r="L960" s="91" t="s">
        <v>2175</v>
      </c>
      <c r="M960" s="91" t="s">
        <v>4</v>
      </c>
      <c r="Q960" s="91"/>
      <c r="S960" s="91" t="s">
        <v>143</v>
      </c>
      <c r="T960" s="91" t="s">
        <v>4648</v>
      </c>
      <c r="V960" s="91" t="s">
        <v>155</v>
      </c>
      <c r="W960" s="91" t="s">
        <v>180</v>
      </c>
    </row>
    <row r="961" spans="1:23">
      <c r="A961" s="93" t="str">
        <f>TEXT(tblProjectlist[[#This Row],[project-no]],"0")</f>
        <v>0</v>
      </c>
      <c r="H961" s="91">
        <v>6106</v>
      </c>
      <c r="I961" s="91">
        <v>2</v>
      </c>
      <c r="J961" s="91">
        <v>2</v>
      </c>
      <c r="L961" s="91" t="s">
        <v>2175</v>
      </c>
      <c r="M961" s="91" t="s">
        <v>4</v>
      </c>
      <c r="Q961" s="91"/>
      <c r="S961" s="91" t="s">
        <v>143</v>
      </c>
      <c r="T961" s="91" t="s">
        <v>3677</v>
      </c>
      <c r="V961" s="91" t="s">
        <v>155</v>
      </c>
      <c r="W961" s="91" t="s">
        <v>180</v>
      </c>
    </row>
    <row r="962" spans="1:23">
      <c r="A962" s="93" t="str">
        <f>TEXT(tblProjectlist[[#This Row],[project-no]],"0")</f>
        <v>0</v>
      </c>
      <c r="H962" s="91">
        <v>6106</v>
      </c>
      <c r="I962" s="91">
        <v>3</v>
      </c>
      <c r="J962" s="91">
        <v>2</v>
      </c>
      <c r="L962" s="91" t="s">
        <v>2175</v>
      </c>
      <c r="M962" s="91" t="s">
        <v>4</v>
      </c>
      <c r="Q962" s="91"/>
      <c r="S962" s="91" t="s">
        <v>143</v>
      </c>
      <c r="T962" s="91" t="s">
        <v>3678</v>
      </c>
      <c r="V962" s="91" t="s">
        <v>155</v>
      </c>
      <c r="W962" s="91" t="s">
        <v>180</v>
      </c>
    </row>
    <row r="963" spans="1:23">
      <c r="A963" s="93" t="str">
        <f>TEXT(tblProjectlist[[#This Row],[project-no]],"0")</f>
        <v>0</v>
      </c>
      <c r="H963" s="91">
        <v>6106</v>
      </c>
      <c r="I963" s="91">
        <v>4</v>
      </c>
      <c r="J963" s="91">
        <v>2</v>
      </c>
      <c r="L963" s="91" t="s">
        <v>2175</v>
      </c>
      <c r="M963" s="91" t="s">
        <v>4</v>
      </c>
      <c r="Q963" s="91"/>
      <c r="S963" s="91" t="s">
        <v>143</v>
      </c>
      <c r="T963" s="91" t="s">
        <v>3679</v>
      </c>
      <c r="V963" s="91" t="s">
        <v>155</v>
      </c>
      <c r="W963" s="91" t="s">
        <v>180</v>
      </c>
    </row>
    <row r="964" spans="1:23">
      <c r="A964" s="93" t="str">
        <f>TEXT(tblProjectlist[[#This Row],[project-no]],"0")</f>
        <v>0</v>
      </c>
      <c r="H964" s="91">
        <v>6106</v>
      </c>
      <c r="I964" s="91">
        <v>5</v>
      </c>
      <c r="J964" s="91">
        <v>2</v>
      </c>
      <c r="K964" s="91"/>
      <c r="L964" s="91" t="s">
        <v>2175</v>
      </c>
      <c r="M964" s="91" t="s">
        <v>4</v>
      </c>
      <c r="Q964" s="91"/>
      <c r="S964" s="91" t="s">
        <v>143</v>
      </c>
      <c r="T964" s="91" t="s">
        <v>3680</v>
      </c>
      <c r="V964" s="91" t="s">
        <v>155</v>
      </c>
      <c r="W964" s="91" t="s">
        <v>180</v>
      </c>
    </row>
    <row r="965" spans="1:23">
      <c r="A965" s="93" t="str">
        <f>TEXT(tblProjectlist[[#This Row],[project-no]],"0")</f>
        <v>0</v>
      </c>
      <c r="H965" s="91">
        <v>6106</v>
      </c>
      <c r="I965" s="91">
        <v>6</v>
      </c>
      <c r="J965" s="91">
        <v>2</v>
      </c>
      <c r="K965" s="91"/>
      <c r="L965" s="91" t="s">
        <v>62</v>
      </c>
      <c r="M965" s="91" t="s">
        <v>4</v>
      </c>
      <c r="Q965" s="91"/>
      <c r="S965" s="91" t="s">
        <v>143</v>
      </c>
      <c r="T965" s="91" t="s">
        <v>3928</v>
      </c>
      <c r="V965" s="91" t="s">
        <v>155</v>
      </c>
      <c r="W965" s="91" t="s">
        <v>180</v>
      </c>
    </row>
    <row r="966" spans="1:23">
      <c r="A966" s="93" t="str">
        <f>TEXT(tblProjectlist[[#This Row],[project-no]],"0")</f>
        <v>0</v>
      </c>
      <c r="H966" s="91">
        <v>6106</v>
      </c>
      <c r="I966" s="91">
        <v>7</v>
      </c>
      <c r="J966" s="91">
        <v>2</v>
      </c>
      <c r="K966" s="91"/>
      <c r="L966" s="91" t="s">
        <v>62</v>
      </c>
      <c r="M966" s="91" t="s">
        <v>4</v>
      </c>
      <c r="Q966" s="91"/>
      <c r="S966" s="91" t="s">
        <v>143</v>
      </c>
      <c r="T966" s="91" t="s">
        <v>3965</v>
      </c>
      <c r="V966" s="91" t="s">
        <v>155</v>
      </c>
      <c r="W966" s="91" t="s">
        <v>180</v>
      </c>
    </row>
    <row r="967" spans="1:23">
      <c r="A967" s="93" t="str">
        <f>TEXT(tblProjectlist[[#This Row],[project-no]],"0")</f>
        <v>0</v>
      </c>
      <c r="H967" s="91">
        <v>6106</v>
      </c>
      <c r="I967" s="91">
        <v>8</v>
      </c>
      <c r="J967" s="91">
        <v>2</v>
      </c>
      <c r="K967" s="91"/>
      <c r="L967" s="91" t="s">
        <v>2175</v>
      </c>
      <c r="M967" s="91" t="s">
        <v>4</v>
      </c>
      <c r="Q967" s="91"/>
      <c r="S967" s="91" t="s">
        <v>143</v>
      </c>
      <c r="T967" s="91" t="s">
        <v>4082</v>
      </c>
      <c r="V967" s="91" t="s">
        <v>155</v>
      </c>
      <c r="W967" s="91" t="s">
        <v>180</v>
      </c>
    </row>
    <row r="968" spans="1:23">
      <c r="A968" s="93" t="str">
        <f>TEXT(tblProjectlist[[#This Row],[project-no]],"0")</f>
        <v>0</v>
      </c>
      <c r="H968" s="91">
        <v>6106</v>
      </c>
      <c r="I968" s="91">
        <v>9</v>
      </c>
      <c r="J968" s="91">
        <v>2</v>
      </c>
      <c r="K968" s="91"/>
      <c r="L968" s="91" t="s">
        <v>2175</v>
      </c>
      <c r="M968" s="91" t="s">
        <v>4</v>
      </c>
      <c r="Q968" s="91"/>
      <c r="S968" s="91" t="s">
        <v>143</v>
      </c>
      <c r="T968" s="91" t="s">
        <v>4083</v>
      </c>
      <c r="V968" s="91" t="s">
        <v>155</v>
      </c>
      <c r="W968" s="91" t="s">
        <v>180</v>
      </c>
    </row>
    <row r="969" spans="1:23">
      <c r="A969" s="93" t="str">
        <f>TEXT(tblProjectlist[[#This Row],[project-no]],"0")</f>
        <v>0</v>
      </c>
      <c r="H969" s="91">
        <v>6106</v>
      </c>
      <c r="I969" s="91">
        <v>10</v>
      </c>
      <c r="J969" s="91">
        <v>2</v>
      </c>
      <c r="K969" s="91"/>
      <c r="L969" s="91" t="s">
        <v>2175</v>
      </c>
      <c r="M969" s="91" t="s">
        <v>4</v>
      </c>
      <c r="Q969" s="91"/>
      <c r="S969" s="91" t="s">
        <v>143</v>
      </c>
      <c r="T969" s="91" t="s">
        <v>4127</v>
      </c>
      <c r="V969" s="91" t="s">
        <v>155</v>
      </c>
      <c r="W969" s="91" t="s">
        <v>180</v>
      </c>
    </row>
    <row r="970" spans="1:23">
      <c r="A970" s="93" t="str">
        <f>TEXT(tblProjectlist[[#This Row],[project-no]],"0")</f>
        <v>0</v>
      </c>
      <c r="H970" s="91">
        <v>6106</v>
      </c>
      <c r="I970" s="91">
        <v>11</v>
      </c>
      <c r="J970" s="91">
        <v>2</v>
      </c>
      <c r="K970" s="91"/>
      <c r="L970" s="91" t="s">
        <v>62</v>
      </c>
      <c r="M970" s="91" t="s">
        <v>4</v>
      </c>
      <c r="Q970" s="91"/>
      <c r="S970" s="91" t="s">
        <v>143</v>
      </c>
      <c r="T970" s="91" t="s">
        <v>4485</v>
      </c>
      <c r="V970" s="91" t="s">
        <v>155</v>
      </c>
      <c r="W970" s="91" t="s">
        <v>180</v>
      </c>
    </row>
    <row r="971" spans="1:23">
      <c r="A971" s="93" t="str">
        <f>TEXT(tblProjectlist[[#This Row],[project-no]],"0")</f>
        <v>0</v>
      </c>
      <c r="H971" s="91">
        <v>6106</v>
      </c>
      <c r="I971" s="91">
        <v>12</v>
      </c>
      <c r="J971" s="91">
        <v>2</v>
      </c>
      <c r="K971" s="91"/>
      <c r="L971" s="91" t="s">
        <v>2175</v>
      </c>
      <c r="M971" s="91" t="s">
        <v>4</v>
      </c>
      <c r="Q971" s="91"/>
      <c r="S971" s="91" t="s">
        <v>143</v>
      </c>
      <c r="T971" s="91" t="s">
        <v>4562</v>
      </c>
      <c r="V971" s="91" t="s">
        <v>155</v>
      </c>
      <c r="W971" s="91" t="s">
        <v>180</v>
      </c>
    </row>
    <row r="972" spans="1:23">
      <c r="A972" s="93" t="str">
        <f>TEXT(tblProjectlist[[#This Row],[project-no]],"0")</f>
        <v>0</v>
      </c>
      <c r="H972" s="91">
        <v>6106</v>
      </c>
      <c r="I972" s="91">
        <v>13</v>
      </c>
      <c r="J972" s="91">
        <v>2</v>
      </c>
      <c r="K972" s="91"/>
      <c r="L972" s="91" t="s">
        <v>2175</v>
      </c>
      <c r="M972" s="91" t="s">
        <v>4</v>
      </c>
      <c r="Q972" s="91"/>
      <c r="S972" s="91" t="s">
        <v>143</v>
      </c>
      <c r="T972" s="91" t="s">
        <v>4563</v>
      </c>
      <c r="V972" s="91" t="s">
        <v>155</v>
      </c>
      <c r="W972" s="91" t="s">
        <v>180</v>
      </c>
    </row>
    <row r="973" spans="1:23">
      <c r="A973" s="93" t="str">
        <f>TEXT(tblProjectlist[[#This Row],[project-no]],"0")</f>
        <v>0</v>
      </c>
      <c r="H973" s="91">
        <v>6106</v>
      </c>
      <c r="I973" s="91">
        <v>14</v>
      </c>
      <c r="J973" s="91">
        <v>2</v>
      </c>
      <c r="K973" s="91"/>
      <c r="L973" s="91" t="s">
        <v>2175</v>
      </c>
      <c r="M973" s="91" t="s">
        <v>4</v>
      </c>
      <c r="Q973" s="91"/>
      <c r="S973" s="91" t="s">
        <v>143</v>
      </c>
      <c r="T973" s="91" t="s">
        <v>4638</v>
      </c>
      <c r="V973" s="91" t="s">
        <v>155</v>
      </c>
      <c r="W973" s="91" t="s">
        <v>180</v>
      </c>
    </row>
    <row r="974" spans="1:23">
      <c r="A974" s="93" t="str">
        <f>TEXT(tblProjectlist[[#This Row],[project-no]],"0")</f>
        <v>0</v>
      </c>
      <c r="H974" s="91">
        <v>6106</v>
      </c>
      <c r="I974" s="91">
        <v>15</v>
      </c>
      <c r="J974" s="91">
        <v>2</v>
      </c>
      <c r="K974" s="91"/>
      <c r="L974" s="91" t="s">
        <v>2175</v>
      </c>
      <c r="M974" s="91" t="s">
        <v>4</v>
      </c>
      <c r="Q974" s="91"/>
      <c r="S974" s="91" t="s">
        <v>143</v>
      </c>
      <c r="T974" s="91" t="s">
        <v>4639</v>
      </c>
      <c r="V974" s="91" t="s">
        <v>155</v>
      </c>
      <c r="W974" s="91" t="s">
        <v>180</v>
      </c>
    </row>
    <row r="975" spans="1:23">
      <c r="A975" s="93" t="str">
        <f>TEXT(tblProjectlist[[#This Row],[project-no]],"0")</f>
        <v>31480228</v>
      </c>
      <c r="H975" s="91">
        <v>3148</v>
      </c>
      <c r="I975" s="91">
        <v>2</v>
      </c>
      <c r="J975" s="91">
        <v>2</v>
      </c>
      <c r="K975" s="91" t="s">
        <v>746</v>
      </c>
      <c r="L975" s="91" t="s">
        <v>2175</v>
      </c>
      <c r="M975" s="91" t="s">
        <v>4</v>
      </c>
      <c r="Q975" s="91"/>
      <c r="S975" s="91" t="s">
        <v>143</v>
      </c>
      <c r="T975" s="91" t="s">
        <v>2644</v>
      </c>
      <c r="V975" s="91" t="s">
        <v>155</v>
      </c>
      <c r="W975" s="91" t="s">
        <v>180</v>
      </c>
    </row>
    <row r="976" spans="1:23">
      <c r="A976" s="93" t="str">
        <f>TEXT(tblProjectlist[[#This Row],[project-no]],"0")</f>
        <v>0</v>
      </c>
      <c r="H976" s="91">
        <v>2120</v>
      </c>
      <c r="I976" s="91">
        <v>2</v>
      </c>
      <c r="J976" s="91">
        <v>2</v>
      </c>
      <c r="K976" s="91"/>
      <c r="L976" s="91" t="s">
        <v>2175</v>
      </c>
      <c r="M976" s="91" t="s">
        <v>4</v>
      </c>
      <c r="Q976" s="91"/>
      <c r="S976" s="91" t="s">
        <v>143</v>
      </c>
      <c r="T976" s="91" t="s">
        <v>4441</v>
      </c>
      <c r="V976" s="91" t="s">
        <v>155</v>
      </c>
      <c r="W976" s="91" t="s">
        <v>180</v>
      </c>
    </row>
    <row r="977" spans="1:23">
      <c r="A977" s="93" t="str">
        <f>TEXT(tblProjectlist[[#This Row],[project-no]],"0")</f>
        <v>75620211</v>
      </c>
      <c r="H977" s="91">
        <v>7562</v>
      </c>
      <c r="I977" s="91">
        <v>2</v>
      </c>
      <c r="J977" s="91">
        <v>1</v>
      </c>
      <c r="K977" s="91" t="s">
        <v>1023</v>
      </c>
      <c r="L977" s="91" t="s">
        <v>2175</v>
      </c>
      <c r="M977" s="91" t="s">
        <v>0</v>
      </c>
      <c r="Q977" s="91"/>
      <c r="S977" s="91" t="s">
        <v>143</v>
      </c>
      <c r="T977" s="91" t="s">
        <v>2892</v>
      </c>
      <c r="V977" s="91" t="s">
        <v>169</v>
      </c>
      <c r="W977" s="91" t="s">
        <v>180</v>
      </c>
    </row>
    <row r="978" spans="1:23">
      <c r="A978" s="93" t="str">
        <f>TEXT(tblProjectlist[[#This Row],[project-no]],"0")</f>
        <v>75620216</v>
      </c>
      <c r="H978" s="91">
        <v>7562</v>
      </c>
      <c r="I978" s="91">
        <v>2</v>
      </c>
      <c r="J978" s="91">
        <v>1</v>
      </c>
      <c r="K978" s="91" t="s">
        <v>1024</v>
      </c>
      <c r="L978" s="91" t="s">
        <v>2175</v>
      </c>
      <c r="M978" s="91" t="s">
        <v>0</v>
      </c>
      <c r="Q978" s="91"/>
      <c r="S978" s="91" t="s">
        <v>143</v>
      </c>
      <c r="T978" s="91" t="s">
        <v>2892</v>
      </c>
      <c r="V978" s="91" t="s">
        <v>168</v>
      </c>
      <c r="W978" s="91" t="s">
        <v>180</v>
      </c>
    </row>
    <row r="979" spans="1:23">
      <c r="A979" s="93" t="str">
        <f>TEXT(tblProjectlist[[#This Row],[project-no]],"0")</f>
        <v>75620217</v>
      </c>
      <c r="H979" s="91">
        <v>7562</v>
      </c>
      <c r="I979" s="91">
        <v>2</v>
      </c>
      <c r="J979" s="91">
        <v>1</v>
      </c>
      <c r="K979" s="91" t="s">
        <v>1025</v>
      </c>
      <c r="L979" s="91" t="s">
        <v>2175</v>
      </c>
      <c r="M979" s="91" t="s">
        <v>0</v>
      </c>
      <c r="Q979" s="91"/>
      <c r="S979" s="91" t="s">
        <v>143</v>
      </c>
      <c r="T979" s="91" t="s">
        <v>2892</v>
      </c>
      <c r="V979" s="91" t="s">
        <v>168</v>
      </c>
      <c r="W979" s="91" t="s">
        <v>180</v>
      </c>
    </row>
    <row r="980" spans="1:23">
      <c r="A980" s="93" t="str">
        <f>TEXT(tblProjectlist[[#This Row],[project-no]],"0")</f>
        <v>0</v>
      </c>
      <c r="H980" s="91">
        <v>7562</v>
      </c>
      <c r="I980" s="91">
        <v>3</v>
      </c>
      <c r="J980" s="91">
        <v>1</v>
      </c>
      <c r="K980" s="91"/>
      <c r="L980" s="91" t="s">
        <v>2175</v>
      </c>
      <c r="M980" s="91" t="s">
        <v>0</v>
      </c>
      <c r="Q980" s="91"/>
      <c r="S980" s="91" t="s">
        <v>143</v>
      </c>
      <c r="T980" s="91" t="s">
        <v>4279</v>
      </c>
      <c r="V980" s="91" t="s">
        <v>168</v>
      </c>
      <c r="W980" s="91" t="s">
        <v>180</v>
      </c>
    </row>
    <row r="981" spans="1:23">
      <c r="A981" s="93" t="str">
        <f>TEXT(tblProjectlist[[#This Row],[project-no]],"0")</f>
        <v>0</v>
      </c>
      <c r="H981" s="91">
        <v>7624</v>
      </c>
      <c r="I981" s="91">
        <v>3</v>
      </c>
      <c r="J981" s="91">
        <v>2</v>
      </c>
      <c r="K981" s="91"/>
      <c r="L981" s="91" t="s">
        <v>2175</v>
      </c>
      <c r="M981" s="91" t="s">
        <v>4</v>
      </c>
      <c r="Q981" s="91"/>
      <c r="S981" s="91" t="s">
        <v>143</v>
      </c>
      <c r="T981" s="91" t="s">
        <v>3869</v>
      </c>
      <c r="V981" s="91" t="s">
        <v>155</v>
      </c>
      <c r="W981" s="91" t="s">
        <v>180</v>
      </c>
    </row>
    <row r="982" spans="1:23">
      <c r="A982" s="93" t="str">
        <f>TEXT(tblProjectlist[[#This Row],[project-no]],"0")</f>
        <v>0</v>
      </c>
      <c r="H982" s="91">
        <v>7624</v>
      </c>
      <c r="I982" s="91">
        <v>5</v>
      </c>
      <c r="J982" s="91">
        <v>2</v>
      </c>
      <c r="K982" s="91"/>
      <c r="L982" s="91" t="s">
        <v>2175</v>
      </c>
      <c r="M982" s="91" t="s">
        <v>4</v>
      </c>
      <c r="Q982" s="91"/>
      <c r="S982" s="91" t="s">
        <v>143</v>
      </c>
      <c r="T982" s="91" t="s">
        <v>4564</v>
      </c>
      <c r="V982" s="91" t="s">
        <v>155</v>
      </c>
      <c r="W982" s="91" t="s">
        <v>180</v>
      </c>
    </row>
    <row r="983" spans="1:23">
      <c r="A983" s="93" t="str">
        <f>TEXT(tblProjectlist[[#This Row],[project-no]],"0")</f>
        <v>0</v>
      </c>
      <c r="H983" s="91">
        <v>7624</v>
      </c>
      <c r="I983" s="91">
        <v>2</v>
      </c>
      <c r="J983" s="91">
        <v>2</v>
      </c>
      <c r="K983" s="91"/>
      <c r="L983" s="91" t="s">
        <v>2175</v>
      </c>
      <c r="M983" s="91" t="s">
        <v>4</v>
      </c>
      <c r="Q983" s="91"/>
      <c r="S983" s="91" t="s">
        <v>143</v>
      </c>
      <c r="T983" s="91" t="s">
        <v>3582</v>
      </c>
      <c r="V983" s="91" t="s">
        <v>155</v>
      </c>
      <c r="W983" s="91" t="s">
        <v>180</v>
      </c>
    </row>
    <row r="984" spans="1:23">
      <c r="A984" s="93" t="str">
        <f>TEXT(tblProjectlist[[#This Row],[project-no]],"0")</f>
        <v>0</v>
      </c>
      <c r="H984" s="91">
        <v>7624</v>
      </c>
      <c r="I984" s="91">
        <v>4</v>
      </c>
      <c r="J984" s="91">
        <v>2</v>
      </c>
      <c r="K984" s="91"/>
      <c r="L984" s="91" t="s">
        <v>2175</v>
      </c>
      <c r="M984" s="91" t="s">
        <v>4</v>
      </c>
      <c r="Q984" s="91"/>
      <c r="S984" s="91" t="s">
        <v>143</v>
      </c>
      <c r="T984" s="91" t="s">
        <v>4091</v>
      </c>
      <c r="V984" s="91" t="s">
        <v>155</v>
      </c>
      <c r="W984" s="91" t="s">
        <v>180</v>
      </c>
    </row>
    <row r="985" spans="1:23">
      <c r="A985" s="93" t="str">
        <f>TEXT(tblProjectlist[[#This Row],[project-no]],"0")</f>
        <v>0</v>
      </c>
      <c r="H985" s="91">
        <v>4119</v>
      </c>
      <c r="I985" s="91">
        <v>2</v>
      </c>
      <c r="J985" s="91">
        <v>2</v>
      </c>
      <c r="K985" s="91"/>
      <c r="L985" s="91" t="s">
        <v>2175</v>
      </c>
      <c r="M985" s="91" t="s">
        <v>4</v>
      </c>
      <c r="Q985" s="91"/>
      <c r="S985" s="91" t="s">
        <v>143</v>
      </c>
      <c r="T985" s="91" t="s">
        <v>3963</v>
      </c>
      <c r="V985" s="91" t="s">
        <v>155</v>
      </c>
      <c r="W985" s="91" t="s">
        <v>180</v>
      </c>
    </row>
    <row r="986" spans="1:23">
      <c r="A986" s="93" t="str">
        <f>TEXT(tblProjectlist[[#This Row],[project-no]],"0")</f>
        <v>32280243</v>
      </c>
      <c r="H986" s="91">
        <v>3228</v>
      </c>
      <c r="I986" s="91">
        <v>2</v>
      </c>
      <c r="J986" s="91">
        <v>4</v>
      </c>
      <c r="K986" s="91" t="s">
        <v>747</v>
      </c>
      <c r="L986" s="91" t="s">
        <v>58</v>
      </c>
      <c r="M986" s="91" t="s">
        <v>1</v>
      </c>
      <c r="Q986" s="91"/>
      <c r="S986" s="91" t="s">
        <v>143</v>
      </c>
      <c r="T986" s="91" t="s">
        <v>2645</v>
      </c>
      <c r="V986" s="91" t="s">
        <v>164</v>
      </c>
      <c r="W986" s="91" t="s">
        <v>180</v>
      </c>
    </row>
    <row r="987" spans="1:23">
      <c r="A987" s="93" t="str">
        <f>TEXT(tblProjectlist[[#This Row],[project-no]],"0")</f>
        <v>32280244</v>
      </c>
      <c r="H987" s="91">
        <v>3228</v>
      </c>
      <c r="I987" s="91">
        <v>2</v>
      </c>
      <c r="J987" s="91">
        <v>4</v>
      </c>
      <c r="K987" s="91" t="s">
        <v>748</v>
      </c>
      <c r="L987" s="91" t="s">
        <v>58</v>
      </c>
      <c r="M987" s="91" t="s">
        <v>1</v>
      </c>
      <c r="Q987" s="91"/>
      <c r="S987" s="91" t="s">
        <v>143</v>
      </c>
      <c r="T987" s="91" t="s">
        <v>2645</v>
      </c>
      <c r="V987" s="91" t="s">
        <v>160</v>
      </c>
      <c r="W987" s="91" t="s">
        <v>180</v>
      </c>
    </row>
    <row r="988" spans="1:23">
      <c r="A988" s="93" t="str">
        <f>TEXT(tblProjectlist[[#This Row],[project-no]],"0")</f>
        <v>32280247</v>
      </c>
      <c r="H988" s="91">
        <v>3228</v>
      </c>
      <c r="I988" s="91">
        <v>2</v>
      </c>
      <c r="J988" s="91">
        <v>4</v>
      </c>
      <c r="K988" s="91" t="s">
        <v>749</v>
      </c>
      <c r="L988" s="91" t="s">
        <v>58</v>
      </c>
      <c r="M988" s="91" t="s">
        <v>1</v>
      </c>
      <c r="Q988" s="91"/>
      <c r="S988" s="91" t="s">
        <v>143</v>
      </c>
      <c r="T988" s="91" t="s">
        <v>2645</v>
      </c>
      <c r="V988" s="91" t="s">
        <v>162</v>
      </c>
      <c r="W988" s="91" t="s">
        <v>180</v>
      </c>
    </row>
    <row r="989" spans="1:23">
      <c r="A989" s="93" t="str">
        <f>TEXT(tblProjectlist[[#This Row],[project-no]],"0")</f>
        <v>32280342</v>
      </c>
      <c r="H989" s="91">
        <v>3228</v>
      </c>
      <c r="I989" s="91">
        <v>3</v>
      </c>
      <c r="J989" s="91">
        <v>4</v>
      </c>
      <c r="K989" s="91" t="s">
        <v>750</v>
      </c>
      <c r="L989" s="91" t="s">
        <v>58</v>
      </c>
      <c r="M989" s="91" t="s">
        <v>1</v>
      </c>
      <c r="Q989" s="91"/>
      <c r="S989" s="91" t="s">
        <v>143</v>
      </c>
      <c r="T989" s="91" t="s">
        <v>2646</v>
      </c>
      <c r="W989" s="91" t="s">
        <v>180</v>
      </c>
    </row>
    <row r="990" spans="1:23">
      <c r="A990" s="93" t="str">
        <f>TEXT(tblProjectlist[[#This Row],[project-no]],"0")</f>
        <v>32280444</v>
      </c>
      <c r="H990" s="91">
        <v>3228</v>
      </c>
      <c r="I990" s="91">
        <v>4</v>
      </c>
      <c r="J990" s="91">
        <v>4</v>
      </c>
      <c r="K990" s="91" t="s">
        <v>751</v>
      </c>
      <c r="L990" s="91" t="s">
        <v>58</v>
      </c>
      <c r="M990" s="91" t="s">
        <v>1</v>
      </c>
      <c r="Q990" s="91"/>
      <c r="S990" s="91" t="s">
        <v>143</v>
      </c>
      <c r="T990" s="91" t="s">
        <v>2647</v>
      </c>
      <c r="W990" s="91" t="s">
        <v>180</v>
      </c>
    </row>
    <row r="991" spans="1:23">
      <c r="A991" s="93" t="str">
        <f>TEXT(tblProjectlist[[#This Row],[project-no]],"0")</f>
        <v>32280543</v>
      </c>
      <c r="H991" s="91">
        <v>3228</v>
      </c>
      <c r="I991" s="91">
        <v>5</v>
      </c>
      <c r="J991" s="91">
        <v>4</v>
      </c>
      <c r="K991" s="91" t="s">
        <v>752</v>
      </c>
      <c r="L991" s="91" t="s">
        <v>58</v>
      </c>
      <c r="M991" s="91" t="s">
        <v>1</v>
      </c>
      <c r="Q991" s="91"/>
      <c r="S991" s="91" t="s">
        <v>143</v>
      </c>
      <c r="T991" s="91" t="s">
        <v>2648</v>
      </c>
      <c r="W991" s="91" t="s">
        <v>180</v>
      </c>
    </row>
    <row r="992" spans="1:23">
      <c r="A992" s="93" t="str">
        <f>TEXT(tblProjectlist[[#This Row],[project-no]],"0")</f>
        <v>99954844</v>
      </c>
      <c r="H992" s="91">
        <v>3228</v>
      </c>
      <c r="I992" s="91">
        <v>2</v>
      </c>
      <c r="J992" s="91">
        <v>4</v>
      </c>
      <c r="K992" s="91" t="s">
        <v>1659</v>
      </c>
      <c r="L992" s="91" t="s">
        <v>58</v>
      </c>
      <c r="M992" s="91" t="s">
        <v>1</v>
      </c>
      <c r="Q992" s="91"/>
      <c r="S992" s="91" t="s">
        <v>143</v>
      </c>
      <c r="T992" s="91" t="s">
        <v>2645</v>
      </c>
      <c r="V992" s="91" t="s">
        <v>160</v>
      </c>
      <c r="W992" s="91" t="s">
        <v>180</v>
      </c>
    </row>
    <row r="993" spans="1:23">
      <c r="A993" s="93" t="str">
        <f>TEXT(tblProjectlist[[#This Row],[project-no]],"0")</f>
        <v>0</v>
      </c>
      <c r="H993" s="91">
        <v>7802</v>
      </c>
      <c r="I993" s="91">
        <v>60</v>
      </c>
      <c r="J993" s="91">
        <v>2</v>
      </c>
      <c r="K993" s="91"/>
      <c r="L993" s="91" t="s">
        <v>62</v>
      </c>
      <c r="M993" s="91" t="s">
        <v>4</v>
      </c>
      <c r="Q993" s="91"/>
      <c r="S993" s="91" t="s">
        <v>143</v>
      </c>
      <c r="T993" s="91" t="s">
        <v>4541</v>
      </c>
      <c r="V993" s="91" t="s">
        <v>156</v>
      </c>
      <c r="W993" s="91" t="s">
        <v>180</v>
      </c>
    </row>
    <row r="994" spans="1:23">
      <c r="A994" s="93" t="str">
        <f>TEXT(tblProjectlist[[#This Row],[project-no]],"0")</f>
        <v>70370528</v>
      </c>
      <c r="H994" s="91">
        <v>7037</v>
      </c>
      <c r="I994" s="91">
        <v>5</v>
      </c>
      <c r="J994" s="91">
        <v>2</v>
      </c>
      <c r="K994" s="91" t="s">
        <v>951</v>
      </c>
      <c r="L994" s="91" t="s">
        <v>2175</v>
      </c>
      <c r="M994" s="91" t="s">
        <v>4</v>
      </c>
      <c r="Q994" s="91"/>
      <c r="S994" s="91" t="s">
        <v>143</v>
      </c>
      <c r="T994" s="91" t="s">
        <v>2823</v>
      </c>
      <c r="V994" s="91" t="s">
        <v>155</v>
      </c>
      <c r="W994" s="91" t="s">
        <v>180</v>
      </c>
    </row>
    <row r="995" spans="1:23">
      <c r="A995" s="93" t="str">
        <f>TEXT(tblProjectlist[[#This Row],[project-no]],"0")</f>
        <v>0</v>
      </c>
      <c r="H995" s="91">
        <v>7627</v>
      </c>
      <c r="I995" s="91">
        <v>2</v>
      </c>
      <c r="J995" s="91">
        <v>2</v>
      </c>
      <c r="K995" s="91"/>
      <c r="L995" s="91" t="s">
        <v>2175</v>
      </c>
      <c r="M995" s="91" t="s">
        <v>4</v>
      </c>
      <c r="Q995" s="91"/>
      <c r="S995" s="91" t="s">
        <v>143</v>
      </c>
      <c r="T995" s="91" t="s">
        <v>3696</v>
      </c>
      <c r="V995" s="91" t="s">
        <v>155</v>
      </c>
      <c r="W995" s="91" t="s">
        <v>180</v>
      </c>
    </row>
    <row r="996" spans="1:23">
      <c r="A996" s="93" t="str">
        <f>TEXT(tblProjectlist[[#This Row],[project-no]],"0")</f>
        <v>99610256</v>
      </c>
      <c r="H996" s="91">
        <v>9961</v>
      </c>
      <c r="I996" s="91">
        <v>2</v>
      </c>
      <c r="J996" s="91">
        <v>5</v>
      </c>
      <c r="K996" s="91" t="s">
        <v>4538</v>
      </c>
      <c r="L996" s="91" t="s">
        <v>2175</v>
      </c>
      <c r="M996" s="91" t="s">
        <v>5</v>
      </c>
      <c r="Q996" s="91"/>
      <c r="S996" s="91" t="s">
        <v>143</v>
      </c>
      <c r="T996" s="91" t="s">
        <v>4542</v>
      </c>
      <c r="V996" s="91" t="s">
        <v>3721</v>
      </c>
      <c r="W996" s="91" t="s">
        <v>180</v>
      </c>
    </row>
    <row r="997" spans="1:23">
      <c r="A997" s="93" t="str">
        <f>TEXT(tblProjectlist[[#This Row],[project-no]],"0")</f>
        <v>64070228</v>
      </c>
      <c r="H997" s="91">
        <v>6407</v>
      </c>
      <c r="I997" s="91">
        <v>2</v>
      </c>
      <c r="J997" s="91">
        <v>2</v>
      </c>
      <c r="K997" s="91" t="s">
        <v>852</v>
      </c>
      <c r="L997" s="91" t="s">
        <v>2175</v>
      </c>
      <c r="M997" s="91" t="s">
        <v>4</v>
      </c>
      <c r="Q997" s="91"/>
      <c r="S997" s="91" t="s">
        <v>143</v>
      </c>
      <c r="T997" s="91" t="s">
        <v>2734</v>
      </c>
      <c r="V997" s="91" t="s">
        <v>155</v>
      </c>
      <c r="W997" s="91" t="s">
        <v>180</v>
      </c>
    </row>
    <row r="998" spans="1:23">
      <c r="A998" s="93" t="str">
        <f>TEXT(tblProjectlist[[#This Row],[project-no]],"0")</f>
        <v>99962128</v>
      </c>
      <c r="H998" s="91">
        <v>6407</v>
      </c>
      <c r="I998" s="91">
        <v>2</v>
      </c>
      <c r="J998" s="91">
        <v>2</v>
      </c>
      <c r="K998" s="91" t="s">
        <v>1742</v>
      </c>
      <c r="L998" s="91" t="s">
        <v>2175</v>
      </c>
      <c r="M998" s="91" t="s">
        <v>4</v>
      </c>
      <c r="Q998" s="91"/>
      <c r="S998" s="91" t="s">
        <v>143</v>
      </c>
      <c r="T998" s="91" t="s">
        <v>2734</v>
      </c>
      <c r="W998" s="91" t="s">
        <v>180</v>
      </c>
    </row>
    <row r="999" spans="1:23">
      <c r="A999" s="93" t="str">
        <f>TEXT(tblProjectlist[[#This Row],[project-no]],"0")</f>
        <v>0</v>
      </c>
      <c r="H999" s="91">
        <v>6676</v>
      </c>
      <c r="I999" s="91">
        <v>2</v>
      </c>
      <c r="J999" s="91">
        <v>1</v>
      </c>
      <c r="K999" s="91"/>
      <c r="L999" s="91" t="s">
        <v>197</v>
      </c>
      <c r="M999" s="91" t="s">
        <v>0</v>
      </c>
      <c r="Q999" s="91"/>
      <c r="S999" s="91" t="s">
        <v>143</v>
      </c>
      <c r="T999" s="91" t="s">
        <v>3577</v>
      </c>
      <c r="V999" s="91" t="s">
        <v>169</v>
      </c>
      <c r="W999" s="91" t="s">
        <v>180</v>
      </c>
    </row>
    <row r="1000" spans="1:23">
      <c r="A1000" s="93" t="str">
        <f>TEXT(tblProjectlist[[#This Row],[project-no]],"0")</f>
        <v>64030228</v>
      </c>
      <c r="H1000" s="91">
        <v>6403</v>
      </c>
      <c r="I1000" s="91">
        <v>2</v>
      </c>
      <c r="J1000" s="91">
        <v>2</v>
      </c>
      <c r="K1000" s="91" t="s">
        <v>850</v>
      </c>
      <c r="L1000" s="91" t="s">
        <v>2175</v>
      </c>
      <c r="M1000" s="91" t="s">
        <v>4</v>
      </c>
      <c r="Q1000" s="91"/>
      <c r="S1000" s="91" t="s">
        <v>143</v>
      </c>
      <c r="T1000" s="91" t="s">
        <v>2732</v>
      </c>
      <c r="V1000" s="91" t="s">
        <v>155</v>
      </c>
      <c r="W1000" s="91" t="s">
        <v>180</v>
      </c>
    </row>
    <row r="1001" spans="1:23">
      <c r="A1001" s="93" t="str">
        <f>TEXT(tblProjectlist[[#This Row],[project-no]],"0")</f>
        <v>0</v>
      </c>
      <c r="H1001" s="91">
        <v>7045</v>
      </c>
      <c r="I1001" s="91">
        <v>8</v>
      </c>
      <c r="J1001" s="91">
        <v>1</v>
      </c>
      <c r="K1001" s="91"/>
      <c r="L1001" s="91" t="s">
        <v>2175</v>
      </c>
      <c r="M1001" s="91" t="s">
        <v>0</v>
      </c>
      <c r="Q1001" s="91"/>
      <c r="S1001" s="91" t="s">
        <v>143</v>
      </c>
      <c r="T1001" s="91" t="s">
        <v>4447</v>
      </c>
      <c r="V1001" s="91" t="s">
        <v>169</v>
      </c>
      <c r="W1001" s="91" t="s">
        <v>180</v>
      </c>
    </row>
    <row r="1002" spans="1:23">
      <c r="A1002" s="93" t="str">
        <f>TEXT(tblProjectlist[[#This Row],[project-no]],"0")</f>
        <v>0</v>
      </c>
      <c r="H1002" s="91">
        <v>7045</v>
      </c>
      <c r="I1002" s="91">
        <v>8</v>
      </c>
      <c r="J1002" s="91">
        <v>1</v>
      </c>
      <c r="K1002" s="91"/>
      <c r="L1002" s="91" t="s">
        <v>2175</v>
      </c>
      <c r="M1002" s="91" t="s">
        <v>0</v>
      </c>
      <c r="Q1002" s="91"/>
      <c r="S1002" s="91" t="s">
        <v>143</v>
      </c>
      <c r="T1002" s="91" t="s">
        <v>4447</v>
      </c>
      <c r="V1002" s="91" t="s">
        <v>168</v>
      </c>
      <c r="W1002" s="91" t="s">
        <v>180</v>
      </c>
    </row>
    <row r="1003" spans="1:23">
      <c r="A1003" s="93" t="str">
        <f>TEXT(tblProjectlist[[#This Row],[project-no]],"0")</f>
        <v>20170128</v>
      </c>
      <c r="H1003" s="91">
        <v>2017</v>
      </c>
      <c r="I1003" s="91">
        <v>1</v>
      </c>
      <c r="J1003" s="91">
        <v>2</v>
      </c>
      <c r="K1003" s="91" t="s">
        <v>467</v>
      </c>
      <c r="L1003" s="91" t="s">
        <v>2175</v>
      </c>
      <c r="M1003" s="91" t="s">
        <v>4</v>
      </c>
      <c r="Q1003" s="91"/>
      <c r="S1003" s="91" t="s">
        <v>143</v>
      </c>
      <c r="T1003" s="91" t="s">
        <v>2411</v>
      </c>
      <c r="V1003" s="91" t="s">
        <v>155</v>
      </c>
      <c r="W1003" s="91" t="s">
        <v>180</v>
      </c>
    </row>
    <row r="1004" spans="1:23">
      <c r="A1004" s="93" t="str">
        <f>TEXT(tblProjectlist[[#This Row],[project-no]],"0")</f>
        <v>64080228</v>
      </c>
      <c r="H1004" s="91">
        <v>6408</v>
      </c>
      <c r="I1004" s="91">
        <v>2</v>
      </c>
      <c r="J1004" s="91">
        <v>2</v>
      </c>
      <c r="K1004" s="91" t="s">
        <v>853</v>
      </c>
      <c r="L1004" s="91" t="s">
        <v>2175</v>
      </c>
      <c r="M1004" s="91" t="s">
        <v>4</v>
      </c>
      <c r="Q1004" s="91"/>
      <c r="S1004" s="91" t="s">
        <v>143</v>
      </c>
      <c r="T1004" s="91" t="s">
        <v>2735</v>
      </c>
      <c r="V1004" s="91" t="s">
        <v>155</v>
      </c>
      <c r="W1004" s="91" t="s">
        <v>180</v>
      </c>
    </row>
    <row r="1005" spans="1:23">
      <c r="A1005" s="93" t="str">
        <f>TEXT(tblProjectlist[[#This Row],[project-no]],"0")</f>
        <v>64080328</v>
      </c>
      <c r="H1005" s="91">
        <v>6408</v>
      </c>
      <c r="I1005" s="91">
        <v>3</v>
      </c>
      <c r="J1005" s="91">
        <v>2</v>
      </c>
      <c r="K1005" s="91" t="s">
        <v>854</v>
      </c>
      <c r="L1005" s="91" t="s">
        <v>2175</v>
      </c>
      <c r="M1005" s="91" t="s">
        <v>4</v>
      </c>
      <c r="Q1005" s="91"/>
      <c r="S1005" s="91" t="s">
        <v>143</v>
      </c>
      <c r="T1005" s="91" t="s">
        <v>2736</v>
      </c>
      <c r="V1005" s="91" t="s">
        <v>155</v>
      </c>
      <c r="W1005" s="91" t="s">
        <v>180</v>
      </c>
    </row>
    <row r="1006" spans="1:23">
      <c r="A1006" s="93" t="str">
        <f>TEXT(tblProjectlist[[#This Row],[project-no]],"0")</f>
        <v>75300128</v>
      </c>
      <c r="H1006" s="91">
        <v>7530</v>
      </c>
      <c r="I1006" s="91">
        <v>1</v>
      </c>
      <c r="J1006" s="91">
        <v>2</v>
      </c>
      <c r="K1006" s="91" t="s">
        <v>1005</v>
      </c>
      <c r="L1006" s="91" t="s">
        <v>2175</v>
      </c>
      <c r="M1006" s="91" t="s">
        <v>4</v>
      </c>
      <c r="Q1006" s="91"/>
      <c r="S1006" s="91" t="s">
        <v>143</v>
      </c>
      <c r="T1006" s="91" t="s">
        <v>2874</v>
      </c>
      <c r="V1006" s="91" t="s">
        <v>155</v>
      </c>
      <c r="W1006" s="91" t="s">
        <v>180</v>
      </c>
    </row>
    <row r="1007" spans="1:23">
      <c r="A1007" s="93" t="str">
        <f>TEXT(tblProjectlist[[#This Row],[project-no]],"0")</f>
        <v>75300228</v>
      </c>
      <c r="H1007" s="91">
        <v>7530</v>
      </c>
      <c r="I1007" s="91">
        <v>2</v>
      </c>
      <c r="J1007" s="91">
        <v>2</v>
      </c>
      <c r="K1007" s="91" t="s">
        <v>1006</v>
      </c>
      <c r="L1007" s="91" t="s">
        <v>2175</v>
      </c>
      <c r="M1007" s="91" t="s">
        <v>4</v>
      </c>
      <c r="Q1007" s="91"/>
      <c r="S1007" s="91" t="s">
        <v>143</v>
      </c>
      <c r="T1007" s="91" t="s">
        <v>2875</v>
      </c>
      <c r="V1007" s="91" t="s">
        <v>155</v>
      </c>
      <c r="W1007" s="91" t="s">
        <v>180</v>
      </c>
    </row>
    <row r="1008" spans="1:23">
      <c r="A1008" s="93" t="str">
        <f>TEXT(tblProjectlist[[#This Row],[project-no]],"0")</f>
        <v>0</v>
      </c>
      <c r="H1008" s="91">
        <v>6316</v>
      </c>
      <c r="I1008" s="91">
        <v>2</v>
      </c>
      <c r="J1008" s="91">
        <v>1</v>
      </c>
      <c r="K1008" s="91"/>
      <c r="L1008" s="91" t="s">
        <v>197</v>
      </c>
      <c r="M1008" s="91" t="s">
        <v>0</v>
      </c>
      <c r="Q1008" s="91"/>
      <c r="S1008" s="91" t="s">
        <v>143</v>
      </c>
      <c r="T1008" s="91" t="s">
        <v>4236</v>
      </c>
      <c r="V1008" s="91" t="s">
        <v>169</v>
      </c>
      <c r="W1008" s="91" t="s">
        <v>180</v>
      </c>
    </row>
    <row r="1009" spans="1:23">
      <c r="A1009" s="93" t="str">
        <f>TEXT(tblProjectlist[[#This Row],[project-no]],"0")</f>
        <v>30691028</v>
      </c>
      <c r="H1009" s="91">
        <v>3069</v>
      </c>
      <c r="I1009" s="91">
        <v>10</v>
      </c>
      <c r="J1009" s="91">
        <v>2</v>
      </c>
      <c r="K1009" s="91" t="s">
        <v>687</v>
      </c>
      <c r="L1009" s="91" t="s">
        <v>2175</v>
      </c>
      <c r="M1009" s="91" t="s">
        <v>4</v>
      </c>
      <c r="Q1009" s="91"/>
      <c r="S1009" s="91" t="s">
        <v>143</v>
      </c>
      <c r="T1009" s="91" t="s">
        <v>2587</v>
      </c>
      <c r="V1009" s="91" t="s">
        <v>155</v>
      </c>
      <c r="W1009" s="91" t="s">
        <v>180</v>
      </c>
    </row>
    <row r="1010" spans="1:23">
      <c r="A1010" s="93" t="str">
        <f>TEXT(tblProjectlist[[#This Row],[project-no]],"0")</f>
        <v>30700328</v>
      </c>
      <c r="H1010" s="91">
        <v>3070</v>
      </c>
      <c r="I1010" s="91">
        <v>3</v>
      </c>
      <c r="J1010" s="91">
        <v>2</v>
      </c>
      <c r="K1010" s="91" t="s">
        <v>688</v>
      </c>
      <c r="L1010" s="91" t="s">
        <v>2175</v>
      </c>
      <c r="M1010" s="91" t="s">
        <v>4</v>
      </c>
      <c r="Q1010" s="91"/>
      <c r="S1010" s="91" t="s">
        <v>143</v>
      </c>
      <c r="T1010" s="91" t="s">
        <v>2588</v>
      </c>
      <c r="V1010" s="91" t="s">
        <v>155</v>
      </c>
      <c r="W1010" s="91" t="s">
        <v>180</v>
      </c>
    </row>
    <row r="1011" spans="1:23">
      <c r="A1011" s="93" t="str">
        <f>TEXT(tblProjectlist[[#This Row],[project-no]],"0")</f>
        <v>30700528</v>
      </c>
      <c r="H1011" s="91">
        <v>3070</v>
      </c>
      <c r="I1011" s="91">
        <v>5</v>
      </c>
      <c r="J1011" s="91">
        <v>2</v>
      </c>
      <c r="K1011" s="91" t="s">
        <v>689</v>
      </c>
      <c r="L1011" s="91" t="s">
        <v>2175</v>
      </c>
      <c r="M1011" s="91" t="s">
        <v>4</v>
      </c>
      <c r="Q1011" s="91"/>
      <c r="S1011" s="91" t="s">
        <v>143</v>
      </c>
      <c r="T1011" s="91" t="s">
        <v>2589</v>
      </c>
      <c r="V1011" s="91" t="s">
        <v>155</v>
      </c>
      <c r="W1011" s="91" t="s">
        <v>180</v>
      </c>
    </row>
    <row r="1012" spans="1:23">
      <c r="A1012" s="93" t="str">
        <f>TEXT(tblProjectlist[[#This Row],[project-no]],"0")</f>
        <v>99961028</v>
      </c>
      <c r="H1012" s="91">
        <v>3070</v>
      </c>
      <c r="I1012" s="91">
        <v>3</v>
      </c>
      <c r="J1012" s="91">
        <v>2</v>
      </c>
      <c r="K1012" s="91" t="s">
        <v>1731</v>
      </c>
      <c r="L1012" s="91" t="s">
        <v>2175</v>
      </c>
      <c r="M1012" s="91" t="s">
        <v>4</v>
      </c>
      <c r="Q1012" s="91"/>
      <c r="S1012" s="91" t="s">
        <v>143</v>
      </c>
      <c r="T1012" s="91" t="s">
        <v>2588</v>
      </c>
      <c r="W1012" s="91" t="s">
        <v>180</v>
      </c>
    </row>
    <row r="1013" spans="1:23">
      <c r="A1013" s="93" t="str">
        <f>TEXT(tblProjectlist[[#This Row],[project-no]],"0")</f>
        <v>10770211</v>
      </c>
      <c r="H1013" s="91">
        <v>1077</v>
      </c>
      <c r="I1013" s="91">
        <v>2</v>
      </c>
      <c r="J1013" s="91">
        <v>1</v>
      </c>
      <c r="K1013" s="91" t="s">
        <v>200</v>
      </c>
      <c r="L1013" s="91" t="s">
        <v>62</v>
      </c>
      <c r="M1013" s="91" t="s">
        <v>0</v>
      </c>
      <c r="Q1013" s="91"/>
      <c r="S1013" s="91" t="s">
        <v>143</v>
      </c>
      <c r="T1013" s="91" t="s">
        <v>2195</v>
      </c>
      <c r="V1013" s="91" t="s">
        <v>169</v>
      </c>
      <c r="W1013" s="91" t="s">
        <v>180</v>
      </c>
    </row>
    <row r="1014" spans="1:23">
      <c r="A1014" s="93" t="str">
        <f>TEXT(tblProjectlist[[#This Row],[project-no]],"0")</f>
        <v>10770216</v>
      </c>
      <c r="H1014" s="91">
        <v>1077</v>
      </c>
      <c r="I1014" s="91">
        <v>2</v>
      </c>
      <c r="J1014" s="91">
        <v>1</v>
      </c>
      <c r="K1014" s="91" t="s">
        <v>201</v>
      </c>
      <c r="L1014" s="91" t="s">
        <v>62</v>
      </c>
      <c r="M1014" s="91" t="s">
        <v>0</v>
      </c>
      <c r="Q1014" s="91"/>
      <c r="S1014" s="91" t="s">
        <v>143</v>
      </c>
      <c r="T1014" s="91" t="s">
        <v>2195</v>
      </c>
      <c r="V1014" s="91" t="s">
        <v>168</v>
      </c>
      <c r="W1014" s="91" t="s">
        <v>180</v>
      </c>
    </row>
    <row r="1015" spans="1:23">
      <c r="A1015" s="93" t="str">
        <f>TEXT(tblProjectlist[[#This Row],[project-no]],"0")</f>
        <v>10770326</v>
      </c>
      <c r="H1015" s="91">
        <v>1077</v>
      </c>
      <c r="I1015" s="91">
        <v>3</v>
      </c>
      <c r="J1015" s="91">
        <v>2</v>
      </c>
      <c r="K1015" s="91" t="s">
        <v>202</v>
      </c>
      <c r="L1015" s="91" t="s">
        <v>62</v>
      </c>
      <c r="M1015" s="91" t="s">
        <v>4</v>
      </c>
      <c r="Q1015" s="91"/>
      <c r="S1015" s="91" t="s">
        <v>143</v>
      </c>
      <c r="T1015" s="91" t="s">
        <v>2196</v>
      </c>
      <c r="V1015" s="91" t="s">
        <v>155</v>
      </c>
      <c r="W1015" s="91" t="s">
        <v>180</v>
      </c>
    </row>
    <row r="1016" spans="1:23">
      <c r="A1016" s="93" t="str">
        <f>TEXT(tblProjectlist[[#This Row],[project-no]],"0")</f>
        <v>10770428</v>
      </c>
      <c r="H1016" s="91">
        <v>1077</v>
      </c>
      <c r="I1016" s="91">
        <v>4</v>
      </c>
      <c r="J1016" s="91">
        <v>2</v>
      </c>
      <c r="K1016" s="91" t="s">
        <v>203</v>
      </c>
      <c r="L1016" s="91" t="s">
        <v>2175</v>
      </c>
      <c r="M1016" s="91" t="s">
        <v>4</v>
      </c>
      <c r="Q1016" s="91"/>
      <c r="S1016" s="91" t="s">
        <v>143</v>
      </c>
      <c r="T1016" s="91" t="s">
        <v>2197</v>
      </c>
      <c r="V1016" s="91" t="s">
        <v>155</v>
      </c>
      <c r="W1016" s="91" t="s">
        <v>180</v>
      </c>
    </row>
    <row r="1017" spans="1:23">
      <c r="A1017" s="93" t="str">
        <f>TEXT(tblProjectlist[[#This Row],[project-no]],"0")</f>
        <v>10770528</v>
      </c>
      <c r="H1017" s="91">
        <v>1077</v>
      </c>
      <c r="I1017" s="91">
        <v>5</v>
      </c>
      <c r="J1017" s="91">
        <v>2</v>
      </c>
      <c r="K1017" s="91" t="s">
        <v>204</v>
      </c>
      <c r="L1017" s="91" t="s">
        <v>62</v>
      </c>
      <c r="M1017" s="91" t="s">
        <v>4</v>
      </c>
      <c r="Q1017" s="91"/>
      <c r="S1017" s="91" t="s">
        <v>143</v>
      </c>
      <c r="T1017" s="91" t="s">
        <v>2198</v>
      </c>
      <c r="V1017" s="91" t="s">
        <v>87</v>
      </c>
      <c r="W1017" s="91" t="s">
        <v>180</v>
      </c>
    </row>
    <row r="1018" spans="1:23">
      <c r="A1018" s="93" t="str">
        <f>TEXT(tblProjectlist[[#This Row],[project-no]],"0")</f>
        <v>99867211</v>
      </c>
      <c r="H1018" s="91">
        <v>1077</v>
      </c>
      <c r="I1018" s="91">
        <v>2</v>
      </c>
      <c r="J1018" s="91">
        <v>1</v>
      </c>
      <c r="K1018" s="91" t="s">
        <v>1399</v>
      </c>
      <c r="L1018" s="91" t="s">
        <v>62</v>
      </c>
      <c r="M1018" s="91" t="s">
        <v>0</v>
      </c>
      <c r="Q1018" s="91"/>
      <c r="S1018" s="91" t="s">
        <v>143</v>
      </c>
      <c r="T1018" s="91" t="s">
        <v>2195</v>
      </c>
      <c r="V1018" s="91" t="s">
        <v>169</v>
      </c>
      <c r="W1018" s="91" t="s">
        <v>180</v>
      </c>
    </row>
    <row r="1019" spans="1:23">
      <c r="A1019" s="93" t="str">
        <f>TEXT(tblProjectlist[[#This Row],[project-no]],"0")</f>
        <v>99868611</v>
      </c>
      <c r="H1019" s="91">
        <v>1077</v>
      </c>
      <c r="I1019" s="91">
        <v>2</v>
      </c>
      <c r="J1019" s="91">
        <v>1</v>
      </c>
      <c r="K1019" s="91" t="s">
        <v>1415</v>
      </c>
      <c r="L1019" s="91" t="s">
        <v>62</v>
      </c>
      <c r="M1019" s="91" t="s">
        <v>0</v>
      </c>
      <c r="Q1019" s="91"/>
      <c r="S1019" s="91" t="s">
        <v>143</v>
      </c>
      <c r="T1019" s="91" t="s">
        <v>2195</v>
      </c>
      <c r="V1019" s="91" t="s">
        <v>169</v>
      </c>
      <c r="W1019" s="91" t="s">
        <v>180</v>
      </c>
    </row>
    <row r="1020" spans="1:23">
      <c r="A1020" s="93" t="str">
        <f>TEXT(tblProjectlist[[#This Row],[project-no]],"0")</f>
        <v>99967028</v>
      </c>
      <c r="H1020" s="91">
        <v>1077</v>
      </c>
      <c r="I1020" s="91">
        <v>4</v>
      </c>
      <c r="J1020" s="91">
        <v>2</v>
      </c>
      <c r="K1020" s="91" t="s">
        <v>1787</v>
      </c>
      <c r="L1020" s="91" t="s">
        <v>2175</v>
      </c>
      <c r="M1020" s="91" t="s">
        <v>4</v>
      </c>
      <c r="Q1020" s="91"/>
      <c r="S1020" s="91" t="s">
        <v>143</v>
      </c>
      <c r="T1020" s="91" t="s">
        <v>2197</v>
      </c>
      <c r="W1020" s="91" t="s">
        <v>180</v>
      </c>
    </row>
    <row r="1021" spans="1:23">
      <c r="A1021" s="93" t="str">
        <f>TEXT(tblProjectlist[[#This Row],[project-no]],"0")</f>
        <v>0</v>
      </c>
      <c r="H1021" s="91">
        <v>6124</v>
      </c>
      <c r="I1021" s="91">
        <v>2</v>
      </c>
      <c r="J1021" s="91">
        <v>2</v>
      </c>
      <c r="K1021" s="91"/>
      <c r="L1021" s="91" t="s">
        <v>2175</v>
      </c>
      <c r="M1021" s="91" t="s">
        <v>4</v>
      </c>
      <c r="Q1021" s="91"/>
      <c r="S1021" s="91" t="s">
        <v>143</v>
      </c>
      <c r="T1021" s="91" t="s">
        <v>4085</v>
      </c>
      <c r="V1021" s="91" t="s">
        <v>155</v>
      </c>
      <c r="W1021" s="91" t="s">
        <v>180</v>
      </c>
    </row>
    <row r="1022" spans="1:23">
      <c r="A1022" s="93" t="str">
        <f>TEXT(tblProjectlist[[#This Row],[project-no]],"0")</f>
        <v>75810249</v>
      </c>
      <c r="H1022" s="91">
        <v>7581</v>
      </c>
      <c r="I1022" s="91">
        <v>2</v>
      </c>
      <c r="J1022" s="91">
        <v>4</v>
      </c>
      <c r="K1022" s="91" t="s">
        <v>1032</v>
      </c>
      <c r="L1022" s="91" t="s">
        <v>58</v>
      </c>
      <c r="M1022" s="91" t="s">
        <v>1</v>
      </c>
      <c r="Q1022" s="91"/>
      <c r="S1022" s="91" t="s">
        <v>143</v>
      </c>
      <c r="T1022" s="91" t="s">
        <v>2899</v>
      </c>
      <c r="W1022" s="91" t="s">
        <v>180</v>
      </c>
    </row>
    <row r="1023" spans="1:23">
      <c r="A1023" s="93" t="str">
        <f>TEXT(tblProjectlist[[#This Row],[project-no]],"0")</f>
        <v>0</v>
      </c>
      <c r="H1023" s="91">
        <v>6130</v>
      </c>
      <c r="I1023" s="91">
        <v>2</v>
      </c>
      <c r="J1023" s="91">
        <v>4</v>
      </c>
      <c r="K1023" s="91"/>
      <c r="L1023" s="91" t="s">
        <v>58</v>
      </c>
      <c r="M1023" s="91" t="s">
        <v>1</v>
      </c>
      <c r="Q1023" s="91"/>
      <c r="S1023" s="91" t="s">
        <v>143</v>
      </c>
      <c r="T1023" s="91" t="s">
        <v>4195</v>
      </c>
      <c r="V1023" s="91" t="s">
        <v>163</v>
      </c>
      <c r="W1023" s="91" t="s">
        <v>180</v>
      </c>
    </row>
    <row r="1024" spans="1:23">
      <c r="A1024" s="93" t="str">
        <f>TEXT(tblProjectlist[[#This Row],[project-no]],"0")</f>
        <v>70130228</v>
      </c>
      <c r="H1024" s="91">
        <v>7013</v>
      </c>
      <c r="I1024" s="91">
        <v>2</v>
      </c>
      <c r="J1024" s="91">
        <v>2</v>
      </c>
      <c r="K1024" s="91" t="s">
        <v>932</v>
      </c>
      <c r="L1024" s="91" t="s">
        <v>2175</v>
      </c>
      <c r="M1024" s="91" t="s">
        <v>4</v>
      </c>
      <c r="Q1024" s="91"/>
      <c r="S1024" s="91" t="s">
        <v>143</v>
      </c>
      <c r="T1024" s="91" t="s">
        <v>2805</v>
      </c>
      <c r="V1024" s="91" t="s">
        <v>155</v>
      </c>
      <c r="W1024" s="91" t="s">
        <v>180</v>
      </c>
    </row>
    <row r="1025" spans="1:23">
      <c r="A1025" s="93" t="str">
        <f>TEXT(tblProjectlist[[#This Row],[project-no]],"0")</f>
        <v>0</v>
      </c>
      <c r="H1025" s="91">
        <v>6070</v>
      </c>
      <c r="I1025" s="91">
        <v>3</v>
      </c>
      <c r="J1025" s="91">
        <v>2</v>
      </c>
      <c r="K1025" s="91"/>
      <c r="L1025" s="91" t="s">
        <v>2175</v>
      </c>
      <c r="M1025" s="91" t="s">
        <v>4</v>
      </c>
      <c r="Q1025" s="91"/>
      <c r="S1025" s="91" t="s">
        <v>143</v>
      </c>
      <c r="T1025" s="91" t="s">
        <v>4194</v>
      </c>
      <c r="V1025" s="91" t="s">
        <v>155</v>
      </c>
      <c r="W1025" s="91" t="s">
        <v>180</v>
      </c>
    </row>
    <row r="1026" spans="1:23">
      <c r="A1026" s="93" t="str">
        <f>TEXT(tblProjectlist[[#This Row],[project-no]],"0")</f>
        <v>60700228</v>
      </c>
      <c r="H1026" s="91">
        <v>6070</v>
      </c>
      <c r="I1026" s="91">
        <v>2</v>
      </c>
      <c r="J1026" s="91">
        <v>2</v>
      </c>
      <c r="K1026" s="91" t="s">
        <v>812</v>
      </c>
      <c r="L1026" s="91" t="s">
        <v>2175</v>
      </c>
      <c r="M1026" s="91" t="s">
        <v>4</v>
      </c>
      <c r="Q1026" s="91"/>
      <c r="S1026" s="91" t="s">
        <v>143</v>
      </c>
      <c r="T1026" s="91" t="s">
        <v>2700</v>
      </c>
      <c r="V1026" s="91" t="s">
        <v>155</v>
      </c>
      <c r="W1026" s="91" t="s">
        <v>180</v>
      </c>
    </row>
    <row r="1027" spans="1:23">
      <c r="A1027" s="93" t="str">
        <f>TEXT(tblProjectlist[[#This Row],[project-no]],"0")</f>
        <v>28982211</v>
      </c>
      <c r="H1027" s="91">
        <v>2898</v>
      </c>
      <c r="I1027" s="91">
        <v>22</v>
      </c>
      <c r="J1027" s="91">
        <v>1</v>
      </c>
      <c r="K1027" s="91" t="s">
        <v>574</v>
      </c>
      <c r="L1027" s="91" t="s">
        <v>2175</v>
      </c>
      <c r="M1027" s="91" t="s">
        <v>0</v>
      </c>
      <c r="Q1027" s="91"/>
      <c r="S1027" s="91" t="s">
        <v>143</v>
      </c>
      <c r="T1027" s="91" t="s">
        <v>2491</v>
      </c>
      <c r="V1027" s="91" t="s">
        <v>169</v>
      </c>
      <c r="W1027" s="91" t="s">
        <v>180</v>
      </c>
    </row>
    <row r="1028" spans="1:23">
      <c r="A1028" s="93" t="str">
        <f>TEXT(tblProjectlist[[#This Row],[project-no]],"0")</f>
        <v>28982311</v>
      </c>
      <c r="H1028" s="91">
        <v>2898</v>
      </c>
      <c r="I1028" s="91">
        <v>23</v>
      </c>
      <c r="J1028" s="91">
        <v>1</v>
      </c>
      <c r="K1028" s="91" t="s">
        <v>575</v>
      </c>
      <c r="L1028" s="91" t="s">
        <v>2175</v>
      </c>
      <c r="M1028" s="91" t="s">
        <v>0</v>
      </c>
      <c r="Q1028" s="91"/>
      <c r="S1028" s="91" t="s">
        <v>143</v>
      </c>
      <c r="T1028" s="91" t="s">
        <v>2492</v>
      </c>
      <c r="V1028" s="91" t="s">
        <v>169</v>
      </c>
      <c r="W1028" s="91" t="s">
        <v>180</v>
      </c>
    </row>
    <row r="1029" spans="1:23">
      <c r="A1029" s="93" t="str">
        <f>TEXT(tblProjectlist[[#This Row],[project-no]],"0")</f>
        <v>28982411</v>
      </c>
      <c r="H1029" s="91">
        <v>2898</v>
      </c>
      <c r="I1029" s="91">
        <v>24</v>
      </c>
      <c r="J1029" s="91">
        <v>1</v>
      </c>
      <c r="K1029" s="91" t="s">
        <v>576</v>
      </c>
      <c r="L1029" s="91" t="s">
        <v>2175</v>
      </c>
      <c r="M1029" s="91" t="s">
        <v>0</v>
      </c>
      <c r="Q1029" s="91"/>
      <c r="S1029" s="91" t="s">
        <v>143</v>
      </c>
      <c r="T1029" s="91" t="s">
        <v>2493</v>
      </c>
      <c r="V1029" s="91" t="s">
        <v>169</v>
      </c>
      <c r="W1029" s="91" t="s">
        <v>180</v>
      </c>
    </row>
    <row r="1030" spans="1:23">
      <c r="A1030" s="93" t="str">
        <f>TEXT(tblProjectlist[[#This Row],[project-no]],"0")</f>
        <v>99634116</v>
      </c>
      <c r="H1030" s="91">
        <v>9963</v>
      </c>
      <c r="I1030" s="91">
        <v>41</v>
      </c>
      <c r="J1030" s="91">
        <v>1</v>
      </c>
      <c r="K1030" s="91" t="s">
        <v>1345</v>
      </c>
      <c r="L1030" s="91" t="s">
        <v>2175</v>
      </c>
      <c r="M1030" s="91" t="s">
        <v>0</v>
      </c>
      <c r="Q1030" s="91"/>
      <c r="S1030" s="91" t="s">
        <v>143</v>
      </c>
      <c r="T1030" s="91" t="s">
        <v>3177</v>
      </c>
      <c r="V1030" s="91" t="s">
        <v>168</v>
      </c>
      <c r="W1030" s="91" t="s">
        <v>180</v>
      </c>
    </row>
    <row r="1031" spans="1:23">
      <c r="A1031" s="93" t="str">
        <f>TEXT(tblProjectlist[[#This Row],[project-no]],"0")</f>
        <v>0</v>
      </c>
      <c r="H1031" s="91">
        <v>7617</v>
      </c>
      <c r="I1031" s="91">
        <v>3</v>
      </c>
      <c r="J1031" s="91">
        <v>2</v>
      </c>
      <c r="K1031" s="91"/>
      <c r="L1031" s="91" t="s">
        <v>64</v>
      </c>
      <c r="M1031" s="91" t="s">
        <v>4</v>
      </c>
      <c r="Q1031" s="91"/>
      <c r="S1031" s="91" t="s">
        <v>143</v>
      </c>
      <c r="T1031" s="91" t="s">
        <v>4373</v>
      </c>
      <c r="V1031" s="91" t="s">
        <v>155</v>
      </c>
      <c r="W1031" s="91" t="s">
        <v>180</v>
      </c>
    </row>
    <row r="1032" spans="1:23">
      <c r="A1032" s="93" t="str">
        <f>TEXT(tblProjectlist[[#This Row],[project-no]],"0")</f>
        <v>76170242</v>
      </c>
      <c r="H1032" s="91">
        <v>7617</v>
      </c>
      <c r="I1032" s="91">
        <v>2</v>
      </c>
      <c r="J1032" s="91">
        <v>4</v>
      </c>
      <c r="K1032" s="91">
        <v>76170242</v>
      </c>
      <c r="L1032" s="91" t="s">
        <v>58</v>
      </c>
      <c r="M1032" s="91" t="s">
        <v>1</v>
      </c>
      <c r="Q1032" s="91"/>
      <c r="S1032" s="91" t="s">
        <v>143</v>
      </c>
      <c r="T1032" s="91" t="s">
        <v>3790</v>
      </c>
      <c r="V1032" s="91" t="s">
        <v>158</v>
      </c>
      <c r="W1032" s="91" t="s">
        <v>180</v>
      </c>
    </row>
    <row r="1033" spans="1:23">
      <c r="A1033" s="93" t="str">
        <f>TEXT(tblProjectlist[[#This Row],[project-no]],"0")</f>
        <v>76170242</v>
      </c>
      <c r="H1033" s="91">
        <v>7617</v>
      </c>
      <c r="I1033" s="91">
        <v>2</v>
      </c>
      <c r="J1033" s="91">
        <v>4</v>
      </c>
      <c r="K1033" s="91">
        <v>76170242</v>
      </c>
      <c r="L1033" s="91" t="s">
        <v>58</v>
      </c>
      <c r="M1033" s="91" t="s">
        <v>1</v>
      </c>
      <c r="Q1033" s="91"/>
      <c r="S1033" s="91" t="s">
        <v>143</v>
      </c>
      <c r="T1033" s="91" t="s">
        <v>3790</v>
      </c>
      <c r="V1033" s="91" t="s">
        <v>164</v>
      </c>
      <c r="W1033" s="91" t="s">
        <v>180</v>
      </c>
    </row>
    <row r="1034" spans="1:23">
      <c r="A1034" s="93" t="str">
        <f>TEXT(tblProjectlist[[#This Row],[project-no]],"0")</f>
        <v>76170242</v>
      </c>
      <c r="H1034" s="91">
        <v>7617</v>
      </c>
      <c r="I1034" s="91">
        <v>2</v>
      </c>
      <c r="J1034" s="91">
        <v>4</v>
      </c>
      <c r="K1034" s="91">
        <v>76170242</v>
      </c>
      <c r="L1034" s="91" t="s">
        <v>58</v>
      </c>
      <c r="M1034" s="91" t="s">
        <v>1</v>
      </c>
      <c r="Q1034" s="91"/>
      <c r="S1034" s="91" t="s">
        <v>143</v>
      </c>
      <c r="T1034" s="91" t="s">
        <v>3790</v>
      </c>
      <c r="V1034" s="91" t="s">
        <v>160</v>
      </c>
      <c r="W1034" s="91" t="s">
        <v>180</v>
      </c>
    </row>
    <row r="1035" spans="1:23">
      <c r="A1035" s="93" t="str">
        <f>TEXT(tblProjectlist[[#This Row],[project-no]],"0")</f>
        <v>76170242</v>
      </c>
      <c r="H1035" s="91">
        <v>7617</v>
      </c>
      <c r="I1035" s="91">
        <v>2</v>
      </c>
      <c r="J1035" s="91">
        <v>4</v>
      </c>
      <c r="K1035" s="91">
        <v>76170242</v>
      </c>
      <c r="L1035" s="91" t="s">
        <v>58</v>
      </c>
      <c r="M1035" s="91" t="s">
        <v>1</v>
      </c>
      <c r="Q1035" s="91"/>
      <c r="S1035" s="91" t="s">
        <v>143</v>
      </c>
      <c r="T1035" s="91" t="s">
        <v>3790</v>
      </c>
      <c r="V1035" s="91" t="s">
        <v>162</v>
      </c>
      <c r="W1035" s="91" t="s">
        <v>180</v>
      </c>
    </row>
    <row r="1036" spans="1:23">
      <c r="A1036" s="93" t="str">
        <f>TEXT(tblProjectlist[[#This Row],[project-no]],"0")</f>
        <v>99634213</v>
      </c>
      <c r="H1036" s="91">
        <v>9963</v>
      </c>
      <c r="I1036" s="91">
        <v>42</v>
      </c>
      <c r="J1036" s="91">
        <v>1</v>
      </c>
      <c r="K1036" s="91" t="s">
        <v>1346</v>
      </c>
      <c r="L1036" s="91" t="s">
        <v>2175</v>
      </c>
      <c r="M1036" s="91" t="s">
        <v>0</v>
      </c>
      <c r="Q1036" s="91"/>
      <c r="S1036" s="91" t="s">
        <v>143</v>
      </c>
      <c r="T1036" s="91" t="s">
        <v>3178</v>
      </c>
      <c r="V1036" s="91" t="s">
        <v>167</v>
      </c>
      <c r="W1036" s="91" t="s">
        <v>180</v>
      </c>
    </row>
    <row r="1037" spans="1:23">
      <c r="A1037" s="93" t="str">
        <f>TEXT(tblProjectlist[[#This Row],[project-no]],"0")</f>
        <v>99634311</v>
      </c>
      <c r="H1037" s="91">
        <v>9963</v>
      </c>
      <c r="I1037" s="91">
        <v>43</v>
      </c>
      <c r="J1037" s="91">
        <v>1</v>
      </c>
      <c r="K1037" s="91" t="s">
        <v>1347</v>
      </c>
      <c r="L1037" s="91" t="s">
        <v>2175</v>
      </c>
      <c r="M1037" s="91" t="s">
        <v>0</v>
      </c>
      <c r="Q1037" s="91"/>
      <c r="S1037" s="91" t="s">
        <v>143</v>
      </c>
      <c r="T1037" s="91" t="s">
        <v>3179</v>
      </c>
      <c r="V1037" s="91" t="s">
        <v>169</v>
      </c>
      <c r="W1037" s="91" t="s">
        <v>180</v>
      </c>
    </row>
    <row r="1038" spans="1:23">
      <c r="A1038" s="93" t="str">
        <f>TEXT(tblProjectlist[[#This Row],[project-no]],"0")</f>
        <v>99634416</v>
      </c>
      <c r="H1038" s="91">
        <v>9963</v>
      </c>
      <c r="I1038" s="91">
        <v>44</v>
      </c>
      <c r="J1038" s="91">
        <v>1</v>
      </c>
      <c r="K1038" s="91" t="s">
        <v>4023</v>
      </c>
      <c r="L1038" s="91" t="s">
        <v>2175</v>
      </c>
      <c r="M1038" s="91" t="s">
        <v>0</v>
      </c>
      <c r="Q1038" s="91"/>
      <c r="S1038" s="91" t="s">
        <v>143</v>
      </c>
      <c r="T1038" s="91" t="s">
        <v>4033</v>
      </c>
      <c r="V1038" s="91" t="s">
        <v>168</v>
      </c>
      <c r="W1038" s="91" t="s">
        <v>180</v>
      </c>
    </row>
    <row r="1039" spans="1:23">
      <c r="A1039" s="93" t="str">
        <f>TEXT(tblProjectlist[[#This Row],[project-no]],"0")</f>
        <v>0</v>
      </c>
      <c r="H1039" s="91">
        <v>3028</v>
      </c>
      <c r="I1039" s="91">
        <v>17</v>
      </c>
      <c r="J1039" s="91">
        <v>4</v>
      </c>
      <c r="K1039" s="91"/>
      <c r="L1039" s="91" t="s">
        <v>58</v>
      </c>
      <c r="M1039" s="91" t="s">
        <v>1</v>
      </c>
      <c r="Q1039" s="91"/>
      <c r="S1039" s="91" t="s">
        <v>143</v>
      </c>
      <c r="T1039" s="91" t="s">
        <v>3728</v>
      </c>
      <c r="W1039" s="91" t="s">
        <v>180</v>
      </c>
    </row>
    <row r="1040" spans="1:23">
      <c r="A1040" s="93" t="str">
        <f>TEXT(tblProjectlist[[#This Row],[project-no]],"0")</f>
        <v>30280242</v>
      </c>
      <c r="H1040" s="91">
        <v>3028</v>
      </c>
      <c r="I1040" s="91">
        <v>2</v>
      </c>
      <c r="J1040" s="91">
        <v>4</v>
      </c>
      <c r="K1040" s="91" t="s">
        <v>633</v>
      </c>
      <c r="L1040" s="91" t="s">
        <v>58</v>
      </c>
      <c r="M1040" s="91" t="s">
        <v>1</v>
      </c>
      <c r="Q1040" s="91"/>
      <c r="S1040" s="91" t="s">
        <v>143</v>
      </c>
      <c r="T1040" s="91" t="s">
        <v>2541</v>
      </c>
      <c r="V1040" s="91" t="s">
        <v>163</v>
      </c>
      <c r="W1040" s="91" t="s">
        <v>180</v>
      </c>
    </row>
    <row r="1041" spans="1:23">
      <c r="A1041" s="93" t="str">
        <f>TEXT(tblProjectlist[[#This Row],[project-no]],"0")</f>
        <v>30280243</v>
      </c>
      <c r="H1041" s="91">
        <v>3028</v>
      </c>
      <c r="I1041" s="91">
        <v>2</v>
      </c>
      <c r="J1041" s="91">
        <v>4</v>
      </c>
      <c r="K1041" s="91" t="s">
        <v>634</v>
      </c>
      <c r="L1041" s="91" t="s">
        <v>58</v>
      </c>
      <c r="M1041" s="91" t="s">
        <v>1</v>
      </c>
      <c r="Q1041" s="91"/>
      <c r="S1041" s="91" t="s">
        <v>143</v>
      </c>
      <c r="T1041" s="91" t="s">
        <v>2541</v>
      </c>
      <c r="V1041" s="91" t="s">
        <v>164</v>
      </c>
      <c r="W1041" s="91" t="s">
        <v>180</v>
      </c>
    </row>
    <row r="1042" spans="1:23">
      <c r="A1042" s="93" t="str">
        <f>TEXT(tblProjectlist[[#This Row],[project-no]],"0")</f>
        <v>30280244</v>
      </c>
      <c r="H1042" s="91">
        <v>3028</v>
      </c>
      <c r="I1042" s="91">
        <v>2</v>
      </c>
      <c r="J1042" s="91">
        <v>4</v>
      </c>
      <c r="K1042" s="91" t="s">
        <v>635</v>
      </c>
      <c r="L1042" s="91" t="s">
        <v>58</v>
      </c>
      <c r="M1042" s="91" t="s">
        <v>1</v>
      </c>
      <c r="Q1042" s="91"/>
      <c r="S1042" s="91" t="s">
        <v>143</v>
      </c>
      <c r="T1042" s="91" t="s">
        <v>2541</v>
      </c>
      <c r="V1042" s="91" t="s">
        <v>160</v>
      </c>
      <c r="W1042" s="91" t="s">
        <v>180</v>
      </c>
    </row>
    <row r="1043" spans="1:23">
      <c r="A1043" s="93" t="str">
        <f>TEXT(tblProjectlist[[#This Row],[project-no]],"0")</f>
        <v>30280247</v>
      </c>
      <c r="H1043" s="91">
        <v>3028</v>
      </c>
      <c r="I1043" s="91">
        <v>2</v>
      </c>
      <c r="J1043" s="91">
        <v>4</v>
      </c>
      <c r="K1043" s="91" t="s">
        <v>636</v>
      </c>
      <c r="L1043" s="91" t="s">
        <v>58</v>
      </c>
      <c r="M1043" s="91" t="s">
        <v>1</v>
      </c>
      <c r="Q1043" s="91"/>
      <c r="S1043" s="91" t="s">
        <v>143</v>
      </c>
      <c r="T1043" s="91" t="s">
        <v>2541</v>
      </c>
      <c r="V1043" s="91" t="s">
        <v>162</v>
      </c>
      <c r="W1043" s="91" t="s">
        <v>180</v>
      </c>
    </row>
    <row r="1044" spans="1:23">
      <c r="A1044" s="93" t="str">
        <f>TEXT(tblProjectlist[[#This Row],[project-no]],"0")</f>
        <v>30280942</v>
      </c>
      <c r="H1044" s="91">
        <v>3028</v>
      </c>
      <c r="I1044" s="91">
        <v>9</v>
      </c>
      <c r="J1044" s="91">
        <v>4</v>
      </c>
      <c r="K1044" s="91" t="s">
        <v>637</v>
      </c>
      <c r="L1044" s="91" t="s">
        <v>58</v>
      </c>
      <c r="M1044" s="91" t="s">
        <v>1</v>
      </c>
      <c r="Q1044" s="91"/>
      <c r="S1044" s="91" t="s">
        <v>143</v>
      </c>
      <c r="T1044" s="91" t="s">
        <v>2542</v>
      </c>
      <c r="V1044" s="91" t="s">
        <v>163</v>
      </c>
      <c r="W1044" s="91" t="s">
        <v>180</v>
      </c>
    </row>
    <row r="1045" spans="1:23">
      <c r="A1045" s="93" t="str">
        <f>TEXT(tblProjectlist[[#This Row],[project-no]],"0")</f>
        <v>30280944</v>
      </c>
      <c r="H1045" s="91">
        <v>3028</v>
      </c>
      <c r="I1045" s="91">
        <v>9</v>
      </c>
      <c r="J1045" s="91">
        <v>4</v>
      </c>
      <c r="K1045" s="91" t="s">
        <v>638</v>
      </c>
      <c r="L1045" s="91" t="s">
        <v>58</v>
      </c>
      <c r="M1045" s="91" t="s">
        <v>1</v>
      </c>
      <c r="Q1045" s="91"/>
      <c r="S1045" s="91" t="s">
        <v>143</v>
      </c>
      <c r="T1045" s="91" t="s">
        <v>2542</v>
      </c>
      <c r="V1045" s="91" t="s">
        <v>160</v>
      </c>
      <c r="W1045" s="91" t="s">
        <v>180</v>
      </c>
    </row>
    <row r="1046" spans="1:23">
      <c r="A1046" s="93" t="str">
        <f>TEXT(tblProjectlist[[#This Row],[project-no]],"0")</f>
        <v>30281242</v>
      </c>
      <c r="H1046" s="91">
        <v>3028</v>
      </c>
      <c r="I1046" s="91">
        <v>12</v>
      </c>
      <c r="J1046" s="91">
        <v>4</v>
      </c>
      <c r="K1046" s="91" t="s">
        <v>639</v>
      </c>
      <c r="L1046" s="91" t="s">
        <v>58</v>
      </c>
      <c r="M1046" s="91" t="s">
        <v>1</v>
      </c>
      <c r="Q1046" s="91"/>
      <c r="S1046" s="91" t="s">
        <v>143</v>
      </c>
      <c r="T1046" s="91" t="s">
        <v>2543</v>
      </c>
      <c r="V1046" s="91" t="s">
        <v>163</v>
      </c>
      <c r="W1046" s="91" t="s">
        <v>180</v>
      </c>
    </row>
    <row r="1047" spans="1:23">
      <c r="A1047" s="93" t="str">
        <f>TEXT(tblProjectlist[[#This Row],[project-no]],"0")</f>
        <v>30281344</v>
      </c>
      <c r="H1047" s="91">
        <v>3028</v>
      </c>
      <c r="I1047" s="91">
        <v>13</v>
      </c>
      <c r="J1047" s="91">
        <v>4</v>
      </c>
      <c r="K1047" s="91" t="s">
        <v>640</v>
      </c>
      <c r="L1047" s="91" t="s">
        <v>58</v>
      </c>
      <c r="M1047" s="91" t="s">
        <v>1</v>
      </c>
      <c r="Q1047" s="91"/>
      <c r="S1047" s="91" t="s">
        <v>143</v>
      </c>
      <c r="T1047" s="91" t="s">
        <v>2544</v>
      </c>
      <c r="W1047" s="91" t="s">
        <v>180</v>
      </c>
    </row>
    <row r="1048" spans="1:23">
      <c r="A1048" s="93" t="str">
        <f>TEXT(tblProjectlist[[#This Row],[project-no]],"0")</f>
        <v>30281444</v>
      </c>
      <c r="H1048" s="91">
        <v>3028</v>
      </c>
      <c r="I1048" s="91">
        <v>14</v>
      </c>
      <c r="J1048" s="91">
        <v>4</v>
      </c>
      <c r="K1048" s="91" t="s">
        <v>641</v>
      </c>
      <c r="L1048" s="91" t="s">
        <v>58</v>
      </c>
      <c r="M1048" s="91" t="s">
        <v>1</v>
      </c>
      <c r="Q1048" s="91"/>
      <c r="S1048" s="91" t="s">
        <v>143</v>
      </c>
      <c r="T1048" s="91" t="s">
        <v>2545</v>
      </c>
      <c r="W1048" s="91" t="s">
        <v>180</v>
      </c>
    </row>
    <row r="1049" spans="1:23">
      <c r="A1049" s="93" t="str">
        <f>TEXT(tblProjectlist[[#This Row],[project-no]],"0")</f>
        <v>30281549</v>
      </c>
      <c r="H1049" s="91">
        <v>3028</v>
      </c>
      <c r="I1049" s="91">
        <v>15</v>
      </c>
      <c r="J1049" s="91">
        <v>4</v>
      </c>
      <c r="K1049" s="91" t="s">
        <v>642</v>
      </c>
      <c r="L1049" s="91" t="s">
        <v>58</v>
      </c>
      <c r="M1049" s="91" t="s">
        <v>1</v>
      </c>
      <c r="Q1049" s="91"/>
      <c r="S1049" s="91" t="s">
        <v>143</v>
      </c>
      <c r="T1049" s="91" t="s">
        <v>2546</v>
      </c>
      <c r="W1049" s="91" t="s">
        <v>180</v>
      </c>
    </row>
    <row r="1050" spans="1:23">
      <c r="A1050" s="93" t="str">
        <f>TEXT(tblProjectlist[[#This Row],[project-no]],"0")</f>
        <v>30281649</v>
      </c>
      <c r="H1050" s="91">
        <v>3028</v>
      </c>
      <c r="I1050" s="91">
        <v>16</v>
      </c>
      <c r="J1050" s="91">
        <v>4</v>
      </c>
      <c r="K1050" s="91" t="s">
        <v>643</v>
      </c>
      <c r="L1050" s="91" t="s">
        <v>58</v>
      </c>
      <c r="M1050" s="91" t="s">
        <v>1</v>
      </c>
      <c r="Q1050" s="91"/>
      <c r="S1050" s="91" t="s">
        <v>143</v>
      </c>
      <c r="T1050" s="91" t="s">
        <v>2547</v>
      </c>
      <c r="W1050" s="91" t="s">
        <v>180</v>
      </c>
    </row>
    <row r="1051" spans="1:23">
      <c r="A1051" s="93" t="str">
        <f>TEXT(tblProjectlist[[#This Row],[project-no]],"0")</f>
        <v>99897044</v>
      </c>
      <c r="H1051" s="91">
        <v>3028</v>
      </c>
      <c r="I1051" s="91">
        <v>2</v>
      </c>
      <c r="J1051" s="91">
        <v>4</v>
      </c>
      <c r="K1051" s="91" t="s">
        <v>1484</v>
      </c>
      <c r="L1051" s="91" t="s">
        <v>58</v>
      </c>
      <c r="M1051" s="91" t="s">
        <v>1</v>
      </c>
      <c r="Q1051" s="91"/>
      <c r="S1051" s="91" t="s">
        <v>143</v>
      </c>
      <c r="T1051" s="91" t="s">
        <v>2541</v>
      </c>
      <c r="V1051" s="91" t="s">
        <v>160</v>
      </c>
      <c r="W1051" s="91" t="s">
        <v>180</v>
      </c>
    </row>
    <row r="1052" spans="1:23">
      <c r="A1052" s="93" t="str">
        <f>TEXT(tblProjectlist[[#This Row],[project-no]],"0")</f>
        <v>99952442</v>
      </c>
      <c r="H1052" s="91">
        <v>3028</v>
      </c>
      <c r="I1052" s="91">
        <v>9</v>
      </c>
      <c r="J1052" s="91">
        <v>4</v>
      </c>
      <c r="K1052" s="91" t="s">
        <v>1637</v>
      </c>
      <c r="L1052" s="91" t="s">
        <v>58</v>
      </c>
      <c r="M1052" s="91" t="s">
        <v>1</v>
      </c>
      <c r="Q1052" s="91"/>
      <c r="S1052" s="91" t="s">
        <v>143</v>
      </c>
      <c r="T1052" s="91" t="s">
        <v>2542</v>
      </c>
      <c r="V1052" s="91" t="s">
        <v>163</v>
      </c>
      <c r="W1052" s="91" t="s">
        <v>180</v>
      </c>
    </row>
    <row r="1053" spans="1:23">
      <c r="A1053" s="93" t="str">
        <f>TEXT(tblProjectlist[[#This Row],[project-no]],"0")</f>
        <v>0</v>
      </c>
      <c r="H1053" s="91">
        <v>9963</v>
      </c>
      <c r="I1053" s="91">
        <v>45</v>
      </c>
      <c r="J1053" s="91">
        <v>1</v>
      </c>
      <c r="K1053" s="91"/>
      <c r="L1053" s="91" t="s">
        <v>2175</v>
      </c>
      <c r="M1053" s="91" t="s">
        <v>0</v>
      </c>
      <c r="Q1053" s="91"/>
      <c r="S1053" s="91" t="s">
        <v>143</v>
      </c>
      <c r="T1053" s="91" t="s">
        <v>3717</v>
      </c>
      <c r="V1053" s="91" t="s">
        <v>167</v>
      </c>
      <c r="W1053" s="91" t="s">
        <v>180</v>
      </c>
    </row>
    <row r="1054" spans="1:23">
      <c r="A1054" s="93" t="str">
        <f>TEXT(tblProjectlist[[#This Row],[project-no]],"0")</f>
        <v>0</v>
      </c>
      <c r="H1054" s="91">
        <v>9963</v>
      </c>
      <c r="I1054" s="91">
        <v>46</v>
      </c>
      <c r="J1054" s="91">
        <v>1</v>
      </c>
      <c r="K1054" s="91"/>
      <c r="L1054" s="91" t="s">
        <v>2175</v>
      </c>
      <c r="M1054" s="91" t="s">
        <v>0</v>
      </c>
      <c r="Q1054" s="91"/>
      <c r="S1054" s="91" t="s">
        <v>143</v>
      </c>
      <c r="T1054" s="91" t="s">
        <v>3718</v>
      </c>
      <c r="V1054" s="91" t="s">
        <v>169</v>
      </c>
      <c r="W1054" s="91" t="s">
        <v>180</v>
      </c>
    </row>
    <row r="1055" spans="1:23">
      <c r="A1055" s="93" t="str">
        <f>TEXT(tblProjectlist[[#This Row],[project-no]],"0")</f>
        <v>0</v>
      </c>
      <c r="H1055" s="91">
        <v>9963</v>
      </c>
      <c r="I1055" s="91">
        <v>47</v>
      </c>
      <c r="J1055" s="91">
        <v>1</v>
      </c>
      <c r="K1055" s="91"/>
      <c r="L1055" s="91" t="s">
        <v>2175</v>
      </c>
      <c r="M1055" s="91" t="s">
        <v>0</v>
      </c>
      <c r="Q1055" s="91"/>
      <c r="S1055" s="91" t="s">
        <v>143</v>
      </c>
      <c r="T1055" s="91" t="s">
        <v>3719</v>
      </c>
      <c r="W1055" s="91" t="s">
        <v>180</v>
      </c>
    </row>
    <row r="1056" spans="1:23">
      <c r="A1056" s="93" t="str">
        <f>TEXT(tblProjectlist[[#This Row],[project-no]],"0")</f>
        <v>0</v>
      </c>
      <c r="H1056" s="91">
        <v>9963</v>
      </c>
      <c r="I1056" s="91">
        <v>48</v>
      </c>
      <c r="J1056" s="91">
        <v>1</v>
      </c>
      <c r="K1056" s="91"/>
      <c r="L1056" s="91" t="s">
        <v>2175</v>
      </c>
      <c r="M1056" s="91" t="s">
        <v>0</v>
      </c>
      <c r="Q1056" s="91"/>
      <c r="S1056" s="91" t="s">
        <v>143</v>
      </c>
      <c r="T1056" s="91" t="s">
        <v>3720</v>
      </c>
      <c r="W1056" s="91" t="s">
        <v>180</v>
      </c>
    </row>
    <row r="1057" spans="1:23">
      <c r="A1057" s="93" t="str">
        <f>TEXT(tblProjectlist[[#This Row],[project-no]],"0")</f>
        <v>99897011</v>
      </c>
      <c r="H1057" s="91">
        <v>9989</v>
      </c>
      <c r="I1057" s="91">
        <v>70</v>
      </c>
      <c r="J1057" s="91">
        <v>1</v>
      </c>
      <c r="K1057" s="91" t="s">
        <v>1482</v>
      </c>
      <c r="L1057" s="91" t="s">
        <v>2175</v>
      </c>
      <c r="M1057" s="91" t="s">
        <v>0</v>
      </c>
      <c r="Q1057" s="91"/>
      <c r="S1057" s="91" t="s">
        <v>143</v>
      </c>
      <c r="T1057" s="91" t="s">
        <v>3236</v>
      </c>
      <c r="V1057" s="91" t="s">
        <v>169</v>
      </c>
      <c r="W1057" s="91" t="s">
        <v>180</v>
      </c>
    </row>
    <row r="1058" spans="1:23">
      <c r="A1058" s="93" t="str">
        <f>TEXT(tblProjectlist[[#This Row],[project-no]],"0")</f>
        <v>99897019</v>
      </c>
      <c r="H1058" s="91">
        <v>9989</v>
      </c>
      <c r="I1058" s="91">
        <v>70</v>
      </c>
      <c r="J1058" s="91">
        <v>1</v>
      </c>
      <c r="K1058" s="91" t="s">
        <v>1483</v>
      </c>
      <c r="L1058" s="91" t="s">
        <v>2175</v>
      </c>
      <c r="M1058" s="91" t="s">
        <v>0</v>
      </c>
      <c r="Q1058" s="91"/>
      <c r="S1058" s="91" t="s">
        <v>143</v>
      </c>
      <c r="T1058" s="91" t="s">
        <v>3236</v>
      </c>
      <c r="V1058" s="91" t="s">
        <v>168</v>
      </c>
      <c r="W1058" s="91" t="s">
        <v>180</v>
      </c>
    </row>
    <row r="1059" spans="1:23">
      <c r="A1059" s="93" t="str">
        <f>TEXT(tblProjectlist[[#This Row],[project-no]],"0")</f>
        <v>99917811</v>
      </c>
      <c r="H1059" s="91">
        <v>9991</v>
      </c>
      <c r="I1059" s="91">
        <v>78</v>
      </c>
      <c r="J1059" s="91">
        <v>1</v>
      </c>
      <c r="K1059" s="91" t="s">
        <v>1531</v>
      </c>
      <c r="L1059" s="91" t="s">
        <v>2175</v>
      </c>
      <c r="M1059" s="91" t="s">
        <v>0</v>
      </c>
      <c r="Q1059" s="91"/>
      <c r="S1059" s="91" t="s">
        <v>143</v>
      </c>
      <c r="T1059" s="91" t="s">
        <v>3255</v>
      </c>
      <c r="V1059" s="91" t="s">
        <v>169</v>
      </c>
      <c r="W1059" s="91" t="s">
        <v>180</v>
      </c>
    </row>
    <row r="1060" spans="1:23">
      <c r="A1060" s="93" t="str">
        <f>TEXT(tblProjectlist[[#This Row],[project-no]],"0")</f>
        <v>99951711</v>
      </c>
      <c r="H1060" s="91">
        <v>9995</v>
      </c>
      <c r="I1060" s="91">
        <v>17</v>
      </c>
      <c r="J1060" s="91">
        <v>1</v>
      </c>
      <c r="K1060" s="91" t="s">
        <v>1632</v>
      </c>
      <c r="L1060" s="91" t="s">
        <v>2175</v>
      </c>
      <c r="M1060" s="91" t="s">
        <v>0</v>
      </c>
      <c r="Q1060" s="91"/>
      <c r="S1060" s="91" t="s">
        <v>143</v>
      </c>
      <c r="T1060" s="91" t="s">
        <v>3282</v>
      </c>
      <c r="V1060" s="91" t="s">
        <v>169</v>
      </c>
      <c r="W1060" s="91" t="s">
        <v>180</v>
      </c>
    </row>
    <row r="1061" spans="1:23">
      <c r="A1061" s="93" t="str">
        <f>TEXT(tblProjectlist[[#This Row],[project-no]],"0")</f>
        <v>99951713</v>
      </c>
      <c r="H1061" s="91">
        <v>9995</v>
      </c>
      <c r="I1061" s="91">
        <v>17</v>
      </c>
      <c r="J1061" s="91">
        <v>1</v>
      </c>
      <c r="K1061" s="91" t="s">
        <v>1633</v>
      </c>
      <c r="L1061" s="91" t="s">
        <v>2175</v>
      </c>
      <c r="M1061" s="91" t="s">
        <v>0</v>
      </c>
      <c r="Q1061" s="91"/>
      <c r="S1061" s="91" t="s">
        <v>143</v>
      </c>
      <c r="T1061" s="91" t="s">
        <v>3282</v>
      </c>
      <c r="V1061" s="91" t="s">
        <v>167</v>
      </c>
      <c r="W1061" s="91" t="s">
        <v>180</v>
      </c>
    </row>
    <row r="1062" spans="1:23">
      <c r="A1062" s="93" t="str">
        <f>TEXT(tblProjectlist[[#This Row],[project-no]],"0")</f>
        <v>99952913</v>
      </c>
      <c r="H1062" s="91">
        <v>9995</v>
      </c>
      <c r="I1062" s="91">
        <v>29</v>
      </c>
      <c r="J1062" s="91">
        <v>1</v>
      </c>
      <c r="K1062" s="91" t="s">
        <v>1643</v>
      </c>
      <c r="L1062" s="91" t="s">
        <v>2175</v>
      </c>
      <c r="M1062" s="91" t="s">
        <v>0</v>
      </c>
      <c r="Q1062" s="91"/>
      <c r="S1062" s="91" t="s">
        <v>143</v>
      </c>
      <c r="T1062" s="91" t="s">
        <v>3289</v>
      </c>
      <c r="V1062" s="91" t="s">
        <v>167</v>
      </c>
      <c r="W1062" s="91" t="s">
        <v>180</v>
      </c>
    </row>
    <row r="1063" spans="1:23">
      <c r="A1063" s="93" t="str">
        <f>TEXT(tblProjectlist[[#This Row],[project-no]],"0")</f>
        <v>99953611</v>
      </c>
      <c r="H1063" s="91">
        <v>9995</v>
      </c>
      <c r="I1063" s="91">
        <v>36</v>
      </c>
      <c r="J1063" s="91">
        <v>1</v>
      </c>
      <c r="K1063" s="91" t="s">
        <v>1649</v>
      </c>
      <c r="L1063" s="91" t="s">
        <v>2175</v>
      </c>
      <c r="M1063" s="91" t="s">
        <v>0</v>
      </c>
      <c r="Q1063" s="91"/>
      <c r="S1063" s="91" t="s">
        <v>143</v>
      </c>
      <c r="T1063" s="91" t="s">
        <v>3295</v>
      </c>
      <c r="V1063" s="91" t="s">
        <v>169</v>
      </c>
      <c r="W1063" s="91" t="s">
        <v>180</v>
      </c>
    </row>
    <row r="1064" spans="1:23">
      <c r="A1064" s="93" t="str">
        <f>TEXT(tblProjectlist[[#This Row],[project-no]],"0")</f>
        <v>99953613</v>
      </c>
      <c r="H1064" s="91">
        <v>9995</v>
      </c>
      <c r="I1064" s="91">
        <v>36</v>
      </c>
      <c r="J1064" s="91">
        <v>1</v>
      </c>
      <c r="K1064" s="91" t="s">
        <v>1650</v>
      </c>
      <c r="L1064" s="91" t="s">
        <v>2175</v>
      </c>
      <c r="M1064" s="91" t="s">
        <v>0</v>
      </c>
      <c r="Q1064" s="91"/>
      <c r="S1064" s="91" t="s">
        <v>143</v>
      </c>
      <c r="T1064" s="91" t="s">
        <v>3295</v>
      </c>
      <c r="V1064" s="91" t="s">
        <v>167</v>
      </c>
      <c r="W1064" s="91" t="s">
        <v>180</v>
      </c>
    </row>
    <row r="1065" spans="1:23">
      <c r="A1065" s="93" t="str">
        <f>TEXT(tblProjectlist[[#This Row],[project-no]],"0")</f>
        <v>99953711</v>
      </c>
      <c r="H1065" s="91">
        <v>9995</v>
      </c>
      <c r="I1065" s="91">
        <v>37</v>
      </c>
      <c r="J1065" s="91">
        <v>1</v>
      </c>
      <c r="K1065" s="91" t="s">
        <v>1651</v>
      </c>
      <c r="L1065" s="91" t="s">
        <v>2175</v>
      </c>
      <c r="M1065" s="91" t="s">
        <v>0</v>
      </c>
      <c r="Q1065" s="91"/>
      <c r="S1065" s="91" t="s">
        <v>143</v>
      </c>
      <c r="T1065" s="91" t="s">
        <v>3296</v>
      </c>
      <c r="V1065" s="91" t="s">
        <v>169</v>
      </c>
      <c r="W1065" s="91" t="s">
        <v>180</v>
      </c>
    </row>
    <row r="1066" spans="1:23">
      <c r="A1066" s="93" t="str">
        <f>TEXT(tblProjectlist[[#This Row],[project-no]],"0")</f>
        <v>99953716</v>
      </c>
      <c r="H1066" s="91">
        <v>9995</v>
      </c>
      <c r="I1066" s="91">
        <v>37</v>
      </c>
      <c r="J1066" s="91">
        <v>1</v>
      </c>
      <c r="K1066" s="91" t="s">
        <v>1652</v>
      </c>
      <c r="L1066" s="91" t="s">
        <v>2175</v>
      </c>
      <c r="M1066" s="91" t="s">
        <v>0</v>
      </c>
      <c r="Q1066" s="91"/>
      <c r="S1066" s="91" t="s">
        <v>143</v>
      </c>
      <c r="T1066" s="91" t="s">
        <v>3296</v>
      </c>
      <c r="V1066" s="91" t="s">
        <v>168</v>
      </c>
      <c r="W1066" s="91" t="s">
        <v>180</v>
      </c>
    </row>
    <row r="1067" spans="1:23">
      <c r="A1067" s="93" t="str">
        <f>TEXT(tblProjectlist[[#This Row],[project-no]],"0")</f>
        <v>99957413</v>
      </c>
      <c r="H1067" s="91">
        <v>9995</v>
      </c>
      <c r="I1067" s="91">
        <v>74</v>
      </c>
      <c r="J1067" s="91">
        <v>1</v>
      </c>
      <c r="K1067" s="91" t="s">
        <v>1690</v>
      </c>
      <c r="L1067" s="91" t="s">
        <v>2175</v>
      </c>
      <c r="M1067" s="91" t="s">
        <v>0</v>
      </c>
      <c r="Q1067" s="91"/>
      <c r="S1067" s="91" t="s">
        <v>143</v>
      </c>
      <c r="T1067" s="91" t="s">
        <v>3327</v>
      </c>
      <c r="V1067" s="91" t="s">
        <v>167</v>
      </c>
      <c r="W1067" s="91" t="s">
        <v>180</v>
      </c>
    </row>
    <row r="1068" spans="1:23">
      <c r="A1068" s="93" t="str">
        <f>TEXT(tblProjectlist[[#This Row],[project-no]],"0")</f>
        <v>99959413</v>
      </c>
      <c r="H1068" s="91">
        <v>9995</v>
      </c>
      <c r="I1068" s="91">
        <v>94</v>
      </c>
      <c r="J1068" s="91">
        <v>1</v>
      </c>
      <c r="K1068" s="91" t="s">
        <v>1718</v>
      </c>
      <c r="L1068" s="91" t="s">
        <v>2175</v>
      </c>
      <c r="M1068" s="91" t="s">
        <v>0</v>
      </c>
      <c r="Q1068" s="91"/>
      <c r="S1068" s="91" t="s">
        <v>143</v>
      </c>
      <c r="T1068" s="91" t="s">
        <v>3345</v>
      </c>
      <c r="V1068" s="91" t="s">
        <v>167</v>
      </c>
      <c r="W1068" s="91" t="s">
        <v>180</v>
      </c>
    </row>
    <row r="1069" spans="1:23">
      <c r="A1069" s="93" t="str">
        <f>TEXT(tblProjectlist[[#This Row],[project-no]],"0")</f>
        <v>0</v>
      </c>
      <c r="H1069" s="91">
        <v>3018</v>
      </c>
      <c r="I1069" s="91">
        <v>6</v>
      </c>
      <c r="J1069" s="91">
        <v>2</v>
      </c>
      <c r="K1069" s="91"/>
      <c r="L1069" s="91" t="s">
        <v>2175</v>
      </c>
      <c r="M1069" s="91" t="s">
        <v>4</v>
      </c>
      <c r="Q1069" s="91"/>
      <c r="S1069" s="91" t="s">
        <v>143</v>
      </c>
      <c r="T1069" s="91" t="s">
        <v>4038</v>
      </c>
      <c r="V1069" s="91" t="s">
        <v>155</v>
      </c>
      <c r="W1069" s="91" t="s">
        <v>180</v>
      </c>
    </row>
    <row r="1070" spans="1:23">
      <c r="A1070" s="93" t="str">
        <f>TEXT(tblProjectlist[[#This Row],[project-no]],"0")</f>
        <v>0</v>
      </c>
      <c r="H1070" s="91">
        <v>4113</v>
      </c>
      <c r="I1070" s="91">
        <v>1</v>
      </c>
      <c r="J1070" s="91">
        <v>2</v>
      </c>
      <c r="K1070" s="91"/>
      <c r="L1070" s="91" t="s">
        <v>2175</v>
      </c>
      <c r="M1070" s="91" t="s">
        <v>4</v>
      </c>
      <c r="Q1070" s="91"/>
      <c r="S1070" s="91" t="s">
        <v>143</v>
      </c>
      <c r="T1070" s="91" t="s">
        <v>4694</v>
      </c>
      <c r="V1070" s="91" t="s">
        <v>155</v>
      </c>
      <c r="W1070" s="91" t="s">
        <v>180</v>
      </c>
    </row>
    <row r="1071" spans="1:23">
      <c r="A1071" s="93" t="str">
        <f>TEXT(tblProjectlist[[#This Row],[project-no]],"0")</f>
        <v>41130228</v>
      </c>
      <c r="H1071" s="91">
        <v>4113</v>
      </c>
      <c r="I1071" s="91">
        <v>2</v>
      </c>
      <c r="J1071" s="91">
        <v>2</v>
      </c>
      <c r="K1071" s="91" t="s">
        <v>761</v>
      </c>
      <c r="L1071" s="91" t="s">
        <v>2175</v>
      </c>
      <c r="M1071" s="91" t="s">
        <v>4</v>
      </c>
      <c r="Q1071" s="91"/>
      <c r="S1071" s="91" t="s">
        <v>143</v>
      </c>
      <c r="T1071" s="91" t="s">
        <v>2657</v>
      </c>
      <c r="V1071" s="91" t="s">
        <v>155</v>
      </c>
      <c r="W1071" s="91" t="s">
        <v>180</v>
      </c>
    </row>
    <row r="1072" spans="1:23">
      <c r="A1072" s="93" t="str">
        <f>TEXT(tblProjectlist[[#This Row],[project-no]],"0")</f>
        <v>0</v>
      </c>
      <c r="H1072" s="91">
        <v>4113</v>
      </c>
      <c r="I1072" s="91">
        <v>3</v>
      </c>
      <c r="J1072" s="91">
        <v>2</v>
      </c>
      <c r="K1072" s="91"/>
      <c r="L1072" s="91" t="s">
        <v>2175</v>
      </c>
      <c r="M1072" s="91" t="s">
        <v>4</v>
      </c>
      <c r="Q1072" s="91"/>
      <c r="S1072" s="91" t="s">
        <v>143</v>
      </c>
      <c r="T1072" s="91" t="s">
        <v>4041</v>
      </c>
      <c r="V1072" s="91" t="s">
        <v>155</v>
      </c>
      <c r="W1072" s="91" t="s">
        <v>180</v>
      </c>
    </row>
    <row r="1073" spans="1:23">
      <c r="A1073" s="93" t="str">
        <f>TEXT(tblProjectlist[[#This Row],[project-no]],"0")</f>
        <v>0</v>
      </c>
      <c r="H1073" s="91">
        <v>4110</v>
      </c>
      <c r="I1073" s="91">
        <v>3</v>
      </c>
      <c r="J1073" s="91">
        <v>2</v>
      </c>
      <c r="K1073" s="91"/>
      <c r="L1073" s="91" t="s">
        <v>2175</v>
      </c>
      <c r="M1073" s="91" t="s">
        <v>4</v>
      </c>
      <c r="Q1073" s="91"/>
      <c r="S1073" s="91" t="s">
        <v>143</v>
      </c>
      <c r="T1073" s="91" t="s">
        <v>3962</v>
      </c>
      <c r="V1073" s="91" t="s">
        <v>155</v>
      </c>
      <c r="W1073" s="91" t="s">
        <v>180</v>
      </c>
    </row>
    <row r="1074" spans="1:23">
      <c r="A1074" s="93" t="str">
        <f>TEXT(tblProjectlist[[#This Row],[project-no]],"0")</f>
        <v>0</v>
      </c>
      <c r="H1074" s="91">
        <v>4102</v>
      </c>
      <c r="I1074" s="91">
        <v>3</v>
      </c>
      <c r="J1074" s="91">
        <v>2</v>
      </c>
      <c r="K1074" s="91"/>
      <c r="L1074" s="91" t="s">
        <v>2175</v>
      </c>
      <c r="M1074" s="91" t="s">
        <v>4</v>
      </c>
      <c r="Q1074" s="91"/>
      <c r="S1074" s="91" t="s">
        <v>143</v>
      </c>
      <c r="T1074" s="91" t="s">
        <v>3924</v>
      </c>
      <c r="V1074" s="91" t="s">
        <v>155</v>
      </c>
      <c r="W1074" s="91" t="s">
        <v>180</v>
      </c>
    </row>
    <row r="1075" spans="1:23">
      <c r="A1075" s="93" t="str">
        <f>TEXT(tblProjectlist[[#This Row],[project-no]],"0")</f>
        <v>41020228</v>
      </c>
      <c r="H1075" s="91">
        <v>4102</v>
      </c>
      <c r="I1075" s="91">
        <v>2</v>
      </c>
      <c r="J1075" s="91">
        <v>2</v>
      </c>
      <c r="K1075" s="91" t="s">
        <v>759</v>
      </c>
      <c r="L1075" s="91" t="s">
        <v>2175</v>
      </c>
      <c r="M1075" s="91" t="s">
        <v>4</v>
      </c>
      <c r="Q1075" s="91"/>
      <c r="S1075" s="91" t="s">
        <v>143</v>
      </c>
      <c r="T1075" s="91" t="s">
        <v>2655</v>
      </c>
      <c r="V1075" s="91" t="s">
        <v>155</v>
      </c>
      <c r="W1075" s="91" t="s">
        <v>180</v>
      </c>
    </row>
    <row r="1076" spans="1:23">
      <c r="A1076" s="93" t="str">
        <f>TEXT(tblProjectlist[[#This Row],[project-no]],"0")</f>
        <v>40050228</v>
      </c>
      <c r="H1076" s="91">
        <v>4005</v>
      </c>
      <c r="I1076" s="91">
        <v>2</v>
      </c>
      <c r="J1076" s="91">
        <v>2</v>
      </c>
      <c r="K1076" s="91" t="s">
        <v>755</v>
      </c>
      <c r="L1076" s="91" t="s">
        <v>2175</v>
      </c>
      <c r="M1076" s="91" t="s">
        <v>4</v>
      </c>
      <c r="Q1076" s="91"/>
      <c r="S1076" s="91" t="s">
        <v>143</v>
      </c>
      <c r="T1076" s="91" t="s">
        <v>2651</v>
      </c>
      <c r="V1076" s="91" t="s">
        <v>155</v>
      </c>
      <c r="W1076" s="91" t="s">
        <v>180</v>
      </c>
    </row>
    <row r="1077" spans="1:23">
      <c r="A1077" s="93" t="str">
        <f>TEXT(tblProjectlist[[#This Row],[project-no]],"0")</f>
        <v>0</v>
      </c>
      <c r="H1077" s="91">
        <v>6310</v>
      </c>
      <c r="I1077" s="91">
        <v>2</v>
      </c>
      <c r="J1077" s="91">
        <v>1</v>
      </c>
      <c r="K1077" s="91"/>
      <c r="L1077" s="91" t="s">
        <v>197</v>
      </c>
      <c r="M1077" s="91" t="s">
        <v>0</v>
      </c>
      <c r="Q1077" s="91"/>
      <c r="S1077" s="91" t="s">
        <v>143</v>
      </c>
      <c r="T1077" s="91" t="s">
        <v>3933</v>
      </c>
      <c r="V1077" s="91" t="s">
        <v>169</v>
      </c>
      <c r="W1077" s="91" t="s">
        <v>180</v>
      </c>
    </row>
    <row r="1078" spans="1:23">
      <c r="A1078" s="93" t="str">
        <f>TEXT(tblProjectlist[[#This Row],[project-no]],"0")</f>
        <v>88690328</v>
      </c>
      <c r="H1078" s="91">
        <v>8869</v>
      </c>
      <c r="I1078" s="91">
        <v>3</v>
      </c>
      <c r="J1078" s="91">
        <v>2</v>
      </c>
      <c r="K1078" s="91" t="s">
        <v>1259</v>
      </c>
      <c r="L1078" s="91" t="s">
        <v>2175</v>
      </c>
      <c r="M1078" s="91" t="s">
        <v>4</v>
      </c>
      <c r="Q1078" s="91"/>
      <c r="S1078" s="91" t="s">
        <v>143</v>
      </c>
      <c r="T1078" s="91" t="s">
        <v>3110</v>
      </c>
      <c r="V1078" s="91" t="s">
        <v>155</v>
      </c>
      <c r="W1078" s="91" t="s">
        <v>180</v>
      </c>
    </row>
    <row r="1079" spans="1:23">
      <c r="A1079" s="93" t="str">
        <f>TEXT(tblProjectlist[[#This Row],[project-no]],"0")</f>
        <v>88690428</v>
      </c>
      <c r="H1079" s="91">
        <v>8869</v>
      </c>
      <c r="I1079" s="91">
        <v>4</v>
      </c>
      <c r="J1079" s="91">
        <v>2</v>
      </c>
      <c r="K1079" s="91" t="s">
        <v>1260</v>
      </c>
      <c r="L1079" s="91" t="s">
        <v>2175</v>
      </c>
      <c r="M1079" s="91" t="s">
        <v>4</v>
      </c>
      <c r="Q1079" s="91"/>
      <c r="S1079" s="91" t="s">
        <v>143</v>
      </c>
      <c r="T1079" s="91" t="s">
        <v>3111</v>
      </c>
      <c r="V1079" s="91" t="s">
        <v>155</v>
      </c>
      <c r="W1079" s="91" t="s">
        <v>180</v>
      </c>
    </row>
    <row r="1080" spans="1:23">
      <c r="A1080" s="93" t="str">
        <f>TEXT(tblProjectlist[[#This Row],[project-no]],"0")</f>
        <v>88690528</v>
      </c>
      <c r="H1080" s="91">
        <v>8869</v>
      </c>
      <c r="I1080" s="91">
        <v>5</v>
      </c>
      <c r="J1080" s="91">
        <v>2</v>
      </c>
      <c r="K1080" s="91" t="s">
        <v>1261</v>
      </c>
      <c r="L1080" s="91" t="s">
        <v>2175</v>
      </c>
      <c r="M1080" s="91" t="s">
        <v>4</v>
      </c>
      <c r="Q1080" s="91"/>
      <c r="S1080" s="91" t="s">
        <v>143</v>
      </c>
      <c r="T1080" s="91" t="s">
        <v>3112</v>
      </c>
      <c r="V1080" s="91" t="s">
        <v>155</v>
      </c>
      <c r="W1080" s="91" t="s">
        <v>180</v>
      </c>
    </row>
    <row r="1081" spans="1:23">
      <c r="A1081" s="93" t="str">
        <f>TEXT(tblProjectlist[[#This Row],[project-no]],"0")</f>
        <v>0</v>
      </c>
      <c r="H1081" s="91">
        <v>3149</v>
      </c>
      <c r="I1081" s="91">
        <v>2</v>
      </c>
      <c r="J1081" s="91">
        <v>2</v>
      </c>
      <c r="K1081" s="91"/>
      <c r="L1081" s="91" t="s">
        <v>2175</v>
      </c>
      <c r="M1081" s="91" t="s">
        <v>4</v>
      </c>
      <c r="Q1081" s="91"/>
      <c r="S1081" s="91" t="s">
        <v>143</v>
      </c>
      <c r="T1081" s="91" t="s">
        <v>3571</v>
      </c>
      <c r="V1081" s="91" t="s">
        <v>155</v>
      </c>
      <c r="W1081" s="91" t="s">
        <v>180</v>
      </c>
    </row>
    <row r="1082" spans="1:23">
      <c r="A1082" s="93" t="str">
        <f>TEXT(tblProjectlist[[#This Row],[project-no]],"0")</f>
        <v>0</v>
      </c>
      <c r="H1082" s="91">
        <v>8013</v>
      </c>
      <c r="I1082" s="91">
        <v>2</v>
      </c>
      <c r="J1082" s="91">
        <v>2</v>
      </c>
      <c r="K1082" s="91"/>
      <c r="L1082" s="91" t="s">
        <v>2175</v>
      </c>
      <c r="M1082" s="91" t="s">
        <v>4</v>
      </c>
      <c r="Q1082" s="91"/>
      <c r="S1082" s="91" t="s">
        <v>143</v>
      </c>
      <c r="T1082" s="91" t="s">
        <v>4454</v>
      </c>
      <c r="V1082" s="91" t="s">
        <v>155</v>
      </c>
      <c r="W1082" s="91" t="s">
        <v>180</v>
      </c>
    </row>
    <row r="1083" spans="1:23">
      <c r="A1083" s="93" t="str">
        <f>TEXT(tblProjectlist[[#This Row],[project-no]],"0")</f>
        <v>31470228</v>
      </c>
      <c r="H1083" s="91">
        <v>3147</v>
      </c>
      <c r="I1083" s="91">
        <v>2</v>
      </c>
      <c r="J1083" s="91">
        <v>2</v>
      </c>
      <c r="K1083" s="91" t="s">
        <v>745</v>
      </c>
      <c r="L1083" s="91" t="s">
        <v>2175</v>
      </c>
      <c r="M1083" s="91" t="s">
        <v>4</v>
      </c>
      <c r="Q1083" s="91"/>
      <c r="S1083" s="91" t="s">
        <v>143</v>
      </c>
      <c r="T1083" s="91" t="s">
        <v>2643</v>
      </c>
      <c r="V1083" s="91" t="s">
        <v>155</v>
      </c>
      <c r="W1083" s="91" t="s">
        <v>180</v>
      </c>
    </row>
    <row r="1084" spans="1:23">
      <c r="A1084" s="93" t="str">
        <f>TEXT(tblProjectlist[[#This Row],[project-no]],"0")</f>
        <v>0</v>
      </c>
      <c r="H1084" s="91">
        <v>3173</v>
      </c>
      <c r="I1084" s="91">
        <v>2</v>
      </c>
      <c r="J1084" s="91">
        <v>4</v>
      </c>
      <c r="K1084" s="91"/>
      <c r="L1084" s="91" t="s">
        <v>58</v>
      </c>
      <c r="M1084" s="91" t="s">
        <v>1</v>
      </c>
      <c r="Q1084" s="91"/>
      <c r="S1084" s="91" t="s">
        <v>143</v>
      </c>
      <c r="T1084" s="91" t="s">
        <v>4382</v>
      </c>
      <c r="V1084" s="91" t="s">
        <v>158</v>
      </c>
      <c r="W1084" s="91" t="s">
        <v>180</v>
      </c>
    </row>
    <row r="1085" spans="1:23">
      <c r="A1085" s="93" t="str">
        <f>TEXT(tblProjectlist[[#This Row],[project-no]],"0")</f>
        <v>10760228</v>
      </c>
      <c r="H1085" s="91">
        <v>1076</v>
      </c>
      <c r="I1085" s="91">
        <v>2</v>
      </c>
      <c r="J1085" s="91">
        <v>2</v>
      </c>
      <c r="K1085" s="91" t="s">
        <v>199</v>
      </c>
      <c r="L1085" s="91" t="s">
        <v>2175</v>
      </c>
      <c r="M1085" s="91" t="s">
        <v>4</v>
      </c>
      <c r="Q1085" s="91"/>
      <c r="S1085" s="91" t="s">
        <v>143</v>
      </c>
      <c r="T1085" s="91" t="s">
        <v>2194</v>
      </c>
      <c r="V1085" s="91" t="s">
        <v>155</v>
      </c>
      <c r="W1085" s="91" t="s">
        <v>180</v>
      </c>
    </row>
    <row r="1086" spans="1:23">
      <c r="A1086" s="93" t="str">
        <f>TEXT(tblProjectlist[[#This Row],[project-no]],"0")</f>
        <v>99948928</v>
      </c>
      <c r="H1086" s="91">
        <v>9994</v>
      </c>
      <c r="I1086" s="91">
        <v>89</v>
      </c>
      <c r="J1086" s="91">
        <v>2</v>
      </c>
      <c r="K1086" s="91" t="s">
        <v>1609</v>
      </c>
      <c r="L1086" s="91" t="s">
        <v>265</v>
      </c>
      <c r="M1086" s="91" t="s">
        <v>4</v>
      </c>
      <c r="Q1086" s="91"/>
      <c r="S1086" s="91" t="s">
        <v>143</v>
      </c>
      <c r="T1086" s="91" t="s">
        <v>3274</v>
      </c>
      <c r="V1086" s="91" t="s">
        <v>155</v>
      </c>
      <c r="W1086" s="91" t="s">
        <v>180</v>
      </c>
    </row>
    <row r="1087" spans="1:23">
      <c r="A1087" s="93" t="str">
        <f>TEXT(tblProjectlist[[#This Row],[project-no]],"0")</f>
        <v>30450228</v>
      </c>
      <c r="H1087" s="91">
        <v>3045</v>
      </c>
      <c r="I1087" s="91">
        <v>2</v>
      </c>
      <c r="J1087" s="91">
        <v>2</v>
      </c>
      <c r="K1087" s="91" t="s">
        <v>655</v>
      </c>
      <c r="L1087" s="91" t="s">
        <v>2175</v>
      </c>
      <c r="M1087" s="91" t="s">
        <v>4</v>
      </c>
      <c r="Q1087" s="91"/>
      <c r="S1087" s="91" t="s">
        <v>143</v>
      </c>
      <c r="T1087" s="91" t="s">
        <v>2559</v>
      </c>
      <c r="V1087" s="91" t="s">
        <v>155</v>
      </c>
      <c r="W1087" s="91" t="s">
        <v>180</v>
      </c>
    </row>
    <row r="1088" spans="1:23">
      <c r="A1088" s="93" t="str">
        <f>TEXT(tblProjectlist[[#This Row],[project-no]],"0")</f>
        <v>0</v>
      </c>
      <c r="H1088" s="91">
        <v>4002</v>
      </c>
      <c r="I1088" s="91">
        <v>8</v>
      </c>
      <c r="J1088" s="91">
        <v>2</v>
      </c>
      <c r="K1088" s="91"/>
      <c r="L1088" s="91" t="s">
        <v>2175</v>
      </c>
      <c r="M1088" s="91" t="s">
        <v>4</v>
      </c>
      <c r="Q1088" s="91"/>
      <c r="S1088" s="91" t="s">
        <v>143</v>
      </c>
      <c r="T1088" s="91" t="s">
        <v>3809</v>
      </c>
      <c r="V1088" s="91" t="s">
        <v>155</v>
      </c>
      <c r="W1088" s="91" t="s">
        <v>180</v>
      </c>
    </row>
    <row r="1089" spans="1:23">
      <c r="A1089" s="93" t="str">
        <f>TEXT(tblProjectlist[[#This Row],[project-no]],"0")</f>
        <v>0</v>
      </c>
      <c r="H1089" s="91">
        <v>4002</v>
      </c>
      <c r="I1089" s="91">
        <v>9</v>
      </c>
      <c r="J1089" s="91">
        <v>2</v>
      </c>
      <c r="K1089" s="91"/>
      <c r="L1089" s="91" t="s">
        <v>2175</v>
      </c>
      <c r="M1089" s="91" t="s">
        <v>4</v>
      </c>
      <c r="Q1089" s="91"/>
      <c r="S1089" s="91" t="s">
        <v>143</v>
      </c>
      <c r="T1089" s="91" t="s">
        <v>3857</v>
      </c>
      <c r="V1089" s="91" t="s">
        <v>156</v>
      </c>
      <c r="W1089" s="91" t="s">
        <v>180</v>
      </c>
    </row>
    <row r="1090" spans="1:23">
      <c r="A1090" s="93" t="str">
        <f>TEXT(tblProjectlist[[#This Row],[project-no]],"0")</f>
        <v>0</v>
      </c>
      <c r="H1090" s="91">
        <v>4002</v>
      </c>
      <c r="I1090" s="91">
        <v>10</v>
      </c>
      <c r="J1090" s="91">
        <v>2</v>
      </c>
      <c r="K1090" s="91"/>
      <c r="L1090" s="91" t="s">
        <v>2175</v>
      </c>
      <c r="M1090" s="91" t="s">
        <v>4</v>
      </c>
      <c r="Q1090" s="91"/>
      <c r="S1090" s="91" t="s">
        <v>143</v>
      </c>
      <c r="T1090" s="91" t="s">
        <v>3858</v>
      </c>
      <c r="V1090" s="91" t="s">
        <v>156</v>
      </c>
      <c r="W1090" s="91" t="s">
        <v>180</v>
      </c>
    </row>
    <row r="1091" spans="1:23">
      <c r="A1091" s="93" t="str">
        <f>TEXT(tblProjectlist[[#This Row],[project-no]],"0")</f>
        <v>0</v>
      </c>
      <c r="H1091" s="91">
        <v>4002</v>
      </c>
      <c r="I1091" s="91">
        <v>11</v>
      </c>
      <c r="J1091" s="91">
        <v>2</v>
      </c>
      <c r="K1091" s="91"/>
      <c r="L1091" s="91" t="s">
        <v>2175</v>
      </c>
      <c r="M1091" s="91" t="s">
        <v>4</v>
      </c>
      <c r="Q1091" s="91"/>
      <c r="S1091" s="91" t="s">
        <v>143</v>
      </c>
      <c r="T1091" s="91" t="s">
        <v>4040</v>
      </c>
      <c r="V1091" s="91" t="s">
        <v>155</v>
      </c>
      <c r="W1091" s="91" t="s">
        <v>180</v>
      </c>
    </row>
    <row r="1092" spans="1:23">
      <c r="A1092" s="93" t="str">
        <f>TEXT(tblProjectlist[[#This Row],[project-no]],"0")</f>
        <v>40020628</v>
      </c>
      <c r="H1092" s="91">
        <v>4002</v>
      </c>
      <c r="I1092" s="91">
        <v>6</v>
      </c>
      <c r="J1092" s="91">
        <v>2</v>
      </c>
      <c r="K1092" s="91" t="s">
        <v>753</v>
      </c>
      <c r="L1092" s="91" t="s">
        <v>2175</v>
      </c>
      <c r="M1092" s="91" t="s">
        <v>4</v>
      </c>
      <c r="Q1092" s="91"/>
      <c r="S1092" s="91" t="s">
        <v>143</v>
      </c>
      <c r="T1092" s="91" t="s">
        <v>2649</v>
      </c>
      <c r="V1092" s="91" t="s">
        <v>155</v>
      </c>
      <c r="W1092" s="91" t="s">
        <v>180</v>
      </c>
    </row>
    <row r="1093" spans="1:23">
      <c r="A1093" s="93" t="str">
        <f>TEXT(tblProjectlist[[#This Row],[project-no]],"0")</f>
        <v>40020728</v>
      </c>
      <c r="H1093" s="91">
        <v>4002</v>
      </c>
      <c r="I1093" s="91">
        <v>7</v>
      </c>
      <c r="J1093" s="91">
        <v>2</v>
      </c>
      <c r="K1093" s="91" t="s">
        <v>754</v>
      </c>
      <c r="L1093" s="91" t="s">
        <v>2175</v>
      </c>
      <c r="M1093" s="91" t="s">
        <v>4</v>
      </c>
      <c r="Q1093" s="91"/>
      <c r="S1093" s="91" t="s">
        <v>143</v>
      </c>
      <c r="T1093" s="91" t="s">
        <v>2650</v>
      </c>
      <c r="V1093" s="91" t="s">
        <v>155</v>
      </c>
      <c r="W1093" s="91" t="s">
        <v>180</v>
      </c>
    </row>
    <row r="1094" spans="1:23">
      <c r="A1094" s="93" t="str">
        <f>TEXT(tblProjectlist[[#This Row],[project-no]],"0")</f>
        <v>0</v>
      </c>
      <c r="H1094" s="91">
        <v>4002</v>
      </c>
      <c r="I1094" s="91">
        <v>12</v>
      </c>
      <c r="J1094" s="91">
        <v>2</v>
      </c>
      <c r="K1094" s="91"/>
      <c r="L1094" s="91" t="s">
        <v>2175</v>
      </c>
      <c r="M1094" s="91" t="s">
        <v>4</v>
      </c>
      <c r="Q1094" s="91"/>
      <c r="S1094" s="91" t="s">
        <v>143</v>
      </c>
      <c r="T1094" s="91" t="s">
        <v>4074</v>
      </c>
      <c r="V1094" s="91" t="s">
        <v>156</v>
      </c>
      <c r="W1094" s="91" t="s">
        <v>180</v>
      </c>
    </row>
    <row r="1095" spans="1:23">
      <c r="A1095" s="93" t="str">
        <f>TEXT(tblProjectlist[[#This Row],[project-no]],"0")</f>
        <v>0</v>
      </c>
      <c r="H1095" s="91">
        <v>4002</v>
      </c>
      <c r="I1095" s="91">
        <v>13</v>
      </c>
      <c r="J1095" s="91">
        <v>2</v>
      </c>
      <c r="K1095" s="91"/>
      <c r="L1095" s="91" t="s">
        <v>2175</v>
      </c>
      <c r="M1095" s="91" t="s">
        <v>4</v>
      </c>
      <c r="Q1095" s="91"/>
      <c r="S1095" s="91" t="s">
        <v>143</v>
      </c>
      <c r="T1095" s="91" t="s">
        <v>4695</v>
      </c>
      <c r="V1095" s="91" t="s">
        <v>156</v>
      </c>
      <c r="W1095" s="91" t="s">
        <v>180</v>
      </c>
    </row>
    <row r="1096" spans="1:23">
      <c r="A1096" s="93" t="str">
        <f>TEXT(tblProjectlist[[#This Row],[project-no]],"0")</f>
        <v>20890728</v>
      </c>
      <c r="H1096" s="91">
        <v>2089</v>
      </c>
      <c r="I1096" s="91">
        <v>7</v>
      </c>
      <c r="J1096" s="91">
        <v>2</v>
      </c>
      <c r="K1096" s="91" t="s">
        <v>515</v>
      </c>
      <c r="L1096" s="91" t="s">
        <v>2175</v>
      </c>
      <c r="M1096" s="91" t="s">
        <v>4</v>
      </c>
      <c r="Q1096" s="91"/>
      <c r="S1096" s="91" t="s">
        <v>143</v>
      </c>
      <c r="T1096" s="91" t="s">
        <v>2451</v>
      </c>
      <c r="V1096" s="91" t="s">
        <v>155</v>
      </c>
      <c r="W1096" s="91" t="s">
        <v>180</v>
      </c>
    </row>
    <row r="1097" spans="1:23">
      <c r="A1097" s="93" t="str">
        <f>TEXT(tblProjectlist[[#This Row],[project-no]],"0")</f>
        <v>20010228</v>
      </c>
      <c r="H1097" s="91">
        <v>2001</v>
      </c>
      <c r="I1097" s="91">
        <v>2</v>
      </c>
      <c r="J1097" s="91">
        <v>2</v>
      </c>
      <c r="K1097" s="91" t="s">
        <v>446</v>
      </c>
      <c r="L1097" s="91" t="s">
        <v>2175</v>
      </c>
      <c r="M1097" s="91" t="s">
        <v>4</v>
      </c>
      <c r="Q1097" s="91"/>
      <c r="S1097" s="91" t="s">
        <v>143</v>
      </c>
      <c r="T1097" s="91" t="s">
        <v>2395</v>
      </c>
      <c r="V1097" s="91" t="s">
        <v>155</v>
      </c>
      <c r="W1097" s="91" t="s">
        <v>180</v>
      </c>
    </row>
    <row r="1098" spans="1:23">
      <c r="A1098" s="93" t="str">
        <f>TEXT(tblProjectlist[[#This Row],[project-no]],"0")</f>
        <v>20010328</v>
      </c>
      <c r="H1098" s="91">
        <v>2001</v>
      </c>
      <c r="I1098" s="91">
        <v>3</v>
      </c>
      <c r="J1098" s="91">
        <v>2</v>
      </c>
      <c r="K1098" s="91" t="s">
        <v>447</v>
      </c>
      <c r="L1098" s="91" t="s">
        <v>2175</v>
      </c>
      <c r="M1098" s="91" t="s">
        <v>4</v>
      </c>
      <c r="Q1098" s="91"/>
      <c r="S1098" s="91" t="s">
        <v>143</v>
      </c>
      <c r="T1098" s="91" t="s">
        <v>2396</v>
      </c>
      <c r="V1098" s="91" t="s">
        <v>155</v>
      </c>
      <c r="W1098" s="91" t="s">
        <v>180</v>
      </c>
    </row>
    <row r="1099" spans="1:23">
      <c r="A1099" s="93" t="str">
        <f>TEXT(tblProjectlist[[#This Row],[project-no]],"0")</f>
        <v>20010428</v>
      </c>
      <c r="H1099" s="91">
        <v>2001</v>
      </c>
      <c r="I1099" s="91">
        <v>4</v>
      </c>
      <c r="J1099" s="91">
        <v>2</v>
      </c>
      <c r="K1099" s="91" t="s">
        <v>448</v>
      </c>
      <c r="L1099" s="91" t="s">
        <v>2175</v>
      </c>
      <c r="M1099" s="91" t="s">
        <v>4</v>
      </c>
      <c r="Q1099" s="91"/>
      <c r="S1099" s="91" t="s">
        <v>143</v>
      </c>
      <c r="T1099" s="91" t="s">
        <v>2397</v>
      </c>
      <c r="V1099" s="91" t="s">
        <v>155</v>
      </c>
      <c r="W1099" s="91" t="s">
        <v>180</v>
      </c>
    </row>
    <row r="1100" spans="1:23">
      <c r="A1100" s="93" t="str">
        <f>TEXT(tblProjectlist[[#This Row],[project-no]],"0")</f>
        <v>79020228</v>
      </c>
      <c r="H1100" s="91">
        <v>7902</v>
      </c>
      <c r="I1100" s="91">
        <v>2</v>
      </c>
      <c r="J1100" s="91">
        <v>2</v>
      </c>
      <c r="K1100" s="91" t="s">
        <v>1139</v>
      </c>
      <c r="L1100" s="91" t="s">
        <v>2175</v>
      </c>
      <c r="M1100" s="91" t="s">
        <v>4</v>
      </c>
      <c r="Q1100" s="91"/>
      <c r="S1100" s="91" t="s">
        <v>143</v>
      </c>
      <c r="T1100" s="91" t="s">
        <v>3003</v>
      </c>
      <c r="V1100" s="91" t="s">
        <v>155</v>
      </c>
      <c r="W1100" s="91" t="s">
        <v>180</v>
      </c>
    </row>
    <row r="1101" spans="1:23">
      <c r="A1101" s="93" t="str">
        <f>TEXT(tblProjectlist[[#This Row],[project-no]],"0")</f>
        <v>99962228</v>
      </c>
      <c r="H1101" s="91">
        <v>7902</v>
      </c>
      <c r="I1101" s="91">
        <v>2</v>
      </c>
      <c r="J1101" s="91">
        <v>2</v>
      </c>
      <c r="K1101" s="91" t="s">
        <v>1743</v>
      </c>
      <c r="L1101" s="91" t="s">
        <v>2175</v>
      </c>
      <c r="M1101" s="91" t="s">
        <v>4</v>
      </c>
      <c r="Q1101" s="91"/>
      <c r="S1101" s="91" t="s">
        <v>143</v>
      </c>
      <c r="T1101" s="91" t="s">
        <v>3003</v>
      </c>
      <c r="V1101" s="91" t="s">
        <v>155</v>
      </c>
      <c r="W1101" s="91" t="s">
        <v>180</v>
      </c>
    </row>
    <row r="1102" spans="1:23">
      <c r="A1102" s="93" t="str">
        <f>TEXT(tblProjectlist[[#This Row],[project-no]],"0")</f>
        <v>0</v>
      </c>
      <c r="H1102" s="91">
        <v>6676</v>
      </c>
      <c r="I1102" s="91">
        <v>3</v>
      </c>
      <c r="J1102" s="91">
        <v>1</v>
      </c>
      <c r="K1102" s="91"/>
      <c r="L1102" s="91" t="s">
        <v>197</v>
      </c>
      <c r="M1102" s="91" t="s">
        <v>0</v>
      </c>
      <c r="Q1102" s="91"/>
      <c r="S1102" s="91" t="s">
        <v>143</v>
      </c>
      <c r="T1102" s="91" t="s">
        <v>3814</v>
      </c>
      <c r="V1102" s="91" t="s">
        <v>169</v>
      </c>
      <c r="W1102" s="91" t="s">
        <v>180</v>
      </c>
    </row>
    <row r="1103" spans="1:23">
      <c r="A1103" s="93" t="str">
        <f>TEXT(tblProjectlist[[#This Row],[project-no]],"0")</f>
        <v>81020828</v>
      </c>
      <c r="H1103" s="91">
        <v>8102</v>
      </c>
      <c r="I1103" s="91">
        <v>8</v>
      </c>
      <c r="J1103" s="91">
        <v>2</v>
      </c>
      <c r="K1103" s="91" t="s">
        <v>1215</v>
      </c>
      <c r="L1103" s="91" t="s">
        <v>2175</v>
      </c>
      <c r="M1103" s="91" t="s">
        <v>4</v>
      </c>
      <c r="Q1103" s="91"/>
      <c r="S1103" s="91" t="s">
        <v>143</v>
      </c>
      <c r="T1103" s="91" t="s">
        <v>3066</v>
      </c>
      <c r="V1103" s="91" t="s">
        <v>155</v>
      </c>
      <c r="W1103" s="91" t="s">
        <v>180</v>
      </c>
    </row>
    <row r="1104" spans="1:23">
      <c r="A1104" s="93" t="str">
        <f>TEXT(tblProjectlist[[#This Row],[project-no]],"0")</f>
        <v>0</v>
      </c>
      <c r="H1104" s="91">
        <v>4118</v>
      </c>
      <c r="I1104" s="91">
        <v>2</v>
      </c>
      <c r="J1104" s="91">
        <v>2</v>
      </c>
      <c r="K1104" s="91"/>
      <c r="L1104" s="91" t="s">
        <v>2175</v>
      </c>
      <c r="M1104" s="91" t="s">
        <v>4</v>
      </c>
      <c r="Q1104" s="91"/>
      <c r="S1104" s="91" t="s">
        <v>143</v>
      </c>
      <c r="T1104" s="91" t="s">
        <v>3780</v>
      </c>
      <c r="V1104" s="91" t="s">
        <v>155</v>
      </c>
      <c r="W1104" s="91" t="s">
        <v>180</v>
      </c>
    </row>
    <row r="1105" spans="1:23">
      <c r="A1105" s="93" t="str">
        <f>TEXT(tblProjectlist[[#This Row],[project-no]],"0")</f>
        <v>0</v>
      </c>
      <c r="H1105" s="91">
        <v>4118</v>
      </c>
      <c r="I1105" s="91">
        <v>3</v>
      </c>
      <c r="J1105" s="91">
        <v>2</v>
      </c>
      <c r="K1105" s="91"/>
      <c r="L1105" s="91" t="s">
        <v>2175</v>
      </c>
      <c r="M1105" s="91" t="s">
        <v>4</v>
      </c>
      <c r="Q1105" s="91"/>
      <c r="S1105" s="91" t="s">
        <v>143</v>
      </c>
      <c r="T1105" s="91" t="s">
        <v>4483</v>
      </c>
      <c r="V1105" s="91" t="s">
        <v>155</v>
      </c>
      <c r="W1105" s="91" t="s">
        <v>180</v>
      </c>
    </row>
    <row r="1106" spans="1:23">
      <c r="A1106" s="93" t="str">
        <f>TEXT(tblProjectlist[[#This Row],[project-no]],"0")</f>
        <v>0</v>
      </c>
      <c r="H1106" s="91">
        <v>3055</v>
      </c>
      <c r="I1106" s="91">
        <v>22</v>
      </c>
      <c r="J1106" s="91">
        <v>2</v>
      </c>
      <c r="K1106" s="91"/>
      <c r="L1106" s="91" t="s">
        <v>2175</v>
      </c>
      <c r="M1106" s="91" t="s">
        <v>4</v>
      </c>
      <c r="Q1106" s="91"/>
      <c r="S1106" s="91" t="s">
        <v>143</v>
      </c>
      <c r="T1106" s="91" t="s">
        <v>4566</v>
      </c>
      <c r="V1106" s="91" t="s">
        <v>155</v>
      </c>
      <c r="W1106" s="91" t="s">
        <v>180</v>
      </c>
    </row>
    <row r="1107" spans="1:23">
      <c r="A1107" s="93" t="str">
        <f>TEXT(tblProjectlist[[#This Row],[project-no]],"0")</f>
        <v>30552128</v>
      </c>
      <c r="H1107" s="91">
        <v>3055</v>
      </c>
      <c r="I1107" s="91">
        <v>21</v>
      </c>
      <c r="J1107" s="91">
        <v>2</v>
      </c>
      <c r="K1107" s="91" t="s">
        <v>668</v>
      </c>
      <c r="L1107" s="91" t="s">
        <v>2175</v>
      </c>
      <c r="M1107" s="91" t="s">
        <v>4</v>
      </c>
      <c r="Q1107" s="91"/>
      <c r="S1107" s="91" t="s">
        <v>143</v>
      </c>
      <c r="T1107" s="91" t="s">
        <v>2570</v>
      </c>
      <c r="V1107" s="91" t="s">
        <v>155</v>
      </c>
      <c r="W1107" s="91" t="s">
        <v>180</v>
      </c>
    </row>
    <row r="1108" spans="1:23">
      <c r="A1108" s="93" t="str">
        <f>TEXT(tblProjectlist[[#This Row],[project-no]],"0")</f>
        <v>0</v>
      </c>
      <c r="H1108" s="91">
        <v>7069</v>
      </c>
      <c r="I1108" s="91">
        <v>2</v>
      </c>
      <c r="J1108" s="91">
        <v>2</v>
      </c>
      <c r="K1108" s="91"/>
      <c r="L1108" s="91" t="s">
        <v>197</v>
      </c>
      <c r="M1108" s="91" t="s">
        <v>4</v>
      </c>
      <c r="Q1108" s="91"/>
      <c r="S1108" s="91" t="s">
        <v>143</v>
      </c>
      <c r="T1108" s="91" t="s">
        <v>4170</v>
      </c>
      <c r="V1108" s="91" t="s">
        <v>155</v>
      </c>
      <c r="W1108" s="91" t="s">
        <v>180</v>
      </c>
    </row>
    <row r="1109" spans="1:23">
      <c r="A1109" s="93" t="str">
        <f>TEXT(tblProjectlist[[#This Row],[project-no]],"0")</f>
        <v>20140228</v>
      </c>
      <c r="H1109" s="91">
        <v>2014</v>
      </c>
      <c r="I1109" s="91">
        <v>2</v>
      </c>
      <c r="J1109" s="91">
        <v>2</v>
      </c>
      <c r="K1109" s="91" t="s">
        <v>466</v>
      </c>
      <c r="L1109" s="91" t="s">
        <v>2175</v>
      </c>
      <c r="M1109" s="91" t="s">
        <v>4</v>
      </c>
      <c r="Q1109" s="91"/>
      <c r="S1109" s="91" t="s">
        <v>143</v>
      </c>
      <c r="T1109" s="91" t="s">
        <v>2410</v>
      </c>
      <c r="V1109" s="91" t="s">
        <v>155</v>
      </c>
      <c r="W1109" s="91" t="s">
        <v>180</v>
      </c>
    </row>
    <row r="1110" spans="1:23">
      <c r="A1110" s="93" t="str">
        <f>TEXT(tblProjectlist[[#This Row],[project-no]],"0")</f>
        <v>0</v>
      </c>
      <c r="H1110" s="91">
        <v>7705</v>
      </c>
      <c r="I1110" s="91">
        <v>2</v>
      </c>
      <c r="J1110" s="91">
        <v>2</v>
      </c>
      <c r="K1110" s="91"/>
      <c r="L1110" s="91" t="s">
        <v>2175</v>
      </c>
      <c r="M1110" s="91" t="s">
        <v>4</v>
      </c>
      <c r="Q1110" s="91"/>
      <c r="S1110" s="91" t="s">
        <v>143</v>
      </c>
      <c r="T1110" s="91" t="s">
        <v>4673</v>
      </c>
      <c r="V1110" s="91" t="s">
        <v>155</v>
      </c>
      <c r="W1110" s="91" t="s">
        <v>180</v>
      </c>
    </row>
    <row r="1111" spans="1:23">
      <c r="A1111" s="93" t="str">
        <f>TEXT(tblProjectlist[[#This Row],[project-no]],"0")</f>
        <v>0</v>
      </c>
      <c r="H1111" s="91">
        <v>8803</v>
      </c>
      <c r="I1111" s="91">
        <v>6</v>
      </c>
      <c r="J1111" s="91">
        <v>1</v>
      </c>
      <c r="K1111" s="91"/>
      <c r="L1111" s="91" t="s">
        <v>2175</v>
      </c>
      <c r="M1111" s="91" t="s">
        <v>0</v>
      </c>
      <c r="Q1111" s="91"/>
      <c r="S1111" s="91" t="s">
        <v>143</v>
      </c>
      <c r="T1111" s="91" t="s">
        <v>3894</v>
      </c>
      <c r="V1111" s="91" t="s">
        <v>168</v>
      </c>
      <c r="W1111" s="91" t="s">
        <v>180</v>
      </c>
    </row>
    <row r="1112" spans="1:23">
      <c r="A1112" s="93" t="str">
        <f>TEXT(tblProjectlist[[#This Row],[project-no]],"0")</f>
        <v>0</v>
      </c>
      <c r="H1112" s="91">
        <v>8803</v>
      </c>
      <c r="I1112" s="91">
        <v>6</v>
      </c>
      <c r="J1112" s="91">
        <v>2</v>
      </c>
      <c r="K1112" s="91"/>
      <c r="L1112" s="91" t="s">
        <v>2175</v>
      </c>
      <c r="M1112" s="91" t="s">
        <v>4</v>
      </c>
      <c r="Q1112" s="91"/>
      <c r="S1112" s="91" t="s">
        <v>143</v>
      </c>
      <c r="T1112" s="91" t="s">
        <v>3601</v>
      </c>
      <c r="V1112" s="91" t="s">
        <v>155</v>
      </c>
      <c r="W1112" s="91" t="s">
        <v>180</v>
      </c>
    </row>
    <row r="1113" spans="1:23">
      <c r="A1113" s="93" t="str">
        <f>TEXT(tblProjectlist[[#This Row],[project-no]],"0")</f>
        <v>88030226</v>
      </c>
      <c r="H1113" s="91">
        <v>8803</v>
      </c>
      <c r="I1113" s="91">
        <v>2</v>
      </c>
      <c r="J1113" s="91">
        <v>2</v>
      </c>
      <c r="K1113" s="91" t="s">
        <v>1237</v>
      </c>
      <c r="L1113" s="91" t="s">
        <v>62</v>
      </c>
      <c r="M1113" s="91" t="s">
        <v>4</v>
      </c>
      <c r="Q1113" s="91"/>
      <c r="S1113" s="91" t="s">
        <v>143</v>
      </c>
      <c r="T1113" s="91" t="s">
        <v>3089</v>
      </c>
      <c r="V1113" s="91" t="s">
        <v>155</v>
      </c>
      <c r="W1113" s="91" t="s">
        <v>180</v>
      </c>
    </row>
    <row r="1114" spans="1:23">
      <c r="A1114" s="93" t="str">
        <f>TEXT(tblProjectlist[[#This Row],[project-no]],"0")</f>
        <v>88030411</v>
      </c>
      <c r="H1114" s="91">
        <v>8803</v>
      </c>
      <c r="I1114" s="91">
        <v>4</v>
      </c>
      <c r="J1114" s="91">
        <v>1</v>
      </c>
      <c r="K1114" s="91" t="s">
        <v>1238</v>
      </c>
      <c r="L1114" s="91" t="s">
        <v>62</v>
      </c>
      <c r="M1114" s="91" t="s">
        <v>0</v>
      </c>
      <c r="Q1114" s="91"/>
      <c r="S1114" s="91" t="s">
        <v>143</v>
      </c>
      <c r="T1114" s="91" t="s">
        <v>3090</v>
      </c>
      <c r="V1114" s="91" t="s">
        <v>169</v>
      </c>
      <c r="W1114" s="91" t="s">
        <v>180</v>
      </c>
    </row>
    <row r="1115" spans="1:23">
      <c r="A1115" s="93" t="str">
        <f>TEXT(tblProjectlist[[#This Row],[project-no]],"0")</f>
        <v>88030416</v>
      </c>
      <c r="H1115" s="91">
        <v>8803</v>
      </c>
      <c r="I1115" s="91">
        <v>4</v>
      </c>
      <c r="J1115" s="91">
        <v>1</v>
      </c>
      <c r="K1115" s="91" t="s">
        <v>1239</v>
      </c>
      <c r="L1115" s="91" t="s">
        <v>62</v>
      </c>
      <c r="M1115" s="91" t="s">
        <v>0</v>
      </c>
      <c r="Q1115" s="91"/>
      <c r="S1115" s="91" t="s">
        <v>143</v>
      </c>
      <c r="T1115" s="91" t="s">
        <v>3090</v>
      </c>
      <c r="V1115" s="91" t="s">
        <v>168</v>
      </c>
      <c r="W1115" s="91" t="s">
        <v>180</v>
      </c>
    </row>
    <row r="1116" spans="1:23">
      <c r="A1116" s="93" t="str">
        <f>TEXT(tblProjectlist[[#This Row],[project-no]],"0")</f>
        <v>88030516</v>
      </c>
      <c r="H1116" s="91">
        <v>8803</v>
      </c>
      <c r="I1116" s="91">
        <v>5</v>
      </c>
      <c r="J1116" s="91">
        <v>1</v>
      </c>
      <c r="K1116" s="91" t="s">
        <v>1240</v>
      </c>
      <c r="L1116" s="91" t="s">
        <v>62</v>
      </c>
      <c r="M1116" s="91" t="s">
        <v>0</v>
      </c>
      <c r="Q1116" s="91"/>
      <c r="S1116" s="91" t="s">
        <v>143</v>
      </c>
      <c r="T1116" s="91" t="s">
        <v>3091</v>
      </c>
      <c r="V1116" s="91" t="s">
        <v>168</v>
      </c>
      <c r="W1116" s="91" t="s">
        <v>180</v>
      </c>
    </row>
    <row r="1117" spans="1:23">
      <c r="A1117" s="93" t="str">
        <f>TEXT(tblProjectlist[[#This Row],[project-no]],"0")</f>
        <v>99868328</v>
      </c>
      <c r="H1117" s="91">
        <v>8803</v>
      </c>
      <c r="I1117" s="91">
        <v>2</v>
      </c>
      <c r="J1117" s="91">
        <v>2</v>
      </c>
      <c r="K1117" s="91" t="s">
        <v>1411</v>
      </c>
      <c r="L1117" s="91" t="s">
        <v>62</v>
      </c>
      <c r="M1117" s="91" t="s">
        <v>4</v>
      </c>
      <c r="Q1117" s="91"/>
      <c r="S1117" s="91" t="s">
        <v>143</v>
      </c>
      <c r="T1117" s="91" t="s">
        <v>3089</v>
      </c>
      <c r="V1117" s="91" t="s">
        <v>155</v>
      </c>
      <c r="W1117" s="91" t="s">
        <v>180</v>
      </c>
    </row>
    <row r="1118" spans="1:23">
      <c r="A1118" s="93" t="str">
        <f>TEXT(tblProjectlist[[#This Row],[project-no]],"0")</f>
        <v>99868411</v>
      </c>
      <c r="H1118" s="91">
        <v>8803</v>
      </c>
      <c r="I1118" s="91">
        <v>4</v>
      </c>
      <c r="J1118" s="91">
        <v>1</v>
      </c>
      <c r="K1118" s="91" t="s">
        <v>1412</v>
      </c>
      <c r="L1118" s="91" t="s">
        <v>62</v>
      </c>
      <c r="M1118" s="91" t="s">
        <v>0</v>
      </c>
      <c r="Q1118" s="91"/>
      <c r="S1118" s="91" t="s">
        <v>143</v>
      </c>
      <c r="T1118" s="91" t="s">
        <v>3090</v>
      </c>
      <c r="V1118" s="91" t="s">
        <v>169</v>
      </c>
      <c r="W1118" s="91" t="s">
        <v>180</v>
      </c>
    </row>
    <row r="1119" spans="1:23">
      <c r="A1119" s="93" t="str">
        <f>TEXT(tblProjectlist[[#This Row],[project-no]],"0")</f>
        <v>99868416</v>
      </c>
      <c r="H1119" s="91">
        <v>8803</v>
      </c>
      <c r="I1119" s="91">
        <v>4</v>
      </c>
      <c r="J1119" s="91">
        <v>1</v>
      </c>
      <c r="K1119" s="91" t="s">
        <v>1413</v>
      </c>
      <c r="L1119" s="91" t="s">
        <v>62</v>
      </c>
      <c r="M1119" s="91" t="s">
        <v>0</v>
      </c>
      <c r="Q1119" s="91"/>
      <c r="S1119" s="91" t="s">
        <v>143</v>
      </c>
      <c r="T1119" s="91" t="s">
        <v>3090</v>
      </c>
      <c r="V1119" s="91" t="s">
        <v>168</v>
      </c>
      <c r="W1119" s="91" t="s">
        <v>180</v>
      </c>
    </row>
    <row r="1120" spans="1:23">
      <c r="A1120" s="93" t="str">
        <f>TEXT(tblProjectlist[[#This Row],[project-no]],"0")</f>
        <v>99868516</v>
      </c>
      <c r="H1120" s="91">
        <v>8803</v>
      </c>
      <c r="I1120" s="91">
        <v>5</v>
      </c>
      <c r="J1120" s="91">
        <v>1</v>
      </c>
      <c r="K1120" s="91" t="s">
        <v>1414</v>
      </c>
      <c r="L1120" s="91" t="s">
        <v>62</v>
      </c>
      <c r="M1120" s="91" t="s">
        <v>0</v>
      </c>
      <c r="Q1120" s="91"/>
      <c r="S1120" s="91" t="s">
        <v>143</v>
      </c>
      <c r="T1120" s="91" t="s">
        <v>3091</v>
      </c>
      <c r="V1120" s="91" t="s">
        <v>168</v>
      </c>
      <c r="W1120" s="91" t="s">
        <v>180</v>
      </c>
    </row>
    <row r="1121" spans="1:23">
      <c r="A1121" s="93" t="str">
        <f>TEXT(tblProjectlist[[#This Row],[project-no]],"0")</f>
        <v>30950244</v>
      </c>
      <c r="H1121" s="91">
        <v>3095</v>
      </c>
      <c r="I1121" s="91">
        <v>2</v>
      </c>
      <c r="J1121" s="91">
        <v>4</v>
      </c>
      <c r="K1121" s="91" t="s">
        <v>714</v>
      </c>
      <c r="L1121" s="91" t="s">
        <v>58</v>
      </c>
      <c r="M1121" s="91" t="s">
        <v>1</v>
      </c>
      <c r="Q1121" s="91"/>
      <c r="S1121" s="91" t="s">
        <v>143</v>
      </c>
      <c r="T1121" s="91" t="s">
        <v>2614</v>
      </c>
      <c r="W1121" s="91" t="s">
        <v>180</v>
      </c>
    </row>
    <row r="1122" spans="1:23">
      <c r="A1122" s="93" t="str">
        <f>TEXT(tblProjectlist[[#This Row],[project-no]],"0")</f>
        <v>0</v>
      </c>
      <c r="H1122" s="91">
        <v>9953</v>
      </c>
      <c r="I1122" s="91">
        <v>2</v>
      </c>
      <c r="J1122" s="91">
        <v>2</v>
      </c>
      <c r="K1122" s="91"/>
      <c r="L1122" s="91" t="s">
        <v>2175</v>
      </c>
      <c r="M1122" s="91" t="s">
        <v>4</v>
      </c>
      <c r="Q1122" s="91"/>
      <c r="S1122" s="91" t="s">
        <v>143</v>
      </c>
      <c r="T1122" s="91" t="s">
        <v>4696</v>
      </c>
      <c r="V1122" s="91" t="s">
        <v>155</v>
      </c>
      <c r="W1122" s="91" t="s">
        <v>180</v>
      </c>
    </row>
    <row r="1123" spans="1:23">
      <c r="A1123" s="93" t="str">
        <f>TEXT(tblProjectlist[[#This Row],[project-no]],"0")</f>
        <v>0</v>
      </c>
      <c r="H1123" s="91">
        <v>3016</v>
      </c>
      <c r="I1123" s="91">
        <v>15</v>
      </c>
      <c r="J1123" s="91">
        <v>2</v>
      </c>
      <c r="K1123" s="91"/>
      <c r="L1123" s="91" t="s">
        <v>2175</v>
      </c>
      <c r="M1123" s="91" t="s">
        <v>4</v>
      </c>
      <c r="Q1123" s="91"/>
      <c r="S1123" s="91" t="s">
        <v>143</v>
      </c>
      <c r="T1123" s="91" t="s">
        <v>4113</v>
      </c>
      <c r="V1123" s="91" t="s">
        <v>155</v>
      </c>
      <c r="W1123" s="91" t="s">
        <v>180</v>
      </c>
    </row>
    <row r="1124" spans="1:23">
      <c r="A1124" s="93" t="str">
        <f>TEXT(tblProjectlist[[#This Row],[project-no]],"0")</f>
        <v>0</v>
      </c>
      <c r="H1124" s="91">
        <v>3016</v>
      </c>
      <c r="I1124" s="91">
        <v>16</v>
      </c>
      <c r="J1124" s="91">
        <v>2</v>
      </c>
      <c r="K1124" s="91"/>
      <c r="L1124" s="91" t="s">
        <v>2175</v>
      </c>
      <c r="M1124" s="91" t="s">
        <v>4</v>
      </c>
      <c r="Q1124" s="91"/>
      <c r="S1124" s="91" t="s">
        <v>143</v>
      </c>
      <c r="T1124" s="91" t="s">
        <v>4228</v>
      </c>
      <c r="V1124" s="91" t="s">
        <v>155</v>
      </c>
      <c r="W1124" s="91" t="s">
        <v>180</v>
      </c>
    </row>
    <row r="1125" spans="1:23">
      <c r="A1125" s="93" t="str">
        <f>TEXT(tblProjectlist[[#This Row],[project-no]],"0")</f>
        <v>0</v>
      </c>
      <c r="H1125" s="91">
        <v>3016</v>
      </c>
      <c r="I1125" s="91">
        <v>17</v>
      </c>
      <c r="J1125" s="91">
        <v>2</v>
      </c>
      <c r="K1125" s="91"/>
      <c r="L1125" s="91" t="s">
        <v>2175</v>
      </c>
      <c r="M1125" s="91" t="s">
        <v>4</v>
      </c>
      <c r="Q1125" s="91"/>
      <c r="S1125" s="91" t="s">
        <v>143</v>
      </c>
      <c r="T1125" s="91" t="s">
        <v>4381</v>
      </c>
      <c r="V1125" s="91" t="s">
        <v>152</v>
      </c>
      <c r="W1125" s="91" t="s">
        <v>180</v>
      </c>
    </row>
    <row r="1126" spans="1:23">
      <c r="A1126" s="93" t="str">
        <f>TEXT(tblProjectlist[[#This Row],[project-no]],"0")</f>
        <v>0</v>
      </c>
      <c r="H1126" s="91">
        <v>4121</v>
      </c>
      <c r="I1126" s="91">
        <v>2</v>
      </c>
      <c r="J1126" s="91">
        <v>2</v>
      </c>
      <c r="K1126" s="91"/>
      <c r="L1126" s="91" t="s">
        <v>2175</v>
      </c>
      <c r="M1126" s="91" t="s">
        <v>4</v>
      </c>
      <c r="Q1126" s="91"/>
      <c r="S1126" s="91" t="s">
        <v>143</v>
      </c>
      <c r="T1126" s="91" t="s">
        <v>4168</v>
      </c>
      <c r="V1126" s="91" t="s">
        <v>155</v>
      </c>
      <c r="W1126" s="91" t="s">
        <v>180</v>
      </c>
    </row>
    <row r="1127" spans="1:23">
      <c r="A1127" s="93" t="str">
        <f>TEXT(tblProjectlist[[#This Row],[project-no]],"0")</f>
        <v>60920228</v>
      </c>
      <c r="H1127" s="91">
        <v>6092</v>
      </c>
      <c r="I1127" s="91">
        <v>2</v>
      </c>
      <c r="J1127" s="91">
        <v>2</v>
      </c>
      <c r="K1127" s="91" t="s">
        <v>821</v>
      </c>
      <c r="L1127" s="91" t="s">
        <v>2175</v>
      </c>
      <c r="M1127" s="91" t="s">
        <v>4</v>
      </c>
      <c r="Q1127" s="91"/>
      <c r="S1127" s="91" t="s">
        <v>143</v>
      </c>
      <c r="T1127" s="91" t="s">
        <v>2707</v>
      </c>
      <c r="V1127" s="91" t="s">
        <v>155</v>
      </c>
      <c r="W1127" s="91" t="s">
        <v>180</v>
      </c>
    </row>
    <row r="1128" spans="1:23">
      <c r="A1128" s="93" t="str">
        <f>TEXT(tblProjectlist[[#This Row],[project-no]],"0")</f>
        <v>0</v>
      </c>
      <c r="H1128" s="91">
        <v>6050</v>
      </c>
      <c r="I1128" s="91">
        <v>8</v>
      </c>
      <c r="J1128" s="91">
        <v>2</v>
      </c>
      <c r="K1128" s="91"/>
      <c r="L1128" s="91" t="s">
        <v>2175</v>
      </c>
      <c r="M1128" s="91" t="s">
        <v>4</v>
      </c>
      <c r="Q1128" s="91"/>
      <c r="S1128" s="91" t="s">
        <v>143</v>
      </c>
      <c r="T1128" s="91" t="s">
        <v>4028</v>
      </c>
      <c r="V1128" s="91" t="s">
        <v>155</v>
      </c>
      <c r="W1128" s="91" t="s">
        <v>180</v>
      </c>
    </row>
    <row r="1129" spans="1:23">
      <c r="A1129" s="93" t="str">
        <f>TEXT(tblProjectlist[[#This Row],[project-no]],"0")</f>
        <v>79720211</v>
      </c>
      <c r="H1129" s="91">
        <v>7972</v>
      </c>
      <c r="I1129" s="91">
        <v>2</v>
      </c>
      <c r="J1129" s="91">
        <v>1</v>
      </c>
      <c r="K1129" s="91" t="s">
        <v>1148</v>
      </c>
      <c r="L1129" s="91" t="s">
        <v>2175</v>
      </c>
      <c r="M1129" s="91" t="s">
        <v>0</v>
      </c>
      <c r="Q1129" s="91"/>
      <c r="S1129" s="91" t="s">
        <v>143</v>
      </c>
      <c r="T1129" s="91" t="s">
        <v>3012</v>
      </c>
      <c r="V1129" s="91" t="s">
        <v>169</v>
      </c>
      <c r="W1129" s="91" t="s">
        <v>180</v>
      </c>
    </row>
    <row r="1130" spans="1:23">
      <c r="A1130" s="93" t="str">
        <f>TEXT(tblProjectlist[[#This Row],[project-no]],"0")</f>
        <v>79720311</v>
      </c>
      <c r="H1130" s="91">
        <v>7972</v>
      </c>
      <c r="I1130" s="91">
        <v>3</v>
      </c>
      <c r="J1130" s="91">
        <v>1</v>
      </c>
      <c r="K1130" s="91">
        <v>79720311</v>
      </c>
      <c r="L1130" s="91" t="s">
        <v>2175</v>
      </c>
      <c r="M1130" s="91" t="s">
        <v>0</v>
      </c>
      <c r="Q1130" s="91"/>
      <c r="S1130" s="91" t="s">
        <v>143</v>
      </c>
      <c r="T1130" s="91" t="s">
        <v>4153</v>
      </c>
      <c r="V1130" s="91" t="s">
        <v>169</v>
      </c>
      <c r="W1130" s="91" t="s">
        <v>180</v>
      </c>
    </row>
    <row r="1131" spans="1:23">
      <c r="A1131" s="93" t="str">
        <f>TEXT(tblProjectlist[[#This Row],[project-no]],"0")</f>
        <v>79720316</v>
      </c>
      <c r="H1131" s="91">
        <v>7972</v>
      </c>
      <c r="I1131" s="91">
        <v>3</v>
      </c>
      <c r="J1131" s="91">
        <v>1</v>
      </c>
      <c r="K1131" s="91">
        <v>79720316</v>
      </c>
      <c r="L1131" s="91" t="s">
        <v>2175</v>
      </c>
      <c r="M1131" s="91" t="s">
        <v>0</v>
      </c>
      <c r="Q1131" s="91"/>
      <c r="S1131" s="91" t="s">
        <v>143</v>
      </c>
      <c r="T1131" s="91" t="s">
        <v>4153</v>
      </c>
      <c r="V1131" s="91" t="s">
        <v>168</v>
      </c>
      <c r="W1131" s="91" t="s">
        <v>180</v>
      </c>
    </row>
    <row r="1132" spans="1:23">
      <c r="A1132" s="93" t="str">
        <f>TEXT(tblProjectlist[[#This Row],[project-no]],"0")</f>
        <v>31420243</v>
      </c>
      <c r="H1132" s="91">
        <v>3142</v>
      </c>
      <c r="I1132" s="91">
        <v>2</v>
      </c>
      <c r="J1132" s="91">
        <v>4</v>
      </c>
      <c r="K1132" s="91" t="s">
        <v>740</v>
      </c>
      <c r="L1132" s="91" t="s">
        <v>197</v>
      </c>
      <c r="M1132" s="91" t="s">
        <v>1</v>
      </c>
      <c r="Q1132" s="91"/>
      <c r="S1132" s="91" t="s">
        <v>143</v>
      </c>
      <c r="T1132" s="91" t="s">
        <v>2638</v>
      </c>
      <c r="V1132" s="91" t="s">
        <v>164</v>
      </c>
      <c r="W1132" s="91" t="s">
        <v>180</v>
      </c>
    </row>
    <row r="1133" spans="1:23">
      <c r="A1133" s="93" t="str">
        <f>TEXT(tblProjectlist[[#This Row],[project-no]],"0")</f>
        <v>0</v>
      </c>
      <c r="H1133" s="91">
        <v>6678</v>
      </c>
      <c r="I1133" s="91">
        <v>2</v>
      </c>
      <c r="J1133" s="91">
        <v>2</v>
      </c>
      <c r="K1133" s="91"/>
      <c r="L1133" s="91" t="s">
        <v>197</v>
      </c>
      <c r="M1133" s="91" t="s">
        <v>4</v>
      </c>
      <c r="Q1133" s="91"/>
      <c r="S1133" s="91" t="s">
        <v>143</v>
      </c>
      <c r="T1133" s="91" t="s">
        <v>4316</v>
      </c>
      <c r="V1133" s="91" t="s">
        <v>155</v>
      </c>
      <c r="W1133" s="91" t="s">
        <v>180</v>
      </c>
    </row>
    <row r="1134" spans="1:23">
      <c r="A1134" s="93" t="str">
        <f>TEXT(tblProjectlist[[#This Row],[project-no]],"0")</f>
        <v>0</v>
      </c>
      <c r="H1134" s="91">
        <v>6680</v>
      </c>
      <c r="I1134" s="91">
        <v>2</v>
      </c>
      <c r="J1134" s="91">
        <v>2</v>
      </c>
      <c r="K1134" s="91"/>
      <c r="L1134" s="91" t="s">
        <v>197</v>
      </c>
      <c r="M1134" s="91" t="s">
        <v>4</v>
      </c>
      <c r="Q1134" s="91"/>
      <c r="S1134" s="91" t="s">
        <v>143</v>
      </c>
      <c r="T1134" s="91" t="s">
        <v>4387</v>
      </c>
      <c r="V1134" s="91" t="s">
        <v>155</v>
      </c>
      <c r="W1134" s="91" t="s">
        <v>180</v>
      </c>
    </row>
    <row r="1135" spans="1:23">
      <c r="A1135" s="93" t="str">
        <f>TEXT(tblProjectlist[[#This Row],[project-no]],"0")</f>
        <v>80210244</v>
      </c>
      <c r="H1135" s="91">
        <v>8021</v>
      </c>
      <c r="I1135" s="91">
        <v>2</v>
      </c>
      <c r="J1135" s="91">
        <v>4</v>
      </c>
      <c r="K1135" s="91" t="s">
        <v>1172</v>
      </c>
      <c r="L1135" s="91" t="s">
        <v>58</v>
      </c>
      <c r="M1135" s="91" t="s">
        <v>1</v>
      </c>
      <c r="Q1135" s="91"/>
      <c r="S1135" s="91" t="s">
        <v>143</v>
      </c>
      <c r="T1135" s="91" t="s">
        <v>3031</v>
      </c>
      <c r="W1135" s="91" t="s">
        <v>180</v>
      </c>
    </row>
    <row r="1136" spans="1:23">
      <c r="A1136" s="93" t="str">
        <f>TEXT(tblProjectlist[[#This Row],[project-no]],"0")</f>
        <v>80210342</v>
      </c>
      <c r="H1136" s="91">
        <v>8021</v>
      </c>
      <c r="I1136" s="91">
        <v>3</v>
      </c>
      <c r="J1136" s="91">
        <v>4</v>
      </c>
      <c r="K1136" s="91" t="s">
        <v>1173</v>
      </c>
      <c r="L1136" s="91" t="s">
        <v>58</v>
      </c>
      <c r="M1136" s="91" t="s">
        <v>1</v>
      </c>
      <c r="Q1136" s="91"/>
      <c r="S1136" s="91" t="s">
        <v>143</v>
      </c>
      <c r="T1136" s="91" t="s">
        <v>3032</v>
      </c>
      <c r="V1136" s="91" t="s">
        <v>163</v>
      </c>
      <c r="W1136" s="91" t="s">
        <v>180</v>
      </c>
    </row>
    <row r="1137" spans="1:23">
      <c r="A1137" s="93" t="str">
        <f>TEXT(tblProjectlist[[#This Row],[project-no]],"0")</f>
        <v>80210343</v>
      </c>
      <c r="H1137" s="91">
        <v>8021</v>
      </c>
      <c r="I1137" s="91">
        <v>3</v>
      </c>
      <c r="J1137" s="91">
        <v>4</v>
      </c>
      <c r="K1137" s="91" t="s">
        <v>1174</v>
      </c>
      <c r="L1137" s="91" t="s">
        <v>58</v>
      </c>
      <c r="M1137" s="91" t="s">
        <v>1</v>
      </c>
      <c r="Q1137" s="91"/>
      <c r="S1137" s="91" t="s">
        <v>143</v>
      </c>
      <c r="T1137" s="91" t="s">
        <v>3032</v>
      </c>
      <c r="V1137" s="91" t="s">
        <v>164</v>
      </c>
      <c r="W1137" s="91" t="s">
        <v>180</v>
      </c>
    </row>
    <row r="1138" spans="1:23">
      <c r="A1138" s="93" t="str">
        <f>TEXT(tblProjectlist[[#This Row],[project-no]],"0")</f>
        <v>80210344</v>
      </c>
      <c r="H1138" s="91">
        <v>8021</v>
      </c>
      <c r="I1138" s="91">
        <v>3</v>
      </c>
      <c r="J1138" s="91">
        <v>4</v>
      </c>
      <c r="K1138" s="91" t="s">
        <v>1175</v>
      </c>
      <c r="L1138" s="91" t="s">
        <v>58</v>
      </c>
      <c r="M1138" s="91" t="s">
        <v>1</v>
      </c>
      <c r="Q1138" s="91"/>
      <c r="S1138" s="91" t="s">
        <v>143</v>
      </c>
      <c r="T1138" s="91" t="s">
        <v>3032</v>
      </c>
      <c r="V1138" s="91" t="s">
        <v>160</v>
      </c>
      <c r="W1138" s="91" t="s">
        <v>180</v>
      </c>
    </row>
    <row r="1139" spans="1:23">
      <c r="A1139" s="93" t="str">
        <f>TEXT(tblProjectlist[[#This Row],[project-no]],"0")</f>
        <v>80210347</v>
      </c>
      <c r="H1139" s="91">
        <v>8021</v>
      </c>
      <c r="I1139" s="91">
        <v>3</v>
      </c>
      <c r="J1139" s="91">
        <v>4</v>
      </c>
      <c r="K1139" s="91" t="s">
        <v>1176</v>
      </c>
      <c r="L1139" s="91" t="s">
        <v>58</v>
      </c>
      <c r="M1139" s="91" t="s">
        <v>1</v>
      </c>
      <c r="Q1139" s="91"/>
      <c r="S1139" s="91" t="s">
        <v>143</v>
      </c>
      <c r="T1139" s="91" t="s">
        <v>3032</v>
      </c>
      <c r="V1139" s="91" t="s">
        <v>162</v>
      </c>
      <c r="W1139" s="91" t="s">
        <v>180</v>
      </c>
    </row>
    <row r="1140" spans="1:23">
      <c r="A1140" s="93" t="str">
        <f>TEXT(tblProjectlist[[#This Row],[project-no]],"0")</f>
        <v>99632442</v>
      </c>
      <c r="H1140" s="91">
        <v>8021</v>
      </c>
      <c r="I1140" s="91">
        <v>3</v>
      </c>
      <c r="J1140" s="91">
        <v>4</v>
      </c>
      <c r="K1140" s="91" t="s">
        <v>1325</v>
      </c>
      <c r="L1140" s="91" t="s">
        <v>58</v>
      </c>
      <c r="M1140" s="91" t="s">
        <v>1</v>
      </c>
      <c r="Q1140" s="91"/>
      <c r="S1140" s="91" t="s">
        <v>143</v>
      </c>
      <c r="T1140" s="91" t="s">
        <v>3032</v>
      </c>
      <c r="V1140" s="91" t="s">
        <v>163</v>
      </c>
      <c r="W1140" s="91" t="s">
        <v>180</v>
      </c>
    </row>
    <row r="1141" spans="1:23">
      <c r="A1141" s="93" t="str">
        <f>TEXT(tblProjectlist[[#This Row],[project-no]],"0")</f>
        <v>99912044</v>
      </c>
      <c r="H1141" s="91">
        <v>8021</v>
      </c>
      <c r="I1141" s="91">
        <v>3</v>
      </c>
      <c r="J1141" s="91">
        <v>4</v>
      </c>
      <c r="K1141" s="91" t="s">
        <v>1511</v>
      </c>
      <c r="L1141" s="91" t="s">
        <v>58</v>
      </c>
      <c r="M1141" s="91" t="s">
        <v>1</v>
      </c>
      <c r="Q1141" s="91"/>
      <c r="S1141" s="91" t="s">
        <v>143</v>
      </c>
      <c r="T1141" s="91" t="s">
        <v>3032</v>
      </c>
      <c r="V1141" s="91" t="s">
        <v>160</v>
      </c>
      <c r="W1141" s="91" t="s">
        <v>180</v>
      </c>
    </row>
    <row r="1142" spans="1:23">
      <c r="A1142" s="93" t="str">
        <f>TEXT(tblProjectlist[[#This Row],[project-no]],"0")</f>
        <v>80210428</v>
      </c>
      <c r="H1142" s="91">
        <v>8021</v>
      </c>
      <c r="I1142" s="91">
        <v>4</v>
      </c>
      <c r="J1142" s="91">
        <v>2</v>
      </c>
      <c r="K1142" s="91" t="s">
        <v>1177</v>
      </c>
      <c r="L1142" s="91" t="s">
        <v>2175</v>
      </c>
      <c r="M1142" s="91" t="s">
        <v>4</v>
      </c>
      <c r="Q1142" s="91"/>
      <c r="S1142" s="91" t="s">
        <v>143</v>
      </c>
      <c r="T1142" s="91" t="s">
        <v>3033</v>
      </c>
      <c r="V1142" s="91" t="s">
        <v>155</v>
      </c>
      <c r="W1142" s="91" t="s">
        <v>180</v>
      </c>
    </row>
    <row r="1143" spans="1:23">
      <c r="A1143" s="93" t="str">
        <f>TEXT(tblProjectlist[[#This Row],[project-no]],"0")</f>
        <v>80210547</v>
      </c>
      <c r="H1143" s="91">
        <v>8021</v>
      </c>
      <c r="I1143" s="91">
        <v>5</v>
      </c>
      <c r="J1143" s="91">
        <v>4</v>
      </c>
      <c r="K1143" s="91" t="s">
        <v>1178</v>
      </c>
      <c r="L1143" s="91" t="s">
        <v>58</v>
      </c>
      <c r="M1143" s="91" t="s">
        <v>1</v>
      </c>
      <c r="Q1143" s="91"/>
      <c r="S1143" s="91" t="s">
        <v>143</v>
      </c>
      <c r="T1143" s="91" t="s">
        <v>3034</v>
      </c>
      <c r="V1143" s="91" t="s">
        <v>162</v>
      </c>
      <c r="W1143" s="91" t="s">
        <v>180</v>
      </c>
    </row>
    <row r="1144" spans="1:23">
      <c r="A1144" s="93" t="str">
        <f>TEXT(tblProjectlist[[#This Row],[project-no]],"0")</f>
        <v>80220228</v>
      </c>
      <c r="H1144" s="91">
        <v>8022</v>
      </c>
      <c r="I1144" s="91">
        <v>2</v>
      </c>
      <c r="J1144" s="91">
        <v>2</v>
      </c>
      <c r="K1144" s="91" t="s">
        <v>1179</v>
      </c>
      <c r="L1144" s="91" t="s">
        <v>64</v>
      </c>
      <c r="M1144" s="91" t="s">
        <v>4</v>
      </c>
      <c r="Q1144" s="91"/>
      <c r="S1144" s="91" t="s">
        <v>143</v>
      </c>
      <c r="T1144" s="91" t="s">
        <v>3035</v>
      </c>
      <c r="V1144" s="91" t="s">
        <v>155</v>
      </c>
      <c r="W1144" s="91" t="s">
        <v>180</v>
      </c>
    </row>
    <row r="1145" spans="1:23">
      <c r="A1145" s="93" t="str">
        <f>TEXT(tblProjectlist[[#This Row],[project-no]],"0")</f>
        <v>88670328</v>
      </c>
      <c r="H1145" s="91">
        <v>8867</v>
      </c>
      <c r="I1145" s="91">
        <v>3</v>
      </c>
      <c r="J1145" s="91">
        <v>2</v>
      </c>
      <c r="K1145" s="91" t="s">
        <v>1257</v>
      </c>
      <c r="L1145" s="91" t="s">
        <v>62</v>
      </c>
      <c r="M1145" s="91" t="s">
        <v>4</v>
      </c>
      <c r="Q1145" s="91"/>
      <c r="S1145" s="91" t="s">
        <v>143</v>
      </c>
      <c r="T1145" s="91" t="s">
        <v>3108</v>
      </c>
      <c r="W1145" s="91" t="s">
        <v>180</v>
      </c>
    </row>
    <row r="1146" spans="1:23">
      <c r="A1146" s="93" t="str">
        <f>TEXT(tblProjectlist[[#This Row],[project-no]],"0")</f>
        <v>0</v>
      </c>
      <c r="H1146" s="91">
        <v>9963</v>
      </c>
      <c r="I1146" s="91">
        <v>49</v>
      </c>
      <c r="J1146" s="91">
        <v>1</v>
      </c>
      <c r="K1146" s="91"/>
      <c r="L1146" s="91" t="s">
        <v>2175</v>
      </c>
      <c r="M1146" s="91" t="s">
        <v>0</v>
      </c>
      <c r="Q1146" s="91"/>
      <c r="S1146" s="91" t="s">
        <v>143</v>
      </c>
      <c r="T1146" s="91" t="s">
        <v>3726</v>
      </c>
      <c r="W1146" s="91" t="s">
        <v>180</v>
      </c>
    </row>
    <row r="1147" spans="1:23">
      <c r="A1147" s="93" t="str">
        <f>TEXT(tblProjectlist[[#This Row],[project-no]],"0")</f>
        <v>0</v>
      </c>
      <c r="H1147" s="91">
        <v>9963</v>
      </c>
      <c r="I1147" s="91">
        <v>50</v>
      </c>
      <c r="J1147" s="91">
        <v>1</v>
      </c>
      <c r="K1147" s="91"/>
      <c r="L1147" s="91" t="s">
        <v>2175</v>
      </c>
      <c r="M1147" s="91" t="s">
        <v>0</v>
      </c>
      <c r="Q1147" s="91"/>
      <c r="S1147" s="91" t="s">
        <v>143</v>
      </c>
      <c r="T1147" s="91" t="s">
        <v>3727</v>
      </c>
      <c r="V1147" s="91" t="s">
        <v>167</v>
      </c>
      <c r="W1147" s="91" t="s">
        <v>180</v>
      </c>
    </row>
    <row r="1148" spans="1:23">
      <c r="A1148" s="93" t="str">
        <f>TEXT(tblProjectlist[[#This Row],[project-no]],"0")</f>
        <v>0</v>
      </c>
      <c r="H1148" s="91">
        <v>9963</v>
      </c>
      <c r="I1148" s="91">
        <v>51</v>
      </c>
      <c r="J1148" s="91">
        <v>4</v>
      </c>
      <c r="K1148" s="91"/>
      <c r="L1148" s="91" t="s">
        <v>64</v>
      </c>
      <c r="M1148" s="91" t="s">
        <v>1</v>
      </c>
      <c r="Q1148" s="91"/>
      <c r="S1148" s="91" t="s">
        <v>143</v>
      </c>
      <c r="T1148" s="91" t="s">
        <v>3799</v>
      </c>
      <c r="V1148" s="91" t="s">
        <v>164</v>
      </c>
      <c r="W1148" s="91" t="s">
        <v>180</v>
      </c>
    </row>
    <row r="1149" spans="1:23">
      <c r="A1149" s="93" t="str">
        <f>TEXT(tblProjectlist[[#This Row],[project-no]],"0")</f>
        <v>99955111</v>
      </c>
      <c r="H1149" s="91">
        <v>9995</v>
      </c>
      <c r="I1149" s="91">
        <v>51</v>
      </c>
      <c r="J1149" s="91">
        <v>1</v>
      </c>
      <c r="K1149" s="91" t="s">
        <v>1664</v>
      </c>
      <c r="L1149" s="91" t="s">
        <v>2175</v>
      </c>
      <c r="M1149" s="91" t="s">
        <v>0</v>
      </c>
      <c r="Q1149" s="91"/>
      <c r="S1149" s="91" t="s">
        <v>143</v>
      </c>
      <c r="T1149" s="91" t="s">
        <v>3305</v>
      </c>
      <c r="V1149" s="91" t="s">
        <v>169</v>
      </c>
      <c r="W1149" s="91" t="s">
        <v>180</v>
      </c>
    </row>
    <row r="1150" spans="1:23">
      <c r="A1150" s="93" t="str">
        <f>TEXT(tblProjectlist[[#This Row],[project-no]],"0")</f>
        <v>99955116</v>
      </c>
      <c r="H1150" s="91">
        <v>9995</v>
      </c>
      <c r="I1150" s="91">
        <v>51</v>
      </c>
      <c r="J1150" s="91">
        <v>1</v>
      </c>
      <c r="K1150" s="91" t="s">
        <v>1665</v>
      </c>
      <c r="L1150" s="91" t="s">
        <v>2175</v>
      </c>
      <c r="M1150" s="91" t="s">
        <v>0</v>
      </c>
      <c r="Q1150" s="91"/>
      <c r="S1150" s="91" t="s">
        <v>143</v>
      </c>
      <c r="T1150" s="91" t="s">
        <v>3305</v>
      </c>
      <c r="V1150" s="91" t="s">
        <v>168</v>
      </c>
      <c r="W1150" s="91" t="s">
        <v>180</v>
      </c>
    </row>
    <row r="1151" spans="1:23">
      <c r="A1151" s="93" t="str">
        <f>TEXT(tblProjectlist[[#This Row],[project-no]],"0")</f>
        <v>70460228</v>
      </c>
      <c r="H1151" s="91">
        <v>7046</v>
      </c>
      <c r="I1151" s="91">
        <v>2</v>
      </c>
      <c r="J1151" s="91">
        <v>2</v>
      </c>
      <c r="K1151" s="91" t="s">
        <v>961</v>
      </c>
      <c r="L1151" s="91" t="s">
        <v>197</v>
      </c>
      <c r="M1151" s="91" t="s">
        <v>4</v>
      </c>
      <c r="Q1151" s="91"/>
      <c r="S1151" s="91" t="s">
        <v>143</v>
      </c>
      <c r="T1151" s="91" t="s">
        <v>2833</v>
      </c>
      <c r="W1151" s="91" t="s">
        <v>180</v>
      </c>
    </row>
    <row r="1152" spans="1:23">
      <c r="A1152" s="93" t="str">
        <f>TEXT(tblProjectlist[[#This Row],[project-no]],"0")</f>
        <v>0</v>
      </c>
      <c r="H1152" s="91">
        <v>6680</v>
      </c>
      <c r="I1152" s="91">
        <v>3</v>
      </c>
      <c r="J1152" s="91">
        <v>1</v>
      </c>
      <c r="K1152" s="91"/>
      <c r="L1152" s="91" t="s">
        <v>197</v>
      </c>
      <c r="M1152" s="91" t="s">
        <v>0</v>
      </c>
      <c r="Q1152" s="91"/>
      <c r="S1152" s="91" t="s">
        <v>143</v>
      </c>
      <c r="T1152" s="91" t="s">
        <v>4433</v>
      </c>
      <c r="V1152" s="91" t="s">
        <v>169</v>
      </c>
      <c r="W1152" s="91" t="s">
        <v>180</v>
      </c>
    </row>
    <row r="1153" spans="1:23">
      <c r="A1153" s="93" t="str">
        <f>TEXT(tblProjectlist[[#This Row],[project-no]],"0")</f>
        <v>0</v>
      </c>
      <c r="H1153" s="91">
        <v>6682</v>
      </c>
      <c r="I1153" s="91">
        <v>2</v>
      </c>
      <c r="J1153" s="91">
        <v>2</v>
      </c>
      <c r="K1153" s="91"/>
      <c r="L1153" s="91" t="s">
        <v>197</v>
      </c>
      <c r="M1153" s="91" t="s">
        <v>4</v>
      </c>
      <c r="Q1153" s="91"/>
      <c r="S1153" s="91" t="s">
        <v>143</v>
      </c>
      <c r="T1153" s="91" t="s">
        <v>4697</v>
      </c>
      <c r="V1153" s="91" t="s">
        <v>155</v>
      </c>
      <c r="W1153" s="91" t="s">
        <v>180</v>
      </c>
    </row>
    <row r="1154" spans="1:23">
      <c r="A1154" s="93" t="str">
        <f>TEXT(tblProjectlist[[#This Row],[project-no]],"0")</f>
        <v>0</v>
      </c>
      <c r="H1154" s="91">
        <v>6686</v>
      </c>
      <c r="I1154" s="91">
        <v>2</v>
      </c>
      <c r="J1154" s="91">
        <v>2</v>
      </c>
      <c r="K1154" s="91"/>
      <c r="L1154" s="91" t="s">
        <v>197</v>
      </c>
      <c r="M1154" s="91" t="s">
        <v>4</v>
      </c>
      <c r="Q1154" s="91"/>
      <c r="S1154" s="91" t="s">
        <v>143</v>
      </c>
      <c r="T1154" s="91" t="s">
        <v>4698</v>
      </c>
      <c r="V1154" s="91" t="s">
        <v>155</v>
      </c>
      <c r="W1154" s="91" t="s">
        <v>180</v>
      </c>
    </row>
    <row r="1155" spans="1:23">
      <c r="A1155" s="93" t="str">
        <f>TEXT(tblProjectlist[[#This Row],[project-no]],"0")</f>
        <v>0</v>
      </c>
      <c r="H1155" s="91">
        <v>6686</v>
      </c>
      <c r="I1155" s="91">
        <v>3</v>
      </c>
      <c r="J1155" s="91">
        <v>2</v>
      </c>
      <c r="K1155" s="91"/>
      <c r="L1155" s="91" t="s">
        <v>197</v>
      </c>
      <c r="M1155" s="91" t="s">
        <v>4</v>
      </c>
      <c r="Q1155" s="91"/>
      <c r="S1155" s="91" t="s">
        <v>143</v>
      </c>
      <c r="T1155" s="91" t="s">
        <v>4699</v>
      </c>
      <c r="V1155" s="91" t="s">
        <v>155</v>
      </c>
      <c r="W1155" s="91" t="s">
        <v>180</v>
      </c>
    </row>
    <row r="1156" spans="1:23">
      <c r="A1156" s="93" t="str">
        <f>TEXT(tblProjectlist[[#This Row],[project-no]],"0")</f>
        <v>0</v>
      </c>
      <c r="H1156" s="91">
        <v>6781</v>
      </c>
      <c r="I1156" s="91">
        <v>2</v>
      </c>
      <c r="J1156" s="91">
        <v>2</v>
      </c>
      <c r="K1156" s="91"/>
      <c r="L1156" s="91" t="s">
        <v>2175</v>
      </c>
      <c r="M1156" s="91" t="s">
        <v>4</v>
      </c>
      <c r="Q1156" s="91"/>
      <c r="S1156" s="91" t="s">
        <v>143</v>
      </c>
      <c r="T1156" s="91" t="s">
        <v>3578</v>
      </c>
      <c r="V1156" s="91" t="s">
        <v>155</v>
      </c>
      <c r="W1156" s="91" t="s">
        <v>180</v>
      </c>
    </row>
    <row r="1157" spans="1:23">
      <c r="A1157" s="93" t="str">
        <f>TEXT(tblProjectlist[[#This Row],[project-no]],"0")</f>
        <v>30471526</v>
      </c>
      <c r="H1157" s="91">
        <v>3047</v>
      </c>
      <c r="I1157" s="91">
        <v>15</v>
      </c>
      <c r="J1157" s="91">
        <v>2</v>
      </c>
      <c r="K1157" s="91" t="s">
        <v>662</v>
      </c>
      <c r="L1157" s="91" t="s">
        <v>2175</v>
      </c>
      <c r="M1157" s="91" t="s">
        <v>4</v>
      </c>
      <c r="Q1157" s="91"/>
      <c r="S1157" s="91" t="s">
        <v>143</v>
      </c>
      <c r="T1157" s="91" t="s">
        <v>2564</v>
      </c>
      <c r="V1157" s="91" t="s">
        <v>155</v>
      </c>
      <c r="W1157" s="91" t="s">
        <v>180</v>
      </c>
    </row>
    <row r="1158" spans="1:23">
      <c r="A1158" s="93" t="str">
        <f>TEXT(tblProjectlist[[#This Row],[project-no]],"0")</f>
        <v>30471628</v>
      </c>
      <c r="H1158" s="91">
        <v>3047</v>
      </c>
      <c r="I1158" s="91">
        <v>16</v>
      </c>
      <c r="J1158" s="91">
        <v>2</v>
      </c>
      <c r="K1158" s="91" t="s">
        <v>663</v>
      </c>
      <c r="L1158" s="91" t="s">
        <v>2175</v>
      </c>
      <c r="M1158" s="91" t="s">
        <v>4</v>
      </c>
      <c r="Q1158" s="91"/>
      <c r="S1158" s="91" t="s">
        <v>143</v>
      </c>
      <c r="T1158" s="91" t="s">
        <v>2565</v>
      </c>
      <c r="V1158" s="91" t="s">
        <v>155</v>
      </c>
      <c r="W1158" s="91" t="s">
        <v>180</v>
      </c>
    </row>
    <row r="1159" spans="1:23">
      <c r="A1159" s="93" t="str">
        <f>TEXT(tblProjectlist[[#This Row],[project-no]],"0")</f>
        <v>0</v>
      </c>
      <c r="H1159" s="91">
        <v>3186</v>
      </c>
      <c r="I1159" s="91">
        <v>2</v>
      </c>
      <c r="J1159" s="91">
        <v>2</v>
      </c>
      <c r="K1159" s="91"/>
      <c r="L1159" s="91" t="s">
        <v>197</v>
      </c>
      <c r="M1159" s="91" t="s">
        <v>4</v>
      </c>
      <c r="Q1159" s="91"/>
      <c r="S1159" s="91" t="s">
        <v>143</v>
      </c>
      <c r="T1159" s="91" t="s">
        <v>4383</v>
      </c>
      <c r="V1159" s="91" t="s">
        <v>155</v>
      </c>
      <c r="W1159" s="91" t="s">
        <v>180</v>
      </c>
    </row>
    <row r="1160" spans="1:23">
      <c r="A1160" s="93" t="str">
        <f>TEXT(tblProjectlist[[#This Row],[project-no]],"0")</f>
        <v>0</v>
      </c>
      <c r="H1160" s="91">
        <v>3186</v>
      </c>
      <c r="I1160" s="91">
        <v>3</v>
      </c>
      <c r="J1160" s="91">
        <v>2</v>
      </c>
      <c r="K1160" s="91"/>
      <c r="L1160" s="91" t="s">
        <v>197</v>
      </c>
      <c r="M1160" s="91" t="s">
        <v>4</v>
      </c>
      <c r="Q1160" s="91"/>
      <c r="S1160" s="91" t="s">
        <v>143</v>
      </c>
      <c r="T1160" s="91" t="s">
        <v>4384</v>
      </c>
      <c r="V1160" s="91" t="s">
        <v>155</v>
      </c>
      <c r="W1160" s="91" t="s">
        <v>180</v>
      </c>
    </row>
    <row r="1161" spans="1:23">
      <c r="A1161" s="93" t="str">
        <f>TEXT(tblProjectlist[[#This Row],[project-no]],"0")</f>
        <v>0</v>
      </c>
      <c r="H1161" s="91">
        <v>6600</v>
      </c>
      <c r="I1161" s="91">
        <v>3</v>
      </c>
      <c r="J1161" s="91">
        <v>1</v>
      </c>
      <c r="K1161" s="91"/>
      <c r="L1161" s="91" t="s">
        <v>2175</v>
      </c>
      <c r="M1161" s="91" t="s">
        <v>0</v>
      </c>
      <c r="Q1161" s="91"/>
      <c r="S1161" s="91" t="s">
        <v>143</v>
      </c>
      <c r="T1161" s="91" t="s">
        <v>4431</v>
      </c>
      <c r="V1161" s="91" t="s">
        <v>168</v>
      </c>
      <c r="W1161" s="91" t="s">
        <v>180</v>
      </c>
    </row>
    <row r="1162" spans="1:23">
      <c r="A1162" s="93" t="str">
        <f>TEXT(tblProjectlist[[#This Row],[project-no]],"0")</f>
        <v>79580812</v>
      </c>
      <c r="H1162" s="91">
        <v>7958</v>
      </c>
      <c r="I1162" s="91">
        <v>8</v>
      </c>
      <c r="J1162" s="91">
        <v>1</v>
      </c>
      <c r="K1162" s="91" t="s">
        <v>1146</v>
      </c>
      <c r="L1162" s="91" t="s">
        <v>2175</v>
      </c>
      <c r="M1162" s="91" t="s">
        <v>0</v>
      </c>
      <c r="Q1162" s="91"/>
      <c r="S1162" s="91" t="s">
        <v>143</v>
      </c>
      <c r="T1162" s="91" t="s">
        <v>3010</v>
      </c>
      <c r="V1162" s="91" t="s">
        <v>169</v>
      </c>
      <c r="W1162" s="91" t="s">
        <v>180</v>
      </c>
    </row>
    <row r="1163" spans="1:23">
      <c r="A1163" s="93" t="str">
        <f>TEXT(tblProjectlist[[#This Row],[project-no]],"0")</f>
        <v>80030228</v>
      </c>
      <c r="H1163" s="91">
        <v>8003</v>
      </c>
      <c r="I1163" s="91">
        <v>2</v>
      </c>
      <c r="J1163" s="91">
        <v>2</v>
      </c>
      <c r="K1163" s="91" t="s">
        <v>1154</v>
      </c>
      <c r="L1163" s="91" t="s">
        <v>2175</v>
      </c>
      <c r="M1163" s="91" t="s">
        <v>4</v>
      </c>
      <c r="Q1163" s="91"/>
      <c r="S1163" s="91" t="s">
        <v>143</v>
      </c>
      <c r="T1163" s="91" t="s">
        <v>3018</v>
      </c>
      <c r="V1163" s="91" t="s">
        <v>155</v>
      </c>
      <c r="W1163" s="91" t="s">
        <v>180</v>
      </c>
    </row>
    <row r="1164" spans="1:23">
      <c r="A1164" s="93" t="str">
        <f>TEXT(tblProjectlist[[#This Row],[project-no]],"0")</f>
        <v>74040226</v>
      </c>
      <c r="H1164" s="91">
        <v>7404</v>
      </c>
      <c r="I1164" s="91">
        <v>2</v>
      </c>
      <c r="J1164" s="91">
        <v>2</v>
      </c>
      <c r="K1164" s="91" t="s">
        <v>971</v>
      </c>
      <c r="L1164" s="91" t="s">
        <v>2175</v>
      </c>
      <c r="M1164" s="91" t="s">
        <v>4</v>
      </c>
      <c r="Q1164" s="91"/>
      <c r="S1164" s="91" t="s">
        <v>143</v>
      </c>
      <c r="T1164" s="91" t="s">
        <v>2841</v>
      </c>
      <c r="V1164" s="91" t="s">
        <v>155</v>
      </c>
      <c r="W1164" s="91" t="s">
        <v>180</v>
      </c>
    </row>
    <row r="1165" spans="1:23">
      <c r="A1165" s="93" t="str">
        <f>TEXT(tblProjectlist[[#This Row],[project-no]],"0")</f>
        <v>0</v>
      </c>
      <c r="H1165" s="91">
        <v>8015</v>
      </c>
      <c r="I1165" s="91">
        <v>2</v>
      </c>
      <c r="J1165" s="91">
        <v>2</v>
      </c>
      <c r="K1165" s="91"/>
      <c r="L1165" s="91" t="s">
        <v>2175</v>
      </c>
      <c r="M1165" s="91" t="s">
        <v>4</v>
      </c>
      <c r="Q1165" s="91"/>
      <c r="S1165" s="91" t="s">
        <v>143</v>
      </c>
      <c r="T1165" s="91" t="s">
        <v>4657</v>
      </c>
      <c r="V1165" s="91" t="s">
        <v>155</v>
      </c>
      <c r="W1165" s="91" t="s">
        <v>180</v>
      </c>
    </row>
    <row r="1166" spans="1:23">
      <c r="A1166" s="93" t="str">
        <f>TEXT(tblProjectlist[[#This Row],[project-no]],"0")</f>
        <v>0</v>
      </c>
      <c r="H1166" s="91">
        <v>2030</v>
      </c>
      <c r="I1166" s="91">
        <v>7</v>
      </c>
      <c r="J1166" s="91">
        <v>2</v>
      </c>
      <c r="K1166" s="91"/>
      <c r="L1166" s="91" t="s">
        <v>2175</v>
      </c>
      <c r="M1166" s="91" t="s">
        <v>4</v>
      </c>
      <c r="Q1166" s="91"/>
      <c r="S1166" s="91" t="s">
        <v>143</v>
      </c>
      <c r="T1166" s="91" t="s">
        <v>3568</v>
      </c>
      <c r="V1166" s="91" t="s">
        <v>155</v>
      </c>
      <c r="W1166" s="91" t="s">
        <v>180</v>
      </c>
    </row>
    <row r="1167" spans="1:23">
      <c r="A1167" s="93" t="str">
        <f>TEXT(tblProjectlist[[#This Row],[project-no]],"0")</f>
        <v>20300228</v>
      </c>
      <c r="H1167" s="91">
        <v>2030</v>
      </c>
      <c r="I1167" s="91">
        <v>2</v>
      </c>
      <c r="J1167" s="91">
        <v>2</v>
      </c>
      <c r="K1167" s="91" t="s">
        <v>470</v>
      </c>
      <c r="L1167" s="91" t="s">
        <v>2175</v>
      </c>
      <c r="M1167" s="91" t="s">
        <v>4</v>
      </c>
      <c r="Q1167" s="91"/>
      <c r="S1167" s="91" t="s">
        <v>143</v>
      </c>
      <c r="T1167" s="91" t="s">
        <v>2414</v>
      </c>
      <c r="V1167" s="91" t="s">
        <v>155</v>
      </c>
      <c r="W1167" s="91" t="s">
        <v>180</v>
      </c>
    </row>
    <row r="1168" spans="1:23">
      <c r="A1168" s="93" t="str">
        <f>TEXT(tblProjectlist[[#This Row],[project-no]],"0")</f>
        <v>20300328</v>
      </c>
      <c r="H1168" s="91">
        <v>2030</v>
      </c>
      <c r="I1168" s="91">
        <v>3</v>
      </c>
      <c r="J1168" s="91">
        <v>2</v>
      </c>
      <c r="K1168" s="91" t="s">
        <v>471</v>
      </c>
      <c r="L1168" s="91" t="s">
        <v>2175</v>
      </c>
      <c r="M1168" s="91" t="s">
        <v>4</v>
      </c>
      <c r="Q1168" s="91"/>
      <c r="S1168" s="91" t="s">
        <v>143</v>
      </c>
      <c r="T1168" s="91" t="s">
        <v>2415</v>
      </c>
      <c r="V1168" s="91" t="s">
        <v>155</v>
      </c>
      <c r="W1168" s="91" t="s">
        <v>180</v>
      </c>
    </row>
    <row r="1169" spans="1:23">
      <c r="A1169" s="93" t="str">
        <f>TEXT(tblProjectlist[[#This Row],[project-no]],"0")</f>
        <v>20300428</v>
      </c>
      <c r="H1169" s="91">
        <v>2030</v>
      </c>
      <c r="I1169" s="91">
        <v>4</v>
      </c>
      <c r="J1169" s="91">
        <v>2</v>
      </c>
      <c r="K1169" s="91" t="s">
        <v>472</v>
      </c>
      <c r="L1169" s="91" t="s">
        <v>2175</v>
      </c>
      <c r="M1169" s="91" t="s">
        <v>4</v>
      </c>
      <c r="Q1169" s="91"/>
      <c r="S1169" s="91" t="s">
        <v>143</v>
      </c>
      <c r="T1169" s="91" t="s">
        <v>2416</v>
      </c>
      <c r="V1169" s="91" t="s">
        <v>155</v>
      </c>
      <c r="W1169" s="91" t="s">
        <v>180</v>
      </c>
    </row>
    <row r="1170" spans="1:23">
      <c r="A1170" s="93" t="str">
        <f>TEXT(tblProjectlist[[#This Row],[project-no]],"0")</f>
        <v>20300528</v>
      </c>
      <c r="H1170" s="91">
        <v>2030</v>
      </c>
      <c r="I1170" s="91">
        <v>5</v>
      </c>
      <c r="J1170" s="91">
        <v>2</v>
      </c>
      <c r="K1170" s="91" t="s">
        <v>473</v>
      </c>
      <c r="L1170" s="91" t="s">
        <v>2175</v>
      </c>
      <c r="M1170" s="91" t="s">
        <v>4</v>
      </c>
      <c r="Q1170" s="91"/>
      <c r="S1170" s="91" t="s">
        <v>143</v>
      </c>
      <c r="T1170" s="91" t="s">
        <v>2417</v>
      </c>
      <c r="V1170" s="91" t="s">
        <v>155</v>
      </c>
      <c r="W1170" s="91" t="s">
        <v>180</v>
      </c>
    </row>
    <row r="1171" spans="1:23">
      <c r="A1171" s="93" t="str">
        <f>TEXT(tblProjectlist[[#This Row],[project-no]],"0")</f>
        <v>20300628</v>
      </c>
      <c r="H1171" s="91">
        <v>2030</v>
      </c>
      <c r="I1171" s="91">
        <v>6</v>
      </c>
      <c r="J1171" s="91">
        <v>2</v>
      </c>
      <c r="K1171" s="93" t="s">
        <v>474</v>
      </c>
      <c r="L1171" s="91" t="s">
        <v>2175</v>
      </c>
      <c r="M1171" s="91" t="s">
        <v>4</v>
      </c>
      <c r="Q1171" s="91"/>
      <c r="S1171" s="91" t="s">
        <v>143</v>
      </c>
      <c r="T1171" s="91" t="s">
        <v>2418</v>
      </c>
      <c r="V1171" s="91" t="s">
        <v>155</v>
      </c>
      <c r="W1171" s="91" t="s">
        <v>180</v>
      </c>
    </row>
    <row r="1172" spans="1:23">
      <c r="A1172" s="93" t="str">
        <f>TEXT(tblProjectlist[[#This Row],[project-no]],"0")</f>
        <v>99965428</v>
      </c>
      <c r="H1172" s="91">
        <v>2030</v>
      </c>
      <c r="I1172" s="91">
        <v>2</v>
      </c>
      <c r="J1172" s="91">
        <v>2</v>
      </c>
      <c r="K1172" s="91" t="s">
        <v>1772</v>
      </c>
      <c r="L1172" s="91" t="s">
        <v>2175</v>
      </c>
      <c r="M1172" s="91" t="s">
        <v>4</v>
      </c>
      <c r="Q1172" s="91"/>
      <c r="S1172" s="91" t="s">
        <v>143</v>
      </c>
      <c r="T1172" s="91" t="s">
        <v>2414</v>
      </c>
      <c r="V1172" s="91" t="s">
        <v>155</v>
      </c>
      <c r="W1172" s="91" t="s">
        <v>180</v>
      </c>
    </row>
    <row r="1173" spans="1:23">
      <c r="A1173" s="93" t="str">
        <f>TEXT(tblProjectlist[[#This Row],[project-no]],"0")</f>
        <v>99965828</v>
      </c>
      <c r="H1173" s="91">
        <v>2030</v>
      </c>
      <c r="I1173" s="91">
        <v>2</v>
      </c>
      <c r="J1173" s="91">
        <v>2</v>
      </c>
      <c r="K1173" s="93" t="s">
        <v>1776</v>
      </c>
      <c r="L1173" s="91" t="s">
        <v>2175</v>
      </c>
      <c r="M1173" s="91" t="s">
        <v>4</v>
      </c>
      <c r="Q1173" s="91"/>
      <c r="S1173" s="91" t="s">
        <v>143</v>
      </c>
      <c r="T1173" s="91" t="s">
        <v>2414</v>
      </c>
      <c r="V1173" s="91" t="s">
        <v>155</v>
      </c>
      <c r="W1173" s="91" t="s">
        <v>180</v>
      </c>
    </row>
    <row r="1174" spans="1:23">
      <c r="A1174" s="93" t="str">
        <f>TEXT(tblProjectlist[[#This Row],[project-no]],"0")</f>
        <v>0</v>
      </c>
      <c r="H1174" s="91">
        <v>2092</v>
      </c>
      <c r="I1174" s="91">
        <v>2</v>
      </c>
      <c r="J1174" s="91">
        <v>2</v>
      </c>
      <c r="K1174" s="91"/>
      <c r="L1174" s="91" t="s">
        <v>2175</v>
      </c>
      <c r="M1174" s="91" t="s">
        <v>4</v>
      </c>
      <c r="Q1174" s="91"/>
      <c r="S1174" s="91" t="s">
        <v>143</v>
      </c>
      <c r="T1174" s="91" t="s">
        <v>4166</v>
      </c>
      <c r="V1174" s="91" t="s">
        <v>155</v>
      </c>
      <c r="W1174" s="91" t="s">
        <v>180</v>
      </c>
    </row>
    <row r="1175" spans="1:23">
      <c r="A1175" s="93" t="str">
        <f>TEXT(tblProjectlist[[#This Row],[project-no]],"0")</f>
        <v>0</v>
      </c>
      <c r="H1175" s="91">
        <v>2092</v>
      </c>
      <c r="I1175" s="91">
        <v>3</v>
      </c>
      <c r="J1175" s="91">
        <v>2</v>
      </c>
      <c r="K1175" s="91"/>
      <c r="L1175" s="91" t="s">
        <v>2175</v>
      </c>
      <c r="M1175" s="91" t="s">
        <v>4</v>
      </c>
      <c r="Q1175" s="91"/>
      <c r="S1175" s="91" t="s">
        <v>143</v>
      </c>
      <c r="T1175" s="91" t="s">
        <v>4727</v>
      </c>
      <c r="V1175" s="91" t="s">
        <v>155</v>
      </c>
      <c r="W1175" s="91" t="s">
        <v>180</v>
      </c>
    </row>
    <row r="1176" spans="1:23">
      <c r="A1176" s="93" t="str">
        <f>TEXT(tblProjectlist[[#This Row],[project-no]],"0")</f>
        <v>76110228</v>
      </c>
      <c r="H1176" s="91">
        <v>7611</v>
      </c>
      <c r="I1176" s="91">
        <v>2</v>
      </c>
      <c r="J1176" s="91">
        <v>2</v>
      </c>
      <c r="K1176" s="91" t="s">
        <v>1054</v>
      </c>
      <c r="L1176" s="91" t="s">
        <v>197</v>
      </c>
      <c r="M1176" s="91" t="s">
        <v>4</v>
      </c>
      <c r="Q1176" s="91"/>
      <c r="S1176" s="91" t="s">
        <v>143</v>
      </c>
      <c r="T1176" s="91" t="s">
        <v>2921</v>
      </c>
      <c r="W1176" s="91" t="s">
        <v>180</v>
      </c>
    </row>
    <row r="1177" spans="1:23">
      <c r="A1177" s="93" t="str">
        <f>TEXT(tblProjectlist[[#This Row],[project-no]],"0")</f>
        <v>31430228</v>
      </c>
      <c r="H1177" s="91">
        <v>3143</v>
      </c>
      <c r="I1177" s="91">
        <v>2</v>
      </c>
      <c r="J1177" s="91">
        <v>2</v>
      </c>
      <c r="K1177" s="91" t="s">
        <v>741</v>
      </c>
      <c r="L1177" s="91" t="s">
        <v>2175</v>
      </c>
      <c r="M1177" s="91" t="s">
        <v>4</v>
      </c>
      <c r="Q1177" s="91"/>
      <c r="S1177" s="91" t="s">
        <v>143</v>
      </c>
      <c r="T1177" s="91" t="s">
        <v>2639</v>
      </c>
      <c r="V1177" s="91" t="s">
        <v>155</v>
      </c>
      <c r="W1177" s="91" t="s">
        <v>180</v>
      </c>
    </row>
    <row r="1178" spans="1:23">
      <c r="A1178" s="93" t="str">
        <f>TEXT(tblProjectlist[[#This Row],[project-no]],"0")</f>
        <v>19940228</v>
      </c>
      <c r="H1178" s="91">
        <v>1994</v>
      </c>
      <c r="I1178" s="91">
        <v>2</v>
      </c>
      <c r="J1178" s="91">
        <v>2</v>
      </c>
      <c r="K1178" s="91" t="s">
        <v>441</v>
      </c>
      <c r="L1178" s="91" t="s">
        <v>62</v>
      </c>
      <c r="M1178" s="91" t="s">
        <v>4</v>
      </c>
      <c r="Q1178" s="91"/>
      <c r="S1178" s="91" t="s">
        <v>143</v>
      </c>
      <c r="T1178" s="91" t="s">
        <v>2390</v>
      </c>
      <c r="W1178" s="91" t="s">
        <v>180</v>
      </c>
    </row>
    <row r="1179" spans="1:23">
      <c r="A1179" s="93" t="str">
        <f>TEXT(tblProjectlist[[#This Row],[project-no]],"0")</f>
        <v>78024228</v>
      </c>
      <c r="H1179" s="91">
        <v>7802</v>
      </c>
      <c r="I1179" s="91">
        <v>42</v>
      </c>
      <c r="J1179" s="91">
        <v>2</v>
      </c>
      <c r="K1179" s="91" t="s">
        <v>1123</v>
      </c>
      <c r="L1179" s="91" t="s">
        <v>2175</v>
      </c>
      <c r="M1179" s="91" t="s">
        <v>4</v>
      </c>
      <c r="Q1179" s="91"/>
      <c r="S1179" s="91" t="s">
        <v>143</v>
      </c>
      <c r="T1179" s="91" t="s">
        <v>2988</v>
      </c>
      <c r="V1179" s="91" t="s">
        <v>156</v>
      </c>
      <c r="W1179" s="91" t="s">
        <v>180</v>
      </c>
    </row>
    <row r="1180" spans="1:23">
      <c r="A1180" s="93" t="str">
        <f>TEXT(tblProjectlist[[#This Row],[project-no]],"0")</f>
        <v>99968028</v>
      </c>
      <c r="H1180" s="91">
        <v>7802</v>
      </c>
      <c r="I1180" s="91">
        <v>42</v>
      </c>
      <c r="J1180" s="91">
        <v>2</v>
      </c>
      <c r="K1180" s="91" t="s">
        <v>1797</v>
      </c>
      <c r="L1180" s="91" t="s">
        <v>2175</v>
      </c>
      <c r="M1180" s="91" t="s">
        <v>4</v>
      </c>
      <c r="Q1180" s="91"/>
      <c r="S1180" s="91" t="s">
        <v>143</v>
      </c>
      <c r="T1180" s="91" t="s">
        <v>2988</v>
      </c>
      <c r="V1180" s="91" t="s">
        <v>156</v>
      </c>
      <c r="W1180" s="91" t="s">
        <v>180</v>
      </c>
    </row>
    <row r="1181" spans="1:23">
      <c r="A1181" s="93" t="str">
        <f>TEXT(tblProjectlist[[#This Row],[project-no]],"0")</f>
        <v>30680228</v>
      </c>
      <c r="H1181" s="91">
        <v>3068</v>
      </c>
      <c r="I1181" s="91">
        <v>2</v>
      </c>
      <c r="J1181" s="91">
        <v>2</v>
      </c>
      <c r="K1181" s="91" t="s">
        <v>686</v>
      </c>
      <c r="L1181" s="91" t="s">
        <v>62</v>
      </c>
      <c r="M1181" s="91" t="s">
        <v>4</v>
      </c>
      <c r="Q1181" s="91"/>
      <c r="S1181" s="91" t="s">
        <v>143</v>
      </c>
      <c r="T1181" s="91" t="s">
        <v>2586</v>
      </c>
      <c r="W1181" s="91" t="s">
        <v>180</v>
      </c>
    </row>
    <row r="1182" spans="1:23">
      <c r="A1182" s="93" t="str">
        <f>TEXT(tblProjectlist[[#This Row],[project-no]],"0")</f>
        <v>66030226</v>
      </c>
      <c r="H1182" s="91">
        <v>6603</v>
      </c>
      <c r="I1182" s="91">
        <v>2</v>
      </c>
      <c r="J1182" s="91">
        <v>2</v>
      </c>
      <c r="K1182" s="91" t="s">
        <v>868</v>
      </c>
      <c r="L1182" s="91" t="s">
        <v>2175</v>
      </c>
      <c r="M1182" s="91" t="s">
        <v>4</v>
      </c>
      <c r="Q1182" s="91"/>
      <c r="S1182" s="91" t="s">
        <v>143</v>
      </c>
      <c r="T1182" s="91" t="s">
        <v>2750</v>
      </c>
      <c r="V1182" s="91" t="s">
        <v>155</v>
      </c>
      <c r="W1182" s="91" t="s">
        <v>180</v>
      </c>
    </row>
    <row r="1183" spans="1:23">
      <c r="A1183" s="93" t="str">
        <f>TEXT(tblProjectlist[[#This Row],[project-no]],"0")</f>
        <v>66050228</v>
      </c>
      <c r="H1183" s="91">
        <v>6605</v>
      </c>
      <c r="I1183" s="91">
        <v>2</v>
      </c>
      <c r="J1183" s="91">
        <v>2</v>
      </c>
      <c r="K1183" s="91" t="s">
        <v>869</v>
      </c>
      <c r="L1183" s="91" t="s">
        <v>2175</v>
      </c>
      <c r="M1183" s="91" t="s">
        <v>4</v>
      </c>
      <c r="Q1183" s="91"/>
      <c r="S1183" s="91" t="s">
        <v>143</v>
      </c>
      <c r="T1183" s="91" t="s">
        <v>2751</v>
      </c>
      <c r="V1183" s="91" t="s">
        <v>155</v>
      </c>
      <c r="W1183" s="91" t="s">
        <v>180</v>
      </c>
    </row>
    <row r="1184" spans="1:23">
      <c r="A1184" s="93" t="str">
        <f>TEXT(tblProjectlist[[#This Row],[project-no]],"0")</f>
        <v>0</v>
      </c>
      <c r="H1184" s="91">
        <v>9963</v>
      </c>
      <c r="I1184" s="91">
        <v>52</v>
      </c>
      <c r="J1184" s="91">
        <v>1</v>
      </c>
      <c r="K1184" s="91"/>
      <c r="L1184" s="91" t="s">
        <v>2175</v>
      </c>
      <c r="M1184" s="91" t="s">
        <v>0</v>
      </c>
      <c r="Q1184" s="91"/>
      <c r="S1184" s="91" t="s">
        <v>143</v>
      </c>
      <c r="T1184" s="91" t="s">
        <v>3800</v>
      </c>
      <c r="W1184" s="91" t="s">
        <v>180</v>
      </c>
    </row>
    <row r="1185" spans="1:23">
      <c r="A1185" s="93" t="str">
        <f>TEXT(tblProjectlist[[#This Row],[project-no]],"0")</f>
        <v>0</v>
      </c>
      <c r="H1185" s="91">
        <v>9963</v>
      </c>
      <c r="I1185" s="91">
        <v>53</v>
      </c>
      <c r="J1185" s="91">
        <v>1</v>
      </c>
      <c r="K1185" s="91"/>
      <c r="L1185" s="91" t="s">
        <v>2175</v>
      </c>
      <c r="M1185" s="91" t="s">
        <v>0</v>
      </c>
      <c r="Q1185" s="91"/>
      <c r="S1185" s="91" t="s">
        <v>143</v>
      </c>
      <c r="T1185" s="91" t="s">
        <v>3801</v>
      </c>
      <c r="W1185" s="91" t="s">
        <v>180</v>
      </c>
    </row>
    <row r="1186" spans="1:23">
      <c r="A1186" s="93" t="str">
        <f>TEXT(tblProjectlist[[#This Row],[project-no]],"0")</f>
        <v>0</v>
      </c>
      <c r="H1186" s="91">
        <v>9963</v>
      </c>
      <c r="I1186" s="91">
        <v>54</v>
      </c>
      <c r="J1186" s="91">
        <v>1</v>
      </c>
      <c r="K1186" s="91"/>
      <c r="L1186" s="91" t="s">
        <v>2175</v>
      </c>
      <c r="M1186" s="91" t="s">
        <v>0</v>
      </c>
      <c r="Q1186" s="91"/>
      <c r="S1186" s="91" t="s">
        <v>143</v>
      </c>
      <c r="T1186" s="91" t="s">
        <v>3802</v>
      </c>
      <c r="W1186" s="91" t="s">
        <v>180</v>
      </c>
    </row>
    <row r="1187" spans="1:23">
      <c r="A1187" s="93" t="str">
        <f>TEXT(tblProjectlist[[#This Row],[project-no]],"0")</f>
        <v>0</v>
      </c>
      <c r="H1187" s="91">
        <v>9963</v>
      </c>
      <c r="I1187" s="91">
        <v>55</v>
      </c>
      <c r="J1187" s="91">
        <v>1</v>
      </c>
      <c r="K1187" s="91"/>
      <c r="L1187" s="91" t="s">
        <v>2175</v>
      </c>
      <c r="M1187" s="91" t="s">
        <v>0</v>
      </c>
      <c r="Q1187" s="91"/>
      <c r="S1187" s="91" t="s">
        <v>143</v>
      </c>
      <c r="T1187" s="91" t="s">
        <v>3825</v>
      </c>
      <c r="V1187" s="91" t="s">
        <v>168</v>
      </c>
      <c r="W1187" s="91" t="s">
        <v>180</v>
      </c>
    </row>
    <row r="1188" spans="1:23">
      <c r="A1188" s="93" t="str">
        <f>TEXT(tblProjectlist[[#This Row],[project-no]],"0")</f>
        <v>0</v>
      </c>
      <c r="H1188" s="91">
        <v>9963</v>
      </c>
      <c r="I1188" s="91">
        <v>56</v>
      </c>
      <c r="J1188" s="91">
        <v>1</v>
      </c>
      <c r="K1188" s="91"/>
      <c r="L1188" s="91" t="s">
        <v>2175</v>
      </c>
      <c r="M1188" s="91" t="s">
        <v>0</v>
      </c>
      <c r="Q1188" s="91"/>
      <c r="S1188" s="91" t="s">
        <v>143</v>
      </c>
      <c r="T1188" s="91" t="s">
        <v>3880</v>
      </c>
      <c r="V1188" s="91" t="s">
        <v>167</v>
      </c>
      <c r="W1188" s="91" t="s">
        <v>180</v>
      </c>
    </row>
    <row r="1189" spans="1:23">
      <c r="A1189" s="93" t="str">
        <f>TEXT(tblProjectlist[[#This Row],[project-no]],"0")</f>
        <v>0</v>
      </c>
      <c r="H1189" s="91">
        <v>2040</v>
      </c>
      <c r="I1189" s="91">
        <v>4</v>
      </c>
      <c r="J1189" s="91">
        <v>2</v>
      </c>
      <c r="K1189" s="91"/>
      <c r="L1189" s="91" t="s">
        <v>2175</v>
      </c>
      <c r="M1189" s="91" t="s">
        <v>4</v>
      </c>
      <c r="Q1189" s="91"/>
      <c r="S1189" s="91" t="s">
        <v>143</v>
      </c>
      <c r="T1189" s="91" t="s">
        <v>4459</v>
      </c>
      <c r="V1189" s="91" t="s">
        <v>155</v>
      </c>
      <c r="W1189" s="91" t="s">
        <v>180</v>
      </c>
    </row>
    <row r="1190" spans="1:23">
      <c r="A1190" s="93" t="str">
        <f>TEXT(tblProjectlist[[#This Row],[project-no]],"0")</f>
        <v>0</v>
      </c>
      <c r="H1190" s="91">
        <v>7055</v>
      </c>
      <c r="I1190" s="91">
        <v>1</v>
      </c>
      <c r="J1190" s="91">
        <v>2</v>
      </c>
      <c r="K1190" s="91"/>
      <c r="L1190" s="91" t="s">
        <v>2175</v>
      </c>
      <c r="M1190" s="91" t="s">
        <v>4</v>
      </c>
      <c r="Q1190" s="91"/>
      <c r="S1190" s="91" t="s">
        <v>143</v>
      </c>
      <c r="T1190" s="91" t="s">
        <v>4700</v>
      </c>
      <c r="V1190" s="91" t="s">
        <v>155</v>
      </c>
      <c r="W1190" s="91" t="s">
        <v>180</v>
      </c>
    </row>
    <row r="1191" spans="1:23">
      <c r="A1191" s="93" t="str">
        <f>TEXT(tblProjectlist[[#This Row],[project-no]],"0")</f>
        <v>0</v>
      </c>
      <c r="H1191" s="91">
        <v>7055</v>
      </c>
      <c r="I1191" s="91">
        <v>3</v>
      </c>
      <c r="J1191" s="91">
        <v>2</v>
      </c>
      <c r="K1191" s="91"/>
      <c r="L1191" s="91" t="s">
        <v>2175</v>
      </c>
      <c r="M1191" s="91" t="s">
        <v>4</v>
      </c>
      <c r="Q1191" s="91"/>
      <c r="S1191" s="91" t="s">
        <v>143</v>
      </c>
      <c r="T1191" s="91" t="s">
        <v>4328</v>
      </c>
      <c r="V1191" s="91" t="s">
        <v>155</v>
      </c>
      <c r="W1191" s="91" t="s">
        <v>180</v>
      </c>
    </row>
    <row r="1192" spans="1:23">
      <c r="A1192" s="93" t="str">
        <f>TEXT(tblProjectlist[[#This Row],[project-no]],"0")</f>
        <v>0</v>
      </c>
      <c r="H1192" s="91">
        <v>7055</v>
      </c>
      <c r="I1192" s="91">
        <v>2</v>
      </c>
      <c r="J1192" s="91">
        <v>2</v>
      </c>
      <c r="K1192" s="91"/>
      <c r="L1192" s="91" t="s">
        <v>2175</v>
      </c>
      <c r="M1192" s="91" t="s">
        <v>4</v>
      </c>
      <c r="Q1192" s="91"/>
      <c r="S1192" s="91" t="s">
        <v>143</v>
      </c>
      <c r="T1192" s="91" t="s">
        <v>4047</v>
      </c>
      <c r="V1192" s="91" t="s">
        <v>155</v>
      </c>
      <c r="W1192" s="91" t="s">
        <v>180</v>
      </c>
    </row>
    <row r="1193" spans="1:23">
      <c r="A1193" s="93" t="str">
        <f>TEXT(tblProjectlist[[#This Row],[project-no]],"0")</f>
        <v>60420228</v>
      </c>
      <c r="H1193" s="91">
        <v>6042</v>
      </c>
      <c r="I1193" s="91">
        <v>2</v>
      </c>
      <c r="J1193" s="91">
        <v>2</v>
      </c>
      <c r="K1193" s="91" t="s">
        <v>795</v>
      </c>
      <c r="L1193" s="91" t="s">
        <v>2175</v>
      </c>
      <c r="M1193" s="91" t="s">
        <v>4</v>
      </c>
      <c r="Q1193" s="91"/>
      <c r="S1193" s="91" t="s">
        <v>143</v>
      </c>
      <c r="T1193" s="91" t="s">
        <v>2691</v>
      </c>
      <c r="V1193" s="91" t="s">
        <v>155</v>
      </c>
      <c r="W1193" s="91" t="s">
        <v>180</v>
      </c>
    </row>
    <row r="1194" spans="1:23">
      <c r="A1194" s="93" t="str">
        <f>TEXT(tblProjectlist[[#This Row],[project-no]],"0")</f>
        <v>0</v>
      </c>
      <c r="H1194" s="91">
        <v>6110</v>
      </c>
      <c r="I1194" s="91">
        <v>2</v>
      </c>
      <c r="J1194" s="91">
        <v>2</v>
      </c>
      <c r="K1194" s="91"/>
      <c r="L1194" s="91" t="s">
        <v>64</v>
      </c>
      <c r="M1194" s="91" t="s">
        <v>4</v>
      </c>
      <c r="Q1194" s="91"/>
      <c r="S1194" s="91" t="s">
        <v>143</v>
      </c>
      <c r="T1194" s="91" t="s">
        <v>3683</v>
      </c>
      <c r="V1194" s="91" t="s">
        <v>155</v>
      </c>
    </row>
    <row r="1195" spans="1:23">
      <c r="A1195" s="93" t="str">
        <f>TEXT(tblProjectlist[[#This Row],[project-no]],"0")</f>
        <v>0</v>
      </c>
      <c r="H1195" s="91">
        <v>6413</v>
      </c>
      <c r="I1195" s="91">
        <v>2</v>
      </c>
      <c r="J1195" s="91">
        <v>2</v>
      </c>
      <c r="K1195" s="91"/>
      <c r="L1195" s="91" t="s">
        <v>2175</v>
      </c>
      <c r="M1195" s="91" t="s">
        <v>4</v>
      </c>
      <c r="Q1195" s="91"/>
      <c r="S1195" s="91" t="s">
        <v>143</v>
      </c>
      <c r="T1195" s="91" t="s">
        <v>4347</v>
      </c>
      <c r="V1195" s="91" t="s">
        <v>155</v>
      </c>
      <c r="W1195" s="91" t="s">
        <v>180</v>
      </c>
    </row>
    <row r="1196" spans="1:23">
      <c r="A1196" s="93" t="str">
        <f>TEXT(tblProjectlist[[#This Row],[project-no]],"0")</f>
        <v>30600728</v>
      </c>
      <c r="H1196" s="91">
        <v>3060</v>
      </c>
      <c r="I1196" s="91">
        <v>7</v>
      </c>
      <c r="J1196" s="91">
        <v>2</v>
      </c>
      <c r="K1196" s="91" t="s">
        <v>675</v>
      </c>
      <c r="L1196" s="91" t="s">
        <v>2175</v>
      </c>
      <c r="M1196" s="91" t="s">
        <v>4</v>
      </c>
      <c r="Q1196" s="91"/>
      <c r="S1196" s="91" t="s">
        <v>143</v>
      </c>
      <c r="T1196" s="91" t="s">
        <v>2576</v>
      </c>
      <c r="V1196" s="91" t="s">
        <v>155</v>
      </c>
      <c r="W1196" s="91" t="s">
        <v>180</v>
      </c>
    </row>
    <row r="1197" spans="1:23">
      <c r="A1197" s="93" t="str">
        <f>TEXT(tblProjectlist[[#This Row],[project-no]],"0")</f>
        <v>30600828</v>
      </c>
      <c r="H1197" s="91">
        <v>3060</v>
      </c>
      <c r="I1197" s="91">
        <v>8</v>
      </c>
      <c r="J1197" s="91">
        <v>2</v>
      </c>
      <c r="K1197" s="91" t="s">
        <v>676</v>
      </c>
      <c r="L1197" s="91" t="s">
        <v>2175</v>
      </c>
      <c r="M1197" s="91" t="s">
        <v>4</v>
      </c>
      <c r="Q1197" s="91"/>
      <c r="S1197" s="91" t="s">
        <v>143</v>
      </c>
      <c r="T1197" s="91" t="s">
        <v>2577</v>
      </c>
      <c r="V1197" s="91" t="s">
        <v>155</v>
      </c>
      <c r="W1197" s="91" t="s">
        <v>180</v>
      </c>
    </row>
    <row r="1198" spans="1:23">
      <c r="A1198" s="93" t="str">
        <f>TEXT(tblProjectlist[[#This Row],[project-no]],"0")</f>
        <v>0</v>
      </c>
      <c r="H1198" s="91">
        <v>3162</v>
      </c>
      <c r="I1198" s="91">
        <v>2</v>
      </c>
      <c r="J1198" s="91">
        <v>2</v>
      </c>
      <c r="K1198" s="91"/>
      <c r="L1198" s="91" t="s">
        <v>2175</v>
      </c>
      <c r="M1198" s="91" t="s">
        <v>4</v>
      </c>
      <c r="Q1198" s="91"/>
      <c r="S1198" s="91" t="s">
        <v>143</v>
      </c>
      <c r="T1198" s="91" t="s">
        <v>3997</v>
      </c>
      <c r="V1198" s="91" t="s">
        <v>155</v>
      </c>
      <c r="W1198" s="91" t="s">
        <v>180</v>
      </c>
    </row>
    <row r="1199" spans="1:23">
      <c r="A1199" s="93" t="str">
        <f>TEXT(tblProjectlist[[#This Row],[project-no]],"0")</f>
        <v>0</v>
      </c>
      <c r="H1199" s="91">
        <v>2038</v>
      </c>
      <c r="I1199" s="91">
        <v>3</v>
      </c>
      <c r="J1199" s="91">
        <v>2</v>
      </c>
      <c r="K1199" s="91"/>
      <c r="L1199" s="91" t="s">
        <v>2175</v>
      </c>
      <c r="M1199" s="91" t="s">
        <v>4</v>
      </c>
      <c r="Q1199" s="91"/>
      <c r="S1199" s="91" t="s">
        <v>143</v>
      </c>
      <c r="T1199" s="91" t="s">
        <v>3838</v>
      </c>
      <c r="V1199" s="91" t="s">
        <v>155</v>
      </c>
      <c r="W1199" s="91" t="s">
        <v>180</v>
      </c>
    </row>
    <row r="1200" spans="1:23">
      <c r="A1200" s="93" t="str">
        <f>TEXT(tblProjectlist[[#This Row],[project-no]],"0")</f>
        <v>0</v>
      </c>
      <c r="H1200" s="91">
        <v>2038</v>
      </c>
      <c r="I1200" s="91">
        <v>6</v>
      </c>
      <c r="J1200" s="91">
        <v>2</v>
      </c>
      <c r="K1200" s="91"/>
      <c r="L1200" s="91" t="s">
        <v>2175</v>
      </c>
      <c r="M1200" s="91" t="s">
        <v>4</v>
      </c>
      <c r="Q1200" s="91"/>
      <c r="S1200" s="91" t="s">
        <v>143</v>
      </c>
      <c r="T1200" s="91" t="s">
        <v>4262</v>
      </c>
      <c r="V1200" s="91" t="s">
        <v>155</v>
      </c>
      <c r="W1200" s="91" t="s">
        <v>180</v>
      </c>
    </row>
    <row r="1201" spans="1:23">
      <c r="A1201" s="93" t="str">
        <f>TEXT(tblProjectlist[[#This Row],[project-no]],"0")</f>
        <v>0</v>
      </c>
      <c r="H1201" s="91">
        <v>2038</v>
      </c>
      <c r="I1201" s="91">
        <v>7</v>
      </c>
      <c r="J1201" s="91">
        <v>2</v>
      </c>
      <c r="K1201" s="91"/>
      <c r="L1201" s="91" t="s">
        <v>2175</v>
      </c>
      <c r="M1201" s="91" t="s">
        <v>4</v>
      </c>
      <c r="Q1201" s="91"/>
      <c r="S1201" s="91" t="s">
        <v>143</v>
      </c>
      <c r="T1201" s="91" t="s">
        <v>4380</v>
      </c>
      <c r="V1201" s="91" t="s">
        <v>155</v>
      </c>
      <c r="W1201" s="91" t="s">
        <v>180</v>
      </c>
    </row>
    <row r="1202" spans="1:23">
      <c r="A1202" s="93" t="str">
        <f>TEXT(tblProjectlist[[#This Row],[project-no]],"0")</f>
        <v>20380228</v>
      </c>
      <c r="H1202" s="91">
        <v>2038</v>
      </c>
      <c r="I1202" s="91">
        <v>2</v>
      </c>
      <c r="J1202" s="91">
        <v>2</v>
      </c>
      <c r="K1202" s="93" t="s">
        <v>486</v>
      </c>
      <c r="L1202" s="91" t="s">
        <v>2175</v>
      </c>
      <c r="M1202" s="91" t="s">
        <v>4</v>
      </c>
      <c r="Q1202" s="91"/>
      <c r="S1202" s="91" t="s">
        <v>143</v>
      </c>
      <c r="T1202" s="91" t="s">
        <v>2429</v>
      </c>
      <c r="V1202" s="91" t="s">
        <v>155</v>
      </c>
      <c r="W1202" s="91" t="s">
        <v>180</v>
      </c>
    </row>
    <row r="1203" spans="1:23">
      <c r="A1203" s="93" t="str">
        <f>TEXT(tblProjectlist[[#This Row],[project-no]],"0")</f>
        <v>0</v>
      </c>
      <c r="H1203" s="91">
        <v>2038</v>
      </c>
      <c r="I1203" s="91">
        <v>4</v>
      </c>
      <c r="J1203" s="91">
        <v>2</v>
      </c>
      <c r="K1203" s="91"/>
      <c r="L1203" s="91" t="s">
        <v>2175</v>
      </c>
      <c r="M1203" s="91" t="s">
        <v>4</v>
      </c>
      <c r="Q1203" s="91"/>
      <c r="S1203" s="91" t="s">
        <v>143</v>
      </c>
      <c r="T1203" s="91" t="s">
        <v>4223</v>
      </c>
      <c r="V1203" s="91" t="s">
        <v>155</v>
      </c>
      <c r="W1203" s="91" t="s">
        <v>180</v>
      </c>
    </row>
    <row r="1204" spans="1:23">
      <c r="A1204" s="93" t="str">
        <f>TEXT(tblProjectlist[[#This Row],[project-no]],"0")</f>
        <v>0</v>
      </c>
      <c r="H1204" s="91">
        <v>2038</v>
      </c>
      <c r="I1204" s="91">
        <v>5</v>
      </c>
      <c r="J1204" s="91">
        <v>2</v>
      </c>
      <c r="K1204" s="91"/>
      <c r="L1204" s="91" t="s">
        <v>2175</v>
      </c>
      <c r="M1204" s="91" t="s">
        <v>4</v>
      </c>
      <c r="Q1204" s="91"/>
      <c r="S1204" s="91" t="s">
        <v>143</v>
      </c>
      <c r="T1204" s="91" t="s">
        <v>4224</v>
      </c>
      <c r="V1204" s="91" t="s">
        <v>155</v>
      </c>
      <c r="W1204" s="91" t="s">
        <v>180</v>
      </c>
    </row>
    <row r="1205" spans="1:23">
      <c r="A1205" s="93" t="str">
        <f>TEXT(tblProjectlist[[#This Row],[project-no]],"0")</f>
        <v>88590128</v>
      </c>
      <c r="H1205" s="91">
        <v>8859</v>
      </c>
      <c r="I1205" s="91">
        <v>1</v>
      </c>
      <c r="J1205" s="91">
        <v>2</v>
      </c>
      <c r="K1205" s="91" t="s">
        <v>1251</v>
      </c>
      <c r="L1205" s="91" t="s">
        <v>2175</v>
      </c>
      <c r="M1205" s="91" t="s">
        <v>4</v>
      </c>
      <c r="Q1205" s="91"/>
      <c r="S1205" s="91" t="s">
        <v>143</v>
      </c>
      <c r="T1205" s="91" t="s">
        <v>3102</v>
      </c>
      <c r="V1205" s="91" t="s">
        <v>155</v>
      </c>
      <c r="W1205" s="91" t="s">
        <v>180</v>
      </c>
    </row>
    <row r="1206" spans="1:23">
      <c r="A1206" s="93" t="str">
        <f>TEXT(tblProjectlist[[#This Row],[project-no]],"0")</f>
        <v>88590528</v>
      </c>
      <c r="H1206" s="91">
        <v>8859</v>
      </c>
      <c r="I1206" s="91">
        <v>5</v>
      </c>
      <c r="J1206" s="91">
        <v>2</v>
      </c>
      <c r="K1206" s="91" t="s">
        <v>1252</v>
      </c>
      <c r="L1206" s="91" t="s">
        <v>2175</v>
      </c>
      <c r="M1206" s="91" t="s">
        <v>4</v>
      </c>
      <c r="Q1206" s="91"/>
      <c r="S1206" s="91" t="s">
        <v>143</v>
      </c>
      <c r="T1206" s="91" t="s">
        <v>3103</v>
      </c>
      <c r="V1206" s="91" t="s">
        <v>155</v>
      </c>
      <c r="W1206" s="91" t="s">
        <v>180</v>
      </c>
    </row>
    <row r="1207" spans="1:23">
      <c r="A1207" s="93" t="str">
        <f>TEXT(tblProjectlist[[#This Row],[project-no]],"0")</f>
        <v>0</v>
      </c>
      <c r="H1207" s="91">
        <v>7535</v>
      </c>
      <c r="I1207" s="91">
        <v>5</v>
      </c>
      <c r="J1207" s="91">
        <v>2</v>
      </c>
      <c r="K1207" s="91"/>
      <c r="L1207" s="91" t="s">
        <v>2175</v>
      </c>
      <c r="M1207" s="91" t="s">
        <v>4</v>
      </c>
      <c r="Q1207" s="91"/>
      <c r="S1207" s="91" t="s">
        <v>143</v>
      </c>
      <c r="T1207" s="91" t="s">
        <v>3788</v>
      </c>
      <c r="V1207" s="91" t="s">
        <v>155</v>
      </c>
      <c r="W1207" s="91" t="s">
        <v>180</v>
      </c>
    </row>
    <row r="1208" spans="1:23">
      <c r="A1208" s="93" t="str">
        <f>TEXT(tblProjectlist[[#This Row],[project-no]],"0")</f>
        <v>0</v>
      </c>
      <c r="H1208" s="91">
        <v>7535</v>
      </c>
      <c r="I1208" s="91">
        <v>6</v>
      </c>
      <c r="J1208" s="91">
        <v>2</v>
      </c>
      <c r="K1208" s="91"/>
      <c r="L1208" s="91" t="s">
        <v>2175</v>
      </c>
      <c r="M1208" s="91" t="s">
        <v>4</v>
      </c>
      <c r="Q1208" s="91"/>
      <c r="S1208" s="91" t="s">
        <v>143</v>
      </c>
      <c r="T1208" s="91" t="s">
        <v>4543</v>
      </c>
      <c r="V1208" s="91" t="s">
        <v>155</v>
      </c>
      <c r="W1208" s="91" t="s">
        <v>180</v>
      </c>
    </row>
    <row r="1209" spans="1:23">
      <c r="A1209" s="93" t="str">
        <f>TEXT(tblProjectlist[[#This Row],[project-no]],"0")</f>
        <v>0</v>
      </c>
      <c r="H1209" s="91">
        <v>6125</v>
      </c>
      <c r="I1209" s="91">
        <v>4</v>
      </c>
      <c r="J1209" s="91">
        <v>2</v>
      </c>
      <c r="K1209" s="91"/>
      <c r="L1209" s="91" t="s">
        <v>2175</v>
      </c>
      <c r="M1209" s="91" t="s">
        <v>4</v>
      </c>
      <c r="Q1209" s="91"/>
      <c r="S1209" s="91" t="s">
        <v>143</v>
      </c>
      <c r="T1209" s="91" t="s">
        <v>4405</v>
      </c>
      <c r="V1209" s="91" t="s">
        <v>156</v>
      </c>
      <c r="W1209" s="91" t="s">
        <v>180</v>
      </c>
    </row>
    <row r="1210" spans="1:23">
      <c r="A1210" s="93" t="str">
        <f>TEXT(tblProjectlist[[#This Row],[project-no]],"0")</f>
        <v>0</v>
      </c>
      <c r="H1210" s="91">
        <v>6125</v>
      </c>
      <c r="I1210" s="91">
        <v>2</v>
      </c>
      <c r="J1210" s="91">
        <v>2</v>
      </c>
      <c r="K1210" s="91"/>
      <c r="L1210" s="91" t="s">
        <v>2175</v>
      </c>
      <c r="M1210" s="91" t="s">
        <v>4</v>
      </c>
      <c r="Q1210" s="91"/>
      <c r="S1210" s="91" t="s">
        <v>143</v>
      </c>
      <c r="T1210" s="91" t="s">
        <v>4132</v>
      </c>
      <c r="V1210" s="91" t="s">
        <v>156</v>
      </c>
      <c r="W1210" s="91" t="s">
        <v>180</v>
      </c>
    </row>
    <row r="1211" spans="1:23">
      <c r="A1211" s="93" t="str">
        <f>TEXT(tblProjectlist[[#This Row],[project-no]],"0")</f>
        <v>0</v>
      </c>
      <c r="H1211" s="91">
        <v>6125</v>
      </c>
      <c r="I1211" s="91">
        <v>3</v>
      </c>
      <c r="J1211" s="91">
        <v>2</v>
      </c>
      <c r="K1211" s="91"/>
      <c r="L1211" s="91" t="s">
        <v>2175</v>
      </c>
      <c r="M1211" s="91" t="s">
        <v>4</v>
      </c>
      <c r="Q1211" s="91"/>
      <c r="S1211" s="91" t="s">
        <v>143</v>
      </c>
      <c r="T1211" s="91" t="s">
        <v>4133</v>
      </c>
      <c r="V1211" s="91" t="s">
        <v>156</v>
      </c>
      <c r="W1211" s="91" t="s">
        <v>180</v>
      </c>
    </row>
    <row r="1212" spans="1:23">
      <c r="A1212" s="93" t="str">
        <f>TEXT(tblProjectlist[[#This Row],[project-no]],"0")</f>
        <v>30490228</v>
      </c>
      <c r="H1212" s="91">
        <v>3049</v>
      </c>
      <c r="I1212" s="91">
        <v>2</v>
      </c>
      <c r="J1212" s="91">
        <v>2</v>
      </c>
      <c r="K1212" s="91" t="s">
        <v>664</v>
      </c>
      <c r="L1212" s="91" t="s">
        <v>62</v>
      </c>
      <c r="M1212" s="91" t="s">
        <v>4</v>
      </c>
      <c r="Q1212" s="91"/>
      <c r="S1212" s="91" t="s">
        <v>143</v>
      </c>
      <c r="T1212" s="91" t="s">
        <v>2566</v>
      </c>
      <c r="W1212" s="91" t="s">
        <v>180</v>
      </c>
    </row>
    <row r="1213" spans="1:23">
      <c r="A1213" s="93" t="str">
        <f>TEXT(tblProjectlist[[#This Row],[project-no]],"0")</f>
        <v>30490328</v>
      </c>
      <c r="H1213" s="91">
        <v>3049</v>
      </c>
      <c r="I1213" s="91">
        <v>3</v>
      </c>
      <c r="J1213" s="91">
        <v>2</v>
      </c>
      <c r="K1213" s="91" t="s">
        <v>665</v>
      </c>
      <c r="L1213" s="91" t="s">
        <v>62</v>
      </c>
      <c r="M1213" s="91" t="s">
        <v>4</v>
      </c>
      <c r="Q1213" s="91"/>
      <c r="S1213" s="91" t="s">
        <v>143</v>
      </c>
      <c r="T1213" s="91" t="s">
        <v>2567</v>
      </c>
      <c r="W1213" s="91" t="s">
        <v>180</v>
      </c>
    </row>
    <row r="1214" spans="1:23">
      <c r="A1214" s="93" t="str">
        <f>TEXT(tblProjectlist[[#This Row],[project-no]],"0")</f>
        <v>99868728</v>
      </c>
      <c r="H1214" s="91">
        <v>3049</v>
      </c>
      <c r="I1214" s="91">
        <v>2</v>
      </c>
      <c r="J1214" s="91">
        <v>2</v>
      </c>
      <c r="K1214" s="91" t="s">
        <v>1416</v>
      </c>
      <c r="L1214" s="91" t="s">
        <v>62</v>
      </c>
      <c r="M1214" s="91" t="s">
        <v>4</v>
      </c>
      <c r="Q1214" s="91"/>
      <c r="S1214" s="91" t="s">
        <v>143</v>
      </c>
      <c r="T1214" s="91" t="s">
        <v>2566</v>
      </c>
      <c r="V1214" s="91" t="s">
        <v>155</v>
      </c>
      <c r="W1214" s="91" t="s">
        <v>180</v>
      </c>
    </row>
    <row r="1215" spans="1:23">
      <c r="A1215" s="93" t="str">
        <f>TEXT(tblProjectlist[[#This Row],[project-no]],"0")</f>
        <v>0</v>
      </c>
      <c r="H1215" s="91">
        <v>2132</v>
      </c>
      <c r="I1215" s="91">
        <v>2</v>
      </c>
      <c r="J1215" s="91">
        <v>1</v>
      </c>
      <c r="K1215" s="91"/>
      <c r="L1215" s="91" t="s">
        <v>62</v>
      </c>
      <c r="M1215" s="91" t="s">
        <v>0</v>
      </c>
      <c r="Q1215" s="91"/>
      <c r="S1215" s="91" t="s">
        <v>143</v>
      </c>
      <c r="T1215" s="91" t="s">
        <v>4701</v>
      </c>
      <c r="V1215" s="91" t="s">
        <v>168</v>
      </c>
      <c r="W1215" s="91" t="s">
        <v>180</v>
      </c>
    </row>
    <row r="1216" spans="1:23">
      <c r="A1216" s="93" t="str">
        <f>TEXT(tblProjectlist[[#This Row],[project-no]],"0")</f>
        <v>79030316</v>
      </c>
      <c r="H1216" s="91">
        <v>7903</v>
      </c>
      <c r="I1216" s="91">
        <v>3</v>
      </c>
      <c r="J1216" s="91">
        <v>1</v>
      </c>
      <c r="K1216" s="91" t="s">
        <v>1140</v>
      </c>
      <c r="L1216" s="91" t="s">
        <v>62</v>
      </c>
      <c r="M1216" s="91" t="s">
        <v>0</v>
      </c>
      <c r="Q1216" s="91"/>
      <c r="S1216" s="91" t="s">
        <v>143</v>
      </c>
      <c r="T1216" s="91" t="s">
        <v>3004</v>
      </c>
      <c r="V1216" s="91" t="s">
        <v>168</v>
      </c>
      <c r="W1216" s="91" t="s">
        <v>180</v>
      </c>
    </row>
    <row r="1217" spans="1:23">
      <c r="A1217" s="93" t="str">
        <f>TEXT(tblProjectlist[[#This Row],[project-no]],"0")</f>
        <v>99867616</v>
      </c>
      <c r="H1217" s="91">
        <v>7903</v>
      </c>
      <c r="I1217" s="91">
        <v>3</v>
      </c>
      <c r="J1217" s="91">
        <v>1</v>
      </c>
      <c r="K1217" s="91" t="s">
        <v>1402</v>
      </c>
      <c r="L1217" s="91" t="s">
        <v>62</v>
      </c>
      <c r="M1217" s="91" t="s">
        <v>0</v>
      </c>
      <c r="Q1217" s="91"/>
      <c r="S1217" s="91" t="s">
        <v>143</v>
      </c>
      <c r="T1217" s="91" t="s">
        <v>3004</v>
      </c>
      <c r="V1217" s="91" t="s">
        <v>168</v>
      </c>
      <c r="W1217" s="91" t="s">
        <v>180</v>
      </c>
    </row>
    <row r="1218" spans="1:23">
      <c r="A1218" s="93" t="str">
        <f>TEXT(tblProjectlist[[#This Row],[project-no]],"0")</f>
        <v>66060528</v>
      </c>
      <c r="H1218" s="91">
        <v>6606</v>
      </c>
      <c r="I1218" s="91">
        <v>5</v>
      </c>
      <c r="J1218" s="91">
        <v>2</v>
      </c>
      <c r="K1218" s="91" t="s">
        <v>870</v>
      </c>
      <c r="L1218" s="91" t="s">
        <v>197</v>
      </c>
      <c r="M1218" s="91" t="s">
        <v>4</v>
      </c>
      <c r="Q1218" s="91"/>
      <c r="S1218" s="91" t="s">
        <v>143</v>
      </c>
      <c r="T1218" s="91" t="s">
        <v>2752</v>
      </c>
      <c r="W1218" s="91" t="s">
        <v>180</v>
      </c>
    </row>
    <row r="1219" spans="1:23">
      <c r="A1219" s="93" t="str">
        <f>TEXT(tblProjectlist[[#This Row],[project-no]],"0")</f>
        <v>66060628</v>
      </c>
      <c r="H1219" s="91">
        <v>6606</v>
      </c>
      <c r="I1219" s="91">
        <v>6</v>
      </c>
      <c r="J1219" s="91">
        <v>2</v>
      </c>
      <c r="K1219" s="91" t="s">
        <v>871</v>
      </c>
      <c r="L1219" s="91" t="s">
        <v>197</v>
      </c>
      <c r="M1219" s="91" t="s">
        <v>4</v>
      </c>
      <c r="Q1219" s="91"/>
      <c r="S1219" s="91" t="s">
        <v>143</v>
      </c>
      <c r="T1219" s="91" t="s">
        <v>2753</v>
      </c>
      <c r="V1219" s="91" t="s">
        <v>155</v>
      </c>
      <c r="W1219" s="91" t="s">
        <v>180</v>
      </c>
    </row>
    <row r="1220" spans="1:23">
      <c r="A1220" s="93" t="str">
        <f>TEXT(tblProjectlist[[#This Row],[project-no]],"0")</f>
        <v>66060728</v>
      </c>
      <c r="H1220" s="91">
        <v>6606</v>
      </c>
      <c r="I1220" s="91">
        <v>7</v>
      </c>
      <c r="J1220" s="91">
        <v>2</v>
      </c>
      <c r="K1220" s="91" t="s">
        <v>872</v>
      </c>
      <c r="L1220" s="91" t="s">
        <v>197</v>
      </c>
      <c r="M1220" s="91" t="s">
        <v>4</v>
      </c>
      <c r="Q1220" s="91"/>
      <c r="S1220" s="91" t="s">
        <v>143</v>
      </c>
      <c r="T1220" s="91" t="s">
        <v>2754</v>
      </c>
      <c r="V1220" s="91" t="s">
        <v>155</v>
      </c>
      <c r="W1220" s="91" t="s">
        <v>180</v>
      </c>
    </row>
    <row r="1221" spans="1:23">
      <c r="A1221" s="93" t="str">
        <f>TEXT(tblProjectlist[[#This Row],[project-no]],"0")</f>
        <v>0</v>
      </c>
      <c r="H1221" s="91">
        <v>9996</v>
      </c>
      <c r="I1221" s="91">
        <v>87</v>
      </c>
      <c r="J1221" s="91">
        <v>1</v>
      </c>
      <c r="K1221" s="91"/>
      <c r="L1221" s="91" t="s">
        <v>62</v>
      </c>
      <c r="M1221" s="91" t="s">
        <v>0</v>
      </c>
      <c r="Q1221" s="91"/>
      <c r="S1221" s="91" t="s">
        <v>143</v>
      </c>
      <c r="T1221" s="91" t="s">
        <v>4160</v>
      </c>
      <c r="V1221" s="91" t="s">
        <v>168</v>
      </c>
      <c r="W1221" s="91" t="s">
        <v>180</v>
      </c>
    </row>
    <row r="1222" spans="1:23">
      <c r="A1222" s="93" t="str">
        <f>TEXT(tblProjectlist[[#This Row],[project-no]],"0")</f>
        <v>60520426</v>
      </c>
      <c r="H1222" s="91">
        <v>6052</v>
      </c>
      <c r="I1222" s="91">
        <v>4</v>
      </c>
      <c r="J1222" s="91">
        <v>2</v>
      </c>
      <c r="K1222" s="91" t="s">
        <v>797</v>
      </c>
      <c r="L1222" s="91" t="s">
        <v>2175</v>
      </c>
      <c r="M1222" s="91" t="s">
        <v>4</v>
      </c>
      <c r="Q1222" s="91"/>
      <c r="S1222" s="91" t="s">
        <v>143</v>
      </c>
      <c r="T1222" s="91" t="s">
        <v>2693</v>
      </c>
      <c r="V1222" s="91" t="s">
        <v>155</v>
      </c>
      <c r="W1222" s="91" t="s">
        <v>180</v>
      </c>
    </row>
    <row r="1223" spans="1:23">
      <c r="A1223" s="93" t="str">
        <f>TEXT(tblProjectlist[[#This Row],[project-no]],"0")</f>
        <v>41030228</v>
      </c>
      <c r="H1223" s="91">
        <v>4103</v>
      </c>
      <c r="I1223" s="91">
        <v>2</v>
      </c>
      <c r="J1223" s="91">
        <v>2</v>
      </c>
      <c r="K1223" s="91" t="s">
        <v>760</v>
      </c>
      <c r="L1223" s="91" t="s">
        <v>64</v>
      </c>
      <c r="M1223" s="91" t="s">
        <v>4</v>
      </c>
      <c r="Q1223" s="91"/>
      <c r="S1223" s="91" t="s">
        <v>143</v>
      </c>
      <c r="T1223" s="91" t="s">
        <v>2656</v>
      </c>
      <c r="W1223" s="91" t="s">
        <v>180</v>
      </c>
    </row>
    <row r="1224" spans="1:23">
      <c r="A1224" s="93" t="str">
        <f>TEXT(tblProjectlist[[#This Row],[project-no]],"0")</f>
        <v>0</v>
      </c>
      <c r="H1224" s="91">
        <v>2082</v>
      </c>
      <c r="I1224" s="91">
        <v>3</v>
      </c>
      <c r="J1224" s="91">
        <v>2</v>
      </c>
      <c r="K1224" s="91"/>
      <c r="L1224" s="91" t="s">
        <v>197</v>
      </c>
      <c r="M1224" s="91" t="s">
        <v>4</v>
      </c>
      <c r="Q1224" s="91"/>
      <c r="S1224" s="91" t="s">
        <v>143</v>
      </c>
      <c r="T1224" s="91" t="s">
        <v>3569</v>
      </c>
      <c r="W1224" s="91" t="s">
        <v>180</v>
      </c>
    </row>
    <row r="1225" spans="1:23">
      <c r="A1225" s="93" t="str">
        <f>TEXT(tblProjectlist[[#This Row],[project-no]],"0")</f>
        <v>20820226</v>
      </c>
      <c r="H1225" s="91">
        <v>2082</v>
      </c>
      <c r="I1225" s="91">
        <v>2</v>
      </c>
      <c r="J1225" s="91">
        <v>2</v>
      </c>
      <c r="K1225" s="91" t="s">
        <v>513</v>
      </c>
      <c r="L1225" s="91" t="s">
        <v>197</v>
      </c>
      <c r="M1225" s="91" t="s">
        <v>4</v>
      </c>
      <c r="Q1225" s="91"/>
      <c r="S1225" s="91" t="s">
        <v>143</v>
      </c>
      <c r="T1225" s="91" t="s">
        <v>2449</v>
      </c>
      <c r="W1225" s="91" t="s">
        <v>180</v>
      </c>
    </row>
    <row r="1226" spans="1:23">
      <c r="A1226" s="93" t="str">
        <f>TEXT(tblProjectlist[[#This Row],[project-no]],"0")</f>
        <v>31370244</v>
      </c>
      <c r="H1226" s="91">
        <v>3137</v>
      </c>
      <c r="I1226" s="91">
        <v>2</v>
      </c>
      <c r="J1226" s="91">
        <v>4</v>
      </c>
      <c r="K1226" s="91" t="s">
        <v>735</v>
      </c>
      <c r="L1226" s="91" t="s">
        <v>58</v>
      </c>
      <c r="M1226" s="91" t="s">
        <v>1</v>
      </c>
      <c r="Q1226" s="91"/>
      <c r="S1226" s="91" t="s">
        <v>143</v>
      </c>
      <c r="T1226" s="91" t="s">
        <v>2633</v>
      </c>
      <c r="W1226" s="91" t="s">
        <v>180</v>
      </c>
    </row>
    <row r="1227" spans="1:23">
      <c r="A1227" s="93" t="str">
        <f>TEXT(tblProjectlist[[#This Row],[project-no]],"0")</f>
        <v>30500342</v>
      </c>
      <c r="H1227" s="91">
        <v>3050</v>
      </c>
      <c r="I1227" s="91">
        <v>3</v>
      </c>
      <c r="J1227" s="91">
        <v>4</v>
      </c>
      <c r="K1227" s="91">
        <v>30500342</v>
      </c>
      <c r="L1227" s="91" t="s">
        <v>58</v>
      </c>
      <c r="M1227" s="91" t="s">
        <v>1</v>
      </c>
      <c r="Q1227" s="91"/>
      <c r="S1227" s="91" t="s">
        <v>143</v>
      </c>
      <c r="T1227" s="91" t="s">
        <v>3776</v>
      </c>
      <c r="V1227" s="91" t="s">
        <v>163</v>
      </c>
      <c r="W1227" s="91" t="s">
        <v>180</v>
      </c>
    </row>
    <row r="1228" spans="1:23">
      <c r="A1228" s="93" t="str">
        <f>TEXT(tblProjectlist[[#This Row],[project-no]],"0")</f>
        <v>0</v>
      </c>
      <c r="H1228" s="91">
        <v>6134</v>
      </c>
      <c r="I1228" s="91">
        <v>2</v>
      </c>
      <c r="J1228" s="91">
        <v>2</v>
      </c>
      <c r="K1228" s="91"/>
      <c r="L1228" s="91" t="s">
        <v>2175</v>
      </c>
      <c r="M1228" s="91" t="s">
        <v>4</v>
      </c>
      <c r="Q1228" s="91"/>
      <c r="S1228" s="91" t="s">
        <v>143</v>
      </c>
      <c r="T1228" s="91" t="s">
        <v>4356</v>
      </c>
      <c r="V1228" s="91" t="s">
        <v>155</v>
      </c>
      <c r="W1228" s="91" t="s">
        <v>180</v>
      </c>
    </row>
    <row r="1229" spans="1:23">
      <c r="A1229" s="93" t="str">
        <f>TEXT(tblProjectlist[[#This Row],[project-no]],"0")</f>
        <v>0</v>
      </c>
      <c r="H1229" s="91">
        <v>6134</v>
      </c>
      <c r="I1229" s="91">
        <v>4</v>
      </c>
      <c r="J1229" s="91">
        <v>2</v>
      </c>
      <c r="K1229" s="91"/>
      <c r="L1229" s="91" t="s">
        <v>2175</v>
      </c>
      <c r="M1229" s="91" t="s">
        <v>4</v>
      </c>
      <c r="Q1229" s="91"/>
      <c r="S1229" s="91" t="s">
        <v>143</v>
      </c>
      <c r="T1229" s="91" t="s">
        <v>4567</v>
      </c>
      <c r="V1229" s="91" t="s">
        <v>156</v>
      </c>
      <c r="W1229" s="91" t="s">
        <v>180</v>
      </c>
    </row>
    <row r="1230" spans="1:23">
      <c r="A1230" s="93" t="str">
        <f>TEXT(tblProjectlist[[#This Row],[project-no]],"0")</f>
        <v>0</v>
      </c>
      <c r="H1230" s="91">
        <v>6134</v>
      </c>
      <c r="I1230" s="91">
        <v>3</v>
      </c>
      <c r="J1230" s="91">
        <v>4</v>
      </c>
      <c r="K1230" s="91"/>
      <c r="L1230" s="91" t="s">
        <v>58</v>
      </c>
      <c r="M1230" s="91" t="s">
        <v>1</v>
      </c>
      <c r="Q1230" s="91"/>
      <c r="S1230" s="91" t="s">
        <v>143</v>
      </c>
      <c r="T1230" s="91" t="s">
        <v>4385</v>
      </c>
      <c r="V1230" s="91" t="s">
        <v>163</v>
      </c>
      <c r="W1230" s="91" t="s">
        <v>180</v>
      </c>
    </row>
    <row r="1231" spans="1:23">
      <c r="A1231" s="93" t="str">
        <f>TEXT(tblProjectlist[[#This Row],[project-no]],"0")</f>
        <v>0</v>
      </c>
      <c r="H1231" s="91">
        <v>6134</v>
      </c>
      <c r="I1231" s="91">
        <v>3</v>
      </c>
      <c r="J1231" s="91">
        <v>4</v>
      </c>
      <c r="K1231" s="91"/>
      <c r="L1231" s="91" t="s">
        <v>58</v>
      </c>
      <c r="M1231" s="91" t="s">
        <v>1</v>
      </c>
      <c r="Q1231" s="91"/>
      <c r="S1231" s="91" t="s">
        <v>143</v>
      </c>
      <c r="T1231" s="91" t="s">
        <v>4385</v>
      </c>
      <c r="V1231" s="91" t="s">
        <v>164</v>
      </c>
      <c r="W1231" s="91" t="s">
        <v>180</v>
      </c>
    </row>
    <row r="1232" spans="1:23">
      <c r="A1232" s="93" t="str">
        <f>TEXT(tblProjectlist[[#This Row],[project-no]],"0")</f>
        <v>0</v>
      </c>
      <c r="H1232" s="91">
        <v>6134</v>
      </c>
      <c r="I1232" s="91">
        <v>3</v>
      </c>
      <c r="J1232" s="91">
        <v>4</v>
      </c>
      <c r="K1232" s="91"/>
      <c r="L1232" s="91" t="s">
        <v>58</v>
      </c>
      <c r="M1232" s="91" t="s">
        <v>1</v>
      </c>
      <c r="Q1232" s="91"/>
      <c r="S1232" s="91" t="s">
        <v>143</v>
      </c>
      <c r="T1232" s="91" t="s">
        <v>4385</v>
      </c>
      <c r="V1232" s="91" t="s">
        <v>162</v>
      </c>
      <c r="W1232" s="91" t="s">
        <v>180</v>
      </c>
    </row>
    <row r="1233" spans="1:23">
      <c r="A1233" s="93" t="str">
        <f>TEXT(tblProjectlist[[#This Row],[project-no]],"0")</f>
        <v>0</v>
      </c>
      <c r="H1233" s="91">
        <v>6134</v>
      </c>
      <c r="I1233" s="91">
        <v>5</v>
      </c>
      <c r="J1233" s="91">
        <v>2</v>
      </c>
      <c r="K1233" s="91"/>
      <c r="L1233" s="91" t="s">
        <v>2175</v>
      </c>
      <c r="M1233" s="91" t="s">
        <v>4</v>
      </c>
      <c r="Q1233" s="91"/>
      <c r="S1233" s="91" t="s">
        <v>143</v>
      </c>
      <c r="T1233" s="91" t="s">
        <v>4702</v>
      </c>
      <c r="V1233" s="91" t="s">
        <v>155</v>
      </c>
      <c r="W1233" s="91" t="s">
        <v>180</v>
      </c>
    </row>
    <row r="1234" spans="1:23">
      <c r="A1234" s="93" t="str">
        <f>TEXT(tblProjectlist[[#This Row],[project-no]],"0")</f>
        <v>0</v>
      </c>
      <c r="H1234" s="91">
        <v>3160</v>
      </c>
      <c r="I1234" s="91">
        <v>2</v>
      </c>
      <c r="J1234" s="91">
        <v>1</v>
      </c>
      <c r="K1234" s="91"/>
      <c r="L1234" s="91" t="s">
        <v>2175</v>
      </c>
      <c r="M1234" s="91" t="s">
        <v>0</v>
      </c>
      <c r="Q1234" s="91"/>
      <c r="S1234" s="91" t="s">
        <v>143</v>
      </c>
      <c r="T1234" s="91" t="s">
        <v>3923</v>
      </c>
      <c r="V1234" s="91" t="s">
        <v>169</v>
      </c>
      <c r="W1234" s="91" t="s">
        <v>180</v>
      </c>
    </row>
    <row r="1235" spans="1:23">
      <c r="A1235" s="93" t="str">
        <f>TEXT(tblProjectlist[[#This Row],[project-no]],"0")</f>
        <v>0</v>
      </c>
      <c r="H1235" s="91">
        <v>3160</v>
      </c>
      <c r="I1235" s="91">
        <v>2</v>
      </c>
      <c r="J1235" s="91">
        <v>1</v>
      </c>
      <c r="K1235" s="91"/>
      <c r="L1235" s="91" t="s">
        <v>2175</v>
      </c>
      <c r="M1235" s="91" t="s">
        <v>0</v>
      </c>
      <c r="Q1235" s="91"/>
      <c r="S1235" s="91" t="s">
        <v>143</v>
      </c>
      <c r="T1235" s="91" t="s">
        <v>3923</v>
      </c>
      <c r="V1235" s="91" t="s">
        <v>168</v>
      </c>
      <c r="W1235" s="91" t="s">
        <v>180</v>
      </c>
    </row>
    <row r="1236" spans="1:23">
      <c r="A1236" s="93" t="str">
        <f>TEXT(tblProjectlist[[#This Row],[project-no]],"0")</f>
        <v>41140228</v>
      </c>
      <c r="H1236" s="91">
        <v>4114</v>
      </c>
      <c r="I1236" s="91">
        <v>2</v>
      </c>
      <c r="J1236" s="91">
        <v>2</v>
      </c>
      <c r="K1236" s="91" t="s">
        <v>762</v>
      </c>
      <c r="L1236" s="91" t="s">
        <v>2175</v>
      </c>
      <c r="M1236" s="91" t="s">
        <v>4</v>
      </c>
      <c r="Q1236" s="91"/>
      <c r="S1236" s="91" t="s">
        <v>143</v>
      </c>
      <c r="T1236" s="91" t="s">
        <v>2658</v>
      </c>
      <c r="V1236" s="91" t="s">
        <v>155</v>
      </c>
      <c r="W1236" s="91" t="s">
        <v>180</v>
      </c>
    </row>
    <row r="1237" spans="1:23">
      <c r="A1237" s="93" t="str">
        <f>TEXT(tblProjectlist[[#This Row],[project-no]],"0")</f>
        <v>0</v>
      </c>
      <c r="H1237" s="91">
        <v>7667</v>
      </c>
      <c r="I1237" s="91">
        <v>2</v>
      </c>
      <c r="J1237" s="91">
        <v>2</v>
      </c>
      <c r="K1237" s="91"/>
      <c r="L1237" s="91" t="s">
        <v>64</v>
      </c>
      <c r="M1237" s="91" t="s">
        <v>4</v>
      </c>
      <c r="Q1237" s="91"/>
      <c r="S1237" s="91" t="s">
        <v>143</v>
      </c>
      <c r="T1237" s="91" t="s">
        <v>3893</v>
      </c>
      <c r="V1237" s="91" t="s">
        <v>155</v>
      </c>
      <c r="W1237" s="91" t="s">
        <v>180</v>
      </c>
    </row>
    <row r="1238" spans="1:23">
      <c r="A1238" s="93" t="str">
        <f>TEXT(tblProjectlist[[#This Row],[project-no]],"0")</f>
        <v>0</v>
      </c>
      <c r="H1238" s="91">
        <v>6606</v>
      </c>
      <c r="I1238" s="91">
        <v>9</v>
      </c>
      <c r="J1238" s="91">
        <v>2</v>
      </c>
      <c r="K1238" s="91"/>
      <c r="L1238" s="91" t="s">
        <v>197</v>
      </c>
      <c r="M1238" s="91" t="s">
        <v>4</v>
      </c>
      <c r="Q1238" s="91"/>
      <c r="S1238" s="91" t="s">
        <v>143</v>
      </c>
      <c r="T1238" s="91" t="s">
        <v>3685</v>
      </c>
      <c r="V1238" s="91" t="s">
        <v>155</v>
      </c>
      <c r="W1238" s="91" t="s">
        <v>180</v>
      </c>
    </row>
    <row r="1239" spans="1:23">
      <c r="A1239" s="93" t="str">
        <f>TEXT(tblProjectlist[[#This Row],[project-no]],"0")</f>
        <v>79520228</v>
      </c>
      <c r="H1239" s="91">
        <v>7952</v>
      </c>
      <c r="I1239" s="91">
        <v>2</v>
      </c>
      <c r="J1239" s="91">
        <v>2</v>
      </c>
      <c r="K1239" s="91" t="s">
        <v>1144</v>
      </c>
      <c r="L1239" s="91" t="s">
        <v>2175</v>
      </c>
      <c r="M1239" s="91" t="s">
        <v>4</v>
      </c>
      <c r="Q1239" s="91"/>
      <c r="S1239" s="91" t="s">
        <v>143</v>
      </c>
      <c r="T1239" s="91" t="s">
        <v>3008</v>
      </c>
      <c r="V1239" s="91" t="s">
        <v>155</v>
      </c>
      <c r="W1239" s="91" t="s">
        <v>180</v>
      </c>
    </row>
    <row r="1240" spans="1:23">
      <c r="A1240" s="93" t="str">
        <f>TEXT(tblProjectlist[[#This Row],[project-no]],"0")</f>
        <v>80100226</v>
      </c>
      <c r="H1240" s="91">
        <v>8010</v>
      </c>
      <c r="I1240" s="91">
        <v>2</v>
      </c>
      <c r="J1240" s="91">
        <v>2</v>
      </c>
      <c r="K1240" s="91" t="s">
        <v>1159</v>
      </c>
      <c r="L1240" s="91" t="s">
        <v>2175</v>
      </c>
      <c r="M1240" s="91" t="s">
        <v>4</v>
      </c>
      <c r="Q1240" s="91"/>
      <c r="S1240" s="91" t="s">
        <v>143</v>
      </c>
      <c r="T1240" s="91" t="s">
        <v>3022</v>
      </c>
      <c r="V1240" s="91" t="s">
        <v>155</v>
      </c>
      <c r="W1240" s="91" t="s">
        <v>180</v>
      </c>
    </row>
    <row r="1241" spans="1:23">
      <c r="A1241" s="93" t="str">
        <f>TEXT(tblProjectlist[[#This Row],[project-no]],"0")</f>
        <v>80110228</v>
      </c>
      <c r="H1241" s="91">
        <v>8011</v>
      </c>
      <c r="I1241" s="91">
        <v>2</v>
      </c>
      <c r="J1241" s="91">
        <v>2</v>
      </c>
      <c r="K1241" s="91" t="s">
        <v>1160</v>
      </c>
      <c r="L1241" s="91" t="s">
        <v>64</v>
      </c>
      <c r="M1241" s="91" t="s">
        <v>4</v>
      </c>
      <c r="Q1241" s="91"/>
      <c r="S1241" s="91" t="s">
        <v>143</v>
      </c>
      <c r="T1241" s="91" t="s">
        <v>3023</v>
      </c>
      <c r="W1241" s="91" t="s">
        <v>180</v>
      </c>
    </row>
    <row r="1242" spans="1:23">
      <c r="A1242" s="93" t="str">
        <f>TEXT(tblProjectlist[[#This Row],[project-no]],"0")</f>
        <v>61030228</v>
      </c>
      <c r="H1242" s="91">
        <v>6103</v>
      </c>
      <c r="I1242" s="91">
        <v>2</v>
      </c>
      <c r="J1242" s="91">
        <v>2</v>
      </c>
      <c r="K1242" s="91" t="s">
        <v>836</v>
      </c>
      <c r="L1242" s="91" t="s">
        <v>2175</v>
      </c>
      <c r="M1242" s="91" t="s">
        <v>4</v>
      </c>
      <c r="Q1242" s="91"/>
      <c r="S1242" s="91" t="s">
        <v>143</v>
      </c>
      <c r="T1242" s="91" t="s">
        <v>2719</v>
      </c>
      <c r="V1242" s="91" t="s">
        <v>155</v>
      </c>
      <c r="W1242" s="91" t="s">
        <v>180</v>
      </c>
    </row>
    <row r="1243" spans="1:23">
      <c r="A1243" s="93" t="str">
        <f>TEXT(tblProjectlist[[#This Row],[project-no]],"0")</f>
        <v>0</v>
      </c>
      <c r="H1243" s="91">
        <v>7693</v>
      </c>
      <c r="I1243" s="91">
        <v>2</v>
      </c>
      <c r="J1243" s="91">
        <v>2</v>
      </c>
      <c r="K1243" s="91"/>
      <c r="L1243" s="91" t="s">
        <v>2175</v>
      </c>
      <c r="M1243" s="91" t="s">
        <v>4</v>
      </c>
      <c r="Q1243" s="91"/>
      <c r="S1243" s="91" t="s">
        <v>143</v>
      </c>
      <c r="T1243" s="91" t="s">
        <v>4452</v>
      </c>
      <c r="V1243" s="91" t="s">
        <v>155</v>
      </c>
      <c r="W1243" s="91" t="s">
        <v>180</v>
      </c>
    </row>
    <row r="1244" spans="1:23">
      <c r="A1244" s="93" t="str">
        <f>TEXT(tblProjectlist[[#This Row],[project-no]],"0")</f>
        <v>0</v>
      </c>
      <c r="H1244" s="91">
        <v>7697</v>
      </c>
      <c r="I1244" s="91">
        <v>2</v>
      </c>
      <c r="J1244" s="91">
        <v>2</v>
      </c>
      <c r="K1244" s="91"/>
      <c r="L1244" s="91" t="s">
        <v>2175</v>
      </c>
      <c r="M1244" s="91" t="s">
        <v>4</v>
      </c>
      <c r="Q1244" s="91"/>
      <c r="S1244" s="91" t="s">
        <v>143</v>
      </c>
      <c r="T1244" s="91" t="s">
        <v>4654</v>
      </c>
      <c r="V1244" s="91" t="s">
        <v>156</v>
      </c>
      <c r="W1244" s="91" t="s">
        <v>180</v>
      </c>
    </row>
    <row r="1245" spans="1:23">
      <c r="A1245" s="93" t="str">
        <f>TEXT(tblProjectlist[[#This Row],[project-no]],"0")</f>
        <v>0</v>
      </c>
      <c r="H1245" s="91">
        <v>3131</v>
      </c>
      <c r="I1245" s="91">
        <v>3</v>
      </c>
      <c r="J1245" s="91">
        <v>2</v>
      </c>
      <c r="K1245" s="91"/>
      <c r="L1245" s="91" t="s">
        <v>2175</v>
      </c>
      <c r="M1245" s="91" t="s">
        <v>4</v>
      </c>
      <c r="Q1245" s="91"/>
      <c r="S1245" s="91" t="s">
        <v>143</v>
      </c>
      <c r="T1245" s="91" t="s">
        <v>4039</v>
      </c>
      <c r="V1245" s="91" t="s">
        <v>155</v>
      </c>
      <c r="W1245" s="91" t="s">
        <v>180</v>
      </c>
    </row>
    <row r="1246" spans="1:23">
      <c r="A1246" s="93" t="str">
        <f>TEXT(tblProjectlist[[#This Row],[project-no]],"0")</f>
        <v>0</v>
      </c>
      <c r="H1246" s="91">
        <v>3131</v>
      </c>
      <c r="I1246" s="91">
        <v>4</v>
      </c>
      <c r="J1246" s="91">
        <v>2</v>
      </c>
      <c r="K1246" s="91"/>
      <c r="L1246" s="91" t="s">
        <v>2175</v>
      </c>
      <c r="M1246" s="91" t="s">
        <v>4</v>
      </c>
      <c r="Q1246" s="91"/>
      <c r="S1246" s="91" t="s">
        <v>143</v>
      </c>
      <c r="T1246" s="91" t="s">
        <v>4072</v>
      </c>
      <c r="V1246" s="91" t="s">
        <v>155</v>
      </c>
      <c r="W1246" s="91" t="s">
        <v>180</v>
      </c>
    </row>
    <row r="1247" spans="1:23">
      <c r="A1247" s="93" t="str">
        <f>TEXT(tblProjectlist[[#This Row],[project-no]],"0")</f>
        <v>0</v>
      </c>
      <c r="H1247" s="91">
        <v>3131</v>
      </c>
      <c r="I1247" s="91">
        <v>5</v>
      </c>
      <c r="J1247" s="91">
        <v>1</v>
      </c>
      <c r="K1247" s="91"/>
      <c r="L1247" s="91" t="s">
        <v>2175</v>
      </c>
      <c r="M1247" s="91" t="s">
        <v>0</v>
      </c>
      <c r="Q1247" s="91"/>
      <c r="S1247" s="91" t="s">
        <v>143</v>
      </c>
      <c r="T1247" s="91" t="s">
        <v>4400</v>
      </c>
      <c r="V1247" s="91" t="s">
        <v>169</v>
      </c>
      <c r="W1247" s="91" t="s">
        <v>180</v>
      </c>
    </row>
    <row r="1248" spans="1:23">
      <c r="A1248" s="93" t="str">
        <f>TEXT(tblProjectlist[[#This Row],[project-no]],"0")</f>
        <v>0</v>
      </c>
      <c r="H1248" s="91">
        <v>3131</v>
      </c>
      <c r="I1248" s="91">
        <v>5</v>
      </c>
      <c r="J1248" s="91">
        <v>1</v>
      </c>
      <c r="K1248" s="91"/>
      <c r="L1248" s="91" t="s">
        <v>2175</v>
      </c>
      <c r="M1248" s="91" t="s">
        <v>0</v>
      </c>
      <c r="Q1248" s="91"/>
      <c r="S1248" s="91" t="s">
        <v>143</v>
      </c>
      <c r="T1248" s="91" t="s">
        <v>4400</v>
      </c>
      <c r="V1248" s="91" t="s">
        <v>168</v>
      </c>
      <c r="W1248" s="91" t="s">
        <v>180</v>
      </c>
    </row>
    <row r="1249" spans="1:23">
      <c r="A1249" s="93" t="str">
        <f>TEXT(tblProjectlist[[#This Row],[project-no]],"0")</f>
        <v>99851211</v>
      </c>
      <c r="H1249" s="91">
        <v>9985</v>
      </c>
      <c r="I1249" s="91">
        <v>12</v>
      </c>
      <c r="J1249" s="91">
        <v>1</v>
      </c>
      <c r="K1249" s="91" t="s">
        <v>1364</v>
      </c>
      <c r="L1249" s="91" t="s">
        <v>197</v>
      </c>
      <c r="M1249" s="91" t="s">
        <v>0</v>
      </c>
      <c r="Q1249" s="91"/>
      <c r="S1249" s="91" t="s">
        <v>143</v>
      </c>
      <c r="T1249" s="91" t="s">
        <v>3194</v>
      </c>
      <c r="V1249" s="91" t="s">
        <v>169</v>
      </c>
      <c r="W1249" s="91" t="s">
        <v>180</v>
      </c>
    </row>
    <row r="1250" spans="1:23">
      <c r="A1250" s="93" t="str">
        <f>TEXT(tblProjectlist[[#This Row],[project-no]],"0")</f>
        <v>99851311</v>
      </c>
      <c r="H1250" s="91">
        <v>9985</v>
      </c>
      <c r="I1250" s="91">
        <v>13</v>
      </c>
      <c r="J1250" s="91">
        <v>1</v>
      </c>
      <c r="K1250" s="91" t="s">
        <v>1365</v>
      </c>
      <c r="L1250" s="91" t="s">
        <v>197</v>
      </c>
      <c r="M1250" s="91" t="s">
        <v>0</v>
      </c>
      <c r="Q1250" s="91"/>
      <c r="S1250" s="91" t="s">
        <v>143</v>
      </c>
      <c r="T1250" s="91" t="s">
        <v>3195</v>
      </c>
      <c r="V1250" s="91" t="s">
        <v>169</v>
      </c>
      <c r="W1250" s="91" t="s">
        <v>180</v>
      </c>
    </row>
    <row r="1251" spans="1:23">
      <c r="A1251" s="93" t="str">
        <f>TEXT(tblProjectlist[[#This Row],[project-no]],"0")</f>
        <v>0</v>
      </c>
      <c r="H1251" s="91">
        <v>6129</v>
      </c>
      <c r="I1251" s="91">
        <v>2</v>
      </c>
      <c r="J1251" s="91">
        <v>2</v>
      </c>
      <c r="K1251" s="91"/>
      <c r="L1251" s="91" t="s">
        <v>2175</v>
      </c>
      <c r="M1251" s="91" t="s">
        <v>4</v>
      </c>
      <c r="Q1251" s="91"/>
      <c r="S1251" s="91" t="s">
        <v>143</v>
      </c>
      <c r="T1251" s="91" t="s">
        <v>4232</v>
      </c>
      <c r="V1251" s="91" t="s">
        <v>155</v>
      </c>
      <c r="W1251" s="91" t="s">
        <v>180</v>
      </c>
    </row>
    <row r="1252" spans="1:23">
      <c r="A1252" s="93" t="str">
        <f>TEXT(tblProjectlist[[#This Row],[project-no]],"0")</f>
        <v>0</v>
      </c>
      <c r="H1252" s="91">
        <v>6648</v>
      </c>
      <c r="I1252" s="91">
        <v>4</v>
      </c>
      <c r="J1252" s="91">
        <v>2</v>
      </c>
      <c r="K1252" s="91"/>
      <c r="L1252" s="91" t="s">
        <v>64</v>
      </c>
      <c r="M1252" s="91" t="s">
        <v>4</v>
      </c>
      <c r="Q1252" s="91"/>
      <c r="S1252" s="91" t="s">
        <v>143</v>
      </c>
      <c r="T1252" s="91" t="s">
        <v>4239</v>
      </c>
      <c r="V1252" s="91" t="s">
        <v>155</v>
      </c>
      <c r="W1252" s="91" t="s">
        <v>180</v>
      </c>
    </row>
    <row r="1253" spans="1:23">
      <c r="A1253" s="93" t="str">
        <f>TEXT(tblProjectlist[[#This Row],[project-no]],"0")</f>
        <v>66070343</v>
      </c>
      <c r="H1253" s="91">
        <v>6607</v>
      </c>
      <c r="I1253" s="91">
        <v>3</v>
      </c>
      <c r="J1253" s="91">
        <v>4</v>
      </c>
      <c r="K1253" s="91" t="s">
        <v>873</v>
      </c>
      <c r="L1253" s="91" t="s">
        <v>58</v>
      </c>
      <c r="M1253" s="91" t="s">
        <v>1</v>
      </c>
      <c r="Q1253" s="91"/>
      <c r="S1253" s="91" t="s">
        <v>143</v>
      </c>
      <c r="T1253" s="91" t="s">
        <v>2755</v>
      </c>
      <c r="V1253" s="91" t="s">
        <v>164</v>
      </c>
      <c r="W1253" s="91" t="s">
        <v>180</v>
      </c>
    </row>
    <row r="1254" spans="1:23">
      <c r="A1254" s="93" t="str">
        <f>TEXT(tblProjectlist[[#This Row],[project-no]],"0")</f>
        <v>66070344</v>
      </c>
      <c r="H1254" s="91">
        <v>6607</v>
      </c>
      <c r="I1254" s="91">
        <v>3</v>
      </c>
      <c r="J1254" s="91">
        <v>4</v>
      </c>
      <c r="K1254" s="91" t="s">
        <v>874</v>
      </c>
      <c r="L1254" s="91" t="s">
        <v>58</v>
      </c>
      <c r="M1254" s="91" t="s">
        <v>1</v>
      </c>
      <c r="Q1254" s="91"/>
      <c r="S1254" s="91" t="s">
        <v>143</v>
      </c>
      <c r="T1254" s="91" t="s">
        <v>2755</v>
      </c>
      <c r="V1254" s="91" t="s">
        <v>160</v>
      </c>
      <c r="W1254" s="91" t="s">
        <v>180</v>
      </c>
    </row>
    <row r="1255" spans="1:23">
      <c r="A1255" s="93" t="str">
        <f>TEXT(tblProjectlist[[#This Row],[project-no]],"0")</f>
        <v>66070347</v>
      </c>
      <c r="H1255" s="91">
        <v>6607</v>
      </c>
      <c r="I1255" s="91">
        <v>3</v>
      </c>
      <c r="J1255" s="91">
        <v>4</v>
      </c>
      <c r="K1255" s="91" t="s">
        <v>875</v>
      </c>
      <c r="L1255" s="91" t="s">
        <v>58</v>
      </c>
      <c r="M1255" s="91" t="s">
        <v>1</v>
      </c>
      <c r="Q1255" s="91"/>
      <c r="S1255" s="91" t="s">
        <v>143</v>
      </c>
      <c r="T1255" s="91" t="s">
        <v>2755</v>
      </c>
      <c r="V1255" s="91" t="s">
        <v>162</v>
      </c>
      <c r="W1255" s="91" t="s">
        <v>180</v>
      </c>
    </row>
    <row r="1256" spans="1:23">
      <c r="A1256" s="93" t="str">
        <f>TEXT(tblProjectlist[[#This Row],[project-no]],"0")</f>
        <v>70660216</v>
      </c>
      <c r="H1256" s="91">
        <v>7066</v>
      </c>
      <c r="I1256" s="91">
        <v>2</v>
      </c>
      <c r="J1256" s="91">
        <v>1</v>
      </c>
      <c r="K1256" s="91" t="s">
        <v>965</v>
      </c>
      <c r="L1256" s="91" t="s">
        <v>197</v>
      </c>
      <c r="M1256" s="91" t="s">
        <v>0</v>
      </c>
      <c r="Q1256" s="91"/>
      <c r="S1256" s="91" t="s">
        <v>143</v>
      </c>
      <c r="T1256" s="91" t="s">
        <v>2836</v>
      </c>
      <c r="V1256" s="91" t="s">
        <v>168</v>
      </c>
      <c r="W1256" s="91" t="s">
        <v>180</v>
      </c>
    </row>
    <row r="1257" spans="1:23">
      <c r="A1257" s="93" t="str">
        <f>TEXT(tblProjectlist[[#This Row],[project-no]],"0")</f>
        <v>70660311</v>
      </c>
      <c r="H1257" s="91">
        <v>7066</v>
      </c>
      <c r="I1257" s="91">
        <v>3</v>
      </c>
      <c r="J1257" s="91">
        <v>1</v>
      </c>
      <c r="K1257" s="91" t="s">
        <v>966</v>
      </c>
      <c r="L1257" s="91" t="s">
        <v>197</v>
      </c>
      <c r="M1257" s="91" t="s">
        <v>0</v>
      </c>
      <c r="Q1257" s="91"/>
      <c r="S1257" s="91" t="s">
        <v>143</v>
      </c>
      <c r="T1257" s="91" t="s">
        <v>2837</v>
      </c>
      <c r="V1257" s="91" t="s">
        <v>169</v>
      </c>
      <c r="W1257" s="91" t="s">
        <v>180</v>
      </c>
    </row>
    <row r="1258" spans="1:23">
      <c r="A1258" s="93" t="str">
        <f>TEXT(tblProjectlist[[#This Row],[project-no]],"0")</f>
        <v>70660316</v>
      </c>
      <c r="H1258" s="91">
        <v>7066</v>
      </c>
      <c r="I1258" s="91">
        <v>3</v>
      </c>
      <c r="J1258" s="91">
        <v>1</v>
      </c>
      <c r="K1258" s="91" t="s">
        <v>967</v>
      </c>
      <c r="L1258" s="91" t="s">
        <v>197</v>
      </c>
      <c r="M1258" s="91" t="s">
        <v>0</v>
      </c>
      <c r="Q1258" s="91"/>
      <c r="S1258" s="91" t="s">
        <v>143</v>
      </c>
      <c r="T1258" s="91" t="s">
        <v>2837</v>
      </c>
      <c r="V1258" s="91" t="s">
        <v>168</v>
      </c>
      <c r="W1258" s="91" t="s">
        <v>180</v>
      </c>
    </row>
    <row r="1259" spans="1:23">
      <c r="A1259" s="93" t="str">
        <f>TEXT(tblProjectlist[[#This Row],[project-no]],"0")</f>
        <v>76120211</v>
      </c>
      <c r="H1259" s="91">
        <v>7612</v>
      </c>
      <c r="I1259" s="91">
        <v>2</v>
      </c>
      <c r="J1259" s="91">
        <v>1</v>
      </c>
      <c r="K1259" s="91" t="s">
        <v>1055</v>
      </c>
      <c r="L1259" s="91" t="s">
        <v>2175</v>
      </c>
      <c r="M1259" s="91" t="s">
        <v>0</v>
      </c>
      <c r="Q1259" s="91"/>
      <c r="S1259" s="91" t="s">
        <v>143</v>
      </c>
      <c r="T1259" s="91" t="s">
        <v>2922</v>
      </c>
      <c r="V1259" s="91" t="s">
        <v>169</v>
      </c>
      <c r="W1259" s="91" t="s">
        <v>180</v>
      </c>
    </row>
    <row r="1260" spans="1:23">
      <c r="A1260" s="93" t="str">
        <f>TEXT(tblProjectlist[[#This Row],[project-no]],"0")</f>
        <v>76120216</v>
      </c>
      <c r="H1260" s="91">
        <v>7612</v>
      </c>
      <c r="I1260" s="91">
        <v>2</v>
      </c>
      <c r="J1260" s="91">
        <v>1</v>
      </c>
      <c r="K1260" s="91" t="s">
        <v>1056</v>
      </c>
      <c r="L1260" s="91" t="s">
        <v>2175</v>
      </c>
      <c r="M1260" s="91" t="s">
        <v>0</v>
      </c>
      <c r="Q1260" s="91"/>
      <c r="S1260" s="91" t="s">
        <v>143</v>
      </c>
      <c r="T1260" s="91" t="s">
        <v>2922</v>
      </c>
      <c r="V1260" s="91" t="s">
        <v>168</v>
      </c>
      <c r="W1260" s="91" t="s">
        <v>180</v>
      </c>
    </row>
    <row r="1261" spans="1:23">
      <c r="A1261" s="93" t="str">
        <f>TEXT(tblProjectlist[[#This Row],[project-no]],"0")</f>
        <v>0</v>
      </c>
      <c r="H1261" s="91">
        <v>3159</v>
      </c>
      <c r="I1261" s="91">
        <v>2</v>
      </c>
      <c r="J1261" s="91">
        <v>2</v>
      </c>
      <c r="K1261" s="91"/>
      <c r="L1261" s="91" t="s">
        <v>2175</v>
      </c>
      <c r="M1261" s="91" t="s">
        <v>4</v>
      </c>
      <c r="Q1261" s="91"/>
      <c r="S1261" s="91" t="s">
        <v>143</v>
      </c>
      <c r="T1261" s="91" t="s">
        <v>3922</v>
      </c>
      <c r="V1261" s="91" t="s">
        <v>155</v>
      </c>
      <c r="W1261" s="91" t="s">
        <v>180</v>
      </c>
    </row>
    <row r="1262" spans="1:23">
      <c r="A1262" s="93" t="str">
        <f>TEXT(tblProjectlist[[#This Row],[project-no]],"0")</f>
        <v>75270128</v>
      </c>
      <c r="H1262" s="91">
        <v>7527</v>
      </c>
      <c r="I1262" s="91">
        <v>1</v>
      </c>
      <c r="J1262" s="91">
        <v>2</v>
      </c>
      <c r="K1262" s="91" t="s">
        <v>1002</v>
      </c>
      <c r="L1262" s="91" t="s">
        <v>2175</v>
      </c>
      <c r="M1262" s="91" t="s">
        <v>4</v>
      </c>
      <c r="Q1262" s="91"/>
      <c r="S1262" s="91" t="s">
        <v>143</v>
      </c>
      <c r="T1262" s="91" t="s">
        <v>2871</v>
      </c>
      <c r="V1262" s="91" t="s">
        <v>155</v>
      </c>
      <c r="W1262" s="91" t="s">
        <v>180</v>
      </c>
    </row>
    <row r="1263" spans="1:23">
      <c r="A1263" s="93" t="str">
        <f>TEXT(tblProjectlist[[#This Row],[project-no]],"0")</f>
        <v>75270228</v>
      </c>
      <c r="H1263" s="91">
        <v>7527</v>
      </c>
      <c r="I1263" s="91">
        <v>2</v>
      </c>
      <c r="J1263" s="91">
        <v>2</v>
      </c>
      <c r="K1263" s="91" t="s">
        <v>1003</v>
      </c>
      <c r="L1263" s="91" t="s">
        <v>2175</v>
      </c>
      <c r="M1263" s="91" t="s">
        <v>4</v>
      </c>
      <c r="Q1263" s="91"/>
      <c r="S1263" s="91" t="s">
        <v>143</v>
      </c>
      <c r="T1263" s="91" t="s">
        <v>2872</v>
      </c>
      <c r="V1263" s="91" t="s">
        <v>155</v>
      </c>
      <c r="W1263" s="91" t="s">
        <v>180</v>
      </c>
    </row>
    <row r="1264" spans="1:23">
      <c r="A1264" s="93" t="str">
        <f>TEXT(tblProjectlist[[#This Row],[project-no]],"0")</f>
        <v>0</v>
      </c>
      <c r="H1264" s="91">
        <v>6111</v>
      </c>
      <c r="I1264" s="91">
        <v>2</v>
      </c>
      <c r="J1264" s="91">
        <v>2</v>
      </c>
      <c r="K1264" s="91"/>
      <c r="L1264" s="91" t="s">
        <v>2175</v>
      </c>
      <c r="M1264" s="91" t="s">
        <v>4</v>
      </c>
      <c r="Q1264" s="91"/>
      <c r="S1264" s="91" t="s">
        <v>143</v>
      </c>
      <c r="T1264" s="91" t="s">
        <v>3684</v>
      </c>
      <c r="V1264" s="91" t="s">
        <v>155</v>
      </c>
    </row>
    <row r="1265" spans="1:23">
      <c r="A1265" s="93" t="str">
        <f>TEXT(tblProjectlist[[#This Row],[project-no]],"0")</f>
        <v>74100426</v>
      </c>
      <c r="H1265" s="91">
        <v>7410</v>
      </c>
      <c r="I1265" s="91">
        <v>4</v>
      </c>
      <c r="J1265" s="91">
        <v>2</v>
      </c>
      <c r="K1265" s="91" t="s">
        <v>973</v>
      </c>
      <c r="L1265" s="91" t="s">
        <v>2175</v>
      </c>
      <c r="M1265" s="91" t="s">
        <v>4</v>
      </c>
      <c r="Q1265" s="91"/>
      <c r="S1265" s="91" t="s">
        <v>143</v>
      </c>
      <c r="T1265" s="91" t="s">
        <v>2843</v>
      </c>
      <c r="V1265" s="91" t="s">
        <v>155</v>
      </c>
      <c r="W1265" s="91" t="s">
        <v>180</v>
      </c>
    </row>
    <row r="1266" spans="1:23">
      <c r="A1266" s="93" t="str">
        <f>TEXT(tblProjectlist[[#This Row],[project-no]],"0")</f>
        <v>61080228</v>
      </c>
      <c r="H1266" s="91">
        <v>6108</v>
      </c>
      <c r="I1266" s="91">
        <v>2</v>
      </c>
      <c r="J1266" s="91">
        <v>2</v>
      </c>
      <c r="K1266" s="91" t="s">
        <v>837</v>
      </c>
      <c r="L1266" s="91" t="s">
        <v>197</v>
      </c>
      <c r="M1266" s="91" t="s">
        <v>4</v>
      </c>
      <c r="Q1266" s="91"/>
      <c r="S1266" s="91" t="s">
        <v>143</v>
      </c>
      <c r="T1266" s="91" t="s">
        <v>2720</v>
      </c>
      <c r="W1266" s="91" t="s">
        <v>180</v>
      </c>
    </row>
    <row r="1267" spans="1:23">
      <c r="A1267" s="93" t="str">
        <f>TEXT(tblProjectlist[[#This Row],[project-no]],"0")</f>
        <v>0</v>
      </c>
      <c r="H1267" s="91">
        <v>6006</v>
      </c>
      <c r="I1267" s="91">
        <v>1</v>
      </c>
      <c r="J1267" s="91">
        <v>2</v>
      </c>
      <c r="K1267" s="91"/>
      <c r="L1267" s="91" t="s">
        <v>2175</v>
      </c>
      <c r="M1267" s="91" t="s">
        <v>4</v>
      </c>
      <c r="Q1267" s="91"/>
      <c r="S1267" s="91" t="s">
        <v>143</v>
      </c>
      <c r="T1267" s="91" t="s">
        <v>4728</v>
      </c>
      <c r="V1267" s="91" t="s">
        <v>155</v>
      </c>
      <c r="W1267" s="91" t="s">
        <v>180</v>
      </c>
    </row>
    <row r="1268" spans="1:23">
      <c r="A1268" s="93" t="str">
        <f>TEXT(tblProjectlist[[#This Row],[project-no]],"0")</f>
        <v>0</v>
      </c>
      <c r="H1268" s="91">
        <v>6006</v>
      </c>
      <c r="I1268" s="91">
        <v>6</v>
      </c>
      <c r="J1268" s="91">
        <v>2</v>
      </c>
      <c r="K1268" s="91"/>
      <c r="M1268" s="91" t="s">
        <v>4</v>
      </c>
      <c r="Q1268" s="91"/>
      <c r="S1268" s="91" t="s">
        <v>143</v>
      </c>
      <c r="T1268" s="91" t="s">
        <v>4329</v>
      </c>
      <c r="V1268" s="91" t="s">
        <v>155</v>
      </c>
      <c r="W1268" s="91" t="s">
        <v>180</v>
      </c>
    </row>
    <row r="1269" spans="1:23">
      <c r="A1269" s="93" t="str">
        <f>TEXT(tblProjectlist[[#This Row],[project-no]],"0")</f>
        <v>0</v>
      </c>
      <c r="H1269" s="91">
        <v>6314</v>
      </c>
      <c r="I1269" s="91">
        <v>2</v>
      </c>
      <c r="J1269" s="91">
        <v>2</v>
      </c>
      <c r="K1269" s="91"/>
      <c r="L1269" s="91" t="s">
        <v>2175</v>
      </c>
      <c r="M1269" s="91" t="s">
        <v>4</v>
      </c>
      <c r="Q1269" s="91"/>
      <c r="S1269" s="91" t="s">
        <v>143</v>
      </c>
      <c r="T1269" s="91" t="s">
        <v>4641</v>
      </c>
      <c r="V1269" s="91" t="s">
        <v>155</v>
      </c>
      <c r="W1269" s="91" t="s">
        <v>180</v>
      </c>
    </row>
    <row r="1270" spans="1:23">
      <c r="A1270" s="93" t="str">
        <f>TEXT(tblProjectlist[[#This Row],[project-no]],"0")</f>
        <v>0</v>
      </c>
      <c r="H1270" s="91">
        <v>6314</v>
      </c>
      <c r="I1270" s="91">
        <v>3</v>
      </c>
      <c r="J1270" s="91">
        <v>2</v>
      </c>
      <c r="K1270" s="91"/>
      <c r="L1270" s="91" t="s">
        <v>2175</v>
      </c>
      <c r="M1270" s="91" t="s">
        <v>4</v>
      </c>
      <c r="Q1270" s="91"/>
      <c r="S1270" s="91" t="s">
        <v>143</v>
      </c>
      <c r="T1270" s="91" t="s">
        <v>4642</v>
      </c>
      <c r="V1270" s="91" t="s">
        <v>155</v>
      </c>
      <c r="W1270" s="91" t="s">
        <v>180</v>
      </c>
    </row>
    <row r="1271" spans="1:23">
      <c r="A1271" s="93" t="str">
        <f>TEXT(tblProjectlist[[#This Row],[project-no]],"0")</f>
        <v>66071644</v>
      </c>
      <c r="H1271" s="91">
        <v>6607</v>
      </c>
      <c r="I1271" s="91">
        <v>16</v>
      </c>
      <c r="J1271" s="91">
        <v>4</v>
      </c>
      <c r="K1271" s="91" t="s">
        <v>876</v>
      </c>
      <c r="L1271" s="91" t="s">
        <v>58</v>
      </c>
      <c r="M1271" s="91" t="s">
        <v>1</v>
      </c>
      <c r="Q1271" s="91"/>
      <c r="S1271" s="91" t="s">
        <v>143</v>
      </c>
      <c r="T1271" s="91" t="s">
        <v>2756</v>
      </c>
      <c r="V1271" s="91" t="s">
        <v>160</v>
      </c>
      <c r="W1271" s="91" t="s">
        <v>180</v>
      </c>
    </row>
    <row r="1272" spans="1:23">
      <c r="A1272" s="93" t="str">
        <f>TEXT(tblProjectlist[[#This Row],[project-no]],"0")</f>
        <v>66071828</v>
      </c>
      <c r="H1272" s="91">
        <v>6607</v>
      </c>
      <c r="I1272" s="91">
        <v>18</v>
      </c>
      <c r="J1272" s="91">
        <v>2</v>
      </c>
      <c r="K1272" s="91" t="s">
        <v>877</v>
      </c>
      <c r="L1272" s="91" t="s">
        <v>2175</v>
      </c>
      <c r="M1272" s="91" t="s">
        <v>4</v>
      </c>
      <c r="Q1272" s="91"/>
      <c r="S1272" s="91" t="s">
        <v>143</v>
      </c>
      <c r="T1272" s="91" t="s">
        <v>2757</v>
      </c>
      <c r="V1272" s="91" t="s">
        <v>155</v>
      </c>
      <c r="W1272" s="91" t="s">
        <v>180</v>
      </c>
    </row>
    <row r="1273" spans="1:23">
      <c r="A1273" s="93" t="str">
        <f>TEXT(tblProjectlist[[#This Row],[project-no]],"0")</f>
        <v>66071943</v>
      </c>
      <c r="H1273" s="91">
        <v>6607</v>
      </c>
      <c r="I1273" s="91">
        <v>19</v>
      </c>
      <c r="J1273" s="91">
        <v>4</v>
      </c>
      <c r="K1273" s="91" t="s">
        <v>878</v>
      </c>
      <c r="L1273" s="91" t="s">
        <v>58</v>
      </c>
      <c r="M1273" s="91" t="s">
        <v>1</v>
      </c>
      <c r="Q1273" s="91"/>
      <c r="S1273" s="91" t="s">
        <v>143</v>
      </c>
      <c r="T1273" s="91" t="s">
        <v>2758</v>
      </c>
      <c r="W1273" s="91" t="s">
        <v>180</v>
      </c>
    </row>
    <row r="1274" spans="1:23">
      <c r="A1274" s="93" t="str">
        <f>TEXT(tblProjectlist[[#This Row],[project-no]],"0")</f>
        <v>66072043</v>
      </c>
      <c r="H1274" s="91">
        <v>6607</v>
      </c>
      <c r="I1274" s="91">
        <v>20</v>
      </c>
      <c r="J1274" s="91">
        <v>4</v>
      </c>
      <c r="K1274" s="91" t="s">
        <v>879</v>
      </c>
      <c r="L1274" s="91" t="s">
        <v>58</v>
      </c>
      <c r="M1274" s="91" t="s">
        <v>1</v>
      </c>
      <c r="Q1274" s="91"/>
      <c r="S1274" s="91" t="s">
        <v>143</v>
      </c>
      <c r="T1274" s="91" t="s">
        <v>2759</v>
      </c>
      <c r="W1274" s="91" t="s">
        <v>180</v>
      </c>
    </row>
    <row r="1275" spans="1:23">
      <c r="A1275" s="93" t="str">
        <f>TEXT(tblProjectlist[[#This Row],[project-no]],"0")</f>
        <v>0</v>
      </c>
      <c r="H1275" s="91">
        <v>9963</v>
      </c>
      <c r="I1275" s="91">
        <v>57</v>
      </c>
      <c r="J1275" s="91">
        <v>1</v>
      </c>
      <c r="K1275" s="91"/>
      <c r="L1275" s="91" t="s">
        <v>2175</v>
      </c>
      <c r="M1275" s="91" t="s">
        <v>0</v>
      </c>
      <c r="Q1275" s="91"/>
      <c r="S1275" s="91" t="s">
        <v>143</v>
      </c>
      <c r="T1275" s="91" t="s">
        <v>3881</v>
      </c>
      <c r="V1275" s="91" t="s">
        <v>169</v>
      </c>
      <c r="W1275" s="91" t="s">
        <v>180</v>
      </c>
    </row>
    <row r="1276" spans="1:23">
      <c r="A1276" s="93" t="str">
        <f>TEXT(tblProjectlist[[#This Row],[project-no]],"0")</f>
        <v>0</v>
      </c>
      <c r="H1276" s="91">
        <v>9963</v>
      </c>
      <c r="I1276" s="91">
        <v>57</v>
      </c>
      <c r="J1276" s="91">
        <v>1</v>
      </c>
      <c r="K1276" s="91"/>
      <c r="L1276" s="91" t="s">
        <v>2175</v>
      </c>
      <c r="M1276" s="91" t="s">
        <v>0</v>
      </c>
      <c r="Q1276" s="91"/>
      <c r="S1276" s="91" t="s">
        <v>143</v>
      </c>
      <c r="T1276" s="91" t="s">
        <v>3881</v>
      </c>
      <c r="V1276" s="91" t="s">
        <v>167</v>
      </c>
      <c r="W1276" s="91" t="s">
        <v>180</v>
      </c>
    </row>
    <row r="1277" spans="1:23">
      <c r="A1277" s="93" t="str">
        <f>TEXT(tblProjectlist[[#This Row],[project-no]],"0")</f>
        <v>78022711</v>
      </c>
      <c r="H1277" s="91">
        <v>7802</v>
      </c>
      <c r="I1277" s="91">
        <v>27</v>
      </c>
      <c r="J1277" s="91">
        <v>1</v>
      </c>
      <c r="K1277" s="91" t="s">
        <v>1108</v>
      </c>
      <c r="L1277" s="91" t="s">
        <v>2175</v>
      </c>
      <c r="M1277" s="91" t="s">
        <v>0</v>
      </c>
      <c r="Q1277" s="91"/>
      <c r="S1277" s="91" t="s">
        <v>143</v>
      </c>
      <c r="T1277" s="91" t="s">
        <v>2974</v>
      </c>
      <c r="V1277" s="91" t="s">
        <v>169</v>
      </c>
      <c r="W1277" s="91" t="s">
        <v>180</v>
      </c>
    </row>
    <row r="1278" spans="1:23">
      <c r="A1278" s="93" t="str">
        <f>TEXT(tblProjectlist[[#This Row],[project-no]],"0")</f>
        <v>99944911</v>
      </c>
      <c r="H1278" s="91">
        <v>7802</v>
      </c>
      <c r="I1278" s="91">
        <v>27</v>
      </c>
      <c r="J1278" s="91">
        <v>1</v>
      </c>
      <c r="K1278" s="91" t="s">
        <v>1598</v>
      </c>
      <c r="L1278" s="91" t="s">
        <v>2175</v>
      </c>
      <c r="M1278" s="91" t="s">
        <v>0</v>
      </c>
      <c r="Q1278" s="91"/>
      <c r="S1278" s="91" t="s">
        <v>143</v>
      </c>
      <c r="T1278" s="91" t="s">
        <v>2974</v>
      </c>
      <c r="V1278" s="91" t="s">
        <v>169</v>
      </c>
      <c r="W1278" s="91" t="s">
        <v>180</v>
      </c>
    </row>
    <row r="1279" spans="1:23">
      <c r="A1279" s="93" t="str">
        <f>TEXT(tblProjectlist[[#This Row],[project-no]],"0")</f>
        <v>31000211</v>
      </c>
      <c r="H1279" s="91">
        <v>3100</v>
      </c>
      <c r="I1279" s="91">
        <v>2</v>
      </c>
      <c r="J1279" s="91">
        <v>1</v>
      </c>
      <c r="K1279" s="91" t="s">
        <v>718</v>
      </c>
      <c r="L1279" s="91" t="s">
        <v>2175</v>
      </c>
      <c r="M1279" s="91" t="s">
        <v>0</v>
      </c>
      <c r="Q1279" s="91"/>
      <c r="S1279" s="91" t="s">
        <v>143</v>
      </c>
      <c r="T1279" s="91" t="s">
        <v>2617</v>
      </c>
      <c r="V1279" s="91" t="s">
        <v>169</v>
      </c>
      <c r="W1279" s="91" t="s">
        <v>180</v>
      </c>
    </row>
    <row r="1280" spans="1:23">
      <c r="A1280" s="93" t="str">
        <f>TEXT(tblProjectlist[[#This Row],[project-no]],"0")</f>
        <v>31000216</v>
      </c>
      <c r="H1280" s="91">
        <v>3100</v>
      </c>
      <c r="I1280" s="91">
        <v>2</v>
      </c>
      <c r="J1280" s="91">
        <v>1</v>
      </c>
      <c r="K1280" s="91" t="s">
        <v>719</v>
      </c>
      <c r="L1280" s="91" t="s">
        <v>2175</v>
      </c>
      <c r="M1280" s="91" t="s">
        <v>0</v>
      </c>
      <c r="Q1280" s="91"/>
      <c r="S1280" s="91" t="s">
        <v>143</v>
      </c>
      <c r="T1280" s="91" t="s">
        <v>2617</v>
      </c>
      <c r="V1280" s="91" t="s">
        <v>168</v>
      </c>
      <c r="W1280" s="91" t="s">
        <v>180</v>
      </c>
    </row>
    <row r="1281" spans="1:23">
      <c r="A1281" s="93" t="str">
        <f>TEXT(tblProjectlist[[#This Row],[project-no]],"0")</f>
        <v>31000328</v>
      </c>
      <c r="H1281" s="91">
        <v>3100</v>
      </c>
      <c r="I1281" s="91">
        <v>3</v>
      </c>
      <c r="J1281" s="91">
        <v>2</v>
      </c>
      <c r="K1281" s="91" t="s">
        <v>720</v>
      </c>
      <c r="L1281" s="91" t="s">
        <v>2175</v>
      </c>
      <c r="M1281" s="91" t="s">
        <v>4</v>
      </c>
      <c r="Q1281" s="91"/>
      <c r="S1281" s="91" t="s">
        <v>143</v>
      </c>
      <c r="T1281" s="91" t="s">
        <v>2618</v>
      </c>
      <c r="V1281" s="91" t="s">
        <v>155</v>
      </c>
      <c r="W1281" s="91" t="s">
        <v>180</v>
      </c>
    </row>
    <row r="1282" spans="1:23">
      <c r="A1282" s="93" t="str">
        <f>TEXT(tblProjectlist[[#This Row],[project-no]],"0")</f>
        <v>31000428</v>
      </c>
      <c r="H1282" s="91">
        <v>3100</v>
      </c>
      <c r="I1282" s="91">
        <v>4</v>
      </c>
      <c r="J1282" s="91">
        <v>2</v>
      </c>
      <c r="K1282" s="91" t="s">
        <v>721</v>
      </c>
      <c r="L1282" s="91" t="s">
        <v>2175</v>
      </c>
      <c r="M1282" s="91" t="s">
        <v>4</v>
      </c>
      <c r="Q1282" s="91"/>
      <c r="S1282" s="91" t="s">
        <v>143</v>
      </c>
      <c r="T1282" s="91" t="s">
        <v>2619</v>
      </c>
      <c r="V1282" s="91" t="s">
        <v>155</v>
      </c>
      <c r="W1282" s="91" t="s">
        <v>180</v>
      </c>
    </row>
    <row r="1283" spans="1:23">
      <c r="A1283" s="93" t="str">
        <f>TEXT(tblProjectlist[[#This Row],[project-no]],"0")</f>
        <v>0</v>
      </c>
      <c r="H1283" s="91">
        <v>3100</v>
      </c>
      <c r="I1283" s="91">
        <v>5</v>
      </c>
      <c r="J1283" s="91">
        <v>2</v>
      </c>
      <c r="K1283" s="91"/>
      <c r="L1283" s="91" t="s">
        <v>2175</v>
      </c>
      <c r="M1283" s="91" t="s">
        <v>4</v>
      </c>
      <c r="Q1283" s="91"/>
      <c r="S1283" s="91" t="s">
        <v>143</v>
      </c>
      <c r="T1283" s="91" t="s">
        <v>3885</v>
      </c>
      <c r="V1283" s="91" t="s">
        <v>155</v>
      </c>
      <c r="W1283" s="91" t="s">
        <v>180</v>
      </c>
    </row>
    <row r="1284" spans="1:23">
      <c r="A1284" s="93" t="str">
        <f>TEXT(tblProjectlist[[#This Row],[project-no]],"0")</f>
        <v>60220228</v>
      </c>
      <c r="H1284" s="91">
        <v>6022</v>
      </c>
      <c r="I1284" s="91">
        <v>2</v>
      </c>
      <c r="J1284" s="91">
        <v>2</v>
      </c>
      <c r="K1284" s="91" t="s">
        <v>776</v>
      </c>
      <c r="L1284" s="91" t="s">
        <v>2175</v>
      </c>
      <c r="M1284" s="91" t="s">
        <v>4</v>
      </c>
      <c r="Q1284" s="91"/>
      <c r="S1284" s="91" t="s">
        <v>143</v>
      </c>
      <c r="T1284" s="91" t="s">
        <v>2672</v>
      </c>
      <c r="V1284" s="91" t="s">
        <v>155</v>
      </c>
      <c r="W1284" s="91" t="s">
        <v>180</v>
      </c>
    </row>
    <row r="1285" spans="1:23">
      <c r="A1285" s="93" t="str">
        <f>TEXT(tblProjectlist[[#This Row],[project-no]],"0")</f>
        <v>0</v>
      </c>
      <c r="H1285" s="91">
        <v>6022</v>
      </c>
      <c r="I1285" s="91">
        <v>5</v>
      </c>
      <c r="J1285" s="91">
        <v>2</v>
      </c>
      <c r="K1285" s="91"/>
      <c r="L1285" s="91" t="s">
        <v>2175</v>
      </c>
      <c r="M1285" s="91" t="s">
        <v>4</v>
      </c>
      <c r="Q1285" s="91"/>
      <c r="S1285" s="91" t="s">
        <v>143</v>
      </c>
      <c r="T1285" s="91" t="s">
        <v>4635</v>
      </c>
      <c r="V1285" s="91" t="s">
        <v>155</v>
      </c>
      <c r="W1285" s="91" t="s">
        <v>180</v>
      </c>
    </row>
    <row r="1286" spans="1:23">
      <c r="A1286" s="93" t="str">
        <f>TEXT(tblProjectlist[[#This Row],[project-no]],"0")</f>
        <v>60220328</v>
      </c>
      <c r="H1286" s="91">
        <v>6022</v>
      </c>
      <c r="I1286" s="91">
        <v>3</v>
      </c>
      <c r="J1286" s="91">
        <v>2</v>
      </c>
      <c r="K1286" s="91" t="s">
        <v>777</v>
      </c>
      <c r="L1286" s="91" t="s">
        <v>2175</v>
      </c>
      <c r="M1286" s="91" t="s">
        <v>4</v>
      </c>
      <c r="Q1286" s="91"/>
      <c r="S1286" s="91" t="s">
        <v>143</v>
      </c>
      <c r="T1286" s="91" t="s">
        <v>2673</v>
      </c>
      <c r="V1286" s="91" t="s">
        <v>155</v>
      </c>
      <c r="W1286" s="91" t="s">
        <v>180</v>
      </c>
    </row>
    <row r="1287" spans="1:23">
      <c r="A1287" s="93" t="str">
        <f>TEXT(tblProjectlist[[#This Row],[project-no]],"0")</f>
        <v>60220428</v>
      </c>
      <c r="H1287" s="91">
        <v>6022</v>
      </c>
      <c r="I1287" s="91">
        <v>4</v>
      </c>
      <c r="J1287" s="91">
        <v>2</v>
      </c>
      <c r="K1287" s="91" t="s">
        <v>778</v>
      </c>
      <c r="L1287" s="91" t="s">
        <v>2175</v>
      </c>
      <c r="M1287" s="91" t="s">
        <v>4</v>
      </c>
      <c r="Q1287" s="91"/>
      <c r="S1287" s="91" t="s">
        <v>143</v>
      </c>
      <c r="T1287" s="91" t="s">
        <v>2674</v>
      </c>
      <c r="V1287" s="91" t="s">
        <v>155</v>
      </c>
      <c r="W1287" s="91" t="s">
        <v>180</v>
      </c>
    </row>
    <row r="1288" spans="1:23">
      <c r="A1288" s="93" t="str">
        <f>TEXT(tblProjectlist[[#This Row],[project-no]],"0")</f>
        <v>99963128</v>
      </c>
      <c r="H1288" s="91">
        <v>6022</v>
      </c>
      <c r="I1288" s="91">
        <v>3</v>
      </c>
      <c r="J1288" s="91">
        <v>2</v>
      </c>
      <c r="K1288" s="91" t="s">
        <v>1752</v>
      </c>
      <c r="L1288" s="91" t="s">
        <v>2175</v>
      </c>
      <c r="M1288" s="91" t="s">
        <v>4</v>
      </c>
      <c r="Q1288" s="91"/>
      <c r="S1288" s="91" t="s">
        <v>143</v>
      </c>
      <c r="T1288" s="91" t="s">
        <v>2673</v>
      </c>
      <c r="W1288" s="91" t="s">
        <v>180</v>
      </c>
    </row>
    <row r="1289" spans="1:23">
      <c r="A1289" s="93" t="str">
        <f>TEXT(tblProjectlist[[#This Row],[project-no]],"0")</f>
        <v>30580211</v>
      </c>
      <c r="H1289" s="91">
        <v>3058</v>
      </c>
      <c r="I1289" s="91">
        <v>2</v>
      </c>
      <c r="J1289" s="91">
        <v>1</v>
      </c>
      <c r="K1289" s="91" t="s">
        <v>673</v>
      </c>
      <c r="L1289" s="91" t="s">
        <v>62</v>
      </c>
      <c r="M1289" s="91" t="s">
        <v>0</v>
      </c>
      <c r="Q1289" s="91"/>
      <c r="S1289" s="91" t="s">
        <v>143</v>
      </c>
      <c r="T1289" s="91" t="s">
        <v>2575</v>
      </c>
      <c r="V1289" s="91" t="s">
        <v>169</v>
      </c>
      <c r="W1289" s="91" t="s">
        <v>180</v>
      </c>
    </row>
    <row r="1290" spans="1:23">
      <c r="A1290" s="93" t="str">
        <f>TEXT(tblProjectlist[[#This Row],[project-no]],"0")</f>
        <v>30580216</v>
      </c>
      <c r="H1290" s="91">
        <v>3058</v>
      </c>
      <c r="I1290" s="91">
        <v>2</v>
      </c>
      <c r="J1290" s="91">
        <v>1</v>
      </c>
      <c r="K1290" s="91" t="s">
        <v>674</v>
      </c>
      <c r="L1290" s="91" t="s">
        <v>62</v>
      </c>
      <c r="M1290" s="91" t="s">
        <v>0</v>
      </c>
      <c r="Q1290" s="91"/>
      <c r="S1290" s="91" t="s">
        <v>143</v>
      </c>
      <c r="T1290" s="91" t="s">
        <v>2575</v>
      </c>
      <c r="V1290" s="91" t="s">
        <v>168</v>
      </c>
      <c r="W1290" s="91" t="s">
        <v>180</v>
      </c>
    </row>
    <row r="1291" spans="1:23">
      <c r="A1291" s="93" t="str">
        <f>TEXT(tblProjectlist[[#This Row],[project-no]],"0")</f>
        <v>80301028</v>
      </c>
      <c r="H1291" s="91">
        <v>8030</v>
      </c>
      <c r="I1291" s="91">
        <v>10</v>
      </c>
      <c r="J1291" s="91">
        <v>2</v>
      </c>
      <c r="K1291" s="91" t="s">
        <v>1181</v>
      </c>
      <c r="L1291" s="91" t="s">
        <v>2175</v>
      </c>
      <c r="M1291" s="91" t="s">
        <v>4</v>
      </c>
      <c r="Q1291" s="91"/>
      <c r="S1291" s="91" t="s">
        <v>143</v>
      </c>
      <c r="T1291" s="91" t="s">
        <v>3037</v>
      </c>
      <c r="V1291" s="91" t="s">
        <v>155</v>
      </c>
      <c r="W1291" s="91" t="s">
        <v>180</v>
      </c>
    </row>
    <row r="1292" spans="1:23">
      <c r="A1292" s="93" t="str">
        <f>TEXT(tblProjectlist[[#This Row],[project-no]],"0")</f>
        <v>66072143</v>
      </c>
      <c r="H1292" s="91">
        <v>6607</v>
      </c>
      <c r="I1292" s="91">
        <v>21</v>
      </c>
      <c r="J1292" s="91">
        <v>4</v>
      </c>
      <c r="K1292" s="91" t="s">
        <v>880</v>
      </c>
      <c r="L1292" s="91" t="s">
        <v>58</v>
      </c>
      <c r="M1292" s="91" t="s">
        <v>1</v>
      </c>
      <c r="Q1292" s="91"/>
      <c r="S1292" s="91" t="s">
        <v>143</v>
      </c>
      <c r="T1292" s="91" t="s">
        <v>2760</v>
      </c>
      <c r="W1292" s="91" t="s">
        <v>180</v>
      </c>
    </row>
    <row r="1293" spans="1:23">
      <c r="A1293" s="93" t="str">
        <f>TEXT(tblProjectlist[[#This Row],[project-no]],"0")</f>
        <v>20110228</v>
      </c>
      <c r="H1293" s="91">
        <v>2011</v>
      </c>
      <c r="I1293" s="91">
        <v>2</v>
      </c>
      <c r="J1293" s="91">
        <v>2</v>
      </c>
      <c r="K1293" s="91" t="s">
        <v>462</v>
      </c>
      <c r="L1293" s="91" t="s">
        <v>2175</v>
      </c>
      <c r="M1293" s="91" t="s">
        <v>4</v>
      </c>
      <c r="Q1293" s="91"/>
      <c r="S1293" s="91" t="s">
        <v>143</v>
      </c>
      <c r="T1293" s="91" t="s">
        <v>2406</v>
      </c>
      <c r="V1293" s="91" t="s">
        <v>155</v>
      </c>
      <c r="W1293" s="91" t="s">
        <v>180</v>
      </c>
    </row>
    <row r="1294" spans="1:23">
      <c r="A1294" s="93" t="str">
        <f>TEXT(tblProjectlist[[#This Row],[project-no]],"0")</f>
        <v>79500256</v>
      </c>
      <c r="H1294" s="91">
        <v>7950</v>
      </c>
      <c r="I1294" s="91">
        <v>2</v>
      </c>
      <c r="J1294" s="91">
        <v>5</v>
      </c>
      <c r="K1294" s="91" t="s">
        <v>1143</v>
      </c>
      <c r="L1294" s="91" t="s">
        <v>2175</v>
      </c>
      <c r="M1294" s="91" t="s">
        <v>5</v>
      </c>
      <c r="Q1294" s="91"/>
      <c r="S1294" s="91" t="s">
        <v>143</v>
      </c>
      <c r="T1294" s="91" t="s">
        <v>3007</v>
      </c>
      <c r="V1294" s="91" t="s">
        <v>3721</v>
      </c>
      <c r="W1294" s="91" t="s">
        <v>180</v>
      </c>
    </row>
    <row r="1295" spans="1:23">
      <c r="A1295" s="93" t="str">
        <f>TEXT(tblProjectlist[[#This Row],[project-no]],"0")</f>
        <v>10130328</v>
      </c>
      <c r="H1295" s="91">
        <v>1013</v>
      </c>
      <c r="I1295" s="91">
        <v>3</v>
      </c>
      <c r="J1295" s="91">
        <v>2</v>
      </c>
      <c r="K1295" s="91" t="s">
        <v>186</v>
      </c>
      <c r="L1295" s="91" t="s">
        <v>64</v>
      </c>
      <c r="M1295" s="91" t="s">
        <v>4</v>
      </c>
      <c r="Q1295" s="91"/>
      <c r="S1295" s="91" t="s">
        <v>143</v>
      </c>
      <c r="T1295" s="91" t="s">
        <v>2182</v>
      </c>
      <c r="W1295" s="91" t="s">
        <v>180</v>
      </c>
    </row>
    <row r="1296" spans="1:23">
      <c r="A1296" s="93" t="str">
        <f>TEXT(tblProjectlist[[#This Row],[project-no]],"0")</f>
        <v>88680343</v>
      </c>
      <c r="H1296" s="91">
        <v>8868</v>
      </c>
      <c r="I1296" s="91">
        <v>3</v>
      </c>
      <c r="J1296" s="91">
        <v>4</v>
      </c>
      <c r="K1296" s="91" t="s">
        <v>1258</v>
      </c>
      <c r="L1296" s="91" t="s">
        <v>197</v>
      </c>
      <c r="M1296" s="91" t="s">
        <v>1</v>
      </c>
      <c r="Q1296" s="91"/>
      <c r="S1296" s="91" t="s">
        <v>143</v>
      </c>
      <c r="T1296" s="91" t="s">
        <v>3109</v>
      </c>
      <c r="W1296" s="91" t="s">
        <v>180</v>
      </c>
    </row>
    <row r="1297" spans="1:23">
      <c r="A1297" s="93" t="str">
        <f>TEXT(tblProjectlist[[#This Row],[project-no]],"0")</f>
        <v>0</v>
      </c>
      <c r="H1297" s="91">
        <v>2066</v>
      </c>
      <c r="I1297" s="91">
        <v>2</v>
      </c>
      <c r="J1297" s="91">
        <v>2</v>
      </c>
      <c r="K1297" s="91"/>
      <c r="L1297" s="91" t="s">
        <v>197</v>
      </c>
      <c r="M1297" s="91" t="s">
        <v>4</v>
      </c>
      <c r="Q1297" s="91"/>
      <c r="S1297" s="91" t="s">
        <v>143</v>
      </c>
      <c r="T1297" s="91" t="s">
        <v>3806</v>
      </c>
      <c r="V1297" s="91" t="s">
        <v>155</v>
      </c>
      <c r="W1297" s="91" t="s">
        <v>180</v>
      </c>
    </row>
    <row r="1298" spans="1:23">
      <c r="A1298" s="93" t="str">
        <f>TEXT(tblProjectlist[[#This Row],[project-no]],"0")</f>
        <v>0</v>
      </c>
      <c r="H1298" s="91">
        <v>2066</v>
      </c>
      <c r="I1298" s="91">
        <v>3</v>
      </c>
      <c r="J1298" s="91">
        <v>2</v>
      </c>
      <c r="K1298" s="91"/>
      <c r="L1298" s="91" t="s">
        <v>197</v>
      </c>
      <c r="M1298" s="91" t="s">
        <v>4</v>
      </c>
      <c r="Q1298" s="91"/>
      <c r="S1298" s="91" t="s">
        <v>143</v>
      </c>
      <c r="T1298" s="91" t="s">
        <v>4428</v>
      </c>
      <c r="V1298" s="91" t="s">
        <v>155</v>
      </c>
      <c r="W1298" s="91" t="s">
        <v>180</v>
      </c>
    </row>
    <row r="1299" spans="1:23">
      <c r="A1299" s="93" t="str">
        <f>TEXT(tblProjectlist[[#This Row],[project-no]],"0")</f>
        <v>75250228</v>
      </c>
      <c r="H1299" s="91">
        <v>7525</v>
      </c>
      <c r="I1299" s="91">
        <v>2</v>
      </c>
      <c r="J1299" s="91">
        <v>2</v>
      </c>
      <c r="K1299" s="91" t="s">
        <v>1001</v>
      </c>
      <c r="L1299" s="91" t="s">
        <v>2175</v>
      </c>
      <c r="M1299" s="91" t="s">
        <v>4</v>
      </c>
      <c r="Q1299" s="91"/>
      <c r="S1299" s="91" t="s">
        <v>143</v>
      </c>
      <c r="T1299" s="91" t="s">
        <v>2870</v>
      </c>
      <c r="V1299" s="91" t="s">
        <v>155</v>
      </c>
      <c r="W1299" s="91" t="s">
        <v>180</v>
      </c>
    </row>
    <row r="1300" spans="1:23">
      <c r="A1300" s="93" t="str">
        <f>TEXT(tblProjectlist[[#This Row],[project-no]],"0")</f>
        <v>0</v>
      </c>
      <c r="H1300" s="91">
        <v>7689</v>
      </c>
      <c r="I1300" s="91">
        <v>2</v>
      </c>
      <c r="J1300" s="91">
        <v>1</v>
      </c>
      <c r="K1300" s="91"/>
      <c r="L1300" s="91" t="s">
        <v>197</v>
      </c>
      <c r="M1300" s="91" t="s">
        <v>0</v>
      </c>
      <c r="Q1300" s="91"/>
      <c r="S1300" s="91" t="s">
        <v>143</v>
      </c>
      <c r="T1300" s="91" t="s">
        <v>4435</v>
      </c>
      <c r="V1300" s="91" t="s">
        <v>169</v>
      </c>
      <c r="W1300" s="91" t="s">
        <v>180</v>
      </c>
    </row>
    <row r="1301" spans="1:23">
      <c r="A1301" s="93" t="str">
        <f>TEXT(tblProjectlist[[#This Row],[project-no]],"0")</f>
        <v>0</v>
      </c>
      <c r="H1301" s="91">
        <v>3175</v>
      </c>
      <c r="I1301" s="91">
        <v>2</v>
      </c>
      <c r="J1301" s="91">
        <v>2</v>
      </c>
      <c r="K1301" s="91"/>
      <c r="L1301" s="91" t="s">
        <v>197</v>
      </c>
      <c r="M1301" s="91" t="s">
        <v>4</v>
      </c>
      <c r="Q1301" s="91"/>
      <c r="S1301" s="91" t="s">
        <v>143</v>
      </c>
      <c r="T1301" s="91" t="s">
        <v>4402</v>
      </c>
      <c r="V1301" s="91" t="s">
        <v>155</v>
      </c>
      <c r="W1301" s="91" t="s">
        <v>180</v>
      </c>
    </row>
    <row r="1302" spans="1:23">
      <c r="A1302" s="93" t="str">
        <f>TEXT(tblProjectlist[[#This Row],[project-no]],"0")</f>
        <v>0</v>
      </c>
      <c r="H1302" s="91">
        <v>3175</v>
      </c>
      <c r="I1302" s="91">
        <v>3</v>
      </c>
      <c r="J1302" s="91">
        <v>2</v>
      </c>
      <c r="K1302" s="91"/>
      <c r="L1302" s="91" t="s">
        <v>197</v>
      </c>
      <c r="M1302" s="91" t="s">
        <v>4</v>
      </c>
      <c r="Q1302" s="91"/>
      <c r="S1302" s="91" t="s">
        <v>143</v>
      </c>
      <c r="T1302" s="91" t="s">
        <v>4703</v>
      </c>
      <c r="V1302" s="91" t="s">
        <v>155</v>
      </c>
      <c r="W1302" s="91" t="s">
        <v>180</v>
      </c>
    </row>
    <row r="1303" spans="1:23">
      <c r="A1303" s="93" t="str">
        <f>TEXT(tblProjectlist[[#This Row],[project-no]],"0")</f>
        <v>63150511</v>
      </c>
      <c r="H1303" s="91">
        <v>6315</v>
      </c>
      <c r="I1303" s="91">
        <v>5</v>
      </c>
      <c r="J1303" s="91">
        <v>1</v>
      </c>
      <c r="K1303" s="91" t="s">
        <v>847</v>
      </c>
      <c r="L1303" s="91" t="s">
        <v>197</v>
      </c>
      <c r="M1303" s="91" t="s">
        <v>0</v>
      </c>
      <c r="Q1303" s="91"/>
      <c r="S1303" s="91" t="s">
        <v>143</v>
      </c>
      <c r="T1303" s="91" t="s">
        <v>2730</v>
      </c>
      <c r="V1303" s="91" t="s">
        <v>169</v>
      </c>
      <c r="W1303" s="91" t="s">
        <v>180</v>
      </c>
    </row>
    <row r="1304" spans="1:23">
      <c r="A1304" s="93" t="str">
        <f>TEXT(tblProjectlist[[#This Row],[project-no]],"0")</f>
        <v>63150517</v>
      </c>
      <c r="H1304" s="91">
        <v>6315</v>
      </c>
      <c r="I1304" s="91">
        <v>5</v>
      </c>
      <c r="J1304" s="91">
        <v>1</v>
      </c>
      <c r="K1304" s="91" t="s">
        <v>848</v>
      </c>
      <c r="L1304" s="91" t="s">
        <v>197</v>
      </c>
      <c r="M1304" s="91" t="s">
        <v>0</v>
      </c>
      <c r="Q1304" s="91"/>
      <c r="S1304" s="91" t="s">
        <v>143</v>
      </c>
      <c r="T1304" s="91" t="s">
        <v>2730</v>
      </c>
      <c r="V1304" s="91" t="s">
        <v>168</v>
      </c>
      <c r="W1304" s="91" t="s">
        <v>180</v>
      </c>
    </row>
    <row r="1305" spans="1:23">
      <c r="A1305" s="93" t="str">
        <f>TEXT(tblProjectlist[[#This Row],[project-no]],"0")</f>
        <v>63150626</v>
      </c>
      <c r="H1305" s="91">
        <v>6315</v>
      </c>
      <c r="I1305" s="91">
        <v>6</v>
      </c>
      <c r="J1305" s="91">
        <v>2</v>
      </c>
      <c r="K1305" s="91" t="s">
        <v>849</v>
      </c>
      <c r="L1305" s="91" t="s">
        <v>197</v>
      </c>
      <c r="M1305" s="91" t="s">
        <v>4</v>
      </c>
      <c r="Q1305" s="91"/>
      <c r="S1305" s="91" t="s">
        <v>143</v>
      </c>
      <c r="T1305" s="91" t="s">
        <v>2731</v>
      </c>
      <c r="W1305" s="91" t="s">
        <v>180</v>
      </c>
    </row>
    <row r="1306" spans="1:23">
      <c r="A1306" s="93" t="str">
        <f>TEXT(tblProjectlist[[#This Row],[project-no]],"0")</f>
        <v>0</v>
      </c>
      <c r="H1306" s="91">
        <v>7068</v>
      </c>
      <c r="I1306" s="91">
        <v>2</v>
      </c>
      <c r="J1306" s="91">
        <v>1</v>
      </c>
      <c r="K1306" s="91"/>
      <c r="L1306" s="91" t="s">
        <v>197</v>
      </c>
      <c r="M1306" s="91" t="s">
        <v>0</v>
      </c>
      <c r="Q1306" s="91"/>
      <c r="S1306" s="91" t="s">
        <v>143</v>
      </c>
      <c r="T1306" s="91" t="s">
        <v>4604</v>
      </c>
      <c r="V1306" s="91" t="s">
        <v>169</v>
      </c>
      <c r="W1306" s="91" t="s">
        <v>180</v>
      </c>
    </row>
    <row r="1307" spans="1:23">
      <c r="A1307" s="93" t="str">
        <f>TEXT(tblProjectlist[[#This Row],[project-no]],"0")</f>
        <v>0</v>
      </c>
      <c r="H1307" s="91">
        <v>7053</v>
      </c>
      <c r="I1307" s="91">
        <v>2</v>
      </c>
      <c r="J1307" s="91">
        <v>2</v>
      </c>
      <c r="K1307" s="91"/>
      <c r="L1307" s="91" t="s">
        <v>2175</v>
      </c>
      <c r="M1307" s="91" t="s">
        <v>4</v>
      </c>
      <c r="Q1307" s="91"/>
      <c r="S1307" s="91" t="s">
        <v>143</v>
      </c>
      <c r="T1307" s="91" t="s">
        <v>3967</v>
      </c>
      <c r="V1307" s="91" t="s">
        <v>155</v>
      </c>
      <c r="W1307" s="91" t="s">
        <v>180</v>
      </c>
    </row>
    <row r="1308" spans="1:23">
      <c r="A1308" s="93" t="str">
        <f>TEXT(tblProjectlist[[#This Row],[project-no]],"0")</f>
        <v>88060242</v>
      </c>
      <c r="H1308" s="91">
        <v>8806</v>
      </c>
      <c r="I1308" s="91">
        <v>2</v>
      </c>
      <c r="J1308" s="91">
        <v>4</v>
      </c>
      <c r="K1308" s="91" t="s">
        <v>1241</v>
      </c>
      <c r="L1308" s="91" t="s">
        <v>58</v>
      </c>
      <c r="M1308" s="91" t="s">
        <v>1</v>
      </c>
      <c r="Q1308" s="91"/>
      <c r="S1308" s="91" t="s">
        <v>143</v>
      </c>
      <c r="T1308" s="91" t="s">
        <v>3092</v>
      </c>
      <c r="W1308" s="91" t="s">
        <v>180</v>
      </c>
    </row>
    <row r="1309" spans="1:23">
      <c r="A1309" s="93" t="str">
        <f>TEXT(tblProjectlist[[#This Row],[project-no]],"0")</f>
        <v>80311628</v>
      </c>
      <c r="H1309" s="91">
        <v>8031</v>
      </c>
      <c r="I1309" s="91">
        <v>16</v>
      </c>
      <c r="J1309" s="91">
        <v>2</v>
      </c>
      <c r="K1309" s="91" t="s">
        <v>1182</v>
      </c>
      <c r="L1309" s="91" t="s">
        <v>2175</v>
      </c>
      <c r="M1309" s="91" t="s">
        <v>4</v>
      </c>
      <c r="Q1309" s="91"/>
      <c r="S1309" s="91" t="s">
        <v>143</v>
      </c>
      <c r="T1309" s="91" t="s">
        <v>3038</v>
      </c>
      <c r="V1309" s="91" t="s">
        <v>155</v>
      </c>
      <c r="W1309" s="91" t="s">
        <v>180</v>
      </c>
    </row>
    <row r="1310" spans="1:23">
      <c r="A1310" s="93" t="str">
        <f>TEXT(tblProjectlist[[#This Row],[project-no]],"0")</f>
        <v>99961628</v>
      </c>
      <c r="H1310" s="91">
        <v>8031</v>
      </c>
      <c r="I1310" s="91">
        <v>16</v>
      </c>
      <c r="J1310" s="91">
        <v>2</v>
      </c>
      <c r="K1310" s="91" t="s">
        <v>1737</v>
      </c>
      <c r="L1310" s="91" t="s">
        <v>2175</v>
      </c>
      <c r="M1310" s="91" t="s">
        <v>4</v>
      </c>
      <c r="Q1310" s="91"/>
      <c r="S1310" s="91" t="s">
        <v>143</v>
      </c>
      <c r="T1310" s="91" t="s">
        <v>3038</v>
      </c>
      <c r="V1310" s="91" t="s">
        <v>155</v>
      </c>
      <c r="W1310" s="91" t="s">
        <v>180</v>
      </c>
    </row>
    <row r="1311" spans="1:23">
      <c r="A1311" s="93" t="str">
        <f>TEXT(tblProjectlist[[#This Row],[project-no]],"0")</f>
        <v>80311728</v>
      </c>
      <c r="H1311" s="91">
        <v>8031</v>
      </c>
      <c r="I1311" s="91">
        <v>17</v>
      </c>
      <c r="J1311" s="91">
        <v>2</v>
      </c>
      <c r="K1311" s="91" t="s">
        <v>1183</v>
      </c>
      <c r="L1311" s="91" t="s">
        <v>2175</v>
      </c>
      <c r="M1311" s="91" t="s">
        <v>4</v>
      </c>
      <c r="Q1311" s="91"/>
      <c r="S1311" s="91" t="s">
        <v>143</v>
      </c>
      <c r="T1311" s="91" t="s">
        <v>3039</v>
      </c>
      <c r="V1311" s="91" t="s">
        <v>155</v>
      </c>
      <c r="W1311" s="91" t="s">
        <v>180</v>
      </c>
    </row>
    <row r="1312" spans="1:23">
      <c r="A1312" s="93" t="str">
        <f>TEXT(tblProjectlist[[#This Row],[project-no]],"0")</f>
        <v>80311828</v>
      </c>
      <c r="H1312" s="91">
        <v>8031</v>
      </c>
      <c r="I1312" s="91">
        <v>18</v>
      </c>
      <c r="J1312" s="91">
        <v>2</v>
      </c>
      <c r="K1312" s="91" t="s">
        <v>1184</v>
      </c>
      <c r="L1312" s="91" t="s">
        <v>2175</v>
      </c>
      <c r="M1312" s="91" t="s">
        <v>4</v>
      </c>
      <c r="Q1312" s="91"/>
      <c r="S1312" s="91" t="s">
        <v>143</v>
      </c>
      <c r="T1312" s="91" t="s">
        <v>3040</v>
      </c>
      <c r="V1312" s="91" t="s">
        <v>155</v>
      </c>
      <c r="W1312" s="91" t="s">
        <v>180</v>
      </c>
    </row>
    <row r="1313" spans="1:23">
      <c r="A1313" s="93" t="str">
        <f>TEXT(tblProjectlist[[#This Row],[project-no]],"0")</f>
        <v>0</v>
      </c>
      <c r="H1313" s="91">
        <v>8031</v>
      </c>
      <c r="I1313" s="91">
        <v>19</v>
      </c>
      <c r="J1313" s="91">
        <v>2</v>
      </c>
      <c r="K1313" s="91"/>
      <c r="L1313" s="91" t="s">
        <v>2175</v>
      </c>
      <c r="M1313" s="91" t="s">
        <v>4</v>
      </c>
      <c r="Q1313" s="91"/>
      <c r="S1313" s="91" t="s">
        <v>143</v>
      </c>
      <c r="T1313" s="91" t="s">
        <v>3584</v>
      </c>
      <c r="V1313" s="91" t="s">
        <v>155</v>
      </c>
      <c r="W1313" s="91" t="s">
        <v>180</v>
      </c>
    </row>
    <row r="1314" spans="1:23">
      <c r="A1314" s="93" t="str">
        <f>TEXT(tblProjectlist[[#This Row],[project-no]],"0")</f>
        <v>0</v>
      </c>
      <c r="H1314" s="91">
        <v>8031</v>
      </c>
      <c r="I1314" s="91">
        <v>20</v>
      </c>
      <c r="J1314" s="91">
        <v>2</v>
      </c>
      <c r="K1314" s="91"/>
      <c r="L1314" s="91" t="s">
        <v>2175</v>
      </c>
      <c r="M1314" s="91" t="s">
        <v>4</v>
      </c>
      <c r="Q1314" s="91"/>
      <c r="S1314" s="91" t="s">
        <v>143</v>
      </c>
      <c r="T1314" s="91" t="s">
        <v>3585</v>
      </c>
      <c r="V1314" s="91" t="s">
        <v>155</v>
      </c>
      <c r="W1314" s="91" t="s">
        <v>180</v>
      </c>
    </row>
    <row r="1315" spans="1:23">
      <c r="A1315" s="93" t="str">
        <f>TEXT(tblProjectlist[[#This Row],[project-no]],"0")</f>
        <v>0</v>
      </c>
      <c r="H1315" s="91">
        <v>8031</v>
      </c>
      <c r="I1315" s="91">
        <v>21</v>
      </c>
      <c r="J1315" s="91">
        <v>2</v>
      </c>
      <c r="K1315" s="91"/>
      <c r="L1315" s="91" t="s">
        <v>2175</v>
      </c>
      <c r="M1315" s="91" t="s">
        <v>4</v>
      </c>
      <c r="Q1315" s="91"/>
      <c r="S1315" s="91" t="s">
        <v>143</v>
      </c>
      <c r="T1315" s="91" t="s">
        <v>3586</v>
      </c>
      <c r="V1315" s="91" t="s">
        <v>155</v>
      </c>
      <c r="W1315" s="91" t="s">
        <v>180</v>
      </c>
    </row>
    <row r="1316" spans="1:23">
      <c r="A1316" s="93" t="str">
        <f>TEXT(tblProjectlist[[#This Row],[project-no]],"0")</f>
        <v>0</v>
      </c>
      <c r="H1316" s="91">
        <v>8031</v>
      </c>
      <c r="I1316" s="91">
        <v>22</v>
      </c>
      <c r="J1316" s="91">
        <v>2</v>
      </c>
      <c r="K1316" s="91"/>
      <c r="L1316" s="91" t="s">
        <v>2175</v>
      </c>
      <c r="M1316" s="91" t="s">
        <v>4</v>
      </c>
      <c r="Q1316" s="91"/>
      <c r="S1316" s="91" t="s">
        <v>143</v>
      </c>
      <c r="T1316" s="91" t="s">
        <v>3797</v>
      </c>
      <c r="V1316" s="91" t="s">
        <v>155</v>
      </c>
      <c r="W1316" s="91" t="s">
        <v>180</v>
      </c>
    </row>
    <row r="1317" spans="1:23">
      <c r="A1317" s="93" t="str">
        <f>TEXT(tblProjectlist[[#This Row],[project-no]],"0")</f>
        <v>0</v>
      </c>
      <c r="H1317" s="91">
        <v>8031</v>
      </c>
      <c r="I1317" s="91">
        <v>24</v>
      </c>
      <c r="J1317" s="91">
        <v>2</v>
      </c>
      <c r="K1317" s="91"/>
      <c r="L1317" s="91" t="s">
        <v>2175</v>
      </c>
      <c r="M1317" s="91" t="s">
        <v>4</v>
      </c>
      <c r="Q1317" s="91"/>
      <c r="S1317" s="91" t="s">
        <v>143</v>
      </c>
      <c r="T1317" s="91" t="s">
        <v>4704</v>
      </c>
      <c r="V1317" s="91" t="s">
        <v>155</v>
      </c>
      <c r="W1317" s="91" t="s">
        <v>180</v>
      </c>
    </row>
    <row r="1318" spans="1:23">
      <c r="A1318" s="93" t="str">
        <f>TEXT(tblProjectlist[[#This Row],[project-no]],"0")</f>
        <v>0</v>
      </c>
      <c r="H1318" s="91">
        <v>8031</v>
      </c>
      <c r="I1318" s="91">
        <v>23</v>
      </c>
      <c r="J1318" s="91">
        <v>2</v>
      </c>
      <c r="K1318" s="91"/>
      <c r="L1318" s="91" t="s">
        <v>2175</v>
      </c>
      <c r="M1318" s="91" t="s">
        <v>4</v>
      </c>
      <c r="Q1318" s="91"/>
      <c r="S1318" s="91" t="s">
        <v>143</v>
      </c>
      <c r="T1318" s="91" t="s">
        <v>4208</v>
      </c>
      <c r="V1318" s="91" t="s">
        <v>155</v>
      </c>
      <c r="W1318" s="91" t="s">
        <v>180</v>
      </c>
    </row>
    <row r="1319" spans="1:23">
      <c r="A1319" s="93" t="str">
        <f>TEXT(tblProjectlist[[#This Row],[project-no]],"0")</f>
        <v>22000149</v>
      </c>
      <c r="H1319" s="91">
        <v>2200</v>
      </c>
      <c r="I1319" s="91">
        <v>1</v>
      </c>
      <c r="J1319" s="91">
        <v>4</v>
      </c>
      <c r="K1319" s="91" t="s">
        <v>555</v>
      </c>
      <c r="L1319" s="91" t="s">
        <v>58</v>
      </c>
      <c r="M1319" s="91" t="s">
        <v>1</v>
      </c>
      <c r="Q1319" s="91"/>
      <c r="S1319" s="91" t="s">
        <v>143</v>
      </c>
      <c r="T1319" s="91" t="s">
        <v>2479</v>
      </c>
      <c r="V1319" s="91" t="s">
        <v>158</v>
      </c>
      <c r="W1319" s="91" t="s">
        <v>180</v>
      </c>
    </row>
    <row r="1320" spans="1:23">
      <c r="A1320" s="93" t="str">
        <f>TEXT(tblProjectlist[[#This Row],[project-no]],"0")</f>
        <v>22000341</v>
      </c>
      <c r="H1320" s="91">
        <v>2200</v>
      </c>
      <c r="I1320" s="91">
        <v>3</v>
      </c>
      <c r="J1320" s="91">
        <v>4</v>
      </c>
      <c r="K1320" s="91" t="s">
        <v>556</v>
      </c>
      <c r="L1320" s="91" t="s">
        <v>58</v>
      </c>
      <c r="M1320" s="91" t="s">
        <v>1</v>
      </c>
      <c r="Q1320" s="91"/>
      <c r="S1320" s="91" t="s">
        <v>143</v>
      </c>
      <c r="T1320" s="91" t="s">
        <v>2480</v>
      </c>
      <c r="V1320" s="91" t="s">
        <v>159</v>
      </c>
      <c r="W1320" s="91" t="s">
        <v>180</v>
      </c>
    </row>
    <row r="1321" spans="1:23">
      <c r="A1321" s="93" t="str">
        <f>TEXT(tblProjectlist[[#This Row],[project-no]],"0")</f>
        <v>22000343</v>
      </c>
      <c r="H1321" s="91">
        <v>2200</v>
      </c>
      <c r="I1321" s="91">
        <v>3</v>
      </c>
      <c r="J1321" s="91">
        <v>4</v>
      </c>
      <c r="K1321" s="91" t="s">
        <v>557</v>
      </c>
      <c r="L1321" s="91" t="s">
        <v>58</v>
      </c>
      <c r="M1321" s="91" t="s">
        <v>1</v>
      </c>
      <c r="Q1321" s="91"/>
      <c r="S1321" s="91" t="s">
        <v>143</v>
      </c>
      <c r="T1321" s="91" t="s">
        <v>2480</v>
      </c>
      <c r="V1321" s="91" t="s">
        <v>164</v>
      </c>
      <c r="W1321" s="91" t="s">
        <v>180</v>
      </c>
    </row>
    <row r="1322" spans="1:23">
      <c r="A1322" s="93" t="str">
        <f>TEXT(tblProjectlist[[#This Row],[project-no]],"0")</f>
        <v>22000344</v>
      </c>
      <c r="H1322" s="91">
        <v>2200</v>
      </c>
      <c r="I1322" s="91">
        <v>3</v>
      </c>
      <c r="J1322" s="91">
        <v>4</v>
      </c>
      <c r="K1322" s="91" t="s">
        <v>558</v>
      </c>
      <c r="L1322" s="91" t="s">
        <v>58</v>
      </c>
      <c r="M1322" s="91" t="s">
        <v>1</v>
      </c>
      <c r="Q1322" s="91"/>
      <c r="S1322" s="91" t="s">
        <v>143</v>
      </c>
      <c r="T1322" s="91" t="s">
        <v>2480</v>
      </c>
      <c r="V1322" s="91" t="s">
        <v>160</v>
      </c>
      <c r="W1322" s="91" t="s">
        <v>180</v>
      </c>
    </row>
    <row r="1323" spans="1:23">
      <c r="A1323" s="93" t="str">
        <f>TEXT(tblProjectlist[[#This Row],[project-no]],"0")</f>
        <v>22000347</v>
      </c>
      <c r="H1323" s="91">
        <v>2200</v>
      </c>
      <c r="I1323" s="91">
        <v>3</v>
      </c>
      <c r="J1323" s="91">
        <v>4</v>
      </c>
      <c r="K1323" s="91" t="s">
        <v>559</v>
      </c>
      <c r="L1323" s="91" t="s">
        <v>58</v>
      </c>
      <c r="M1323" s="91" t="s">
        <v>1</v>
      </c>
      <c r="Q1323" s="91"/>
      <c r="S1323" s="91" t="s">
        <v>143</v>
      </c>
      <c r="T1323" s="91" t="s">
        <v>2480</v>
      </c>
      <c r="V1323" s="91" t="s">
        <v>162</v>
      </c>
      <c r="W1323" s="91" t="s">
        <v>180</v>
      </c>
    </row>
    <row r="1324" spans="1:23">
      <c r="A1324" s="93" t="str">
        <f>TEXT(tblProjectlist[[#This Row],[project-no]],"0")</f>
        <v>99886943</v>
      </c>
      <c r="H1324" s="91">
        <v>2200</v>
      </c>
      <c r="I1324" s="91">
        <v>3</v>
      </c>
      <c r="J1324" s="91">
        <v>4</v>
      </c>
      <c r="K1324" s="91" t="s">
        <v>1450</v>
      </c>
      <c r="L1324" s="91" t="s">
        <v>58</v>
      </c>
      <c r="M1324" s="91" t="s">
        <v>1</v>
      </c>
      <c r="Q1324" s="91"/>
      <c r="S1324" s="91" t="s">
        <v>143</v>
      </c>
      <c r="T1324" s="91" t="s">
        <v>2480</v>
      </c>
      <c r="V1324" s="91" t="s">
        <v>164</v>
      </c>
      <c r="W1324" s="91" t="s">
        <v>180</v>
      </c>
    </row>
    <row r="1325" spans="1:23">
      <c r="A1325" s="93" t="str">
        <f>TEXT(tblProjectlist[[#This Row],[project-no]],"0")</f>
        <v>99896243</v>
      </c>
      <c r="H1325" s="91">
        <v>2200</v>
      </c>
      <c r="I1325" s="91">
        <v>3</v>
      </c>
      <c r="J1325" s="91">
        <v>4</v>
      </c>
      <c r="K1325" s="91" t="s">
        <v>1475</v>
      </c>
      <c r="L1325" s="91" t="s">
        <v>58</v>
      </c>
      <c r="M1325" s="91" t="s">
        <v>1</v>
      </c>
      <c r="Q1325" s="91"/>
      <c r="S1325" s="91" t="s">
        <v>143</v>
      </c>
      <c r="T1325" s="91" t="s">
        <v>2480</v>
      </c>
      <c r="V1325" s="91" t="s">
        <v>164</v>
      </c>
      <c r="W1325" s="91" t="s">
        <v>180</v>
      </c>
    </row>
    <row r="1326" spans="1:23">
      <c r="A1326" s="93" t="str">
        <f>TEXT(tblProjectlist[[#This Row],[project-no]],"0")</f>
        <v>99896244</v>
      </c>
      <c r="H1326" s="91">
        <v>2200</v>
      </c>
      <c r="I1326" s="91">
        <v>3</v>
      </c>
      <c r="J1326" s="91">
        <v>4</v>
      </c>
      <c r="K1326" s="91" t="s">
        <v>1476</v>
      </c>
      <c r="L1326" s="91" t="s">
        <v>58</v>
      </c>
      <c r="M1326" s="91" t="s">
        <v>1</v>
      </c>
      <c r="Q1326" s="91"/>
      <c r="S1326" s="91" t="s">
        <v>143</v>
      </c>
      <c r="T1326" s="91" t="s">
        <v>2480</v>
      </c>
      <c r="V1326" s="91" t="s">
        <v>160</v>
      </c>
      <c r="W1326" s="91" t="s">
        <v>180</v>
      </c>
    </row>
    <row r="1327" spans="1:23">
      <c r="A1327" s="93" t="str">
        <f>TEXT(tblProjectlist[[#This Row],[project-no]],"0")</f>
        <v>0</v>
      </c>
      <c r="H1327" s="91">
        <v>9963</v>
      </c>
      <c r="I1327" s="91">
        <v>57</v>
      </c>
      <c r="J1327" s="91">
        <v>1</v>
      </c>
      <c r="K1327" s="91"/>
      <c r="L1327" s="91" t="s">
        <v>2175</v>
      </c>
      <c r="M1327" s="91" t="s">
        <v>0</v>
      </c>
      <c r="Q1327" s="91"/>
      <c r="S1327" s="91" t="s">
        <v>143</v>
      </c>
      <c r="T1327" s="91" t="s">
        <v>3881</v>
      </c>
      <c r="V1327" s="91" t="s">
        <v>168</v>
      </c>
      <c r="W1327" s="91" t="s">
        <v>180</v>
      </c>
    </row>
    <row r="1328" spans="1:23">
      <c r="A1328" s="93" t="str">
        <f>TEXT(tblProjectlist[[#This Row],[project-no]],"0")</f>
        <v>99886911</v>
      </c>
      <c r="H1328" s="91">
        <v>9988</v>
      </c>
      <c r="I1328" s="91">
        <v>69</v>
      </c>
      <c r="J1328" s="91">
        <v>1</v>
      </c>
      <c r="K1328" s="91" t="s">
        <v>1449</v>
      </c>
      <c r="L1328" s="91" t="s">
        <v>2175</v>
      </c>
      <c r="M1328" s="91" t="s">
        <v>0</v>
      </c>
      <c r="Q1328" s="91"/>
      <c r="S1328" s="91" t="s">
        <v>143</v>
      </c>
      <c r="T1328" s="91" t="s">
        <v>3220</v>
      </c>
      <c r="V1328" s="91" t="s">
        <v>169</v>
      </c>
      <c r="W1328" s="91" t="s">
        <v>180</v>
      </c>
    </row>
    <row r="1329" spans="1:23">
      <c r="A1329" s="93" t="str">
        <f>TEXT(tblProjectlist[[#This Row],[project-no]],"0")</f>
        <v>99934311</v>
      </c>
      <c r="H1329" s="91">
        <v>9988</v>
      </c>
      <c r="I1329" s="91">
        <v>69</v>
      </c>
      <c r="J1329" s="91">
        <v>1</v>
      </c>
      <c r="K1329" s="91" t="s">
        <v>1586</v>
      </c>
      <c r="L1329" s="91" t="s">
        <v>2175</v>
      </c>
      <c r="M1329" s="91" t="s">
        <v>0</v>
      </c>
      <c r="Q1329" s="91"/>
      <c r="S1329" s="91" t="s">
        <v>143</v>
      </c>
      <c r="T1329" s="91" t="s">
        <v>3220</v>
      </c>
      <c r="V1329" s="91" t="s">
        <v>169</v>
      </c>
      <c r="W1329" s="91" t="s">
        <v>180</v>
      </c>
    </row>
    <row r="1330" spans="1:23">
      <c r="A1330" s="93" t="str">
        <f>TEXT(tblProjectlist[[#This Row],[project-no]],"0")</f>
        <v>99893811</v>
      </c>
      <c r="H1330" s="91">
        <v>9989</v>
      </c>
      <c r="I1330" s="91">
        <v>38</v>
      </c>
      <c r="J1330" s="91">
        <v>1</v>
      </c>
      <c r="K1330" s="91" t="s">
        <v>1463</v>
      </c>
      <c r="L1330" s="91" t="s">
        <v>2175</v>
      </c>
      <c r="M1330" s="91" t="s">
        <v>0</v>
      </c>
      <c r="Q1330" s="91"/>
      <c r="S1330" s="91" t="s">
        <v>143</v>
      </c>
      <c r="T1330" s="91" t="s">
        <v>3229</v>
      </c>
      <c r="V1330" s="91" t="s">
        <v>169</v>
      </c>
      <c r="W1330" s="91" t="s">
        <v>180</v>
      </c>
    </row>
    <row r="1331" spans="1:23">
      <c r="A1331" s="93" t="str">
        <f>TEXT(tblProjectlist[[#This Row],[project-no]],"0")</f>
        <v>99952611</v>
      </c>
      <c r="H1331" s="91">
        <v>9995</v>
      </c>
      <c r="I1331" s="91">
        <v>26</v>
      </c>
      <c r="J1331" s="91">
        <v>1</v>
      </c>
      <c r="K1331" s="91" t="s">
        <v>1638</v>
      </c>
      <c r="L1331" s="91" t="s">
        <v>2175</v>
      </c>
      <c r="M1331" s="91" t="s">
        <v>0</v>
      </c>
      <c r="Q1331" s="91"/>
      <c r="S1331" s="91" t="s">
        <v>143</v>
      </c>
      <c r="T1331" s="91" t="s">
        <v>3286</v>
      </c>
      <c r="V1331" s="91" t="s">
        <v>169</v>
      </c>
      <c r="W1331" s="91" t="s">
        <v>180</v>
      </c>
    </row>
    <row r="1332" spans="1:23">
      <c r="A1332" s="93" t="str">
        <f>TEXT(tblProjectlist[[#This Row],[project-no]],"0")</f>
        <v>99953316</v>
      </c>
      <c r="H1332" s="91">
        <v>9995</v>
      </c>
      <c r="I1332" s="91">
        <v>33</v>
      </c>
      <c r="J1332" s="91">
        <v>1</v>
      </c>
      <c r="K1332" s="91" t="s">
        <v>1646</v>
      </c>
      <c r="L1332" s="91" t="s">
        <v>2175</v>
      </c>
      <c r="M1332" s="91" t="s">
        <v>0</v>
      </c>
      <c r="Q1332" s="91"/>
      <c r="S1332" s="91" t="s">
        <v>143</v>
      </c>
      <c r="T1332" s="91" t="s">
        <v>3292</v>
      </c>
      <c r="V1332" s="91" t="s">
        <v>168</v>
      </c>
      <c r="W1332" s="91" t="s">
        <v>180</v>
      </c>
    </row>
    <row r="1333" spans="1:23">
      <c r="A1333" s="93" t="str">
        <f>TEXT(tblProjectlist[[#This Row],[project-no]],"0")</f>
        <v>99953516</v>
      </c>
      <c r="H1333" s="91">
        <v>9995</v>
      </c>
      <c r="I1333" s="91">
        <v>35</v>
      </c>
      <c r="J1333" s="91">
        <v>1</v>
      </c>
      <c r="K1333" s="91" t="s">
        <v>1648</v>
      </c>
      <c r="L1333" s="91" t="s">
        <v>2175</v>
      </c>
      <c r="M1333" s="91" t="s">
        <v>0</v>
      </c>
      <c r="Q1333" s="91"/>
      <c r="S1333" s="91" t="s">
        <v>143</v>
      </c>
      <c r="T1333" s="91" t="s">
        <v>3294</v>
      </c>
      <c r="V1333" s="91" t="s">
        <v>168</v>
      </c>
      <c r="W1333" s="91" t="s">
        <v>180</v>
      </c>
    </row>
    <row r="1334" spans="1:23">
      <c r="A1334" s="93" t="str">
        <f>TEXT(tblProjectlist[[#This Row],[project-no]],"0")</f>
        <v>99954413</v>
      </c>
      <c r="H1334" s="91">
        <v>9995</v>
      </c>
      <c r="I1334" s="91">
        <v>44</v>
      </c>
      <c r="J1334" s="91">
        <v>1</v>
      </c>
      <c r="K1334" s="91" t="s">
        <v>1656</v>
      </c>
      <c r="L1334" s="91" t="s">
        <v>2175</v>
      </c>
      <c r="M1334" s="91" t="s">
        <v>0</v>
      </c>
      <c r="Q1334" s="91"/>
      <c r="S1334" s="91" t="s">
        <v>143</v>
      </c>
      <c r="T1334" s="91" t="s">
        <v>3300</v>
      </c>
      <c r="V1334" s="91" t="s">
        <v>167</v>
      </c>
      <c r="W1334" s="91" t="s">
        <v>180</v>
      </c>
    </row>
    <row r="1335" spans="1:23">
      <c r="A1335" s="93" t="str">
        <f>TEXT(tblProjectlist[[#This Row],[project-no]],"0")</f>
        <v>99956513</v>
      </c>
      <c r="H1335" s="91">
        <v>9995</v>
      </c>
      <c r="I1335" s="91">
        <v>65</v>
      </c>
      <c r="J1335" s="91">
        <v>1</v>
      </c>
      <c r="K1335" s="91" t="s">
        <v>1681</v>
      </c>
      <c r="L1335" s="91" t="s">
        <v>2175</v>
      </c>
      <c r="M1335" s="91" t="s">
        <v>0</v>
      </c>
      <c r="Q1335" s="91"/>
      <c r="S1335" s="91" t="s">
        <v>143</v>
      </c>
      <c r="T1335" s="91" t="s">
        <v>3318</v>
      </c>
      <c r="V1335" s="91" t="s">
        <v>167</v>
      </c>
      <c r="W1335" s="91" t="s">
        <v>180</v>
      </c>
    </row>
    <row r="1336" spans="1:23">
      <c r="A1336" s="93" t="str">
        <f>TEXT(tblProjectlist[[#This Row],[project-no]],"0")</f>
        <v>99958411</v>
      </c>
      <c r="H1336" s="91">
        <v>9995</v>
      </c>
      <c r="I1336" s="91">
        <v>84</v>
      </c>
      <c r="J1336" s="91">
        <v>1</v>
      </c>
      <c r="K1336" s="91" t="s">
        <v>1704</v>
      </c>
      <c r="L1336" s="91" t="s">
        <v>2175</v>
      </c>
      <c r="M1336" s="91" t="s">
        <v>0</v>
      </c>
      <c r="Q1336" s="91"/>
      <c r="S1336" s="91" t="s">
        <v>143</v>
      </c>
      <c r="T1336" s="91" t="s">
        <v>3335</v>
      </c>
      <c r="V1336" s="91" t="s">
        <v>169</v>
      </c>
      <c r="W1336" s="91" t="s">
        <v>180</v>
      </c>
    </row>
    <row r="1337" spans="1:23">
      <c r="A1337" s="93" t="str">
        <f>TEXT(tblProjectlist[[#This Row],[project-no]],"0")</f>
        <v>41010226</v>
      </c>
      <c r="H1337" s="91">
        <v>4101</v>
      </c>
      <c r="I1337" s="91">
        <v>2</v>
      </c>
      <c r="J1337" s="91">
        <v>2</v>
      </c>
      <c r="K1337" s="91" t="s">
        <v>758</v>
      </c>
      <c r="L1337" s="91" t="s">
        <v>2175</v>
      </c>
      <c r="M1337" s="91" t="s">
        <v>4</v>
      </c>
      <c r="Q1337" s="91"/>
      <c r="S1337" s="91" t="s">
        <v>143</v>
      </c>
      <c r="T1337" s="91" t="s">
        <v>2654</v>
      </c>
      <c r="V1337" s="91" t="s">
        <v>155</v>
      </c>
      <c r="W1337" s="91" t="s">
        <v>180</v>
      </c>
    </row>
    <row r="1338" spans="1:23">
      <c r="A1338" s="93" t="str">
        <f>TEXT(tblProjectlist[[#This Row],[project-no]],"0")</f>
        <v>0</v>
      </c>
      <c r="H1338" s="91">
        <v>7556</v>
      </c>
      <c r="I1338" s="91">
        <v>4</v>
      </c>
      <c r="J1338" s="91">
        <v>2</v>
      </c>
      <c r="K1338" s="91"/>
      <c r="L1338" s="91" t="s">
        <v>2175</v>
      </c>
      <c r="M1338" s="91" t="s">
        <v>4</v>
      </c>
      <c r="Q1338" s="91"/>
      <c r="S1338" s="91" t="s">
        <v>143</v>
      </c>
      <c r="T1338" s="91" t="s">
        <v>3695</v>
      </c>
      <c r="V1338" s="91" t="s">
        <v>155</v>
      </c>
      <c r="W1338" s="91" t="s">
        <v>180</v>
      </c>
    </row>
    <row r="1339" spans="1:23">
      <c r="A1339" s="93" t="str">
        <f>TEXT(tblProjectlist[[#This Row],[project-no]],"0")</f>
        <v>0</v>
      </c>
      <c r="H1339" s="91">
        <v>7556</v>
      </c>
      <c r="I1339" s="91">
        <v>5</v>
      </c>
      <c r="J1339" s="91">
        <v>2</v>
      </c>
      <c r="K1339" s="91"/>
      <c r="L1339" s="91" t="s">
        <v>2175</v>
      </c>
      <c r="M1339" s="91" t="s">
        <v>4</v>
      </c>
      <c r="Q1339" s="91"/>
      <c r="S1339" s="91" t="s">
        <v>143</v>
      </c>
      <c r="T1339" s="91" t="s">
        <v>4651</v>
      </c>
      <c r="V1339" s="91" t="s">
        <v>155</v>
      </c>
      <c r="W1339" s="91" t="s">
        <v>180</v>
      </c>
    </row>
    <row r="1340" spans="1:23">
      <c r="A1340" s="93" t="str">
        <f>TEXT(tblProjectlist[[#This Row],[project-no]],"0")</f>
        <v>80630743</v>
      </c>
      <c r="H1340" s="91">
        <v>8063</v>
      </c>
      <c r="I1340" s="91">
        <v>7</v>
      </c>
      <c r="J1340" s="91">
        <v>4</v>
      </c>
      <c r="K1340" s="91" t="s">
        <v>1187</v>
      </c>
      <c r="L1340" s="91" t="s">
        <v>58</v>
      </c>
      <c r="M1340" s="91" t="s">
        <v>1</v>
      </c>
      <c r="Q1340" s="91"/>
      <c r="S1340" s="91" t="s">
        <v>143</v>
      </c>
      <c r="T1340" s="91" t="s">
        <v>3043</v>
      </c>
      <c r="V1340" s="91" t="s">
        <v>164</v>
      </c>
      <c r="W1340" s="91" t="s">
        <v>180</v>
      </c>
    </row>
    <row r="1341" spans="1:23">
      <c r="A1341" s="93" t="str">
        <f>TEXT(tblProjectlist[[#This Row],[project-no]],"0")</f>
        <v>80630744</v>
      </c>
      <c r="H1341" s="91">
        <v>8063</v>
      </c>
      <c r="I1341" s="91">
        <v>7</v>
      </c>
      <c r="J1341" s="91">
        <v>4</v>
      </c>
      <c r="K1341" s="91" t="s">
        <v>1188</v>
      </c>
      <c r="L1341" s="91" t="s">
        <v>58</v>
      </c>
      <c r="M1341" s="91" t="s">
        <v>1</v>
      </c>
      <c r="Q1341" s="91"/>
      <c r="S1341" s="91" t="s">
        <v>143</v>
      </c>
      <c r="T1341" s="91" t="s">
        <v>3043</v>
      </c>
      <c r="V1341" s="91" t="s">
        <v>160</v>
      </c>
      <c r="W1341" s="91" t="s">
        <v>180</v>
      </c>
    </row>
    <row r="1342" spans="1:23">
      <c r="A1342" s="93" t="str">
        <f>TEXT(tblProjectlist[[#This Row],[project-no]],"0")</f>
        <v>80630747</v>
      </c>
      <c r="H1342" s="91">
        <v>8063</v>
      </c>
      <c r="I1342" s="91">
        <v>7</v>
      </c>
      <c r="J1342" s="91">
        <v>4</v>
      </c>
      <c r="K1342" s="91" t="s">
        <v>1189</v>
      </c>
      <c r="L1342" s="91" t="s">
        <v>58</v>
      </c>
      <c r="M1342" s="91" t="s">
        <v>1</v>
      </c>
      <c r="Q1342" s="91"/>
      <c r="S1342" s="91" t="s">
        <v>143</v>
      </c>
      <c r="T1342" s="91" t="s">
        <v>3043</v>
      </c>
      <c r="V1342" s="91" t="s">
        <v>162</v>
      </c>
      <c r="W1342" s="91" t="s">
        <v>180</v>
      </c>
    </row>
    <row r="1343" spans="1:23">
      <c r="A1343" s="93" t="str">
        <f>TEXT(tblProjectlist[[#This Row],[project-no]],"0")</f>
        <v>80630843</v>
      </c>
      <c r="H1343" s="91">
        <v>8063</v>
      </c>
      <c r="I1343" s="91">
        <v>8</v>
      </c>
      <c r="J1343" s="91">
        <v>4</v>
      </c>
      <c r="K1343" s="91" t="s">
        <v>1190</v>
      </c>
      <c r="L1343" s="91" t="s">
        <v>58</v>
      </c>
      <c r="M1343" s="91" t="s">
        <v>1</v>
      </c>
      <c r="Q1343" s="91"/>
      <c r="S1343" s="91" t="s">
        <v>143</v>
      </c>
      <c r="T1343" s="91" t="s">
        <v>3044</v>
      </c>
      <c r="V1343" s="91" t="s">
        <v>164</v>
      </c>
      <c r="W1343" s="91" t="s">
        <v>180</v>
      </c>
    </row>
    <row r="1344" spans="1:23">
      <c r="A1344" s="93" t="str">
        <f>TEXT(tblProjectlist[[#This Row],[project-no]],"0")</f>
        <v>80630844</v>
      </c>
      <c r="H1344" s="91">
        <v>8063</v>
      </c>
      <c r="I1344" s="91">
        <v>8</v>
      </c>
      <c r="J1344" s="91">
        <v>4</v>
      </c>
      <c r="K1344" s="91" t="s">
        <v>1191</v>
      </c>
      <c r="L1344" s="91" t="s">
        <v>58</v>
      </c>
      <c r="M1344" s="91" t="s">
        <v>1</v>
      </c>
      <c r="Q1344" s="91"/>
      <c r="S1344" s="91" t="s">
        <v>143</v>
      </c>
      <c r="T1344" s="91" t="s">
        <v>3044</v>
      </c>
      <c r="V1344" s="91" t="s">
        <v>160</v>
      </c>
      <c r="W1344" s="91" t="s">
        <v>180</v>
      </c>
    </row>
    <row r="1345" spans="1:23">
      <c r="A1345" s="93" t="str">
        <f>TEXT(tblProjectlist[[#This Row],[project-no]],"0")</f>
        <v>80631244</v>
      </c>
      <c r="H1345" s="91">
        <v>8063</v>
      </c>
      <c r="I1345" s="91">
        <v>12</v>
      </c>
      <c r="J1345" s="91">
        <v>4</v>
      </c>
      <c r="K1345" s="91" t="s">
        <v>1192</v>
      </c>
      <c r="L1345" s="91" t="s">
        <v>58</v>
      </c>
      <c r="M1345" s="91" t="s">
        <v>1</v>
      </c>
      <c r="Q1345" s="91"/>
      <c r="S1345" s="91" t="s">
        <v>143</v>
      </c>
      <c r="T1345" s="91" t="s">
        <v>3045</v>
      </c>
      <c r="W1345" s="91" t="s">
        <v>180</v>
      </c>
    </row>
    <row r="1346" spans="1:23">
      <c r="A1346" s="93" t="str">
        <f>TEXT(tblProjectlist[[#This Row],[project-no]],"0")</f>
        <v>80631343</v>
      </c>
      <c r="H1346" s="91">
        <v>8063</v>
      </c>
      <c r="I1346" s="91">
        <v>13</v>
      </c>
      <c r="J1346" s="91">
        <v>4</v>
      </c>
      <c r="K1346" s="91" t="s">
        <v>1193</v>
      </c>
      <c r="L1346" s="91" t="s">
        <v>58</v>
      </c>
      <c r="M1346" s="91" t="s">
        <v>1</v>
      </c>
      <c r="Q1346" s="91"/>
      <c r="S1346" s="91" t="s">
        <v>143</v>
      </c>
      <c r="T1346" s="91" t="s">
        <v>3046</v>
      </c>
      <c r="W1346" s="91" t="s">
        <v>180</v>
      </c>
    </row>
    <row r="1347" spans="1:23">
      <c r="A1347" s="93" t="str">
        <f>TEXT(tblProjectlist[[#This Row],[project-no]],"0")</f>
        <v>80631443</v>
      </c>
      <c r="H1347" s="91">
        <v>8063</v>
      </c>
      <c r="I1347" s="91">
        <v>14</v>
      </c>
      <c r="J1347" s="91">
        <v>4</v>
      </c>
      <c r="K1347" s="91" t="s">
        <v>1194</v>
      </c>
      <c r="L1347" s="91" t="s">
        <v>58</v>
      </c>
      <c r="M1347" s="91" t="s">
        <v>1</v>
      </c>
      <c r="Q1347" s="91"/>
      <c r="S1347" s="91" t="s">
        <v>143</v>
      </c>
      <c r="T1347" s="91" t="s">
        <v>3047</v>
      </c>
      <c r="V1347" s="91" t="s">
        <v>164</v>
      </c>
      <c r="W1347" s="91" t="s">
        <v>180</v>
      </c>
    </row>
    <row r="1348" spans="1:23">
      <c r="A1348" s="93" t="str">
        <f>TEXT(tblProjectlist[[#This Row],[project-no]],"0")</f>
        <v>80631544</v>
      </c>
      <c r="H1348" s="91">
        <v>8063</v>
      </c>
      <c r="I1348" s="91">
        <v>15</v>
      </c>
      <c r="J1348" s="91">
        <v>4</v>
      </c>
      <c r="K1348" s="91" t="s">
        <v>1195</v>
      </c>
      <c r="L1348" s="91" t="s">
        <v>58</v>
      </c>
      <c r="M1348" s="91" t="s">
        <v>1</v>
      </c>
      <c r="Q1348" s="91"/>
      <c r="S1348" s="91" t="s">
        <v>143</v>
      </c>
      <c r="T1348" s="91" t="s">
        <v>3048</v>
      </c>
      <c r="W1348" s="91" t="s">
        <v>180</v>
      </c>
    </row>
    <row r="1349" spans="1:23">
      <c r="A1349" s="93" t="str">
        <f>TEXT(tblProjectlist[[#This Row],[project-no]],"0")</f>
        <v>99914243</v>
      </c>
      <c r="H1349" s="91">
        <v>8063</v>
      </c>
      <c r="I1349" s="91">
        <v>8</v>
      </c>
      <c r="J1349" s="91">
        <v>4</v>
      </c>
      <c r="K1349" s="91" t="s">
        <v>1522</v>
      </c>
      <c r="L1349" s="91" t="s">
        <v>58</v>
      </c>
      <c r="M1349" s="91" t="s">
        <v>1</v>
      </c>
      <c r="Q1349" s="91"/>
      <c r="S1349" s="91" t="s">
        <v>143</v>
      </c>
      <c r="T1349" s="91" t="s">
        <v>3044</v>
      </c>
      <c r="V1349" s="91" t="s">
        <v>164</v>
      </c>
      <c r="W1349" s="91" t="s">
        <v>180</v>
      </c>
    </row>
    <row r="1350" spans="1:23">
      <c r="A1350" s="93" t="str">
        <f>TEXT(tblProjectlist[[#This Row],[project-no]],"0")</f>
        <v>99914244</v>
      </c>
      <c r="H1350" s="91">
        <v>8063</v>
      </c>
      <c r="I1350" s="91">
        <v>8</v>
      </c>
      <c r="J1350" s="91">
        <v>4</v>
      </c>
      <c r="K1350" s="91" t="s">
        <v>1523</v>
      </c>
      <c r="L1350" s="91" t="s">
        <v>58</v>
      </c>
      <c r="M1350" s="91" t="s">
        <v>1</v>
      </c>
      <c r="Q1350" s="91"/>
      <c r="S1350" s="91" t="s">
        <v>143</v>
      </c>
      <c r="T1350" s="91" t="s">
        <v>3044</v>
      </c>
      <c r="V1350" s="91" t="s">
        <v>160</v>
      </c>
      <c r="W1350" s="91" t="s">
        <v>180</v>
      </c>
    </row>
    <row r="1351" spans="1:23">
      <c r="A1351" s="93" t="str">
        <f>TEXT(tblProjectlist[[#This Row],[project-no]],"0")</f>
        <v>99916144</v>
      </c>
      <c r="H1351" s="91">
        <v>8063</v>
      </c>
      <c r="I1351" s="91">
        <v>7</v>
      </c>
      <c r="J1351" s="91">
        <v>4</v>
      </c>
      <c r="K1351" s="91" t="s">
        <v>1528</v>
      </c>
      <c r="L1351" s="91" t="s">
        <v>58</v>
      </c>
      <c r="M1351" s="91" t="s">
        <v>1</v>
      </c>
      <c r="Q1351" s="91"/>
      <c r="S1351" s="91" t="s">
        <v>143</v>
      </c>
      <c r="T1351" s="91" t="s">
        <v>3043</v>
      </c>
      <c r="V1351" s="91" t="s">
        <v>160</v>
      </c>
      <c r="W1351" s="91" t="s">
        <v>180</v>
      </c>
    </row>
    <row r="1352" spans="1:23">
      <c r="A1352" s="93" t="str">
        <f>TEXT(tblProjectlist[[#This Row],[project-no]],"0")</f>
        <v>99858111</v>
      </c>
      <c r="H1352" s="91">
        <v>9985</v>
      </c>
      <c r="I1352" s="91">
        <v>81</v>
      </c>
      <c r="J1352" s="91">
        <v>1</v>
      </c>
      <c r="K1352" s="91" t="s">
        <v>1376</v>
      </c>
      <c r="L1352" s="91" t="s">
        <v>62</v>
      </c>
      <c r="M1352" s="91" t="s">
        <v>0</v>
      </c>
      <c r="Q1352" s="91"/>
      <c r="S1352" s="91" t="s">
        <v>143</v>
      </c>
      <c r="T1352" s="91" t="s">
        <v>3202</v>
      </c>
      <c r="V1352" s="91" t="s">
        <v>169</v>
      </c>
      <c r="W1352" s="91" t="s">
        <v>180</v>
      </c>
    </row>
    <row r="1353" spans="1:23">
      <c r="A1353" s="93" t="str">
        <f>TEXT(tblProjectlist[[#This Row],[project-no]],"0")</f>
        <v>99864711</v>
      </c>
      <c r="H1353" s="91">
        <v>9985</v>
      </c>
      <c r="I1353" s="91">
        <v>81</v>
      </c>
      <c r="J1353" s="91">
        <v>1</v>
      </c>
      <c r="K1353" s="91" t="s">
        <v>1389</v>
      </c>
      <c r="L1353" s="91" t="s">
        <v>62</v>
      </c>
      <c r="M1353" s="91" t="s">
        <v>0</v>
      </c>
      <c r="Q1353" s="91"/>
      <c r="S1353" s="91" t="s">
        <v>143</v>
      </c>
      <c r="T1353" s="91" t="s">
        <v>3202</v>
      </c>
      <c r="V1353" s="91" t="s">
        <v>169</v>
      </c>
      <c r="W1353" s="91" t="s">
        <v>180</v>
      </c>
    </row>
    <row r="1354" spans="1:23">
      <c r="A1354" s="93" t="str">
        <f>TEXT(tblProjectlist[[#This Row],[project-no]],"0")</f>
        <v>99865011</v>
      </c>
      <c r="H1354" s="91">
        <v>9986</v>
      </c>
      <c r="I1354" s="91">
        <v>50</v>
      </c>
      <c r="J1354" s="91">
        <v>1</v>
      </c>
      <c r="K1354" s="91" t="s">
        <v>1390</v>
      </c>
      <c r="L1354" s="91" t="s">
        <v>2175</v>
      </c>
      <c r="M1354" s="91" t="s">
        <v>0</v>
      </c>
      <c r="Q1354" s="91"/>
      <c r="S1354" s="91" t="s">
        <v>143</v>
      </c>
      <c r="T1354" s="91" t="s">
        <v>3209</v>
      </c>
      <c r="V1354" s="91" t="s">
        <v>169</v>
      </c>
      <c r="W1354" s="91" t="s">
        <v>180</v>
      </c>
    </row>
    <row r="1355" spans="1:23">
      <c r="A1355" s="93" t="str">
        <f>TEXT(tblProjectlist[[#This Row],[project-no]],"0")</f>
        <v>99866613</v>
      </c>
      <c r="H1355" s="91">
        <v>9986</v>
      </c>
      <c r="I1355" s="91">
        <v>66</v>
      </c>
      <c r="J1355" s="91">
        <v>1</v>
      </c>
      <c r="K1355" s="91" t="s">
        <v>1398</v>
      </c>
      <c r="L1355" s="91" t="s">
        <v>2175</v>
      </c>
      <c r="M1355" s="91" t="s">
        <v>0</v>
      </c>
      <c r="Q1355" s="91"/>
      <c r="S1355" s="91" t="s">
        <v>143</v>
      </c>
      <c r="T1355" s="91" t="s">
        <v>3211</v>
      </c>
      <c r="V1355" s="91" t="s">
        <v>167</v>
      </c>
      <c r="W1355" s="91" t="s">
        <v>180</v>
      </c>
    </row>
    <row r="1356" spans="1:23">
      <c r="A1356" s="93" t="str">
        <f>TEXT(tblProjectlist[[#This Row],[project-no]],"0")</f>
        <v>99938611</v>
      </c>
      <c r="H1356" s="91">
        <v>9986</v>
      </c>
      <c r="I1356" s="91">
        <v>47</v>
      </c>
      <c r="J1356" s="91">
        <v>1</v>
      </c>
      <c r="K1356" s="91" t="s">
        <v>1589</v>
      </c>
      <c r="L1356" s="91" t="s">
        <v>2175</v>
      </c>
      <c r="M1356" s="91" t="s">
        <v>0</v>
      </c>
      <c r="Q1356" s="91"/>
      <c r="S1356" s="91" t="s">
        <v>143</v>
      </c>
      <c r="T1356" s="91" t="s">
        <v>3268</v>
      </c>
      <c r="V1356" s="91" t="s">
        <v>169</v>
      </c>
      <c r="W1356" s="91" t="s">
        <v>180</v>
      </c>
    </row>
    <row r="1357" spans="1:23">
      <c r="A1357" s="93" t="str">
        <f>TEXT(tblProjectlist[[#This Row],[project-no]],"0")</f>
        <v>99864544</v>
      </c>
      <c r="H1357" s="91">
        <v>9991</v>
      </c>
      <c r="I1357" s="91">
        <v>42</v>
      </c>
      <c r="J1357" s="91">
        <v>4</v>
      </c>
      <c r="K1357" s="91" t="s">
        <v>1388</v>
      </c>
      <c r="L1357" s="91" t="s">
        <v>62</v>
      </c>
      <c r="M1357" s="91" t="s">
        <v>1</v>
      </c>
      <c r="Q1357" s="91"/>
      <c r="S1357" s="91" t="s">
        <v>143</v>
      </c>
      <c r="T1357" s="91" t="s">
        <v>3208</v>
      </c>
      <c r="V1357" s="91" t="s">
        <v>160</v>
      </c>
      <c r="W1357" s="91" t="s">
        <v>180</v>
      </c>
    </row>
    <row r="1358" spans="1:23">
      <c r="A1358" s="93" t="str">
        <f>TEXT(tblProjectlist[[#This Row],[project-no]],"0")</f>
        <v>99869244</v>
      </c>
      <c r="H1358" s="91">
        <v>9991</v>
      </c>
      <c r="I1358" s="91">
        <v>42</v>
      </c>
      <c r="J1358" s="91">
        <v>4</v>
      </c>
      <c r="K1358" s="91" t="s">
        <v>1422</v>
      </c>
      <c r="L1358" s="91" t="s">
        <v>62</v>
      </c>
      <c r="M1358" s="91" t="s">
        <v>1</v>
      </c>
      <c r="Q1358" s="91"/>
      <c r="S1358" s="91" t="s">
        <v>143</v>
      </c>
      <c r="T1358" s="91" t="s">
        <v>3208</v>
      </c>
      <c r="V1358" s="91" t="s">
        <v>160</v>
      </c>
      <c r="W1358" s="91" t="s">
        <v>180</v>
      </c>
    </row>
    <row r="1359" spans="1:23">
      <c r="A1359" s="93" t="str">
        <f>TEXT(tblProjectlist[[#This Row],[project-no]],"0")</f>
        <v>99914111</v>
      </c>
      <c r="H1359" s="91">
        <v>9991</v>
      </c>
      <c r="I1359" s="91">
        <v>41</v>
      </c>
      <c r="J1359" s="91">
        <v>1</v>
      </c>
      <c r="K1359" s="91" t="s">
        <v>1521</v>
      </c>
      <c r="L1359" s="91" t="s">
        <v>2175</v>
      </c>
      <c r="M1359" s="91" t="s">
        <v>0</v>
      </c>
      <c r="Q1359" s="91"/>
      <c r="S1359" s="91" t="s">
        <v>143</v>
      </c>
      <c r="T1359" s="91" t="s">
        <v>3251</v>
      </c>
      <c r="V1359" s="91" t="s">
        <v>169</v>
      </c>
      <c r="W1359" s="91" t="s">
        <v>180</v>
      </c>
    </row>
    <row r="1360" spans="1:23">
      <c r="A1360" s="93" t="str">
        <f>TEXT(tblProjectlist[[#This Row],[project-no]],"0")</f>
        <v>99915211</v>
      </c>
      <c r="H1360" s="91">
        <v>9991</v>
      </c>
      <c r="I1360" s="91">
        <v>52</v>
      </c>
      <c r="J1360" s="91">
        <v>1</v>
      </c>
      <c r="K1360" s="91" t="s">
        <v>1527</v>
      </c>
      <c r="L1360" s="91" t="s">
        <v>2175</v>
      </c>
      <c r="M1360" s="91" t="s">
        <v>0</v>
      </c>
      <c r="Q1360" s="91"/>
      <c r="S1360" s="91" t="s">
        <v>143</v>
      </c>
      <c r="T1360" s="91" t="s">
        <v>3254</v>
      </c>
      <c r="V1360" s="91" t="s">
        <v>169</v>
      </c>
      <c r="W1360" s="91" t="s">
        <v>180</v>
      </c>
    </row>
    <row r="1361" spans="1:23">
      <c r="A1361" s="93" t="str">
        <f>TEXT(tblProjectlist[[#This Row],[project-no]],"0")</f>
        <v>99938511</v>
      </c>
      <c r="H1361" s="91">
        <v>9991</v>
      </c>
      <c r="I1361" s="91">
        <v>41</v>
      </c>
      <c r="J1361" s="91">
        <v>1</v>
      </c>
      <c r="K1361" s="91" t="s">
        <v>1588</v>
      </c>
      <c r="L1361" s="91" t="s">
        <v>2175</v>
      </c>
      <c r="M1361" s="91" t="s">
        <v>0</v>
      </c>
      <c r="Q1361" s="91"/>
      <c r="S1361" s="91" t="s">
        <v>143</v>
      </c>
      <c r="T1361" s="91" t="s">
        <v>3251</v>
      </c>
      <c r="V1361" s="91" t="s">
        <v>169</v>
      </c>
      <c r="W1361" s="91" t="s">
        <v>180</v>
      </c>
    </row>
    <row r="1362" spans="1:23">
      <c r="A1362" s="93" t="str">
        <f>TEXT(tblProjectlist[[#This Row],[project-no]],"0")</f>
        <v>99956813</v>
      </c>
      <c r="H1362" s="91">
        <v>9995</v>
      </c>
      <c r="I1362" s="91">
        <v>68</v>
      </c>
      <c r="J1362" s="91">
        <v>1</v>
      </c>
      <c r="K1362" s="91" t="s">
        <v>1684</v>
      </c>
      <c r="L1362" s="91" t="s">
        <v>2175</v>
      </c>
      <c r="M1362" s="91" t="s">
        <v>0</v>
      </c>
      <c r="Q1362" s="91"/>
      <c r="S1362" s="91" t="s">
        <v>143</v>
      </c>
      <c r="T1362" s="91" t="s">
        <v>3321</v>
      </c>
      <c r="V1362" s="91" t="s">
        <v>167</v>
      </c>
      <c r="W1362" s="91" t="s">
        <v>180</v>
      </c>
    </row>
    <row r="1363" spans="1:23">
      <c r="A1363" s="93" t="str">
        <f>TEXT(tblProjectlist[[#This Row],[project-no]],"0")</f>
        <v>99956913</v>
      </c>
      <c r="H1363" s="91">
        <v>9995</v>
      </c>
      <c r="I1363" s="91">
        <v>69</v>
      </c>
      <c r="J1363" s="91">
        <v>1</v>
      </c>
      <c r="K1363" s="91" t="s">
        <v>1685</v>
      </c>
      <c r="L1363" s="91" t="s">
        <v>2175</v>
      </c>
      <c r="M1363" s="91" t="s">
        <v>0</v>
      </c>
      <c r="Q1363" s="91"/>
      <c r="S1363" s="91" t="s">
        <v>143</v>
      </c>
      <c r="T1363" s="91" t="s">
        <v>3322</v>
      </c>
      <c r="V1363" s="91" t="s">
        <v>167</v>
      </c>
      <c r="W1363" s="91" t="s">
        <v>180</v>
      </c>
    </row>
    <row r="1364" spans="1:23">
      <c r="A1364" s="93" t="str">
        <f>TEXT(tblProjectlist[[#This Row],[project-no]],"0")</f>
        <v>78023411</v>
      </c>
      <c r="H1364" s="91">
        <v>7802</v>
      </c>
      <c r="I1364" s="91">
        <v>34</v>
      </c>
      <c r="J1364" s="91">
        <v>1</v>
      </c>
      <c r="K1364" s="91" t="s">
        <v>1114</v>
      </c>
      <c r="L1364" s="91" t="s">
        <v>2175</v>
      </c>
      <c r="M1364" s="91" t="s">
        <v>0</v>
      </c>
      <c r="Q1364" s="91"/>
      <c r="S1364" s="91" t="s">
        <v>143</v>
      </c>
      <c r="T1364" s="91" t="s">
        <v>2980</v>
      </c>
      <c r="V1364" s="91" t="s">
        <v>169</v>
      </c>
      <c r="W1364" s="91" t="s">
        <v>180</v>
      </c>
    </row>
    <row r="1365" spans="1:23">
      <c r="A1365" s="93" t="str">
        <f>TEXT(tblProjectlist[[#This Row],[project-no]],"0")</f>
        <v>99964111</v>
      </c>
      <c r="H1365" s="91">
        <v>7802</v>
      </c>
      <c r="I1365" s="91">
        <v>34</v>
      </c>
      <c r="J1365" s="91">
        <v>1</v>
      </c>
      <c r="K1365" s="91" t="s">
        <v>1760</v>
      </c>
      <c r="L1365" s="91" t="s">
        <v>2175</v>
      </c>
      <c r="M1365" s="91" t="s">
        <v>0</v>
      </c>
      <c r="Q1365" s="91"/>
      <c r="S1365" s="91" t="s">
        <v>143</v>
      </c>
      <c r="T1365" s="91" t="s">
        <v>2980</v>
      </c>
      <c r="V1365" s="91" t="s">
        <v>169</v>
      </c>
      <c r="W1365" s="91" t="s">
        <v>180</v>
      </c>
    </row>
    <row r="1366" spans="1:23">
      <c r="A1366" s="93" t="str">
        <f>TEXT(tblProjectlist[[#This Row],[project-no]],"0")</f>
        <v>0</v>
      </c>
      <c r="H1366" s="91">
        <v>7911</v>
      </c>
      <c r="I1366" s="91">
        <v>2</v>
      </c>
      <c r="J1366" s="91">
        <v>1</v>
      </c>
      <c r="K1366" s="91"/>
      <c r="L1366" s="91" t="s">
        <v>2175</v>
      </c>
      <c r="M1366" s="91" t="s">
        <v>0</v>
      </c>
      <c r="Q1366" s="91"/>
      <c r="S1366" s="91" t="s">
        <v>143</v>
      </c>
      <c r="T1366" s="91" t="s">
        <v>4151</v>
      </c>
      <c r="V1366" s="91" t="s">
        <v>169</v>
      </c>
      <c r="W1366" s="91" t="s">
        <v>180</v>
      </c>
    </row>
    <row r="1367" spans="1:23">
      <c r="A1367" s="93" t="str">
        <f>TEXT(tblProjectlist[[#This Row],[project-no]],"0")</f>
        <v>0</v>
      </c>
      <c r="H1367" s="91">
        <v>7911</v>
      </c>
      <c r="I1367" s="91">
        <v>2</v>
      </c>
      <c r="J1367" s="91">
        <v>1</v>
      </c>
      <c r="K1367" s="91"/>
      <c r="L1367" s="91" t="s">
        <v>2175</v>
      </c>
      <c r="M1367" s="91" t="s">
        <v>0</v>
      </c>
      <c r="Q1367" s="91"/>
      <c r="S1367" s="91" t="s">
        <v>143</v>
      </c>
      <c r="T1367" s="91" t="s">
        <v>4151</v>
      </c>
      <c r="V1367" s="91" t="s">
        <v>168</v>
      </c>
      <c r="W1367" s="91" t="s">
        <v>180</v>
      </c>
    </row>
    <row r="1368" spans="1:23">
      <c r="A1368" s="93" t="str">
        <f>TEXT(tblProjectlist[[#This Row],[project-no]],"0")</f>
        <v>20093828</v>
      </c>
      <c r="H1368" s="91">
        <v>2009</v>
      </c>
      <c r="I1368" s="91">
        <v>38</v>
      </c>
      <c r="J1368" s="91">
        <v>2</v>
      </c>
      <c r="K1368" s="91" t="s">
        <v>456</v>
      </c>
      <c r="L1368" s="91" t="s">
        <v>2175</v>
      </c>
      <c r="M1368" s="91" t="s">
        <v>4</v>
      </c>
      <c r="Q1368" s="91"/>
      <c r="S1368" s="91" t="s">
        <v>143</v>
      </c>
      <c r="T1368" s="91" t="s">
        <v>2401</v>
      </c>
      <c r="V1368" s="91" t="s">
        <v>155</v>
      </c>
      <c r="W1368" s="91" t="s">
        <v>180</v>
      </c>
    </row>
    <row r="1369" spans="1:23">
      <c r="A1369" s="93" t="str">
        <f>TEXT(tblProjectlist[[#This Row],[project-no]],"0")</f>
        <v>20094011</v>
      </c>
      <c r="H1369" s="91">
        <v>2009</v>
      </c>
      <c r="I1369" s="91">
        <v>40</v>
      </c>
      <c r="J1369" s="91">
        <v>1</v>
      </c>
      <c r="K1369" s="91" t="s">
        <v>457</v>
      </c>
      <c r="L1369" s="91" t="s">
        <v>2175</v>
      </c>
      <c r="M1369" s="91" t="s">
        <v>0</v>
      </c>
      <c r="Q1369" s="91"/>
      <c r="S1369" s="91" t="s">
        <v>143</v>
      </c>
      <c r="T1369" s="91" t="s">
        <v>2402</v>
      </c>
      <c r="V1369" s="91" t="s">
        <v>169</v>
      </c>
      <c r="W1369" s="91" t="s">
        <v>180</v>
      </c>
    </row>
    <row r="1370" spans="1:23">
      <c r="A1370" s="93" t="str">
        <f>TEXT(tblProjectlist[[#This Row],[project-no]],"0")</f>
        <v>20094016</v>
      </c>
      <c r="H1370" s="91">
        <v>2009</v>
      </c>
      <c r="I1370" s="91">
        <v>40</v>
      </c>
      <c r="J1370" s="91">
        <v>1</v>
      </c>
      <c r="K1370" s="91" t="s">
        <v>458</v>
      </c>
      <c r="L1370" s="91" t="s">
        <v>2175</v>
      </c>
      <c r="M1370" s="91" t="s">
        <v>0</v>
      </c>
      <c r="Q1370" s="91"/>
      <c r="S1370" s="91" t="s">
        <v>143</v>
      </c>
      <c r="T1370" s="91" t="s">
        <v>2402</v>
      </c>
      <c r="V1370" s="91" t="s">
        <v>168</v>
      </c>
      <c r="W1370" s="91" t="s">
        <v>180</v>
      </c>
    </row>
    <row r="1371" spans="1:23">
      <c r="A1371" s="93" t="str">
        <f>TEXT(tblProjectlist[[#This Row],[project-no]],"0")</f>
        <v>20097128</v>
      </c>
      <c r="H1371" s="91">
        <v>2009</v>
      </c>
      <c r="I1371" s="91">
        <v>71</v>
      </c>
      <c r="J1371" s="91">
        <v>2</v>
      </c>
      <c r="K1371" s="91" t="s">
        <v>459</v>
      </c>
      <c r="L1371" s="91" t="s">
        <v>2175</v>
      </c>
      <c r="M1371" s="91" t="s">
        <v>4</v>
      </c>
      <c r="Q1371" s="91"/>
      <c r="S1371" s="91" t="s">
        <v>143</v>
      </c>
      <c r="T1371" s="91" t="s">
        <v>2403</v>
      </c>
      <c r="V1371" s="91" t="s">
        <v>155</v>
      </c>
      <c r="W1371" s="91" t="s">
        <v>180</v>
      </c>
    </row>
    <row r="1372" spans="1:23">
      <c r="A1372" s="93" t="str">
        <f>TEXT(tblProjectlist[[#This Row],[project-no]],"0")</f>
        <v>20097528</v>
      </c>
      <c r="H1372" s="91">
        <v>2009</v>
      </c>
      <c r="I1372" s="91">
        <v>75</v>
      </c>
      <c r="J1372" s="91">
        <v>2</v>
      </c>
      <c r="K1372" s="91" t="s">
        <v>460</v>
      </c>
      <c r="L1372" s="91" t="s">
        <v>2175</v>
      </c>
      <c r="M1372" s="91" t="s">
        <v>4</v>
      </c>
      <c r="Q1372" s="91"/>
      <c r="S1372" s="91" t="s">
        <v>143</v>
      </c>
      <c r="T1372" s="91" t="s">
        <v>2404</v>
      </c>
      <c r="V1372" s="91" t="s">
        <v>155</v>
      </c>
      <c r="W1372" s="91" t="s">
        <v>180</v>
      </c>
    </row>
    <row r="1373" spans="1:23">
      <c r="A1373" s="93" t="str">
        <f>TEXT(tblProjectlist[[#This Row],[project-no]],"0")</f>
        <v>0</v>
      </c>
      <c r="H1373" s="91">
        <v>8858</v>
      </c>
      <c r="I1373" s="91">
        <v>8</v>
      </c>
      <c r="J1373" s="91">
        <v>2</v>
      </c>
      <c r="K1373" s="91"/>
      <c r="L1373" s="91" t="s">
        <v>2175</v>
      </c>
      <c r="M1373" s="91" t="s">
        <v>4</v>
      </c>
      <c r="Q1373" s="91"/>
      <c r="S1373" s="91" t="s">
        <v>143</v>
      </c>
      <c r="T1373" s="91" t="s">
        <v>3588</v>
      </c>
      <c r="V1373" s="91" t="s">
        <v>155</v>
      </c>
      <c r="W1373" s="91" t="s">
        <v>180</v>
      </c>
    </row>
    <row r="1374" spans="1:23">
      <c r="A1374" s="93" t="str">
        <f>TEXT(tblProjectlist[[#This Row],[project-no]],"0")</f>
        <v>0</v>
      </c>
      <c r="H1374" s="91">
        <v>8858</v>
      </c>
      <c r="I1374" s="91">
        <v>9</v>
      </c>
      <c r="J1374" s="91">
        <v>2</v>
      </c>
      <c r="K1374" s="91"/>
      <c r="L1374" s="91" t="s">
        <v>2175</v>
      </c>
      <c r="M1374" s="91" t="s">
        <v>4</v>
      </c>
      <c r="Q1374" s="91"/>
      <c r="S1374" s="91" t="s">
        <v>143</v>
      </c>
      <c r="T1374" s="91" t="s">
        <v>3712</v>
      </c>
      <c r="V1374" s="91" t="s">
        <v>155</v>
      </c>
      <c r="W1374" s="91" t="s">
        <v>180</v>
      </c>
    </row>
    <row r="1375" spans="1:23">
      <c r="A1375" s="93" t="str">
        <f>TEXT(tblProjectlist[[#This Row],[project-no]],"0")</f>
        <v>0</v>
      </c>
      <c r="H1375" s="91">
        <v>8858</v>
      </c>
      <c r="I1375" s="91">
        <v>10</v>
      </c>
      <c r="J1375" s="91">
        <v>2</v>
      </c>
      <c r="K1375" s="91"/>
      <c r="L1375" s="91" t="s">
        <v>2175</v>
      </c>
      <c r="M1375" s="91" t="s">
        <v>4</v>
      </c>
      <c r="Q1375" s="91"/>
      <c r="S1375" s="91" t="s">
        <v>143</v>
      </c>
      <c r="T1375" s="91" t="s">
        <v>4053</v>
      </c>
      <c r="V1375" s="91" t="s">
        <v>155</v>
      </c>
      <c r="W1375" s="91" t="s">
        <v>180</v>
      </c>
    </row>
    <row r="1376" spans="1:23">
      <c r="A1376" s="93" t="str">
        <f>TEXT(tblProjectlist[[#This Row],[project-no]],"0")</f>
        <v>0</v>
      </c>
      <c r="H1376" s="91">
        <v>8858</v>
      </c>
      <c r="I1376" s="91">
        <v>11</v>
      </c>
      <c r="J1376" s="91">
        <v>1</v>
      </c>
      <c r="K1376" s="91"/>
      <c r="L1376" s="91" t="s">
        <v>2175</v>
      </c>
      <c r="M1376" s="91" t="s">
        <v>0</v>
      </c>
      <c r="Q1376" s="91"/>
      <c r="S1376" s="91" t="s">
        <v>143</v>
      </c>
      <c r="T1376" s="91" t="s">
        <v>4154</v>
      </c>
      <c r="V1376" s="91" t="s">
        <v>168</v>
      </c>
      <c r="W1376" s="91" t="s">
        <v>180</v>
      </c>
    </row>
    <row r="1377" spans="1:23">
      <c r="A1377" s="93" t="str">
        <f>TEXT(tblProjectlist[[#This Row],[project-no]],"0")</f>
        <v>0</v>
      </c>
      <c r="H1377" s="91">
        <v>8858</v>
      </c>
      <c r="I1377" s="91">
        <v>11</v>
      </c>
      <c r="J1377" s="91">
        <v>1</v>
      </c>
      <c r="K1377" s="91"/>
      <c r="L1377" s="91" t="s">
        <v>2175</v>
      </c>
      <c r="M1377" s="91" t="s">
        <v>0</v>
      </c>
      <c r="Q1377" s="91"/>
      <c r="S1377" s="91" t="s">
        <v>143</v>
      </c>
      <c r="T1377" s="91" t="s">
        <v>4154</v>
      </c>
      <c r="V1377" s="91" t="s">
        <v>169</v>
      </c>
      <c r="W1377" s="91" t="s">
        <v>180</v>
      </c>
    </row>
    <row r="1378" spans="1:23">
      <c r="A1378" s="93" t="str">
        <f>TEXT(tblProjectlist[[#This Row],[project-no]],"0")</f>
        <v>0</v>
      </c>
      <c r="H1378" s="91">
        <v>8858</v>
      </c>
      <c r="I1378" s="91">
        <v>12</v>
      </c>
      <c r="J1378" s="91">
        <v>2</v>
      </c>
      <c r="K1378" s="91"/>
      <c r="L1378" s="91" t="s">
        <v>2175</v>
      </c>
      <c r="M1378" s="91" t="s">
        <v>4</v>
      </c>
      <c r="Q1378" s="91"/>
      <c r="S1378" s="91" t="s">
        <v>143</v>
      </c>
      <c r="T1378" s="91" t="s">
        <v>4155</v>
      </c>
      <c r="W1378" s="91" t="s">
        <v>180</v>
      </c>
    </row>
    <row r="1379" spans="1:23">
      <c r="A1379" s="93" t="str">
        <f>TEXT(tblProjectlist[[#This Row],[project-no]],"0")</f>
        <v>88580526</v>
      </c>
      <c r="H1379" s="91">
        <v>8858</v>
      </c>
      <c r="I1379" s="91">
        <v>5</v>
      </c>
      <c r="J1379" s="91">
        <v>2</v>
      </c>
      <c r="K1379" s="91" t="s">
        <v>1248</v>
      </c>
      <c r="L1379" s="91" t="s">
        <v>2175</v>
      </c>
      <c r="M1379" s="91" t="s">
        <v>4</v>
      </c>
      <c r="Q1379" s="91"/>
      <c r="S1379" s="91" t="s">
        <v>143</v>
      </c>
      <c r="T1379" s="91" t="s">
        <v>3099</v>
      </c>
      <c r="V1379" s="91" t="s">
        <v>155</v>
      </c>
      <c r="W1379" s="91" t="s">
        <v>180</v>
      </c>
    </row>
    <row r="1380" spans="1:23">
      <c r="A1380" s="93" t="str">
        <f>TEXT(tblProjectlist[[#This Row],[project-no]],"0")</f>
        <v>88580628</v>
      </c>
      <c r="H1380" s="91">
        <v>8858</v>
      </c>
      <c r="I1380" s="91">
        <v>6</v>
      </c>
      <c r="J1380" s="91">
        <v>2</v>
      </c>
      <c r="K1380" s="91" t="s">
        <v>1249</v>
      </c>
      <c r="L1380" s="91" t="s">
        <v>2175</v>
      </c>
      <c r="M1380" s="91" t="s">
        <v>4</v>
      </c>
      <c r="Q1380" s="91"/>
      <c r="S1380" s="91" t="s">
        <v>143</v>
      </c>
      <c r="T1380" s="91" t="s">
        <v>3100</v>
      </c>
      <c r="V1380" s="91" t="s">
        <v>155</v>
      </c>
      <c r="W1380" s="91" t="s">
        <v>180</v>
      </c>
    </row>
    <row r="1381" spans="1:23">
      <c r="A1381" s="93" t="str">
        <f>TEXT(tblProjectlist[[#This Row],[project-no]],"0")</f>
        <v>88580728</v>
      </c>
      <c r="H1381" s="91">
        <v>8858</v>
      </c>
      <c r="I1381" s="91">
        <v>7</v>
      </c>
      <c r="J1381" s="91">
        <v>2</v>
      </c>
      <c r="K1381" s="91" t="s">
        <v>1250</v>
      </c>
      <c r="L1381" s="91" t="s">
        <v>2175</v>
      </c>
      <c r="M1381" s="91" t="s">
        <v>4</v>
      </c>
      <c r="Q1381" s="91"/>
      <c r="S1381" s="91" t="s">
        <v>143</v>
      </c>
      <c r="T1381" s="91" t="s">
        <v>3101</v>
      </c>
      <c r="V1381" s="91" t="s">
        <v>155</v>
      </c>
      <c r="W1381" s="91" t="s">
        <v>180</v>
      </c>
    </row>
    <row r="1382" spans="1:23">
      <c r="A1382" s="93" t="str">
        <f>TEXT(tblProjectlist[[#This Row],[project-no]],"0")</f>
        <v>0</v>
      </c>
      <c r="H1382" s="91">
        <v>8858</v>
      </c>
      <c r="I1382" s="91">
        <v>13</v>
      </c>
      <c r="J1382" s="91">
        <v>2</v>
      </c>
      <c r="K1382" s="91"/>
      <c r="L1382" s="91" t="s">
        <v>2175</v>
      </c>
      <c r="M1382" s="91" t="s">
        <v>4</v>
      </c>
      <c r="Q1382" s="91"/>
      <c r="S1382" s="91" t="s">
        <v>143</v>
      </c>
      <c r="T1382" s="91" t="s">
        <v>4705</v>
      </c>
      <c r="V1382" s="91" t="s">
        <v>155</v>
      </c>
      <c r="W1382" s="91" t="s">
        <v>180</v>
      </c>
    </row>
    <row r="1383" spans="1:23">
      <c r="A1383" s="93" t="str">
        <f>TEXT(tblProjectlist[[#This Row],[project-no]],"0")</f>
        <v>88640228</v>
      </c>
      <c r="H1383" s="91">
        <v>8864</v>
      </c>
      <c r="I1383" s="91">
        <v>2</v>
      </c>
      <c r="J1383" s="91">
        <v>2</v>
      </c>
      <c r="K1383" s="91" t="s">
        <v>1253</v>
      </c>
      <c r="L1383" s="91" t="s">
        <v>197</v>
      </c>
      <c r="M1383" s="91" t="s">
        <v>4</v>
      </c>
      <c r="Q1383" s="91"/>
      <c r="S1383" s="91" t="s">
        <v>143</v>
      </c>
      <c r="T1383" s="91" t="s">
        <v>3104</v>
      </c>
      <c r="V1383" s="91" t="s">
        <v>155</v>
      </c>
      <c r="W1383" s="91" t="s">
        <v>180</v>
      </c>
    </row>
    <row r="1384" spans="1:23">
      <c r="A1384" s="93" t="str">
        <f>TEXT(tblProjectlist[[#This Row],[project-no]],"0")</f>
        <v>88640328</v>
      </c>
      <c r="H1384" s="91">
        <v>8864</v>
      </c>
      <c r="I1384" s="91">
        <v>3</v>
      </c>
      <c r="J1384" s="91">
        <v>2</v>
      </c>
      <c r="K1384" s="91" t="s">
        <v>1254</v>
      </c>
      <c r="L1384" s="91" t="s">
        <v>197</v>
      </c>
      <c r="M1384" s="91" t="s">
        <v>4</v>
      </c>
      <c r="Q1384" s="91"/>
      <c r="S1384" s="91" t="s">
        <v>143</v>
      </c>
      <c r="T1384" s="91" t="s">
        <v>3105</v>
      </c>
      <c r="V1384" s="91" t="s">
        <v>155</v>
      </c>
      <c r="W1384" s="91" t="s">
        <v>180</v>
      </c>
    </row>
    <row r="1385" spans="1:23">
      <c r="A1385" s="93" t="str">
        <f>TEXT(tblProjectlist[[#This Row],[project-no]],"0")</f>
        <v>31450228</v>
      </c>
      <c r="H1385" s="91">
        <v>3145</v>
      </c>
      <c r="I1385" s="91">
        <v>2</v>
      </c>
      <c r="J1385" s="91">
        <v>2</v>
      </c>
      <c r="K1385" s="91" t="s">
        <v>743</v>
      </c>
      <c r="L1385" s="91" t="s">
        <v>2175</v>
      </c>
      <c r="M1385" s="91" t="s">
        <v>4</v>
      </c>
      <c r="Q1385" s="91"/>
      <c r="S1385" s="91" t="s">
        <v>143</v>
      </c>
      <c r="T1385" s="91" t="s">
        <v>2641</v>
      </c>
      <c r="V1385" s="91" t="s">
        <v>155</v>
      </c>
      <c r="W1385" s="91" t="s">
        <v>180</v>
      </c>
    </row>
    <row r="1386" spans="1:23">
      <c r="A1386" s="93" t="str">
        <f>TEXT(tblProjectlist[[#This Row],[project-no]],"0")</f>
        <v>0</v>
      </c>
      <c r="H1386" s="91">
        <v>6137</v>
      </c>
      <c r="I1386" s="91">
        <v>2</v>
      </c>
      <c r="J1386" s="91">
        <v>2</v>
      </c>
      <c r="K1386" s="91"/>
      <c r="L1386" s="91" t="s">
        <v>2175</v>
      </c>
      <c r="M1386" s="91" t="s">
        <v>4</v>
      </c>
      <c r="Q1386" s="91"/>
      <c r="S1386" s="91" t="s">
        <v>143</v>
      </c>
      <c r="T1386" s="91" t="s">
        <v>4406</v>
      </c>
      <c r="V1386" s="91" t="s">
        <v>155</v>
      </c>
      <c r="W1386" s="91" t="s">
        <v>180</v>
      </c>
    </row>
    <row r="1387" spans="1:23">
      <c r="A1387" s="93" t="str">
        <f>TEXT(tblProjectlist[[#This Row],[project-no]],"0")</f>
        <v>66080243</v>
      </c>
      <c r="H1387" s="91">
        <v>6608</v>
      </c>
      <c r="I1387" s="91">
        <v>2</v>
      </c>
      <c r="J1387" s="91">
        <v>4</v>
      </c>
      <c r="K1387" s="91" t="s">
        <v>881</v>
      </c>
      <c r="L1387" s="91" t="s">
        <v>197</v>
      </c>
      <c r="M1387" s="91" t="s">
        <v>1</v>
      </c>
      <c r="Q1387" s="91"/>
      <c r="S1387" s="91" t="s">
        <v>143</v>
      </c>
      <c r="T1387" s="91" t="s">
        <v>2761</v>
      </c>
      <c r="V1387" s="91" t="s">
        <v>164</v>
      </c>
      <c r="W1387" s="91" t="s">
        <v>180</v>
      </c>
    </row>
    <row r="1388" spans="1:23">
      <c r="A1388" s="93" t="str">
        <f>TEXT(tblProjectlist[[#This Row],[project-no]],"0")</f>
        <v>0</v>
      </c>
      <c r="H1388" s="91">
        <v>7672</v>
      </c>
      <c r="I1388" s="91">
        <v>2</v>
      </c>
      <c r="J1388" s="91">
        <v>2</v>
      </c>
      <c r="K1388" s="91"/>
      <c r="L1388" s="91" t="s">
        <v>2175</v>
      </c>
      <c r="M1388" s="91" t="s">
        <v>4</v>
      </c>
      <c r="Q1388" s="91"/>
      <c r="S1388" s="91" t="s">
        <v>143</v>
      </c>
      <c r="T1388" s="91" t="s">
        <v>4009</v>
      </c>
      <c r="V1388" s="91" t="s">
        <v>155</v>
      </c>
      <c r="W1388" s="91" t="s">
        <v>180</v>
      </c>
    </row>
    <row r="1389" spans="1:23">
      <c r="A1389" s="93" t="str">
        <f>TEXT(tblProjectlist[[#This Row],[project-no]],"0")</f>
        <v>22730528</v>
      </c>
      <c r="H1389" s="91">
        <v>2273</v>
      </c>
      <c r="I1389" s="91">
        <v>5</v>
      </c>
      <c r="J1389" s="91">
        <v>2</v>
      </c>
      <c r="K1389" s="91" t="s">
        <v>570</v>
      </c>
      <c r="L1389" s="91" t="s">
        <v>62</v>
      </c>
      <c r="M1389" s="91" t="s">
        <v>4</v>
      </c>
      <c r="Q1389" s="91"/>
      <c r="S1389" s="91" t="s">
        <v>143</v>
      </c>
      <c r="T1389" s="91" t="s">
        <v>2488</v>
      </c>
      <c r="V1389" s="91" t="s">
        <v>155</v>
      </c>
      <c r="W1389" s="91" t="s">
        <v>180</v>
      </c>
    </row>
    <row r="1390" spans="1:23">
      <c r="A1390" s="93" t="str">
        <f>TEXT(tblProjectlist[[#This Row],[project-no]],"0")</f>
        <v>0</v>
      </c>
      <c r="H1390" s="91">
        <v>3164</v>
      </c>
      <c r="I1390" s="91">
        <v>2</v>
      </c>
      <c r="J1390" s="91">
        <v>2</v>
      </c>
      <c r="K1390" s="91"/>
      <c r="L1390" s="91" t="s">
        <v>62</v>
      </c>
      <c r="M1390" s="91" t="s">
        <v>4</v>
      </c>
      <c r="Q1390" s="91"/>
      <c r="S1390" s="91" t="s">
        <v>143</v>
      </c>
      <c r="T1390" s="91" t="s">
        <v>4118</v>
      </c>
      <c r="V1390" s="91" t="s">
        <v>155</v>
      </c>
      <c r="W1390" s="91" t="s">
        <v>180</v>
      </c>
    </row>
    <row r="1391" spans="1:23">
      <c r="A1391" s="93" t="str">
        <f>TEXT(tblProjectlist[[#This Row],[project-no]],"0")</f>
        <v>75410128</v>
      </c>
      <c r="H1391" s="91">
        <v>7541</v>
      </c>
      <c r="I1391" s="91">
        <v>1</v>
      </c>
      <c r="J1391" s="91">
        <v>2</v>
      </c>
      <c r="K1391" s="91" t="s">
        <v>1017</v>
      </c>
      <c r="L1391" s="91" t="s">
        <v>2175</v>
      </c>
      <c r="M1391" s="91" t="s">
        <v>4</v>
      </c>
      <c r="Q1391" s="91"/>
      <c r="S1391" s="91" t="s">
        <v>143</v>
      </c>
      <c r="T1391" s="91" t="s">
        <v>2886</v>
      </c>
      <c r="V1391" s="91" t="s">
        <v>155</v>
      </c>
      <c r="W1391" s="91" t="s">
        <v>180</v>
      </c>
    </row>
    <row r="1392" spans="1:23">
      <c r="A1392" s="93" t="str">
        <f>TEXT(tblProjectlist[[#This Row],[project-no]],"0")</f>
        <v>75410228</v>
      </c>
      <c r="H1392" s="91">
        <v>7541</v>
      </c>
      <c r="I1392" s="91">
        <v>2</v>
      </c>
      <c r="J1392" s="91">
        <v>2</v>
      </c>
      <c r="K1392" s="91" t="s">
        <v>1018</v>
      </c>
      <c r="L1392" s="91" t="s">
        <v>2175</v>
      </c>
      <c r="M1392" s="91" t="s">
        <v>4</v>
      </c>
      <c r="Q1392" s="91"/>
      <c r="S1392" s="91" t="s">
        <v>143</v>
      </c>
      <c r="T1392" s="91" t="s">
        <v>2887</v>
      </c>
      <c r="V1392" s="91" t="s">
        <v>155</v>
      </c>
      <c r="W1392" s="91" t="s">
        <v>180</v>
      </c>
    </row>
    <row r="1393" spans="1:23">
      <c r="A1393" s="93" t="str">
        <f>TEXT(tblProjectlist[[#This Row],[project-no]],"0")</f>
        <v>0</v>
      </c>
      <c r="H1393" s="91">
        <v>4117</v>
      </c>
      <c r="I1393" s="91">
        <v>2</v>
      </c>
      <c r="J1393" s="91">
        <v>2</v>
      </c>
      <c r="L1393" s="91" t="s">
        <v>64</v>
      </c>
      <c r="M1393" s="91" t="s">
        <v>4</v>
      </c>
      <c r="Q1393" s="91"/>
      <c r="S1393" s="91" t="s">
        <v>143</v>
      </c>
      <c r="T1393" s="91" t="s">
        <v>3672</v>
      </c>
      <c r="W1393" s="91" t="s">
        <v>180</v>
      </c>
    </row>
    <row r="1394" spans="1:23">
      <c r="A1394" s="93" t="str">
        <f>TEXT(tblProjectlist[[#This Row],[project-no]],"0")</f>
        <v>0</v>
      </c>
      <c r="H1394" s="91">
        <v>2123</v>
      </c>
      <c r="I1394" s="91">
        <v>2</v>
      </c>
      <c r="J1394" s="91">
        <v>2</v>
      </c>
      <c r="K1394" s="91"/>
      <c r="L1394" s="91" t="s">
        <v>2175</v>
      </c>
      <c r="M1394" s="91" t="s">
        <v>4</v>
      </c>
      <c r="Q1394" s="91"/>
      <c r="S1394" s="91" t="s">
        <v>143</v>
      </c>
      <c r="T1394" s="91" t="s">
        <v>4497</v>
      </c>
      <c r="V1394" s="91" t="s">
        <v>155</v>
      </c>
      <c r="W1394" s="91" t="s">
        <v>180</v>
      </c>
    </row>
    <row r="1395" spans="1:23">
      <c r="A1395" s="93" t="str">
        <f>TEXT(tblProjectlist[[#This Row],[project-no]],"0")</f>
        <v>75320228</v>
      </c>
      <c r="H1395" s="91">
        <v>7532</v>
      </c>
      <c r="I1395" s="91">
        <v>2</v>
      </c>
      <c r="J1395" s="91">
        <v>2</v>
      </c>
      <c r="K1395" s="91" t="s">
        <v>1007</v>
      </c>
      <c r="L1395" s="91" t="s">
        <v>2175</v>
      </c>
      <c r="M1395" s="91" t="s">
        <v>4</v>
      </c>
      <c r="Q1395" s="91"/>
      <c r="S1395" s="91" t="s">
        <v>143</v>
      </c>
      <c r="T1395" s="91" t="s">
        <v>2876</v>
      </c>
      <c r="V1395" s="91" t="s">
        <v>155</v>
      </c>
      <c r="W1395" s="91" t="s">
        <v>180</v>
      </c>
    </row>
    <row r="1396" spans="1:23">
      <c r="A1396" s="93" t="str">
        <f>TEXT(tblProjectlist[[#This Row],[project-no]],"0")</f>
        <v>0</v>
      </c>
      <c r="H1396" s="91">
        <v>2060</v>
      </c>
      <c r="I1396" s="91">
        <v>2</v>
      </c>
      <c r="J1396" s="91">
        <v>2</v>
      </c>
      <c r="K1396" s="91"/>
      <c r="L1396" s="91" t="s">
        <v>64</v>
      </c>
      <c r="M1396" s="91" t="s">
        <v>4</v>
      </c>
      <c r="Q1396" s="91"/>
      <c r="S1396" s="91" t="s">
        <v>143</v>
      </c>
      <c r="T1396" s="91" t="s">
        <v>3908</v>
      </c>
      <c r="V1396" s="91" t="s">
        <v>155</v>
      </c>
      <c r="W1396" s="91" t="s">
        <v>180</v>
      </c>
    </row>
    <row r="1397" spans="1:23">
      <c r="A1397" s="93" t="str">
        <f>TEXT(tblProjectlist[[#This Row],[project-no]],"0")</f>
        <v>66120243</v>
      </c>
      <c r="H1397" s="91">
        <v>6612</v>
      </c>
      <c r="I1397" s="91">
        <v>2</v>
      </c>
      <c r="J1397" s="91">
        <v>4</v>
      </c>
      <c r="K1397" s="91" t="s">
        <v>882</v>
      </c>
      <c r="L1397" s="91" t="s">
        <v>197</v>
      </c>
      <c r="M1397" s="91" t="s">
        <v>1</v>
      </c>
      <c r="Q1397" s="91"/>
      <c r="S1397" s="91" t="s">
        <v>143</v>
      </c>
      <c r="T1397" s="91" t="s">
        <v>2762</v>
      </c>
      <c r="W1397" s="91" t="s">
        <v>180</v>
      </c>
    </row>
    <row r="1398" spans="1:23">
      <c r="A1398" s="93" t="str">
        <f>TEXT(tblProjectlist[[#This Row],[project-no]],"0")</f>
        <v>66130228</v>
      </c>
      <c r="H1398" s="91">
        <v>6613</v>
      </c>
      <c r="I1398" s="91">
        <v>2</v>
      </c>
      <c r="J1398" s="91">
        <v>2</v>
      </c>
      <c r="K1398" s="91" t="s">
        <v>883</v>
      </c>
      <c r="L1398" s="91" t="s">
        <v>64</v>
      </c>
      <c r="M1398" s="91" t="s">
        <v>4</v>
      </c>
      <c r="Q1398" s="91"/>
      <c r="S1398" s="91" t="s">
        <v>143</v>
      </c>
      <c r="T1398" s="91" t="s">
        <v>2763</v>
      </c>
      <c r="W1398" s="91" t="s">
        <v>180</v>
      </c>
    </row>
    <row r="1399" spans="1:23">
      <c r="A1399" s="93" t="str">
        <f>TEXT(tblProjectlist[[#This Row],[project-no]],"0")</f>
        <v>66130328</v>
      </c>
      <c r="H1399" s="91">
        <v>6613</v>
      </c>
      <c r="I1399" s="91">
        <v>3</v>
      </c>
      <c r="J1399" s="91">
        <v>2</v>
      </c>
      <c r="K1399" s="91" t="s">
        <v>884</v>
      </c>
      <c r="L1399" s="91" t="s">
        <v>62</v>
      </c>
      <c r="M1399" s="91" t="s">
        <v>4</v>
      </c>
      <c r="Q1399" s="91"/>
      <c r="S1399" s="91" t="s">
        <v>143</v>
      </c>
      <c r="T1399" s="91" t="s">
        <v>2764</v>
      </c>
      <c r="W1399" s="91" t="s">
        <v>180</v>
      </c>
    </row>
    <row r="1400" spans="1:23">
      <c r="A1400" s="93" t="str">
        <f>TEXT(tblProjectlist[[#This Row],[project-no]],"0")</f>
        <v>66140228</v>
      </c>
      <c r="H1400" s="91">
        <v>6614</v>
      </c>
      <c r="I1400" s="91">
        <v>2</v>
      </c>
      <c r="J1400" s="91">
        <v>2</v>
      </c>
      <c r="K1400" s="91" t="s">
        <v>885</v>
      </c>
      <c r="L1400" s="91" t="s">
        <v>2175</v>
      </c>
      <c r="M1400" s="91" t="s">
        <v>4</v>
      </c>
      <c r="Q1400" s="91"/>
      <c r="S1400" s="91" t="s">
        <v>143</v>
      </c>
      <c r="T1400" s="91" t="s">
        <v>2765</v>
      </c>
      <c r="V1400" s="91" t="s">
        <v>155</v>
      </c>
      <c r="W1400" s="91" t="s">
        <v>180</v>
      </c>
    </row>
    <row r="1401" spans="1:23">
      <c r="A1401" s="93" t="str">
        <f>TEXT(tblProjectlist[[#This Row],[project-no]],"0")</f>
        <v>66150241</v>
      </c>
      <c r="H1401" s="91">
        <v>6615</v>
      </c>
      <c r="I1401" s="91">
        <v>2</v>
      </c>
      <c r="J1401" s="91">
        <v>4</v>
      </c>
      <c r="K1401" s="91" t="s">
        <v>886</v>
      </c>
      <c r="L1401" s="91" t="s">
        <v>58</v>
      </c>
      <c r="M1401" s="91" t="s">
        <v>1</v>
      </c>
      <c r="Q1401" s="91"/>
      <c r="S1401" s="91" t="s">
        <v>143</v>
      </c>
      <c r="T1401" s="91" t="s">
        <v>2766</v>
      </c>
      <c r="V1401" s="91" t="s">
        <v>159</v>
      </c>
      <c r="W1401" s="91" t="s">
        <v>180</v>
      </c>
    </row>
    <row r="1402" spans="1:23">
      <c r="A1402" s="93" t="str">
        <f>TEXT(tblProjectlist[[#This Row],[project-no]],"0")</f>
        <v>66150243</v>
      </c>
      <c r="H1402" s="91">
        <v>6615</v>
      </c>
      <c r="I1402" s="91">
        <v>2</v>
      </c>
      <c r="J1402" s="91">
        <v>4</v>
      </c>
      <c r="K1402" s="91" t="s">
        <v>887</v>
      </c>
      <c r="L1402" s="91" t="s">
        <v>58</v>
      </c>
      <c r="M1402" s="91" t="s">
        <v>1</v>
      </c>
      <c r="Q1402" s="91"/>
      <c r="S1402" s="91" t="s">
        <v>143</v>
      </c>
      <c r="T1402" s="91" t="s">
        <v>2766</v>
      </c>
      <c r="V1402" s="91" t="s">
        <v>164</v>
      </c>
      <c r="W1402" s="91" t="s">
        <v>180</v>
      </c>
    </row>
    <row r="1403" spans="1:23">
      <c r="A1403" s="93" t="str">
        <f>TEXT(tblProjectlist[[#This Row],[project-no]],"0")</f>
        <v>66150244</v>
      </c>
      <c r="H1403" s="91">
        <v>6615</v>
      </c>
      <c r="I1403" s="91">
        <v>2</v>
      </c>
      <c r="J1403" s="91">
        <v>4</v>
      </c>
      <c r="K1403" s="91" t="s">
        <v>888</v>
      </c>
      <c r="L1403" s="91" t="s">
        <v>58</v>
      </c>
      <c r="M1403" s="91" t="s">
        <v>1</v>
      </c>
      <c r="Q1403" s="91"/>
      <c r="S1403" s="91" t="s">
        <v>143</v>
      </c>
      <c r="T1403" s="91" t="s">
        <v>2766</v>
      </c>
      <c r="V1403" s="91" t="s">
        <v>160</v>
      </c>
      <c r="W1403" s="91" t="s">
        <v>180</v>
      </c>
    </row>
    <row r="1404" spans="1:23">
      <c r="A1404" s="93" t="str">
        <f>TEXT(tblProjectlist[[#This Row],[project-no]],"0")</f>
        <v>66160228</v>
      </c>
      <c r="H1404" s="91">
        <v>6616</v>
      </c>
      <c r="I1404" s="91">
        <v>2</v>
      </c>
      <c r="J1404" s="91">
        <v>2</v>
      </c>
      <c r="K1404" s="91" t="s">
        <v>889</v>
      </c>
      <c r="L1404" s="91" t="s">
        <v>2175</v>
      </c>
      <c r="M1404" s="91" t="s">
        <v>4</v>
      </c>
      <c r="Q1404" s="91"/>
      <c r="S1404" s="91" t="s">
        <v>143</v>
      </c>
      <c r="T1404" s="91" t="s">
        <v>2767</v>
      </c>
      <c r="V1404" s="91" t="s">
        <v>155</v>
      </c>
      <c r="W1404" s="91" t="s">
        <v>180</v>
      </c>
    </row>
    <row r="1405" spans="1:23">
      <c r="A1405" s="93" t="str">
        <f>TEXT(tblProjectlist[[#This Row],[project-no]],"0")</f>
        <v>66170228</v>
      </c>
      <c r="H1405" s="91">
        <v>6617</v>
      </c>
      <c r="I1405" s="91">
        <v>2</v>
      </c>
      <c r="J1405" s="91">
        <v>2</v>
      </c>
      <c r="K1405" s="91" t="s">
        <v>890</v>
      </c>
      <c r="L1405" s="91" t="s">
        <v>2175</v>
      </c>
      <c r="M1405" s="91" t="s">
        <v>4</v>
      </c>
      <c r="Q1405" s="91"/>
      <c r="S1405" s="91" t="s">
        <v>143</v>
      </c>
      <c r="T1405" s="91" t="s">
        <v>2768</v>
      </c>
      <c r="V1405" s="91" t="s">
        <v>155</v>
      </c>
      <c r="W1405" s="91" t="s">
        <v>180</v>
      </c>
    </row>
    <row r="1406" spans="1:23">
      <c r="A1406" s="93" t="str">
        <f>TEXT(tblProjectlist[[#This Row],[project-no]],"0")</f>
        <v>66190316</v>
      </c>
      <c r="H1406" s="91">
        <v>6619</v>
      </c>
      <c r="I1406" s="91">
        <v>3</v>
      </c>
      <c r="J1406" s="91">
        <v>1</v>
      </c>
      <c r="K1406" s="91" t="s">
        <v>891</v>
      </c>
      <c r="L1406" s="91" t="s">
        <v>2175</v>
      </c>
      <c r="M1406" s="91" t="s">
        <v>0</v>
      </c>
      <c r="Q1406" s="91"/>
      <c r="S1406" s="91" t="s">
        <v>143</v>
      </c>
      <c r="T1406" s="91" t="s">
        <v>2769</v>
      </c>
      <c r="V1406" s="91" t="s">
        <v>168</v>
      </c>
      <c r="W1406" s="91" t="s">
        <v>180</v>
      </c>
    </row>
    <row r="1407" spans="1:23">
      <c r="A1407" s="93" t="str">
        <f>TEXT(tblProjectlist[[#This Row],[project-no]],"0")</f>
        <v>66190543</v>
      </c>
      <c r="H1407" s="91">
        <v>6619</v>
      </c>
      <c r="I1407" s="91">
        <v>5</v>
      </c>
      <c r="J1407" s="91">
        <v>4</v>
      </c>
      <c r="K1407" s="91" t="s">
        <v>892</v>
      </c>
      <c r="L1407" s="91" t="s">
        <v>58</v>
      </c>
      <c r="M1407" s="91" t="s">
        <v>1</v>
      </c>
      <c r="Q1407" s="91"/>
      <c r="S1407" s="91" t="s">
        <v>143</v>
      </c>
      <c r="T1407" s="91" t="s">
        <v>2770</v>
      </c>
      <c r="V1407" s="91" t="s">
        <v>164</v>
      </c>
      <c r="W1407" s="91" t="s">
        <v>180</v>
      </c>
    </row>
    <row r="1408" spans="1:23">
      <c r="A1408" s="93" t="str">
        <f>TEXT(tblProjectlist[[#This Row],[project-no]],"0")</f>
        <v>66190544</v>
      </c>
      <c r="H1408" s="91">
        <v>6619</v>
      </c>
      <c r="I1408" s="91">
        <v>5</v>
      </c>
      <c r="J1408" s="91">
        <v>4</v>
      </c>
      <c r="K1408" s="91" t="s">
        <v>893</v>
      </c>
      <c r="L1408" s="91" t="s">
        <v>58</v>
      </c>
      <c r="M1408" s="91" t="s">
        <v>1</v>
      </c>
      <c r="Q1408" s="91"/>
      <c r="S1408" s="91" t="s">
        <v>143</v>
      </c>
      <c r="T1408" s="91" t="s">
        <v>2770</v>
      </c>
      <c r="V1408" s="91" t="s">
        <v>160</v>
      </c>
      <c r="W1408" s="91" t="s">
        <v>180</v>
      </c>
    </row>
    <row r="1409" spans="1:23">
      <c r="A1409" s="93" t="str">
        <f>TEXT(tblProjectlist[[#This Row],[project-no]],"0")</f>
        <v>66190547</v>
      </c>
      <c r="H1409" s="91">
        <v>6619</v>
      </c>
      <c r="I1409" s="91">
        <v>5</v>
      </c>
      <c r="J1409" s="91">
        <v>4</v>
      </c>
      <c r="K1409" s="91" t="s">
        <v>894</v>
      </c>
      <c r="L1409" s="91" t="s">
        <v>58</v>
      </c>
      <c r="M1409" s="91" t="s">
        <v>1</v>
      </c>
      <c r="Q1409" s="91"/>
      <c r="S1409" s="91" t="s">
        <v>143</v>
      </c>
      <c r="T1409" s="91" t="s">
        <v>2770</v>
      </c>
      <c r="V1409" s="91" t="s">
        <v>162</v>
      </c>
      <c r="W1409" s="91" t="s">
        <v>180</v>
      </c>
    </row>
    <row r="1410" spans="1:23">
      <c r="A1410" s="93" t="str">
        <f>TEXT(tblProjectlist[[#This Row],[project-no]],"0")</f>
        <v>66190549</v>
      </c>
      <c r="H1410" s="91">
        <v>6619</v>
      </c>
      <c r="I1410" s="91">
        <v>5</v>
      </c>
      <c r="J1410" s="91">
        <v>4</v>
      </c>
      <c r="K1410" s="91" t="s">
        <v>895</v>
      </c>
      <c r="L1410" s="91" t="s">
        <v>58</v>
      </c>
      <c r="M1410" s="91" t="s">
        <v>1</v>
      </c>
      <c r="Q1410" s="91"/>
      <c r="S1410" s="91" t="s">
        <v>143</v>
      </c>
      <c r="T1410" s="91" t="s">
        <v>2770</v>
      </c>
      <c r="V1410" s="91" t="s">
        <v>158</v>
      </c>
      <c r="W1410" s="91" t="s">
        <v>180</v>
      </c>
    </row>
    <row r="1411" spans="1:23">
      <c r="A1411" s="93" t="str">
        <f>TEXT(tblProjectlist[[#This Row],[project-no]],"0")</f>
        <v>0</v>
      </c>
      <c r="H1411" s="91">
        <v>9963</v>
      </c>
      <c r="I1411" s="91">
        <v>58</v>
      </c>
      <c r="J1411" s="91">
        <v>1</v>
      </c>
      <c r="K1411" s="91"/>
      <c r="L1411" s="91" t="s">
        <v>2175</v>
      </c>
      <c r="M1411" s="91" t="s">
        <v>0</v>
      </c>
      <c r="Q1411" s="91"/>
      <c r="S1411" s="91" t="s">
        <v>143</v>
      </c>
      <c r="T1411" s="91" t="s">
        <v>3882</v>
      </c>
      <c r="W1411" s="91" t="s">
        <v>180</v>
      </c>
    </row>
    <row r="1412" spans="1:23">
      <c r="A1412" s="93" t="str">
        <f>TEXT(tblProjectlist[[#This Row],[project-no]],"0")</f>
        <v>0</v>
      </c>
      <c r="H1412" s="91">
        <v>9963</v>
      </c>
      <c r="I1412" s="91">
        <v>59</v>
      </c>
      <c r="J1412" s="91">
        <v>1</v>
      </c>
      <c r="K1412" s="91"/>
      <c r="L1412" s="91" t="s">
        <v>2175</v>
      </c>
      <c r="M1412" s="91" t="s">
        <v>0</v>
      </c>
      <c r="Q1412" s="91"/>
      <c r="S1412" s="91" t="s">
        <v>143</v>
      </c>
      <c r="T1412" s="91" t="s">
        <v>3895</v>
      </c>
      <c r="W1412" s="91" t="s">
        <v>180</v>
      </c>
    </row>
    <row r="1413" spans="1:23">
      <c r="A1413" s="93" t="str">
        <f>TEXT(tblProjectlist[[#This Row],[project-no]],"0")</f>
        <v>0</v>
      </c>
      <c r="H1413" s="91">
        <v>9963</v>
      </c>
      <c r="I1413" s="91">
        <v>60</v>
      </c>
      <c r="J1413" s="91">
        <v>1</v>
      </c>
      <c r="K1413" s="91"/>
      <c r="L1413" s="91" t="s">
        <v>2175</v>
      </c>
      <c r="M1413" s="91" t="s">
        <v>0</v>
      </c>
      <c r="Q1413" s="91"/>
      <c r="S1413" s="91" t="s">
        <v>143</v>
      </c>
      <c r="T1413" s="91" t="s">
        <v>3896</v>
      </c>
      <c r="V1413" s="91" t="s">
        <v>169</v>
      </c>
      <c r="W1413" s="91" t="s">
        <v>180</v>
      </c>
    </row>
    <row r="1414" spans="1:23">
      <c r="A1414" s="93" t="str">
        <f>TEXT(tblProjectlist[[#This Row],[project-no]],"0")</f>
        <v>99882611</v>
      </c>
      <c r="H1414" s="91">
        <v>9988</v>
      </c>
      <c r="I1414" s="91">
        <v>26</v>
      </c>
      <c r="J1414" s="91">
        <v>1</v>
      </c>
      <c r="K1414" s="91" t="s">
        <v>1446</v>
      </c>
      <c r="L1414" s="91" t="s">
        <v>2175</v>
      </c>
      <c r="M1414" s="91" t="s">
        <v>0</v>
      </c>
      <c r="Q1414" s="91"/>
      <c r="S1414" s="91" t="s">
        <v>143</v>
      </c>
      <c r="T1414" s="91" t="s">
        <v>3219</v>
      </c>
      <c r="V1414" s="91" t="s">
        <v>169</v>
      </c>
      <c r="W1414" s="91" t="s">
        <v>180</v>
      </c>
    </row>
    <row r="1415" spans="1:23">
      <c r="A1415" s="93" t="str">
        <f>TEXT(tblProjectlist[[#This Row],[project-no]],"0")</f>
        <v>99934511</v>
      </c>
      <c r="H1415" s="91">
        <v>9988</v>
      </c>
      <c r="I1415" s="91">
        <v>26</v>
      </c>
      <c r="J1415" s="91">
        <v>1</v>
      </c>
      <c r="K1415" s="91" t="s">
        <v>1587</v>
      </c>
      <c r="L1415" s="91" t="s">
        <v>2175</v>
      </c>
      <c r="M1415" s="91" t="s">
        <v>0</v>
      </c>
      <c r="Q1415" s="91"/>
      <c r="S1415" s="91" t="s">
        <v>143</v>
      </c>
      <c r="T1415" s="91" t="s">
        <v>3219</v>
      </c>
      <c r="V1415" s="91" t="s">
        <v>169</v>
      </c>
      <c r="W1415" s="91" t="s">
        <v>180</v>
      </c>
    </row>
    <row r="1416" spans="1:23">
      <c r="A1416" s="93" t="str">
        <f>TEXT(tblProjectlist[[#This Row],[project-no]],"0")</f>
        <v>99893711</v>
      </c>
      <c r="H1416" s="91">
        <v>9989</v>
      </c>
      <c r="I1416" s="91">
        <v>37</v>
      </c>
      <c r="J1416" s="91">
        <v>1</v>
      </c>
      <c r="K1416" s="91" t="s">
        <v>1462</v>
      </c>
      <c r="L1416" s="91" t="s">
        <v>2175</v>
      </c>
      <c r="M1416" s="91" t="s">
        <v>0</v>
      </c>
      <c r="Q1416" s="91"/>
      <c r="S1416" s="91" t="s">
        <v>143</v>
      </c>
      <c r="T1416" s="91" t="s">
        <v>3228</v>
      </c>
      <c r="V1416" s="91" t="s">
        <v>169</v>
      </c>
      <c r="W1416" s="91" t="s">
        <v>180</v>
      </c>
    </row>
    <row r="1417" spans="1:23">
      <c r="A1417" s="93" t="str">
        <f>TEXT(tblProjectlist[[#This Row],[project-no]],"0")</f>
        <v>99951911</v>
      </c>
      <c r="H1417" s="91">
        <v>9995</v>
      </c>
      <c r="I1417" s="91">
        <v>19</v>
      </c>
      <c r="J1417" s="91">
        <v>1</v>
      </c>
      <c r="K1417" s="91" t="s">
        <v>1634</v>
      </c>
      <c r="L1417" s="91" t="s">
        <v>2175</v>
      </c>
      <c r="M1417" s="91" t="s">
        <v>0</v>
      </c>
      <c r="Q1417" s="91"/>
      <c r="S1417" s="91" t="s">
        <v>143</v>
      </c>
      <c r="T1417" s="91" t="s">
        <v>3283</v>
      </c>
      <c r="V1417" s="91" t="s">
        <v>169</v>
      </c>
      <c r="W1417" s="91" t="s">
        <v>180</v>
      </c>
    </row>
    <row r="1418" spans="1:23">
      <c r="A1418" s="93" t="str">
        <f>TEXT(tblProjectlist[[#This Row],[project-no]],"0")</f>
        <v>99954013</v>
      </c>
      <c r="H1418" s="91">
        <v>9995</v>
      </c>
      <c r="I1418" s="91">
        <v>40</v>
      </c>
      <c r="J1418" s="91">
        <v>1</v>
      </c>
      <c r="K1418" s="91" t="s">
        <v>1654</v>
      </c>
      <c r="L1418" s="91" t="s">
        <v>2175</v>
      </c>
      <c r="M1418" s="91" t="s">
        <v>0</v>
      </c>
      <c r="Q1418" s="91"/>
      <c r="S1418" s="91" t="s">
        <v>143</v>
      </c>
      <c r="T1418" s="91" t="s">
        <v>3298</v>
      </c>
      <c r="V1418" s="91" t="s">
        <v>167</v>
      </c>
      <c r="W1418" s="91" t="s">
        <v>180</v>
      </c>
    </row>
    <row r="1419" spans="1:23">
      <c r="A1419" s="93" t="str">
        <f>TEXT(tblProjectlist[[#This Row],[project-no]],"0")</f>
        <v>99955811</v>
      </c>
      <c r="H1419" s="91">
        <v>9995</v>
      </c>
      <c r="I1419" s="91">
        <v>58</v>
      </c>
      <c r="J1419" s="91">
        <v>1</v>
      </c>
      <c r="K1419" s="91" t="s">
        <v>1672</v>
      </c>
      <c r="L1419" s="91" t="s">
        <v>2175</v>
      </c>
      <c r="M1419" s="91" t="s">
        <v>0</v>
      </c>
      <c r="Q1419" s="91"/>
      <c r="S1419" s="91" t="s">
        <v>143</v>
      </c>
      <c r="T1419" s="91" t="s">
        <v>3311</v>
      </c>
      <c r="V1419" s="91" t="s">
        <v>169</v>
      </c>
      <c r="W1419" s="91" t="s">
        <v>180</v>
      </c>
    </row>
    <row r="1420" spans="1:23">
      <c r="A1420" s="93" t="str">
        <f>TEXT(tblProjectlist[[#This Row],[project-no]],"0")</f>
        <v>99955813</v>
      </c>
      <c r="H1420" s="91">
        <v>9995</v>
      </c>
      <c r="I1420" s="91">
        <v>58</v>
      </c>
      <c r="J1420" s="91">
        <v>1</v>
      </c>
      <c r="K1420" s="91" t="s">
        <v>1673</v>
      </c>
      <c r="L1420" s="91" t="s">
        <v>2175</v>
      </c>
      <c r="M1420" s="91" t="s">
        <v>0</v>
      </c>
      <c r="Q1420" s="91"/>
      <c r="S1420" s="91" t="s">
        <v>143</v>
      </c>
      <c r="T1420" s="91" t="s">
        <v>3311</v>
      </c>
      <c r="V1420" s="91" t="s">
        <v>167</v>
      </c>
      <c r="W1420" s="91" t="s">
        <v>180</v>
      </c>
    </row>
    <row r="1421" spans="1:23">
      <c r="A1421" s="93" t="str">
        <f>TEXT(tblProjectlist[[#This Row],[project-no]],"0")</f>
        <v>99956713</v>
      </c>
      <c r="H1421" s="91">
        <v>9995</v>
      </c>
      <c r="I1421" s="91">
        <v>67</v>
      </c>
      <c r="J1421" s="91">
        <v>1</v>
      </c>
      <c r="K1421" s="91" t="s">
        <v>1683</v>
      </c>
      <c r="L1421" s="91" t="s">
        <v>2175</v>
      </c>
      <c r="M1421" s="91" t="s">
        <v>0</v>
      </c>
      <c r="Q1421" s="91"/>
      <c r="S1421" s="91" t="s">
        <v>143</v>
      </c>
      <c r="T1421" s="91" t="s">
        <v>3320</v>
      </c>
      <c r="V1421" s="91" t="s">
        <v>167</v>
      </c>
      <c r="W1421" s="91" t="s">
        <v>180</v>
      </c>
    </row>
    <row r="1422" spans="1:23">
      <c r="A1422" s="93" t="str">
        <f>TEXT(tblProjectlist[[#This Row],[project-no]],"0")</f>
        <v>99958016</v>
      </c>
      <c r="H1422" s="91">
        <v>9995</v>
      </c>
      <c r="I1422" s="91">
        <v>80</v>
      </c>
      <c r="J1422" s="91">
        <v>1</v>
      </c>
      <c r="K1422" s="91" t="s">
        <v>1701</v>
      </c>
      <c r="L1422" s="91" t="s">
        <v>2175</v>
      </c>
      <c r="M1422" s="91" t="s">
        <v>0</v>
      </c>
      <c r="Q1422" s="91"/>
      <c r="S1422" s="91" t="s">
        <v>143</v>
      </c>
      <c r="T1422" s="91" t="s">
        <v>3332</v>
      </c>
      <c r="V1422" s="91" t="s">
        <v>168</v>
      </c>
      <c r="W1422" s="91" t="s">
        <v>180</v>
      </c>
    </row>
    <row r="1423" spans="1:23">
      <c r="A1423" s="93" t="str">
        <f>TEXT(tblProjectlist[[#This Row],[project-no]],"0")</f>
        <v>89139243</v>
      </c>
      <c r="H1423" s="91">
        <v>8913</v>
      </c>
      <c r="I1423" s="91">
        <v>2</v>
      </c>
      <c r="J1423" s="91">
        <v>4</v>
      </c>
      <c r="K1423" s="91">
        <v>89139243</v>
      </c>
      <c r="L1423" s="91" t="s">
        <v>197</v>
      </c>
      <c r="M1423" s="91" t="s">
        <v>1</v>
      </c>
      <c r="Q1423" s="91"/>
      <c r="S1423" s="91" t="s">
        <v>143</v>
      </c>
      <c r="T1423" s="91" t="s">
        <v>4017</v>
      </c>
      <c r="V1423" s="91" t="s">
        <v>164</v>
      </c>
      <c r="W1423" s="91" t="s">
        <v>180</v>
      </c>
    </row>
    <row r="1424" spans="1:23">
      <c r="A1424" s="93" t="str">
        <f>TEXT(tblProjectlist[[#This Row],[project-no]],"0")</f>
        <v>0</v>
      </c>
      <c r="H1424" s="91">
        <v>2010</v>
      </c>
      <c r="I1424" s="91">
        <v>4</v>
      </c>
      <c r="J1424" s="91">
        <v>2</v>
      </c>
      <c r="K1424" s="91"/>
      <c r="L1424" s="91" t="s">
        <v>64</v>
      </c>
      <c r="M1424" s="91" t="s">
        <v>4</v>
      </c>
      <c r="Q1424" s="91"/>
      <c r="S1424" s="91" t="s">
        <v>143</v>
      </c>
      <c r="T1424" s="91" t="s">
        <v>4439</v>
      </c>
      <c r="V1424" s="91" t="s">
        <v>155</v>
      </c>
      <c r="W1424" s="91" t="s">
        <v>180</v>
      </c>
    </row>
    <row r="1425" spans="1:23">
      <c r="A1425" s="93" t="str">
        <f>TEXT(tblProjectlist[[#This Row],[project-no]],"0")</f>
        <v>20100328</v>
      </c>
      <c r="H1425" s="91">
        <v>2010</v>
      </c>
      <c r="I1425" s="91">
        <v>3</v>
      </c>
      <c r="J1425" s="91">
        <v>2</v>
      </c>
      <c r="K1425" s="91" t="s">
        <v>461</v>
      </c>
      <c r="L1425" s="91" t="s">
        <v>64</v>
      </c>
      <c r="M1425" s="91" t="s">
        <v>4</v>
      </c>
      <c r="Q1425" s="91"/>
      <c r="S1425" s="91" t="s">
        <v>143</v>
      </c>
      <c r="T1425" s="91" t="s">
        <v>2405</v>
      </c>
      <c r="W1425" s="91" t="s">
        <v>180</v>
      </c>
    </row>
    <row r="1426" spans="1:23">
      <c r="A1426" s="93" t="str">
        <f>TEXT(tblProjectlist[[#This Row],[project-no]],"0")</f>
        <v>0</v>
      </c>
      <c r="H1426" s="91">
        <v>8096</v>
      </c>
      <c r="I1426" s="91">
        <v>4</v>
      </c>
      <c r="J1426" s="91">
        <v>2</v>
      </c>
      <c r="K1426" s="91"/>
      <c r="L1426" s="91" t="s">
        <v>2175</v>
      </c>
      <c r="M1426" s="91" t="s">
        <v>4</v>
      </c>
      <c r="Q1426" s="91"/>
      <c r="S1426" s="91" t="s">
        <v>143</v>
      </c>
      <c r="T1426" s="91" t="s">
        <v>4012</v>
      </c>
      <c r="V1426" s="91" t="s">
        <v>155</v>
      </c>
      <c r="W1426" s="91" t="s">
        <v>180</v>
      </c>
    </row>
    <row r="1427" spans="1:23">
      <c r="A1427" s="93" t="str">
        <f>TEXT(tblProjectlist[[#This Row],[project-no]],"0")</f>
        <v>0</v>
      </c>
      <c r="H1427" s="91">
        <v>8096</v>
      </c>
      <c r="I1427" s="91">
        <v>5</v>
      </c>
      <c r="J1427" s="91">
        <v>2</v>
      </c>
      <c r="K1427" s="91"/>
      <c r="L1427" s="91" t="s">
        <v>2175</v>
      </c>
      <c r="M1427" s="91" t="s">
        <v>4</v>
      </c>
      <c r="Q1427" s="91"/>
      <c r="S1427" s="91" t="s">
        <v>143</v>
      </c>
      <c r="T1427" s="91" t="s">
        <v>4013</v>
      </c>
      <c r="V1427" s="91" t="s">
        <v>155</v>
      </c>
      <c r="W1427" s="91" t="s">
        <v>180</v>
      </c>
    </row>
    <row r="1428" spans="1:23">
      <c r="A1428" s="93" t="str">
        <f>TEXT(tblProjectlist[[#This Row],[project-no]],"0")</f>
        <v>80960328</v>
      </c>
      <c r="H1428" s="91">
        <v>8096</v>
      </c>
      <c r="I1428" s="91">
        <v>3</v>
      </c>
      <c r="J1428" s="91">
        <v>2</v>
      </c>
      <c r="K1428" s="91" t="s">
        <v>1214</v>
      </c>
      <c r="L1428" s="91" t="s">
        <v>2175</v>
      </c>
      <c r="M1428" s="91" t="s">
        <v>4</v>
      </c>
      <c r="Q1428" s="91"/>
      <c r="S1428" s="91" t="s">
        <v>143</v>
      </c>
      <c r="T1428" s="91" t="s">
        <v>3065</v>
      </c>
      <c r="V1428" s="91" t="s">
        <v>155</v>
      </c>
      <c r="W1428" s="91" t="s">
        <v>180</v>
      </c>
    </row>
    <row r="1429" spans="1:23">
      <c r="A1429" s="93" t="str">
        <f>TEXT(tblProjectlist[[#This Row],[project-no]],"0")</f>
        <v>29260126</v>
      </c>
      <c r="H1429" s="91">
        <v>2926</v>
      </c>
      <c r="I1429" s="91">
        <v>1</v>
      </c>
      <c r="J1429" s="91">
        <v>2</v>
      </c>
      <c r="K1429" s="91" t="s">
        <v>611</v>
      </c>
      <c r="L1429" s="91" t="s">
        <v>2175</v>
      </c>
      <c r="M1429" s="91" t="s">
        <v>4</v>
      </c>
      <c r="Q1429" s="91"/>
      <c r="S1429" s="91" t="s">
        <v>143</v>
      </c>
      <c r="T1429" s="91" t="s">
        <v>2522</v>
      </c>
      <c r="V1429" s="91" t="s">
        <v>155</v>
      </c>
      <c r="W1429" s="91" t="s">
        <v>180</v>
      </c>
    </row>
    <row r="1430" spans="1:23">
      <c r="A1430" s="93" t="str">
        <f>TEXT(tblProjectlist[[#This Row],[project-no]],"0")</f>
        <v>29260128</v>
      </c>
      <c r="H1430" s="91">
        <v>2926</v>
      </c>
      <c r="I1430" s="91">
        <v>1</v>
      </c>
      <c r="J1430" s="91">
        <v>2</v>
      </c>
      <c r="K1430" s="91" t="s">
        <v>612</v>
      </c>
      <c r="L1430" s="91" t="s">
        <v>2175</v>
      </c>
      <c r="M1430" s="91" t="s">
        <v>4</v>
      </c>
      <c r="Q1430" s="91"/>
      <c r="S1430" s="91" t="s">
        <v>143</v>
      </c>
      <c r="T1430" s="91" t="s">
        <v>2522</v>
      </c>
      <c r="V1430" s="91" t="s">
        <v>155</v>
      </c>
      <c r="W1430" s="91" t="s">
        <v>180</v>
      </c>
    </row>
    <row r="1431" spans="1:23">
      <c r="A1431" s="93" t="str">
        <f>TEXT(tblProjectlist[[#This Row],[project-no]],"0")</f>
        <v>29261128</v>
      </c>
      <c r="H1431" s="91">
        <v>2926</v>
      </c>
      <c r="I1431" s="91">
        <v>11</v>
      </c>
      <c r="J1431" s="91">
        <v>2</v>
      </c>
      <c r="K1431" s="91" t="s">
        <v>613</v>
      </c>
      <c r="L1431" s="91" t="s">
        <v>64</v>
      </c>
      <c r="M1431" s="91" t="s">
        <v>4</v>
      </c>
      <c r="Q1431" s="91"/>
      <c r="S1431" s="91" t="s">
        <v>143</v>
      </c>
      <c r="T1431" s="91" t="s">
        <v>2523</v>
      </c>
      <c r="W1431" s="91" t="s">
        <v>180</v>
      </c>
    </row>
    <row r="1432" spans="1:23">
      <c r="A1432" s="93" t="str">
        <f>TEXT(tblProjectlist[[#This Row],[project-no]],"0")</f>
        <v>29261228</v>
      </c>
      <c r="H1432" s="91">
        <v>2926</v>
      </c>
      <c r="I1432" s="91">
        <v>12</v>
      </c>
      <c r="J1432" s="91">
        <v>2</v>
      </c>
      <c r="K1432" s="91" t="s">
        <v>614</v>
      </c>
      <c r="L1432" s="91" t="s">
        <v>64</v>
      </c>
      <c r="M1432" s="91" t="s">
        <v>4</v>
      </c>
      <c r="Q1432" s="91"/>
      <c r="S1432" s="91" t="s">
        <v>143</v>
      </c>
      <c r="T1432" s="91" t="s">
        <v>2524</v>
      </c>
      <c r="V1432" s="91" t="s">
        <v>155</v>
      </c>
      <c r="W1432" s="91" t="s">
        <v>180</v>
      </c>
    </row>
    <row r="1433" spans="1:23">
      <c r="A1433" s="93" t="str">
        <f>TEXT(tblProjectlist[[#This Row],[project-no]],"0")</f>
        <v>0</v>
      </c>
      <c r="H1433" s="91">
        <v>2926</v>
      </c>
      <c r="I1433" s="91">
        <v>13</v>
      </c>
      <c r="J1433" s="91">
        <v>2</v>
      </c>
      <c r="K1433" s="91"/>
      <c r="L1433" s="91" t="s">
        <v>64</v>
      </c>
      <c r="M1433" s="91" t="s">
        <v>4</v>
      </c>
      <c r="Q1433" s="91"/>
      <c r="S1433" s="91" t="s">
        <v>143</v>
      </c>
      <c r="T1433" s="91" t="s">
        <v>3599</v>
      </c>
      <c r="V1433" s="91" t="s">
        <v>155</v>
      </c>
      <c r="W1433" s="91" t="s">
        <v>180</v>
      </c>
    </row>
    <row r="1434" spans="1:23">
      <c r="A1434" s="93" t="str">
        <f>TEXT(tblProjectlist[[#This Row],[project-no]],"0")</f>
        <v>0</v>
      </c>
      <c r="H1434" s="91">
        <v>2926</v>
      </c>
      <c r="I1434" s="91">
        <v>14</v>
      </c>
      <c r="J1434" s="91">
        <v>2</v>
      </c>
      <c r="K1434" s="91"/>
      <c r="L1434" s="91" t="s">
        <v>2175</v>
      </c>
      <c r="M1434" s="91" t="s">
        <v>4</v>
      </c>
      <c r="Q1434" s="91"/>
      <c r="S1434" s="91" t="s">
        <v>143</v>
      </c>
      <c r="T1434" s="91" t="s">
        <v>4627</v>
      </c>
      <c r="V1434" s="91" t="s">
        <v>155</v>
      </c>
      <c r="W1434" s="91" t="s">
        <v>180</v>
      </c>
    </row>
    <row r="1435" spans="1:23">
      <c r="A1435" s="93" t="str">
        <f>TEXT(tblProjectlist[[#This Row],[project-no]],"0")</f>
        <v>20580228</v>
      </c>
      <c r="H1435" s="91">
        <v>2058</v>
      </c>
      <c r="I1435" s="91">
        <v>2</v>
      </c>
      <c r="J1435" s="91">
        <v>2</v>
      </c>
      <c r="K1435" s="91" t="s">
        <v>507</v>
      </c>
      <c r="L1435" s="91" t="s">
        <v>197</v>
      </c>
      <c r="M1435" s="91" t="s">
        <v>4</v>
      </c>
      <c r="Q1435" s="91"/>
      <c r="S1435" s="91" t="s">
        <v>143</v>
      </c>
      <c r="T1435" s="91" t="s">
        <v>2443</v>
      </c>
      <c r="W1435" s="91" t="s">
        <v>180</v>
      </c>
    </row>
    <row r="1436" spans="1:23">
      <c r="A1436" s="93" t="str">
        <f>TEXT(tblProjectlist[[#This Row],[project-no]],"0")</f>
        <v>0</v>
      </c>
      <c r="H1436" s="91">
        <v>3037</v>
      </c>
      <c r="I1436" s="91">
        <v>8</v>
      </c>
      <c r="J1436" s="91">
        <v>2</v>
      </c>
      <c r="K1436" s="91"/>
      <c r="L1436" s="91" t="s">
        <v>2175</v>
      </c>
      <c r="M1436" s="91" t="s">
        <v>4</v>
      </c>
      <c r="Q1436" s="91"/>
      <c r="S1436" s="91" t="s">
        <v>143</v>
      </c>
      <c r="T1436" s="91" t="s">
        <v>3851</v>
      </c>
      <c r="V1436" s="91" t="s">
        <v>155</v>
      </c>
      <c r="W1436" s="91" t="s">
        <v>180</v>
      </c>
    </row>
    <row r="1437" spans="1:23">
      <c r="A1437" s="93" t="str">
        <f>TEXT(tblProjectlist[[#This Row],[project-no]],"0")</f>
        <v>30370728</v>
      </c>
      <c r="H1437" s="91">
        <v>3037</v>
      </c>
      <c r="I1437" s="91">
        <v>7</v>
      </c>
      <c r="J1437" s="91">
        <v>2</v>
      </c>
      <c r="K1437" s="91" t="s">
        <v>648</v>
      </c>
      <c r="L1437" s="91" t="s">
        <v>2175</v>
      </c>
      <c r="M1437" s="91" t="s">
        <v>4</v>
      </c>
      <c r="Q1437" s="91"/>
      <c r="S1437" s="91" t="s">
        <v>143</v>
      </c>
      <c r="T1437" s="91" t="s">
        <v>2552</v>
      </c>
      <c r="V1437" s="91" t="s">
        <v>155</v>
      </c>
      <c r="W1437" s="91" t="s">
        <v>180</v>
      </c>
    </row>
    <row r="1438" spans="1:23">
      <c r="A1438" s="93" t="str">
        <f>TEXT(tblProjectlist[[#This Row],[project-no]],"0")</f>
        <v>0</v>
      </c>
      <c r="H1438" s="91">
        <v>3081</v>
      </c>
      <c r="I1438" s="91">
        <v>34</v>
      </c>
      <c r="J1438" s="91">
        <v>1</v>
      </c>
      <c r="K1438" s="91"/>
      <c r="L1438" s="91" t="s">
        <v>2175</v>
      </c>
      <c r="M1438" s="91" t="s">
        <v>0</v>
      </c>
      <c r="Q1438" s="91"/>
      <c r="S1438" s="91" t="s">
        <v>143</v>
      </c>
      <c r="T1438" s="91" t="s">
        <v>4568</v>
      </c>
      <c r="V1438" s="91" t="s">
        <v>169</v>
      </c>
      <c r="W1438" s="91" t="s">
        <v>180</v>
      </c>
    </row>
    <row r="1439" spans="1:23">
      <c r="A1439" s="93" t="str">
        <f>TEXT(tblProjectlist[[#This Row],[project-no]],"0")</f>
        <v>0</v>
      </c>
      <c r="H1439" s="91">
        <v>3081</v>
      </c>
      <c r="I1439" s="91">
        <v>34</v>
      </c>
      <c r="J1439" s="91">
        <v>1</v>
      </c>
      <c r="K1439" s="91"/>
      <c r="L1439" s="91" t="s">
        <v>2175</v>
      </c>
      <c r="M1439" s="91" t="s">
        <v>0</v>
      </c>
      <c r="Q1439" s="91"/>
      <c r="S1439" s="91" t="s">
        <v>143</v>
      </c>
      <c r="T1439" s="91" t="s">
        <v>4568</v>
      </c>
      <c r="V1439" s="91" t="s">
        <v>168</v>
      </c>
      <c r="W1439" s="91" t="s">
        <v>180</v>
      </c>
    </row>
    <row r="1440" spans="1:23">
      <c r="A1440" s="93" t="str">
        <f>TEXT(tblProjectlist[[#This Row],[project-no]],"0")</f>
        <v>60870228</v>
      </c>
      <c r="H1440" s="91">
        <v>6087</v>
      </c>
      <c r="I1440" s="91">
        <v>3</v>
      </c>
      <c r="J1440" s="91">
        <v>2</v>
      </c>
      <c r="K1440" s="91" t="s">
        <v>4303</v>
      </c>
      <c r="L1440" s="91" t="s">
        <v>2175</v>
      </c>
      <c r="M1440" s="91" t="s">
        <v>4</v>
      </c>
      <c r="Q1440" s="91"/>
      <c r="S1440" s="91" t="s">
        <v>143</v>
      </c>
      <c r="T1440" s="91" t="s">
        <v>4330</v>
      </c>
      <c r="V1440" s="91" t="s">
        <v>155</v>
      </c>
      <c r="W1440" s="91" t="s">
        <v>180</v>
      </c>
    </row>
    <row r="1441" spans="1:23">
      <c r="A1441" s="93" t="str">
        <f>TEXT(tblProjectlist[[#This Row],[project-no]],"0")</f>
        <v>0</v>
      </c>
      <c r="H1441" s="91">
        <v>7520</v>
      </c>
      <c r="I1441" s="91">
        <v>4</v>
      </c>
      <c r="J1441" s="91">
        <v>2</v>
      </c>
      <c r="K1441" s="91"/>
      <c r="L1441" s="91" t="s">
        <v>2175</v>
      </c>
      <c r="M1441" s="91" t="s">
        <v>4</v>
      </c>
      <c r="Q1441" s="91"/>
      <c r="S1441" s="91" t="s">
        <v>143</v>
      </c>
      <c r="T1441" s="91" t="s">
        <v>3694</v>
      </c>
      <c r="V1441" s="91" t="s">
        <v>155</v>
      </c>
      <c r="W1441" s="91" t="s">
        <v>180</v>
      </c>
    </row>
    <row r="1442" spans="1:23">
      <c r="A1442" s="93" t="str">
        <f>TEXT(tblProjectlist[[#This Row],[project-no]],"0")</f>
        <v>0</v>
      </c>
      <c r="H1442" s="91">
        <v>2100</v>
      </c>
      <c r="I1442" s="91">
        <v>2</v>
      </c>
      <c r="J1442" s="91">
        <v>2</v>
      </c>
      <c r="K1442" s="91"/>
      <c r="L1442" s="91" t="s">
        <v>2175</v>
      </c>
      <c r="M1442" s="91" t="s">
        <v>4</v>
      </c>
      <c r="Q1442" s="91"/>
      <c r="S1442" s="91" t="s">
        <v>143</v>
      </c>
      <c r="T1442" s="91" t="s">
        <v>4265</v>
      </c>
      <c r="V1442" s="91" t="s">
        <v>155</v>
      </c>
      <c r="W1442" s="91" t="s">
        <v>180</v>
      </c>
    </row>
    <row r="1443" spans="1:23">
      <c r="A1443" s="93" t="str">
        <f>TEXT(tblProjectlist[[#This Row],[project-no]],"0")</f>
        <v>0</v>
      </c>
      <c r="H1443" s="91">
        <v>2100</v>
      </c>
      <c r="I1443" s="91">
        <v>3</v>
      </c>
      <c r="J1443" s="91">
        <v>2</v>
      </c>
      <c r="K1443" s="91"/>
      <c r="L1443" s="91" t="s">
        <v>2175</v>
      </c>
      <c r="M1443" s="91" t="s">
        <v>4</v>
      </c>
      <c r="Q1443" s="91"/>
      <c r="S1443" s="91" t="s">
        <v>143</v>
      </c>
      <c r="T1443" s="91" t="s">
        <v>4331</v>
      </c>
      <c r="V1443" s="91" t="s">
        <v>155</v>
      </c>
      <c r="W1443" s="91" t="s">
        <v>180</v>
      </c>
    </row>
    <row r="1444" spans="1:23">
      <c r="A1444" s="93" t="str">
        <f>TEXT(tblProjectlist[[#This Row],[project-no]],"0")</f>
        <v>70120217</v>
      </c>
      <c r="H1444" s="91">
        <v>7012</v>
      </c>
      <c r="I1444" s="91">
        <v>2</v>
      </c>
      <c r="J1444" s="91">
        <v>1</v>
      </c>
      <c r="K1444" s="91" t="s">
        <v>929</v>
      </c>
      <c r="L1444" s="91" t="s">
        <v>197</v>
      </c>
      <c r="M1444" s="91" t="s">
        <v>0</v>
      </c>
      <c r="Q1444" s="91"/>
      <c r="S1444" s="91" t="s">
        <v>143</v>
      </c>
      <c r="T1444" s="91" t="s">
        <v>2803</v>
      </c>
      <c r="V1444" s="91" t="s">
        <v>168</v>
      </c>
      <c r="W1444" s="91" t="s">
        <v>180</v>
      </c>
    </row>
    <row r="1445" spans="1:23">
      <c r="A1445" s="93" t="str">
        <f>TEXT(tblProjectlist[[#This Row],[project-no]],"0")</f>
        <v>70120311</v>
      </c>
      <c r="H1445" s="91">
        <v>7012</v>
      </c>
      <c r="I1445" s="91">
        <v>3</v>
      </c>
      <c r="J1445" s="91">
        <v>1</v>
      </c>
      <c r="K1445" s="91" t="s">
        <v>930</v>
      </c>
      <c r="L1445" s="91" t="s">
        <v>197</v>
      </c>
      <c r="M1445" s="91" t="s">
        <v>0</v>
      </c>
      <c r="Q1445" s="91"/>
      <c r="S1445" s="91" t="s">
        <v>143</v>
      </c>
      <c r="T1445" s="91" t="s">
        <v>2804</v>
      </c>
      <c r="V1445" s="91" t="s">
        <v>169</v>
      </c>
      <c r="W1445" s="91" t="s">
        <v>180</v>
      </c>
    </row>
    <row r="1446" spans="1:23">
      <c r="A1446" s="93" t="str">
        <f>TEXT(tblProjectlist[[#This Row],[project-no]],"0")</f>
        <v>70120316</v>
      </c>
      <c r="H1446" s="91">
        <v>7012</v>
      </c>
      <c r="I1446" s="91">
        <v>3</v>
      </c>
      <c r="J1446" s="91">
        <v>1</v>
      </c>
      <c r="K1446" s="91" t="s">
        <v>931</v>
      </c>
      <c r="L1446" s="91" t="s">
        <v>197</v>
      </c>
      <c r="M1446" s="91" t="s">
        <v>0</v>
      </c>
      <c r="Q1446" s="91"/>
      <c r="S1446" s="91" t="s">
        <v>143</v>
      </c>
      <c r="T1446" s="91" t="s">
        <v>2804</v>
      </c>
      <c r="V1446" s="91" t="s">
        <v>168</v>
      </c>
      <c r="W1446" s="91" t="s">
        <v>180</v>
      </c>
    </row>
    <row r="1447" spans="1:23">
      <c r="A1447" s="93" t="str">
        <f>TEXT(tblProjectlist[[#This Row],[project-no]],"0")</f>
        <v>60980228</v>
      </c>
      <c r="H1447" s="91">
        <v>6098</v>
      </c>
      <c r="I1447" s="91">
        <v>2</v>
      </c>
      <c r="J1447" s="91">
        <v>2</v>
      </c>
      <c r="K1447" s="91" t="s">
        <v>829</v>
      </c>
      <c r="L1447" s="91" t="s">
        <v>62</v>
      </c>
      <c r="M1447" s="91" t="s">
        <v>4</v>
      </c>
      <c r="Q1447" s="91"/>
      <c r="S1447" s="91" t="s">
        <v>143</v>
      </c>
      <c r="T1447" s="91" t="s">
        <v>2715</v>
      </c>
      <c r="W1447" s="91" t="s">
        <v>180</v>
      </c>
    </row>
    <row r="1448" spans="1:23">
      <c r="A1448" s="93" t="str">
        <f>TEXT(tblProjectlist[[#This Row],[project-no]],"0")</f>
        <v>0</v>
      </c>
      <c r="H1448" s="91">
        <v>6098</v>
      </c>
      <c r="I1448" s="91">
        <v>3</v>
      </c>
      <c r="J1448" s="91">
        <v>2</v>
      </c>
      <c r="K1448" s="91"/>
      <c r="L1448" s="91" t="s">
        <v>197</v>
      </c>
      <c r="M1448" s="91" t="s">
        <v>4</v>
      </c>
      <c r="Q1448" s="91"/>
      <c r="S1448" s="91" t="s">
        <v>143</v>
      </c>
      <c r="T1448" s="91" t="s">
        <v>4080</v>
      </c>
      <c r="V1448" s="91" t="s">
        <v>155</v>
      </c>
      <c r="W1448" s="91" t="s">
        <v>180</v>
      </c>
    </row>
    <row r="1449" spans="1:23">
      <c r="A1449" s="93" t="str">
        <f>TEXT(tblProjectlist[[#This Row],[project-no]],"0")</f>
        <v>0</v>
      </c>
      <c r="H1449" s="91">
        <v>7801</v>
      </c>
      <c r="I1449" s="91">
        <v>2</v>
      </c>
      <c r="J1449" s="91">
        <v>2</v>
      </c>
      <c r="K1449" s="91"/>
      <c r="L1449" s="91" t="s">
        <v>62</v>
      </c>
      <c r="M1449" s="91" t="s">
        <v>4</v>
      </c>
      <c r="Q1449" s="91"/>
      <c r="S1449" s="91" t="s">
        <v>143</v>
      </c>
      <c r="T1449" s="91" t="s">
        <v>3701</v>
      </c>
      <c r="V1449" s="91" t="s">
        <v>155</v>
      </c>
      <c r="W1449" s="91" t="s">
        <v>180</v>
      </c>
    </row>
    <row r="1450" spans="1:23">
      <c r="A1450" s="93" t="str">
        <f>TEXT(tblProjectlist[[#This Row],[project-no]],"0")</f>
        <v>0</v>
      </c>
      <c r="H1450" s="91">
        <v>7802</v>
      </c>
      <c r="I1450" s="91">
        <v>57</v>
      </c>
      <c r="J1450" s="91">
        <v>2</v>
      </c>
      <c r="K1450" s="91"/>
      <c r="L1450" s="91" t="s">
        <v>2175</v>
      </c>
      <c r="M1450" s="91" t="s">
        <v>4</v>
      </c>
      <c r="Q1450" s="91"/>
      <c r="S1450" s="91" t="s">
        <v>143</v>
      </c>
      <c r="T1450" s="91" t="s">
        <v>4350</v>
      </c>
      <c r="V1450" s="91" t="s">
        <v>155</v>
      </c>
      <c r="W1450" s="91" t="s">
        <v>180</v>
      </c>
    </row>
    <row r="1451" spans="1:23">
      <c r="A1451" s="93" t="str">
        <f>TEXT(tblProjectlist[[#This Row],[project-no]],"0")</f>
        <v>0</v>
      </c>
      <c r="H1451" s="91">
        <v>7802</v>
      </c>
      <c r="I1451" s="91">
        <v>58</v>
      </c>
      <c r="J1451" s="91">
        <v>2</v>
      </c>
      <c r="K1451" s="91"/>
      <c r="L1451" s="91" t="s">
        <v>2175</v>
      </c>
      <c r="M1451" s="91" t="s">
        <v>4</v>
      </c>
      <c r="Q1451" s="91"/>
      <c r="S1451" s="91" t="s">
        <v>143</v>
      </c>
      <c r="T1451" s="91" t="s">
        <v>4351</v>
      </c>
      <c r="V1451" s="91" t="s">
        <v>155</v>
      </c>
      <c r="W1451" s="91" t="s">
        <v>180</v>
      </c>
    </row>
    <row r="1452" spans="1:23">
      <c r="A1452" s="93" t="str">
        <f>TEXT(tblProjectlist[[#This Row],[project-no]],"0")</f>
        <v>0</v>
      </c>
      <c r="H1452" s="91">
        <v>7802</v>
      </c>
      <c r="I1452" s="91">
        <v>59</v>
      </c>
      <c r="J1452" s="91">
        <v>2</v>
      </c>
      <c r="K1452" s="91"/>
      <c r="L1452" s="91" t="s">
        <v>2175</v>
      </c>
      <c r="M1452" s="91" t="s">
        <v>4</v>
      </c>
      <c r="Q1452" s="91"/>
      <c r="S1452" s="91" t="s">
        <v>143</v>
      </c>
      <c r="T1452" s="91" t="s">
        <v>4391</v>
      </c>
      <c r="V1452" s="91" t="s">
        <v>155</v>
      </c>
      <c r="W1452" s="91" t="s">
        <v>180</v>
      </c>
    </row>
    <row r="1453" spans="1:23">
      <c r="A1453" s="93" t="str">
        <f>TEXT(tblProjectlist[[#This Row],[project-no]],"0")</f>
        <v>0</v>
      </c>
      <c r="H1453" s="91">
        <v>7802</v>
      </c>
      <c r="I1453" s="91">
        <v>61</v>
      </c>
      <c r="J1453" s="91">
        <v>2</v>
      </c>
      <c r="K1453" s="91"/>
      <c r="L1453" s="91" t="s">
        <v>2175</v>
      </c>
      <c r="M1453" s="91" t="s">
        <v>4</v>
      </c>
      <c r="Q1453" s="91"/>
      <c r="S1453" s="91" t="s">
        <v>143</v>
      </c>
      <c r="T1453" s="91" t="s">
        <v>4565</v>
      </c>
      <c r="V1453" s="91" t="s">
        <v>156</v>
      </c>
      <c r="W1453" s="91" t="s">
        <v>180</v>
      </c>
    </row>
    <row r="1454" spans="1:23">
      <c r="A1454" s="93" t="str">
        <f>TEXT(tblProjectlist[[#This Row],[project-no]],"0")</f>
        <v>0</v>
      </c>
      <c r="H1454" s="91">
        <v>7802</v>
      </c>
      <c r="I1454" s="91">
        <v>62</v>
      </c>
      <c r="J1454" s="91">
        <v>2</v>
      </c>
      <c r="K1454" s="91"/>
      <c r="L1454" s="91" t="s">
        <v>2175</v>
      </c>
      <c r="M1454" s="91" t="s">
        <v>4</v>
      </c>
      <c r="Q1454" s="91"/>
      <c r="S1454" s="91" t="s">
        <v>143</v>
      </c>
      <c r="T1454" s="91" t="s">
        <v>4596</v>
      </c>
      <c r="V1454" s="91" t="s">
        <v>156</v>
      </c>
      <c r="W1454" s="91" t="s">
        <v>180</v>
      </c>
    </row>
    <row r="1455" spans="1:23">
      <c r="A1455" s="93" t="str">
        <f>TEXT(tblProjectlist[[#This Row],[project-no]],"0")</f>
        <v>66191442</v>
      </c>
      <c r="H1455" s="91">
        <v>6619</v>
      </c>
      <c r="I1455" s="91">
        <v>14</v>
      </c>
      <c r="J1455" s="91">
        <v>4</v>
      </c>
      <c r="K1455" s="91" t="s">
        <v>896</v>
      </c>
      <c r="L1455" s="91" t="s">
        <v>58</v>
      </c>
      <c r="M1455" s="91" t="s">
        <v>1</v>
      </c>
      <c r="Q1455" s="91"/>
      <c r="S1455" s="91" t="s">
        <v>143</v>
      </c>
      <c r="T1455" s="91" t="s">
        <v>2771</v>
      </c>
      <c r="V1455" s="91" t="s">
        <v>163</v>
      </c>
      <c r="W1455" s="91" t="s">
        <v>180</v>
      </c>
    </row>
    <row r="1456" spans="1:23">
      <c r="A1456" s="93" t="str">
        <f>TEXT(tblProjectlist[[#This Row],[project-no]],"0")</f>
        <v>88990428</v>
      </c>
      <c r="H1456" s="91">
        <v>8899</v>
      </c>
      <c r="I1456" s="91">
        <v>4</v>
      </c>
      <c r="J1456" s="91">
        <v>2</v>
      </c>
      <c r="K1456" s="91" t="s">
        <v>1266</v>
      </c>
      <c r="L1456" s="91" t="s">
        <v>2175</v>
      </c>
      <c r="M1456" s="91" t="s">
        <v>4</v>
      </c>
      <c r="Q1456" s="91"/>
      <c r="S1456" s="91" t="s">
        <v>143</v>
      </c>
      <c r="T1456" s="91" t="s">
        <v>3117</v>
      </c>
      <c r="V1456" s="91" t="s">
        <v>155</v>
      </c>
      <c r="W1456" s="91" t="s">
        <v>180</v>
      </c>
    </row>
    <row r="1457" spans="1:23">
      <c r="A1457" s="93" t="str">
        <f>TEXT(tblProjectlist[[#This Row],[project-no]],"0")</f>
        <v>88990528</v>
      </c>
      <c r="H1457" s="91">
        <v>8899</v>
      </c>
      <c r="I1457" s="91">
        <v>5</v>
      </c>
      <c r="J1457" s="91">
        <v>2</v>
      </c>
      <c r="K1457" s="91" t="s">
        <v>1267</v>
      </c>
      <c r="L1457" s="91" t="s">
        <v>2175</v>
      </c>
      <c r="M1457" s="91" t="s">
        <v>4</v>
      </c>
      <c r="Q1457" s="91"/>
      <c r="S1457" s="91" t="s">
        <v>143</v>
      </c>
      <c r="T1457" s="91" t="s">
        <v>3118</v>
      </c>
      <c r="V1457" s="91" t="s">
        <v>155</v>
      </c>
      <c r="W1457" s="91" t="s">
        <v>180</v>
      </c>
    </row>
    <row r="1458" spans="1:23">
      <c r="A1458" s="93" t="str">
        <f>TEXT(tblProjectlist[[#This Row],[project-no]],"0")</f>
        <v>0</v>
      </c>
      <c r="H1458" s="91">
        <v>2907</v>
      </c>
      <c r="I1458" s="91">
        <v>54</v>
      </c>
      <c r="J1458" s="91">
        <v>4</v>
      </c>
      <c r="K1458" s="91"/>
      <c r="L1458" s="91" t="s">
        <v>58</v>
      </c>
      <c r="M1458" s="91" t="s">
        <v>1</v>
      </c>
      <c r="Q1458" s="91"/>
      <c r="S1458" s="91" t="s">
        <v>143</v>
      </c>
      <c r="T1458" s="91" t="s">
        <v>3775</v>
      </c>
      <c r="V1458" s="91" t="s">
        <v>162</v>
      </c>
      <c r="W1458" s="91" t="s">
        <v>180</v>
      </c>
    </row>
    <row r="1459" spans="1:23">
      <c r="A1459" s="93" t="str">
        <f>TEXT(tblProjectlist[[#This Row],[project-no]],"0")</f>
        <v>0</v>
      </c>
      <c r="H1459" s="91">
        <v>2907</v>
      </c>
      <c r="I1459" s="91">
        <v>55</v>
      </c>
      <c r="J1459" s="91">
        <v>4</v>
      </c>
      <c r="K1459" s="91"/>
      <c r="L1459" s="91" t="s">
        <v>58</v>
      </c>
      <c r="M1459" s="91" t="s">
        <v>1</v>
      </c>
      <c r="Q1459" s="91"/>
      <c r="S1459" s="91" t="s">
        <v>143</v>
      </c>
      <c r="T1459" s="91" t="s">
        <v>3662</v>
      </c>
      <c r="V1459" s="91" t="s">
        <v>160</v>
      </c>
      <c r="W1459" s="91" t="s">
        <v>180</v>
      </c>
    </row>
    <row r="1460" spans="1:23">
      <c r="A1460" s="93" t="str">
        <f>TEXT(tblProjectlist[[#This Row],[project-no]],"0")</f>
        <v>0</v>
      </c>
      <c r="H1460" s="91">
        <v>2907</v>
      </c>
      <c r="I1460" s="91">
        <v>56</v>
      </c>
      <c r="J1460" s="91">
        <v>4</v>
      </c>
      <c r="K1460" s="91"/>
      <c r="L1460" s="91" t="s">
        <v>58</v>
      </c>
      <c r="M1460" s="91" t="s">
        <v>1</v>
      </c>
      <c r="Q1460" s="91"/>
      <c r="S1460" s="91" t="s">
        <v>143</v>
      </c>
      <c r="T1460" s="91" t="s">
        <v>3661</v>
      </c>
      <c r="V1460" s="91" t="s">
        <v>160</v>
      </c>
      <c r="W1460" s="91" t="s">
        <v>180</v>
      </c>
    </row>
    <row r="1461" spans="1:23">
      <c r="A1461" s="93" t="str">
        <f>TEXT(tblProjectlist[[#This Row],[project-no]],"0")</f>
        <v>0</v>
      </c>
      <c r="H1461" s="91">
        <v>2907</v>
      </c>
      <c r="I1461" s="91">
        <v>57</v>
      </c>
      <c r="J1461" s="91">
        <v>4</v>
      </c>
      <c r="K1461" s="91"/>
      <c r="L1461" s="91" t="s">
        <v>58</v>
      </c>
      <c r="M1461" s="91" t="s">
        <v>1</v>
      </c>
      <c r="Q1461" s="91"/>
      <c r="S1461" s="91" t="s">
        <v>143</v>
      </c>
      <c r="T1461" s="91" t="s">
        <v>3848</v>
      </c>
      <c r="V1461" s="91" t="s">
        <v>156</v>
      </c>
      <c r="W1461" s="91" t="s">
        <v>180</v>
      </c>
    </row>
    <row r="1462" spans="1:23">
      <c r="A1462" s="93" t="str">
        <f>TEXT(tblProjectlist[[#This Row],[project-no]],"0")</f>
        <v>0</v>
      </c>
      <c r="H1462" s="91">
        <v>2907</v>
      </c>
      <c r="I1462" s="91">
        <v>58</v>
      </c>
      <c r="J1462" s="91">
        <v>2</v>
      </c>
      <c r="K1462" s="91"/>
      <c r="L1462" s="91" t="s">
        <v>2175</v>
      </c>
      <c r="M1462" s="91" t="s">
        <v>4</v>
      </c>
      <c r="Q1462" s="91"/>
      <c r="S1462" s="91" t="s">
        <v>143</v>
      </c>
      <c r="T1462" s="91" t="s">
        <v>3914</v>
      </c>
      <c r="V1462" s="91" t="s">
        <v>155</v>
      </c>
      <c r="W1462" s="91" t="s">
        <v>180</v>
      </c>
    </row>
    <row r="1463" spans="1:23">
      <c r="A1463" s="93" t="str">
        <f>TEXT(tblProjectlist[[#This Row],[project-no]],"0")</f>
        <v>0</v>
      </c>
      <c r="H1463" s="91">
        <v>2907</v>
      </c>
      <c r="I1463" s="91">
        <v>91</v>
      </c>
      <c r="J1463" s="91">
        <v>2</v>
      </c>
      <c r="K1463" s="91"/>
      <c r="L1463" s="91" t="s">
        <v>64</v>
      </c>
      <c r="M1463" s="91" t="s">
        <v>4</v>
      </c>
      <c r="Q1463" s="91"/>
      <c r="S1463" s="91" t="s">
        <v>143</v>
      </c>
      <c r="T1463" s="91" t="s">
        <v>4375</v>
      </c>
      <c r="V1463" s="91" t="s">
        <v>155</v>
      </c>
      <c r="W1463" s="91" t="s">
        <v>180</v>
      </c>
    </row>
    <row r="1464" spans="1:23">
      <c r="A1464" s="93" t="str">
        <f>TEXT(tblProjectlist[[#This Row],[project-no]],"0")</f>
        <v>29073747</v>
      </c>
      <c r="H1464" s="91">
        <v>2907</v>
      </c>
      <c r="I1464" s="91">
        <v>37</v>
      </c>
      <c r="J1464" s="91">
        <v>4</v>
      </c>
      <c r="K1464" s="91" t="s">
        <v>578</v>
      </c>
      <c r="L1464" s="91" t="s">
        <v>58</v>
      </c>
      <c r="M1464" s="91" t="s">
        <v>1</v>
      </c>
      <c r="Q1464" s="91"/>
      <c r="S1464" s="91" t="s">
        <v>143</v>
      </c>
      <c r="T1464" s="91" t="s">
        <v>2495</v>
      </c>
      <c r="V1464" s="91" t="s">
        <v>162</v>
      </c>
      <c r="W1464" s="91" t="s">
        <v>180</v>
      </c>
    </row>
    <row r="1465" spans="1:23">
      <c r="A1465" s="93" t="str">
        <f>TEXT(tblProjectlist[[#This Row],[project-no]],"0")</f>
        <v>29074047</v>
      </c>
      <c r="H1465" s="91">
        <v>2907</v>
      </c>
      <c r="I1465" s="91">
        <v>40</v>
      </c>
      <c r="J1465" s="91">
        <v>4</v>
      </c>
      <c r="K1465" s="91" t="s">
        <v>579</v>
      </c>
      <c r="L1465" s="91" t="s">
        <v>58</v>
      </c>
      <c r="M1465" s="91" t="s">
        <v>1</v>
      </c>
      <c r="Q1465" s="91"/>
      <c r="S1465" s="91" t="s">
        <v>143</v>
      </c>
      <c r="T1465" s="91" t="s">
        <v>2496</v>
      </c>
      <c r="W1465" s="91" t="s">
        <v>180</v>
      </c>
    </row>
    <row r="1466" spans="1:23">
      <c r="A1466" s="93" t="str">
        <f>TEXT(tblProjectlist[[#This Row],[project-no]],"0")</f>
        <v>29074242</v>
      </c>
      <c r="H1466" s="91">
        <v>2907</v>
      </c>
      <c r="I1466" s="91">
        <v>42</v>
      </c>
      <c r="J1466" s="91">
        <v>4</v>
      </c>
      <c r="K1466" s="91" t="s">
        <v>580</v>
      </c>
      <c r="L1466" s="91" t="s">
        <v>58</v>
      </c>
      <c r="M1466" s="91" t="s">
        <v>1</v>
      </c>
      <c r="Q1466" s="91"/>
      <c r="S1466" s="91" t="s">
        <v>143</v>
      </c>
      <c r="T1466" s="91" t="s">
        <v>2497</v>
      </c>
      <c r="V1466" s="91" t="s">
        <v>163</v>
      </c>
      <c r="W1466" s="91" t="s">
        <v>180</v>
      </c>
    </row>
    <row r="1467" spans="1:23">
      <c r="A1467" s="93" t="str">
        <f>TEXT(tblProjectlist[[#This Row],[project-no]],"0")</f>
        <v>29074344</v>
      </c>
      <c r="H1467" s="91">
        <v>2907</v>
      </c>
      <c r="I1467" s="91">
        <v>43</v>
      </c>
      <c r="J1467" s="91">
        <v>4</v>
      </c>
      <c r="K1467" s="91" t="s">
        <v>581</v>
      </c>
      <c r="L1467" s="91" t="s">
        <v>58</v>
      </c>
      <c r="M1467" s="91" t="s">
        <v>1</v>
      </c>
      <c r="Q1467" s="91"/>
      <c r="S1467" s="91" t="s">
        <v>143</v>
      </c>
      <c r="T1467" s="91" t="s">
        <v>2498</v>
      </c>
      <c r="V1467" s="91" t="s">
        <v>160</v>
      </c>
      <c r="W1467" s="91" t="s">
        <v>180</v>
      </c>
    </row>
    <row r="1468" spans="1:23">
      <c r="A1468" s="93" t="str">
        <f>TEXT(tblProjectlist[[#This Row],[project-no]],"0")</f>
        <v>29074347</v>
      </c>
      <c r="H1468" s="91">
        <v>2907</v>
      </c>
      <c r="I1468" s="91">
        <v>43</v>
      </c>
      <c r="J1468" s="91">
        <v>4</v>
      </c>
      <c r="K1468" s="91" t="s">
        <v>582</v>
      </c>
      <c r="L1468" s="91" t="s">
        <v>58</v>
      </c>
      <c r="M1468" s="91" t="s">
        <v>1</v>
      </c>
      <c r="Q1468" s="91"/>
      <c r="S1468" s="91" t="s">
        <v>143</v>
      </c>
      <c r="T1468" s="91" t="s">
        <v>2498</v>
      </c>
      <c r="V1468" s="91" t="s">
        <v>162</v>
      </c>
      <c r="W1468" s="91" t="s">
        <v>180</v>
      </c>
    </row>
    <row r="1469" spans="1:23">
      <c r="A1469" s="93" t="str">
        <f>TEXT(tblProjectlist[[#This Row],[project-no]],"0")</f>
        <v>29074528</v>
      </c>
      <c r="H1469" s="91">
        <v>2907</v>
      </c>
      <c r="I1469" s="91">
        <v>45</v>
      </c>
      <c r="J1469" s="91">
        <v>2</v>
      </c>
      <c r="K1469" s="91" t="s">
        <v>583</v>
      </c>
      <c r="L1469" s="91" t="s">
        <v>2175</v>
      </c>
      <c r="M1469" s="91" t="s">
        <v>4</v>
      </c>
      <c r="Q1469" s="91"/>
      <c r="S1469" s="91" t="s">
        <v>143</v>
      </c>
      <c r="T1469" s="91" t="s">
        <v>2499</v>
      </c>
      <c r="V1469" s="91" t="s">
        <v>155</v>
      </c>
      <c r="W1469" s="91" t="s">
        <v>180</v>
      </c>
    </row>
    <row r="1470" spans="1:23">
      <c r="A1470" s="93" t="str">
        <f>TEXT(tblProjectlist[[#This Row],[project-no]],"0")</f>
        <v>29074647</v>
      </c>
      <c r="H1470" s="91">
        <v>2907</v>
      </c>
      <c r="I1470" s="91">
        <v>46</v>
      </c>
      <c r="J1470" s="91">
        <v>4</v>
      </c>
      <c r="K1470" s="91" t="s">
        <v>584</v>
      </c>
      <c r="L1470" s="91" t="s">
        <v>58</v>
      </c>
      <c r="M1470" s="91" t="s">
        <v>1</v>
      </c>
      <c r="Q1470" s="91"/>
      <c r="S1470" s="91" t="s">
        <v>143</v>
      </c>
      <c r="T1470" s="91" t="s">
        <v>2500</v>
      </c>
      <c r="W1470" s="91" t="s">
        <v>180</v>
      </c>
    </row>
    <row r="1471" spans="1:23">
      <c r="A1471" s="93" t="str">
        <f>TEXT(tblProjectlist[[#This Row],[project-no]],"0")</f>
        <v>29074743</v>
      </c>
      <c r="H1471" s="91">
        <v>2907</v>
      </c>
      <c r="I1471" s="91">
        <v>47</v>
      </c>
      <c r="J1471" s="91">
        <v>4</v>
      </c>
      <c r="K1471" s="91" t="s">
        <v>585</v>
      </c>
      <c r="L1471" s="91" t="s">
        <v>62</v>
      </c>
      <c r="M1471" s="91" t="s">
        <v>1</v>
      </c>
      <c r="Q1471" s="91"/>
      <c r="S1471" s="91" t="s">
        <v>143</v>
      </c>
      <c r="T1471" s="91" t="s">
        <v>2501</v>
      </c>
      <c r="W1471" s="91" t="s">
        <v>180</v>
      </c>
    </row>
    <row r="1472" spans="1:23">
      <c r="A1472" s="93" t="str">
        <f>TEXT(tblProjectlist[[#This Row],[project-no]],"0")</f>
        <v>29074847</v>
      </c>
      <c r="H1472" s="91">
        <v>2907</v>
      </c>
      <c r="I1472" s="91">
        <v>48</v>
      </c>
      <c r="J1472" s="91">
        <v>4</v>
      </c>
      <c r="K1472" s="91" t="s">
        <v>586</v>
      </c>
      <c r="L1472" s="91" t="s">
        <v>58</v>
      </c>
      <c r="M1472" s="91" t="s">
        <v>1</v>
      </c>
      <c r="Q1472" s="91"/>
      <c r="S1472" s="91" t="s">
        <v>143</v>
      </c>
      <c r="T1472" s="91" t="s">
        <v>2502</v>
      </c>
      <c r="W1472" s="91" t="s">
        <v>180</v>
      </c>
    </row>
    <row r="1473" spans="1:23">
      <c r="A1473" s="93" t="str">
        <f>TEXT(tblProjectlist[[#This Row],[project-no]],"0")</f>
        <v>29074947</v>
      </c>
      <c r="H1473" s="91">
        <v>2907</v>
      </c>
      <c r="I1473" s="91">
        <v>49</v>
      </c>
      <c r="J1473" s="91">
        <v>4</v>
      </c>
      <c r="K1473" s="91" t="s">
        <v>587</v>
      </c>
      <c r="L1473" s="91" t="s">
        <v>58</v>
      </c>
      <c r="M1473" s="91" t="s">
        <v>1</v>
      </c>
      <c r="Q1473" s="91"/>
      <c r="S1473" s="91" t="s">
        <v>143</v>
      </c>
      <c r="T1473" s="91" t="s">
        <v>2503</v>
      </c>
      <c r="V1473" s="91" t="s">
        <v>162</v>
      </c>
      <c r="W1473" s="91" t="s">
        <v>180</v>
      </c>
    </row>
    <row r="1474" spans="1:23">
      <c r="A1474" s="93" t="str">
        <f>TEXT(tblProjectlist[[#This Row],[project-no]],"0")</f>
        <v>29075047</v>
      </c>
      <c r="H1474" s="91">
        <v>2907</v>
      </c>
      <c r="I1474" s="91">
        <v>50</v>
      </c>
      <c r="J1474" s="91">
        <v>4</v>
      </c>
      <c r="K1474" s="91" t="s">
        <v>588</v>
      </c>
      <c r="L1474" s="91" t="s">
        <v>58</v>
      </c>
      <c r="M1474" s="91" t="s">
        <v>1</v>
      </c>
      <c r="Q1474" s="91"/>
      <c r="S1474" s="91" t="s">
        <v>143</v>
      </c>
      <c r="T1474" s="91" t="s">
        <v>2504</v>
      </c>
      <c r="W1474" s="91" t="s">
        <v>180</v>
      </c>
    </row>
    <row r="1475" spans="1:23">
      <c r="A1475" s="93" t="str">
        <f>TEXT(tblProjectlist[[#This Row],[project-no]],"0")</f>
        <v>29075128</v>
      </c>
      <c r="H1475" s="91">
        <v>2907</v>
      </c>
      <c r="I1475" s="91">
        <v>51</v>
      </c>
      <c r="J1475" s="91">
        <v>2</v>
      </c>
      <c r="K1475" s="91" t="s">
        <v>589</v>
      </c>
      <c r="L1475" s="91" t="s">
        <v>2175</v>
      </c>
      <c r="M1475" s="91" t="s">
        <v>4</v>
      </c>
      <c r="Q1475" s="91"/>
      <c r="S1475" s="91" t="s">
        <v>143</v>
      </c>
      <c r="T1475" s="91" t="s">
        <v>2505</v>
      </c>
      <c r="V1475" s="91" t="s">
        <v>156</v>
      </c>
      <c r="W1475" s="91" t="s">
        <v>180</v>
      </c>
    </row>
    <row r="1476" spans="1:23">
      <c r="A1476" s="93" t="str">
        <f>TEXT(tblProjectlist[[#This Row],[project-no]],"0")</f>
        <v>29075228</v>
      </c>
      <c r="H1476" s="91">
        <v>2907</v>
      </c>
      <c r="I1476" s="91">
        <v>52</v>
      </c>
      <c r="J1476" s="91">
        <v>2</v>
      </c>
      <c r="K1476" s="91" t="s">
        <v>3737</v>
      </c>
      <c r="L1476" s="91" t="s">
        <v>2175</v>
      </c>
      <c r="M1476" s="91" t="s">
        <v>4</v>
      </c>
      <c r="Q1476" s="91"/>
      <c r="S1476" s="91" t="s">
        <v>143</v>
      </c>
      <c r="T1476" s="91" t="s">
        <v>3774</v>
      </c>
      <c r="V1476" s="91" t="s">
        <v>155</v>
      </c>
      <c r="W1476" s="91" t="s">
        <v>180</v>
      </c>
    </row>
    <row r="1477" spans="1:23">
      <c r="A1477" s="93" t="str">
        <f>TEXT(tblProjectlist[[#This Row],[project-no]],"0")</f>
        <v>29075328</v>
      </c>
      <c r="H1477" s="91">
        <v>2907</v>
      </c>
      <c r="I1477" s="91">
        <v>53</v>
      </c>
      <c r="J1477" s="91">
        <v>2</v>
      </c>
      <c r="K1477" s="91" t="s">
        <v>590</v>
      </c>
      <c r="L1477" s="91" t="s">
        <v>2175</v>
      </c>
      <c r="M1477" s="91" t="s">
        <v>4</v>
      </c>
      <c r="Q1477" s="91"/>
      <c r="S1477" s="91" t="s">
        <v>143</v>
      </c>
      <c r="T1477" s="91" t="s">
        <v>2506</v>
      </c>
      <c r="V1477" s="91" t="s">
        <v>155</v>
      </c>
      <c r="W1477" s="91" t="s">
        <v>180</v>
      </c>
    </row>
    <row r="1478" spans="1:23">
      <c r="A1478" s="93" t="str">
        <f>TEXT(tblProjectlist[[#This Row],[project-no]],"0")</f>
        <v>0</v>
      </c>
      <c r="H1478" s="91">
        <v>2907</v>
      </c>
      <c r="I1478" s="91">
        <v>53</v>
      </c>
      <c r="J1478" s="91">
        <v>2</v>
      </c>
      <c r="K1478" s="91"/>
      <c r="L1478" s="91" t="s">
        <v>2175</v>
      </c>
      <c r="M1478" s="91" t="s">
        <v>4</v>
      </c>
      <c r="Q1478" s="91"/>
      <c r="S1478" s="91" t="s">
        <v>143</v>
      </c>
      <c r="T1478" s="91" t="s">
        <v>2506</v>
      </c>
      <c r="V1478" s="91" t="s">
        <v>155</v>
      </c>
      <c r="W1478" s="91" t="s">
        <v>180</v>
      </c>
    </row>
    <row r="1479" spans="1:23">
      <c r="A1479" s="93" t="str">
        <f>TEXT(tblProjectlist[[#This Row],[project-no]],"0")</f>
        <v>0</v>
      </c>
      <c r="H1479" s="91">
        <v>2907</v>
      </c>
      <c r="I1479" s="91">
        <v>59</v>
      </c>
      <c r="J1479" s="91">
        <v>4</v>
      </c>
      <c r="K1479" s="91"/>
      <c r="L1479" s="91" t="s">
        <v>58</v>
      </c>
      <c r="M1479" s="91" t="s">
        <v>1</v>
      </c>
      <c r="Q1479" s="91"/>
      <c r="S1479" s="91" t="s">
        <v>143</v>
      </c>
      <c r="T1479" s="91" t="s">
        <v>3961</v>
      </c>
      <c r="V1479" s="91" t="s">
        <v>159</v>
      </c>
      <c r="W1479" s="91" t="s">
        <v>180</v>
      </c>
    </row>
    <row r="1480" spans="1:23">
      <c r="A1480" s="93" t="str">
        <f>TEXT(tblProjectlist[[#This Row],[project-no]],"0")</f>
        <v>29076047</v>
      </c>
      <c r="H1480" s="91">
        <v>2907</v>
      </c>
      <c r="I1480" s="91">
        <v>60</v>
      </c>
      <c r="J1480" s="91">
        <v>4</v>
      </c>
      <c r="K1480" s="93">
        <v>29076047</v>
      </c>
      <c r="L1480" s="91" t="s">
        <v>58</v>
      </c>
      <c r="M1480" s="91" t="s">
        <v>1</v>
      </c>
      <c r="Q1480" s="91"/>
      <c r="S1480" s="91" t="s">
        <v>143</v>
      </c>
      <c r="T1480" s="91" t="s">
        <v>4370</v>
      </c>
      <c r="V1480" s="91" t="s">
        <v>162</v>
      </c>
      <c r="W1480" s="91" t="s">
        <v>180</v>
      </c>
    </row>
    <row r="1481" spans="1:23">
      <c r="A1481" s="93" t="str">
        <f>TEXT(tblProjectlist[[#This Row],[project-no]],"0")</f>
        <v>29076147</v>
      </c>
      <c r="H1481" s="91">
        <v>2907</v>
      </c>
      <c r="I1481" s="91">
        <v>61</v>
      </c>
      <c r="J1481" s="91">
        <v>4</v>
      </c>
      <c r="K1481" s="91">
        <v>29076147</v>
      </c>
      <c r="L1481" s="91" t="s">
        <v>58</v>
      </c>
      <c r="M1481" s="91" t="s">
        <v>1</v>
      </c>
      <c r="Q1481" s="91"/>
      <c r="S1481" s="91" t="s">
        <v>143</v>
      </c>
      <c r="T1481" s="91" t="s">
        <v>4421</v>
      </c>
      <c r="V1481" s="91" t="s">
        <v>162</v>
      </c>
      <c r="W1481" s="91" t="s">
        <v>180</v>
      </c>
    </row>
    <row r="1482" spans="1:23">
      <c r="A1482" s="93" t="str">
        <f>TEXT(tblProjectlist[[#This Row],[project-no]],"0")</f>
        <v>0</v>
      </c>
      <c r="H1482" s="91">
        <v>2907</v>
      </c>
      <c r="I1482" s="91">
        <v>62</v>
      </c>
      <c r="J1482" s="91">
        <v>2</v>
      </c>
      <c r="K1482" s="91"/>
      <c r="L1482" s="91" t="s">
        <v>2175</v>
      </c>
      <c r="M1482" s="91" t="s">
        <v>4</v>
      </c>
      <c r="Q1482" s="91"/>
      <c r="S1482" s="91" t="s">
        <v>143</v>
      </c>
      <c r="T1482" s="91" t="s">
        <v>4626</v>
      </c>
      <c r="V1482" s="91" t="s">
        <v>155</v>
      </c>
      <c r="W1482" s="91" t="s">
        <v>180</v>
      </c>
    </row>
    <row r="1483" spans="1:23">
      <c r="A1483" s="93" t="str">
        <f>TEXT(tblProjectlist[[#This Row],[project-no]],"0")</f>
        <v>99632344</v>
      </c>
      <c r="H1483" s="91">
        <v>2907</v>
      </c>
      <c r="I1483" s="91">
        <v>56</v>
      </c>
      <c r="J1483" s="91">
        <v>4</v>
      </c>
      <c r="K1483" s="91" t="s">
        <v>1324</v>
      </c>
      <c r="L1483" s="91" t="s">
        <v>58</v>
      </c>
      <c r="M1483" s="91" t="s">
        <v>1</v>
      </c>
      <c r="Q1483" s="91"/>
      <c r="S1483" s="91" t="s">
        <v>143</v>
      </c>
      <c r="T1483" s="91" t="s">
        <v>3661</v>
      </c>
      <c r="V1483" s="91" t="s">
        <v>160</v>
      </c>
      <c r="W1483" s="91" t="s">
        <v>180</v>
      </c>
    </row>
    <row r="1484" spans="1:23">
      <c r="A1484" s="93" t="str">
        <f>TEXT(tblProjectlist[[#This Row],[project-no]],"0")</f>
        <v>99632542</v>
      </c>
      <c r="H1484" s="91">
        <v>2907</v>
      </c>
      <c r="I1484" s="91">
        <v>55</v>
      </c>
      <c r="J1484" s="91">
        <v>4</v>
      </c>
      <c r="K1484" s="91">
        <v>99632542</v>
      </c>
      <c r="L1484" s="91" t="s">
        <v>58</v>
      </c>
      <c r="M1484" s="91" t="s">
        <v>1</v>
      </c>
      <c r="Q1484" s="91"/>
      <c r="S1484" s="91" t="s">
        <v>143</v>
      </c>
      <c r="T1484" s="91" t="s">
        <v>3662</v>
      </c>
      <c r="V1484" s="91" t="s">
        <v>160</v>
      </c>
      <c r="W1484" s="91" t="s">
        <v>180</v>
      </c>
    </row>
    <row r="1485" spans="1:23">
      <c r="A1485" s="93" t="str">
        <f>TEXT(tblProjectlist[[#This Row],[project-no]],"0")</f>
        <v>99632544</v>
      </c>
      <c r="H1485" s="91">
        <v>2907</v>
      </c>
      <c r="I1485" s="91">
        <v>55</v>
      </c>
      <c r="J1485" s="91">
        <v>4</v>
      </c>
      <c r="K1485" s="91" t="s">
        <v>1326</v>
      </c>
      <c r="L1485" s="91" t="s">
        <v>58</v>
      </c>
      <c r="M1485" s="91" t="s">
        <v>1</v>
      </c>
      <c r="Q1485" s="91"/>
      <c r="S1485" s="91" t="s">
        <v>143</v>
      </c>
      <c r="T1485" s="91" t="s">
        <v>3662</v>
      </c>
      <c r="V1485" s="91" t="s">
        <v>160</v>
      </c>
      <c r="W1485" s="91" t="s">
        <v>180</v>
      </c>
    </row>
    <row r="1486" spans="1:23">
      <c r="A1486" s="93" t="str">
        <f>TEXT(tblProjectlist[[#This Row],[project-no]],"0")</f>
        <v>99632644</v>
      </c>
      <c r="H1486" s="91">
        <v>2907</v>
      </c>
      <c r="I1486" s="91">
        <v>43</v>
      </c>
      <c r="J1486" s="91">
        <v>4</v>
      </c>
      <c r="K1486" s="91" t="s">
        <v>1327</v>
      </c>
      <c r="L1486" s="91" t="s">
        <v>58</v>
      </c>
      <c r="M1486" s="91" t="s">
        <v>1</v>
      </c>
      <c r="Q1486" s="91"/>
      <c r="S1486" s="91" t="s">
        <v>143</v>
      </c>
      <c r="T1486" s="91" t="s">
        <v>2498</v>
      </c>
      <c r="V1486" s="91" t="s">
        <v>160</v>
      </c>
      <c r="W1486" s="91" t="s">
        <v>180</v>
      </c>
    </row>
    <row r="1487" spans="1:23">
      <c r="A1487" s="93" t="str">
        <f>TEXT(tblProjectlist[[#This Row],[project-no]],"0")</f>
        <v>99633844</v>
      </c>
      <c r="H1487" s="91">
        <v>2907</v>
      </c>
      <c r="I1487" s="91">
        <v>43</v>
      </c>
      <c r="J1487" s="91">
        <v>4</v>
      </c>
      <c r="K1487" s="91" t="s">
        <v>1340</v>
      </c>
      <c r="L1487" s="91" t="s">
        <v>58</v>
      </c>
      <c r="M1487" s="91" t="s">
        <v>1</v>
      </c>
      <c r="Q1487" s="91"/>
      <c r="S1487" s="91" t="s">
        <v>143</v>
      </c>
      <c r="T1487" s="91" t="s">
        <v>2498</v>
      </c>
      <c r="V1487" s="91" t="s">
        <v>160</v>
      </c>
      <c r="W1487" s="91" t="s">
        <v>180</v>
      </c>
    </row>
    <row r="1488" spans="1:23">
      <c r="A1488" s="93" t="str">
        <f>TEXT(tblProjectlist[[#This Row],[project-no]],"0")</f>
        <v>99846944</v>
      </c>
      <c r="H1488" s="91">
        <v>2907</v>
      </c>
      <c r="I1488" s="91">
        <v>56</v>
      </c>
      <c r="J1488" s="91">
        <v>4</v>
      </c>
      <c r="K1488" s="91">
        <v>99846944</v>
      </c>
      <c r="L1488" s="91" t="s">
        <v>58</v>
      </c>
      <c r="M1488" s="91" t="s">
        <v>1</v>
      </c>
      <c r="Q1488" s="91"/>
      <c r="S1488" s="91" t="s">
        <v>143</v>
      </c>
      <c r="T1488" s="91" t="s">
        <v>3661</v>
      </c>
      <c r="V1488" s="91" t="s">
        <v>160</v>
      </c>
      <c r="W1488" s="91" t="s">
        <v>180</v>
      </c>
    </row>
    <row r="1489" spans="1:23">
      <c r="A1489" s="93" t="str">
        <f>TEXT(tblProjectlist[[#This Row],[project-no]],"0")</f>
        <v>99871344</v>
      </c>
      <c r="H1489" s="91">
        <v>2907</v>
      </c>
      <c r="I1489" s="91">
        <v>55</v>
      </c>
      <c r="J1489" s="91">
        <v>4</v>
      </c>
      <c r="K1489" s="91" t="s">
        <v>1436</v>
      </c>
      <c r="L1489" s="91" t="s">
        <v>58</v>
      </c>
      <c r="M1489" s="91" t="s">
        <v>1</v>
      </c>
      <c r="Q1489" s="91"/>
      <c r="S1489" s="91" t="s">
        <v>143</v>
      </c>
      <c r="T1489" s="91" t="s">
        <v>3662</v>
      </c>
      <c r="V1489" s="91" t="s">
        <v>160</v>
      </c>
      <c r="W1489" s="91" t="s">
        <v>180</v>
      </c>
    </row>
    <row r="1490" spans="1:23">
      <c r="A1490" s="93" t="str">
        <f>TEXT(tblProjectlist[[#This Row],[project-no]],"0")</f>
        <v>99968328</v>
      </c>
      <c r="H1490" s="91">
        <v>2907</v>
      </c>
      <c r="I1490" s="91">
        <v>51</v>
      </c>
      <c r="J1490" s="91">
        <v>2</v>
      </c>
      <c r="K1490" s="91" t="s">
        <v>1800</v>
      </c>
      <c r="L1490" s="91" t="s">
        <v>2175</v>
      </c>
      <c r="M1490" s="91" t="s">
        <v>4</v>
      </c>
      <c r="Q1490" s="91"/>
      <c r="S1490" s="91" t="s">
        <v>143</v>
      </c>
      <c r="T1490" s="91" t="s">
        <v>2505</v>
      </c>
      <c r="V1490" s="91" t="s">
        <v>156</v>
      </c>
      <c r="W1490" s="91" t="s">
        <v>180</v>
      </c>
    </row>
    <row r="1491" spans="1:23">
      <c r="A1491" s="93" t="str">
        <f>TEXT(tblProjectlist[[#This Row],[project-no]],"0")</f>
        <v>0</v>
      </c>
      <c r="H1491" s="91">
        <v>7813</v>
      </c>
      <c r="I1491" s="91">
        <v>3</v>
      </c>
      <c r="J1491" s="91">
        <v>2</v>
      </c>
      <c r="K1491" s="91"/>
      <c r="L1491" s="91" t="s">
        <v>64</v>
      </c>
      <c r="M1491" s="91" t="s">
        <v>4</v>
      </c>
      <c r="Q1491" s="91"/>
      <c r="S1491" s="91" t="s">
        <v>143</v>
      </c>
      <c r="T1491" s="91" t="s">
        <v>4305</v>
      </c>
      <c r="V1491" s="91" t="s">
        <v>155</v>
      </c>
      <c r="W1491" s="91" t="s">
        <v>180</v>
      </c>
    </row>
    <row r="1492" spans="1:23">
      <c r="A1492" s="93" t="str">
        <f>TEXT(tblProjectlist[[#This Row],[project-no]],"0")</f>
        <v>0</v>
      </c>
      <c r="H1492" s="91">
        <v>7813</v>
      </c>
      <c r="I1492" s="91">
        <v>4</v>
      </c>
      <c r="J1492" s="91">
        <v>2</v>
      </c>
      <c r="K1492" s="91"/>
      <c r="L1492" s="91" t="s">
        <v>64</v>
      </c>
      <c r="M1492" s="91" t="s">
        <v>4</v>
      </c>
      <c r="Q1492" s="91"/>
      <c r="S1492" s="91" t="s">
        <v>143</v>
      </c>
      <c r="T1492" s="91" t="s">
        <v>4515</v>
      </c>
      <c r="V1492" s="91" t="s">
        <v>155</v>
      </c>
      <c r="W1492" s="91" t="s">
        <v>180</v>
      </c>
    </row>
    <row r="1493" spans="1:23">
      <c r="A1493" s="93" t="str">
        <f>TEXT(tblProjectlist[[#This Row],[project-no]],"0")</f>
        <v>0</v>
      </c>
      <c r="H1493" s="91">
        <v>9963</v>
      </c>
      <c r="I1493" s="91">
        <v>60</v>
      </c>
      <c r="J1493" s="91">
        <v>1</v>
      </c>
      <c r="K1493" s="91"/>
      <c r="L1493" s="91" t="s">
        <v>2175</v>
      </c>
      <c r="M1493" s="91" t="s">
        <v>0</v>
      </c>
      <c r="Q1493" s="91"/>
      <c r="S1493" s="91" t="s">
        <v>143</v>
      </c>
      <c r="T1493" s="91" t="s">
        <v>3896</v>
      </c>
      <c r="V1493" s="91" t="s">
        <v>167</v>
      </c>
      <c r="W1493" s="91" t="s">
        <v>180</v>
      </c>
    </row>
    <row r="1494" spans="1:23">
      <c r="A1494" s="93" t="str">
        <f>TEXT(tblProjectlist[[#This Row],[project-no]],"0")</f>
        <v>0</v>
      </c>
      <c r="H1494" s="91">
        <v>9963</v>
      </c>
      <c r="I1494" s="91">
        <v>60</v>
      </c>
      <c r="J1494" s="91">
        <v>1</v>
      </c>
      <c r="K1494" s="91"/>
      <c r="L1494" s="91" t="s">
        <v>2175</v>
      </c>
      <c r="M1494" s="91" t="s">
        <v>0</v>
      </c>
      <c r="Q1494" s="91"/>
      <c r="S1494" s="91" t="s">
        <v>143</v>
      </c>
      <c r="T1494" s="91" t="s">
        <v>3896</v>
      </c>
      <c r="V1494" s="91" t="s">
        <v>168</v>
      </c>
      <c r="W1494" s="91" t="s">
        <v>180</v>
      </c>
    </row>
    <row r="1495" spans="1:23">
      <c r="A1495" s="93" t="str">
        <f>TEXT(tblProjectlist[[#This Row],[project-no]],"0")</f>
        <v>0</v>
      </c>
      <c r="H1495" s="91">
        <v>9963</v>
      </c>
      <c r="I1495" s="91">
        <v>61</v>
      </c>
      <c r="J1495" s="91">
        <v>1</v>
      </c>
      <c r="K1495" s="91"/>
      <c r="L1495" s="91" t="s">
        <v>2175</v>
      </c>
      <c r="M1495" s="91" t="s">
        <v>0</v>
      </c>
      <c r="Q1495" s="91"/>
      <c r="S1495" s="91" t="s">
        <v>143</v>
      </c>
      <c r="T1495" s="91" t="s">
        <v>3897</v>
      </c>
      <c r="V1495" s="91" t="s">
        <v>167</v>
      </c>
      <c r="W1495" s="91" t="s">
        <v>180</v>
      </c>
    </row>
    <row r="1496" spans="1:23">
      <c r="A1496" s="93" t="str">
        <f>TEXT(tblProjectlist[[#This Row],[project-no]],"0")</f>
        <v>9963622</v>
      </c>
      <c r="H1496" s="91">
        <v>9963</v>
      </c>
      <c r="I1496" s="91">
        <v>62</v>
      </c>
      <c r="J1496" s="91">
        <v>2</v>
      </c>
      <c r="K1496" s="91">
        <v>9963622</v>
      </c>
      <c r="L1496" s="91" t="s">
        <v>2175</v>
      </c>
      <c r="M1496" s="91" t="s">
        <v>4</v>
      </c>
      <c r="Q1496" s="91"/>
      <c r="S1496" s="91" t="s">
        <v>143</v>
      </c>
      <c r="T1496" s="91" t="s">
        <v>3936</v>
      </c>
      <c r="V1496" s="91" t="s">
        <v>155</v>
      </c>
      <c r="W1496" s="91" t="s">
        <v>180</v>
      </c>
    </row>
    <row r="1497" spans="1:23">
      <c r="A1497" s="93" t="str">
        <f>TEXT(tblProjectlist[[#This Row],[project-no]],"0")</f>
        <v>0</v>
      </c>
      <c r="H1497" s="91">
        <v>9963</v>
      </c>
      <c r="I1497" s="91">
        <v>63</v>
      </c>
      <c r="J1497" s="91">
        <v>1</v>
      </c>
      <c r="K1497" s="91"/>
      <c r="L1497" s="91" t="s">
        <v>2175</v>
      </c>
      <c r="M1497" s="91" t="s">
        <v>0</v>
      </c>
      <c r="Q1497" s="91"/>
      <c r="S1497" s="91" t="s">
        <v>143</v>
      </c>
      <c r="T1497" s="91" t="s">
        <v>4019</v>
      </c>
      <c r="W1497" s="91" t="s">
        <v>180</v>
      </c>
    </row>
    <row r="1498" spans="1:23">
      <c r="A1498" s="93" t="str">
        <f>TEXT(tblProjectlist[[#This Row],[project-no]],"0")</f>
        <v>0</v>
      </c>
      <c r="H1498" s="91">
        <v>9963</v>
      </c>
      <c r="I1498" s="91">
        <v>64</v>
      </c>
      <c r="J1498" s="91">
        <v>1</v>
      </c>
      <c r="K1498" s="91"/>
      <c r="L1498" s="91" t="s">
        <v>2175</v>
      </c>
      <c r="M1498" s="91" t="s">
        <v>0</v>
      </c>
      <c r="Q1498" s="91"/>
      <c r="S1498" s="91" t="s">
        <v>143</v>
      </c>
      <c r="T1498" s="91" t="s">
        <v>4020</v>
      </c>
      <c r="W1498" s="91" t="s">
        <v>180</v>
      </c>
    </row>
    <row r="1499" spans="1:23">
      <c r="A1499" s="93" t="str">
        <f>TEXT(tblProjectlist[[#This Row],[project-no]],"0")</f>
        <v>0</v>
      </c>
      <c r="H1499" s="91">
        <v>9963</v>
      </c>
      <c r="I1499" s="91">
        <v>65</v>
      </c>
      <c r="J1499" s="91">
        <v>1</v>
      </c>
      <c r="K1499" s="91"/>
      <c r="L1499" s="91" t="s">
        <v>2175</v>
      </c>
      <c r="M1499" s="91" t="s">
        <v>0</v>
      </c>
      <c r="Q1499" s="91"/>
      <c r="S1499" s="91" t="s">
        <v>143</v>
      </c>
      <c r="T1499" s="91" t="s">
        <v>4021</v>
      </c>
      <c r="W1499" s="91" t="s">
        <v>180</v>
      </c>
    </row>
    <row r="1500" spans="1:23">
      <c r="A1500" s="93" t="str">
        <f>TEXT(tblProjectlist[[#This Row],[project-no]],"0")</f>
        <v>0</v>
      </c>
      <c r="H1500" s="91">
        <v>9963</v>
      </c>
      <c r="I1500" s="91">
        <v>66</v>
      </c>
      <c r="J1500" s="91">
        <v>1</v>
      </c>
      <c r="K1500" s="91"/>
      <c r="L1500" s="91" t="s">
        <v>2175</v>
      </c>
      <c r="M1500" s="91" t="s">
        <v>0</v>
      </c>
      <c r="Q1500" s="91"/>
      <c r="S1500" s="91" t="s">
        <v>143</v>
      </c>
      <c r="T1500" s="91" t="s">
        <v>4022</v>
      </c>
      <c r="W1500" s="91" t="s">
        <v>180</v>
      </c>
    </row>
    <row r="1501" spans="1:23">
      <c r="A1501" s="93" t="str">
        <f>TEXT(tblProjectlist[[#This Row],[project-no]],"0")</f>
        <v>0</v>
      </c>
      <c r="H1501" s="91">
        <v>9963</v>
      </c>
      <c r="I1501" s="91">
        <v>67</v>
      </c>
      <c r="J1501" s="91">
        <v>1</v>
      </c>
      <c r="K1501" s="91"/>
      <c r="L1501" s="91" t="s">
        <v>2175</v>
      </c>
      <c r="M1501" s="91" t="s">
        <v>0</v>
      </c>
      <c r="Q1501" s="91"/>
      <c r="S1501" s="91" t="s">
        <v>143</v>
      </c>
      <c r="T1501" s="91" t="s">
        <v>4054</v>
      </c>
      <c r="V1501" s="91" t="s">
        <v>168</v>
      </c>
      <c r="W1501" s="91" t="s">
        <v>180</v>
      </c>
    </row>
    <row r="1502" spans="1:23">
      <c r="A1502" s="93" t="str">
        <f>TEXT(tblProjectlist[[#This Row],[project-no]],"0")</f>
        <v>0</v>
      </c>
      <c r="H1502" s="91">
        <v>9963</v>
      </c>
      <c r="I1502" s="91">
        <v>68</v>
      </c>
      <c r="J1502" s="91">
        <v>1</v>
      </c>
      <c r="K1502" s="91"/>
      <c r="L1502" s="91" t="s">
        <v>2175</v>
      </c>
      <c r="M1502" s="91" t="s">
        <v>0</v>
      </c>
      <c r="Q1502" s="91"/>
      <c r="S1502" s="91" t="s">
        <v>143</v>
      </c>
      <c r="T1502" s="91" t="s">
        <v>4055</v>
      </c>
      <c r="V1502" s="91" t="s">
        <v>169</v>
      </c>
      <c r="W1502" s="91" t="s">
        <v>180</v>
      </c>
    </row>
    <row r="1503" spans="1:23">
      <c r="A1503" s="93" t="str">
        <f>TEXT(tblProjectlist[[#This Row],[project-no]],"0")</f>
        <v>0</v>
      </c>
      <c r="H1503" s="91">
        <v>9963</v>
      </c>
      <c r="I1503" s="91">
        <v>68</v>
      </c>
      <c r="J1503" s="91">
        <v>1</v>
      </c>
      <c r="K1503" s="91"/>
      <c r="L1503" s="91" t="s">
        <v>2175</v>
      </c>
      <c r="M1503" s="91" t="s">
        <v>0</v>
      </c>
      <c r="Q1503" s="91"/>
      <c r="S1503" s="91" t="s">
        <v>143</v>
      </c>
      <c r="T1503" s="91" t="s">
        <v>4055</v>
      </c>
      <c r="V1503" s="91" t="s">
        <v>168</v>
      </c>
      <c r="W1503" s="91" t="s">
        <v>180</v>
      </c>
    </row>
    <row r="1504" spans="1:23">
      <c r="A1504" s="93" t="str">
        <f>TEXT(tblProjectlist[[#This Row],[project-no]],"0")</f>
        <v>0</v>
      </c>
      <c r="H1504" s="91">
        <v>9963</v>
      </c>
      <c r="I1504" s="91">
        <v>69</v>
      </c>
      <c r="J1504" s="91">
        <v>1</v>
      </c>
      <c r="K1504" s="91"/>
      <c r="L1504" s="91" t="s">
        <v>2175</v>
      </c>
      <c r="M1504" s="91" t="s">
        <v>0</v>
      </c>
      <c r="Q1504" s="91"/>
      <c r="S1504" s="91" t="s">
        <v>143</v>
      </c>
      <c r="T1504" s="91" t="s">
        <v>4056</v>
      </c>
      <c r="V1504" s="91" t="s">
        <v>168</v>
      </c>
      <c r="W1504" s="91" t="s">
        <v>180</v>
      </c>
    </row>
    <row r="1505" spans="1:23">
      <c r="A1505" s="93" t="str">
        <f>TEXT(tblProjectlist[[#This Row],[project-no]],"0")</f>
        <v>0</v>
      </c>
      <c r="H1505" s="91">
        <v>9963</v>
      </c>
      <c r="I1505" s="91">
        <v>70</v>
      </c>
      <c r="J1505" s="91">
        <v>1</v>
      </c>
      <c r="K1505" s="91"/>
      <c r="L1505" s="91" t="s">
        <v>2175</v>
      </c>
      <c r="M1505" s="91" t="s">
        <v>0</v>
      </c>
      <c r="Q1505" s="91"/>
      <c r="S1505" s="91" t="s">
        <v>143</v>
      </c>
      <c r="T1505" s="91" t="s">
        <v>4057</v>
      </c>
      <c r="V1505" s="91" t="s">
        <v>168</v>
      </c>
      <c r="W1505" s="91" t="s">
        <v>180</v>
      </c>
    </row>
    <row r="1506" spans="1:23">
      <c r="A1506" s="93" t="str">
        <f>TEXT(tblProjectlist[[#This Row],[project-no]],"0")</f>
        <v>0</v>
      </c>
      <c r="H1506" s="91">
        <v>9963</v>
      </c>
      <c r="I1506" s="91">
        <v>71</v>
      </c>
      <c r="J1506" s="91">
        <v>1</v>
      </c>
      <c r="K1506" s="91"/>
      <c r="L1506" s="91" t="s">
        <v>2175</v>
      </c>
      <c r="M1506" s="91" t="s">
        <v>0</v>
      </c>
      <c r="Q1506" s="91"/>
      <c r="S1506" s="91" t="s">
        <v>143</v>
      </c>
      <c r="T1506" s="91" t="s">
        <v>4058</v>
      </c>
      <c r="V1506" s="91" t="s">
        <v>168</v>
      </c>
      <c r="W1506" s="91" t="s">
        <v>180</v>
      </c>
    </row>
    <row r="1507" spans="1:23">
      <c r="A1507" s="93" t="str">
        <f>TEXT(tblProjectlist[[#This Row],[project-no]],"0")</f>
        <v>0</v>
      </c>
      <c r="H1507" s="91">
        <v>9963</v>
      </c>
      <c r="I1507" s="91">
        <v>73</v>
      </c>
      <c r="J1507" s="91">
        <v>1</v>
      </c>
      <c r="K1507" s="91"/>
      <c r="L1507" s="91" t="s">
        <v>2175</v>
      </c>
      <c r="M1507" s="91" t="s">
        <v>0</v>
      </c>
      <c r="Q1507" s="91"/>
      <c r="S1507" s="91" t="s">
        <v>143</v>
      </c>
      <c r="T1507" s="91" t="s">
        <v>4059</v>
      </c>
      <c r="V1507" s="91" t="s">
        <v>167</v>
      </c>
      <c r="W1507" s="91" t="s">
        <v>180</v>
      </c>
    </row>
    <row r="1508" spans="1:23">
      <c r="A1508" s="93" t="str">
        <f>TEXT(tblProjectlist[[#This Row],[project-no]],"0")</f>
        <v>0</v>
      </c>
      <c r="H1508" s="91">
        <v>9985</v>
      </c>
      <c r="I1508" s="91">
        <v>20</v>
      </c>
      <c r="J1508" s="91">
        <v>2</v>
      </c>
      <c r="K1508" s="91"/>
      <c r="L1508" s="91" t="s">
        <v>197</v>
      </c>
      <c r="M1508" s="91" t="s">
        <v>4</v>
      </c>
      <c r="Q1508" s="91"/>
      <c r="S1508" s="91" t="s">
        <v>143</v>
      </c>
      <c r="T1508" s="91" t="s">
        <v>3956</v>
      </c>
      <c r="V1508" s="91" t="s">
        <v>155</v>
      </c>
      <c r="W1508" s="91" t="s">
        <v>180</v>
      </c>
    </row>
    <row r="1509" spans="1:23">
      <c r="A1509" s="93" t="str">
        <f>TEXT(tblProjectlist[[#This Row],[project-no]],"0")</f>
        <v>0</v>
      </c>
      <c r="H1509" s="91">
        <v>9985</v>
      </c>
      <c r="I1509" s="91">
        <v>21</v>
      </c>
      <c r="J1509" s="91">
        <v>1</v>
      </c>
      <c r="K1509" s="91"/>
      <c r="L1509" s="91" t="s">
        <v>197</v>
      </c>
      <c r="M1509" s="91" t="s">
        <v>0</v>
      </c>
      <c r="Q1509" s="91"/>
      <c r="S1509" s="91" t="s">
        <v>143</v>
      </c>
      <c r="T1509" s="91" t="s">
        <v>4158</v>
      </c>
      <c r="V1509" s="91" t="s">
        <v>169</v>
      </c>
      <c r="W1509" s="91" t="s">
        <v>180</v>
      </c>
    </row>
    <row r="1510" spans="1:23">
      <c r="A1510" s="93" t="str">
        <f>TEXT(tblProjectlist[[#This Row],[project-no]],"0")</f>
        <v>99881411</v>
      </c>
      <c r="H1510" s="91">
        <v>9988</v>
      </c>
      <c r="I1510" s="91">
        <v>14</v>
      </c>
      <c r="J1510" s="91">
        <v>1</v>
      </c>
      <c r="K1510" s="91" t="s">
        <v>1439</v>
      </c>
      <c r="L1510" s="91" t="s">
        <v>2175</v>
      </c>
      <c r="M1510" s="91" t="s">
        <v>0</v>
      </c>
      <c r="Q1510" s="91"/>
      <c r="S1510" s="91" t="s">
        <v>143</v>
      </c>
      <c r="T1510" s="91" t="s">
        <v>3216</v>
      </c>
      <c r="V1510" s="91" t="s">
        <v>169</v>
      </c>
      <c r="W1510" s="91" t="s">
        <v>180</v>
      </c>
    </row>
    <row r="1511" spans="1:23">
      <c r="A1511" s="93" t="str">
        <f>TEXT(tblProjectlist[[#This Row],[project-no]],"0")</f>
        <v>99968811</v>
      </c>
      <c r="H1511" s="91">
        <v>9988</v>
      </c>
      <c r="I1511" s="91">
        <v>14</v>
      </c>
      <c r="J1511" s="91">
        <v>1</v>
      </c>
      <c r="K1511" s="91" t="s">
        <v>1803</v>
      </c>
      <c r="L1511" s="91" t="s">
        <v>2175</v>
      </c>
      <c r="M1511" s="91" t="s">
        <v>0</v>
      </c>
      <c r="Q1511" s="91"/>
      <c r="S1511" s="91" t="s">
        <v>143</v>
      </c>
      <c r="T1511" s="91" t="s">
        <v>3216</v>
      </c>
      <c r="V1511" s="91" t="s">
        <v>169</v>
      </c>
      <c r="W1511" s="91" t="s">
        <v>180</v>
      </c>
    </row>
    <row r="1512" spans="1:23">
      <c r="A1512" s="93" t="str">
        <f>TEXT(tblProjectlist[[#This Row],[project-no]],"0")</f>
        <v>99958216</v>
      </c>
      <c r="H1512" s="91">
        <v>9995</v>
      </c>
      <c r="I1512" s="91">
        <v>82</v>
      </c>
      <c r="J1512" s="91">
        <v>1</v>
      </c>
      <c r="K1512" s="91" t="s">
        <v>1703</v>
      </c>
      <c r="L1512" s="91" t="s">
        <v>2175</v>
      </c>
      <c r="M1512" s="91" t="s">
        <v>0</v>
      </c>
      <c r="Q1512" s="91"/>
      <c r="S1512" s="91" t="s">
        <v>143</v>
      </c>
      <c r="T1512" s="91" t="s">
        <v>3334</v>
      </c>
      <c r="V1512" s="91" t="s">
        <v>168</v>
      </c>
      <c r="W1512" s="91" t="s">
        <v>180</v>
      </c>
    </row>
    <row r="1513" spans="1:23">
      <c r="A1513" s="93" t="str">
        <f>TEXT(tblProjectlist[[#This Row],[project-no]],"0")</f>
        <v>99958711</v>
      </c>
      <c r="H1513" s="91">
        <v>9995</v>
      </c>
      <c r="I1513" s="91">
        <v>87</v>
      </c>
      <c r="J1513" s="91">
        <v>1</v>
      </c>
      <c r="K1513" s="91" t="s">
        <v>1708</v>
      </c>
      <c r="L1513" s="91" t="s">
        <v>2175</v>
      </c>
      <c r="M1513" s="91" t="s">
        <v>0</v>
      </c>
      <c r="Q1513" s="91"/>
      <c r="S1513" s="91" t="s">
        <v>143</v>
      </c>
      <c r="T1513" s="91" t="s">
        <v>3338</v>
      </c>
      <c r="V1513" s="91" t="s">
        <v>169</v>
      </c>
      <c r="W1513" s="91" t="s">
        <v>180</v>
      </c>
    </row>
    <row r="1514" spans="1:23">
      <c r="A1514" s="93" t="str">
        <f>TEXT(tblProjectlist[[#This Row],[project-no]],"0")</f>
        <v>99958816</v>
      </c>
      <c r="H1514" s="91">
        <v>9995</v>
      </c>
      <c r="I1514" s="91">
        <v>88</v>
      </c>
      <c r="J1514" s="91">
        <v>1</v>
      </c>
      <c r="K1514" s="91" t="s">
        <v>1709</v>
      </c>
      <c r="L1514" s="91" t="s">
        <v>2175</v>
      </c>
      <c r="M1514" s="91" t="s">
        <v>0</v>
      </c>
      <c r="Q1514" s="91"/>
      <c r="S1514" s="91" t="s">
        <v>143</v>
      </c>
      <c r="T1514" s="91" t="s">
        <v>3339</v>
      </c>
      <c r="V1514" s="91" t="s">
        <v>168</v>
      </c>
      <c r="W1514" s="91" t="s">
        <v>180</v>
      </c>
    </row>
    <row r="1515" spans="1:23">
      <c r="A1515" s="93" t="str">
        <f>TEXT(tblProjectlist[[#This Row],[project-no]],"0")</f>
        <v>99958911</v>
      </c>
      <c r="H1515" s="91">
        <v>9995</v>
      </c>
      <c r="I1515" s="91">
        <v>89</v>
      </c>
      <c r="J1515" s="91">
        <v>1</v>
      </c>
      <c r="K1515" s="91" t="s">
        <v>1710</v>
      </c>
      <c r="L1515" s="91" t="s">
        <v>2175</v>
      </c>
      <c r="M1515" s="91" t="s">
        <v>0</v>
      </c>
      <c r="Q1515" s="91"/>
      <c r="S1515" s="91" t="s">
        <v>143</v>
      </c>
      <c r="T1515" s="91" t="s">
        <v>3340</v>
      </c>
      <c r="V1515" s="91" t="s">
        <v>169</v>
      </c>
      <c r="W1515" s="91" t="s">
        <v>180</v>
      </c>
    </row>
    <row r="1516" spans="1:23">
      <c r="A1516" s="93" t="str">
        <f>TEXT(tblProjectlist[[#This Row],[project-no]],"0")</f>
        <v>99958916</v>
      </c>
      <c r="H1516" s="91">
        <v>9995</v>
      </c>
      <c r="I1516" s="91">
        <v>89</v>
      </c>
      <c r="J1516" s="91">
        <v>1</v>
      </c>
      <c r="K1516" s="91" t="s">
        <v>1711</v>
      </c>
      <c r="L1516" s="91" t="s">
        <v>2175</v>
      </c>
      <c r="M1516" s="91" t="s">
        <v>0</v>
      </c>
      <c r="Q1516" s="91"/>
      <c r="S1516" s="91" t="s">
        <v>143</v>
      </c>
      <c r="T1516" s="91" t="s">
        <v>3340</v>
      </c>
      <c r="V1516" s="91" t="s">
        <v>168</v>
      </c>
      <c r="W1516" s="91" t="s">
        <v>180</v>
      </c>
    </row>
    <row r="1517" spans="1:23">
      <c r="A1517" s="93" t="str">
        <f>TEXT(tblProjectlist[[#This Row],[project-no]],"0")</f>
        <v>99637401</v>
      </c>
      <c r="H1517" s="91">
        <v>9963</v>
      </c>
      <c r="I1517" s="91">
        <v>74</v>
      </c>
      <c r="J1517" s="91">
        <v>1</v>
      </c>
      <c r="K1517" s="91">
        <v>99637401</v>
      </c>
      <c r="L1517" s="91" t="s">
        <v>2175</v>
      </c>
      <c r="M1517" s="91" t="s">
        <v>0</v>
      </c>
      <c r="Q1517" s="91"/>
      <c r="S1517" s="91" t="s">
        <v>143</v>
      </c>
      <c r="T1517" s="91" t="s">
        <v>4095</v>
      </c>
      <c r="V1517" s="91" t="s">
        <v>169</v>
      </c>
      <c r="W1517" s="91" t="s">
        <v>180</v>
      </c>
    </row>
    <row r="1518" spans="1:23">
      <c r="A1518" s="93" t="str">
        <f>TEXT(tblProjectlist[[#This Row],[project-no]],"0")</f>
        <v>0</v>
      </c>
      <c r="H1518" s="91">
        <v>9963</v>
      </c>
      <c r="I1518" s="91">
        <v>75</v>
      </c>
      <c r="J1518" s="91">
        <v>1</v>
      </c>
      <c r="L1518" s="91" t="s">
        <v>2175</v>
      </c>
      <c r="M1518" s="91" t="s">
        <v>0</v>
      </c>
      <c r="Q1518" s="91"/>
      <c r="S1518" s="91" t="s">
        <v>143</v>
      </c>
      <c r="T1518" s="91" t="s">
        <v>4172</v>
      </c>
      <c r="V1518" s="91" t="s">
        <v>169</v>
      </c>
      <c r="W1518" s="91" t="s">
        <v>180</v>
      </c>
    </row>
    <row r="1519" spans="1:23">
      <c r="A1519" s="93" t="str">
        <f>TEXT(tblProjectlist[[#This Row],[project-no]],"0")</f>
        <v>0</v>
      </c>
      <c r="H1519" s="91">
        <v>9963</v>
      </c>
      <c r="I1519" s="91">
        <v>75</v>
      </c>
      <c r="J1519" s="91">
        <v>1</v>
      </c>
      <c r="K1519" s="91"/>
      <c r="L1519" s="91" t="s">
        <v>2175</v>
      </c>
      <c r="M1519" s="91" t="s">
        <v>0</v>
      </c>
      <c r="Q1519" s="91"/>
      <c r="S1519" s="91" t="s">
        <v>143</v>
      </c>
      <c r="T1519" s="91" t="s">
        <v>4172</v>
      </c>
      <c r="V1519" s="91" t="s">
        <v>167</v>
      </c>
      <c r="W1519" s="91" t="s">
        <v>180</v>
      </c>
    </row>
    <row r="1520" spans="1:23">
      <c r="A1520" s="93" t="str">
        <f>TEXT(tblProjectlist[[#This Row],[project-no]],"0")</f>
        <v>29080243</v>
      </c>
      <c r="H1520" s="91">
        <v>2908</v>
      </c>
      <c r="I1520" s="91">
        <v>2</v>
      </c>
      <c r="J1520" s="91">
        <v>4</v>
      </c>
      <c r="K1520" s="91" t="s">
        <v>591</v>
      </c>
      <c r="L1520" s="91" t="s">
        <v>197</v>
      </c>
      <c r="M1520" s="91" t="s">
        <v>1</v>
      </c>
      <c r="Q1520" s="91"/>
      <c r="S1520" s="91" t="s">
        <v>143</v>
      </c>
      <c r="T1520" s="91" t="s">
        <v>2507</v>
      </c>
      <c r="W1520" s="91" t="s">
        <v>180</v>
      </c>
    </row>
    <row r="1521" spans="1:23">
      <c r="A1521" s="93" t="str">
        <f>TEXT(tblProjectlist[[#This Row],[project-no]],"0")</f>
        <v>0</v>
      </c>
      <c r="H1521" s="91">
        <v>2057</v>
      </c>
      <c r="I1521" s="91">
        <v>2</v>
      </c>
      <c r="J1521" s="91">
        <v>2</v>
      </c>
      <c r="K1521" s="91"/>
      <c r="L1521" s="91" t="s">
        <v>2175</v>
      </c>
      <c r="M1521" s="91" t="s">
        <v>4</v>
      </c>
      <c r="Q1521" s="91"/>
      <c r="S1521" s="91" t="s">
        <v>143</v>
      </c>
      <c r="T1521" s="91" t="s">
        <v>3841</v>
      </c>
      <c r="V1521" s="91" t="s">
        <v>155</v>
      </c>
      <c r="W1521" s="91" t="s">
        <v>180</v>
      </c>
    </row>
    <row r="1522" spans="1:23">
      <c r="A1522" s="93" t="str">
        <f>TEXT(tblProjectlist[[#This Row],[project-no]],"0")</f>
        <v>0</v>
      </c>
      <c r="H1522" s="91">
        <v>7605</v>
      </c>
      <c r="I1522" s="91">
        <v>13</v>
      </c>
      <c r="J1522" s="91">
        <v>2</v>
      </c>
      <c r="K1522" s="91"/>
      <c r="L1522" s="91" t="s">
        <v>2175</v>
      </c>
      <c r="M1522" s="91" t="s">
        <v>4</v>
      </c>
      <c r="Q1522" s="91"/>
      <c r="S1522" s="91" t="s">
        <v>143</v>
      </c>
      <c r="T1522" s="91" t="s">
        <v>4282</v>
      </c>
      <c r="V1522" s="91" t="s">
        <v>155</v>
      </c>
      <c r="W1522" s="91" t="s">
        <v>180</v>
      </c>
    </row>
    <row r="1523" spans="1:23">
      <c r="A1523" s="93" t="str">
        <f>TEXT(tblProjectlist[[#This Row],[project-no]],"0")</f>
        <v>0</v>
      </c>
      <c r="H1523" s="91">
        <v>7605</v>
      </c>
      <c r="I1523" s="91">
        <v>14</v>
      </c>
      <c r="J1523" s="91">
        <v>2</v>
      </c>
      <c r="K1523" s="91"/>
      <c r="L1523" s="91" t="s">
        <v>2175</v>
      </c>
      <c r="M1523" s="91" t="s">
        <v>4</v>
      </c>
      <c r="Q1523" s="91"/>
      <c r="S1523" s="91" t="s">
        <v>143</v>
      </c>
      <c r="T1523" s="91" t="s">
        <v>4332</v>
      </c>
      <c r="V1523" s="91" t="s">
        <v>155</v>
      </c>
      <c r="W1523" s="91" t="s">
        <v>180</v>
      </c>
    </row>
    <row r="1524" spans="1:23">
      <c r="A1524" s="93" t="str">
        <f>TEXT(tblProjectlist[[#This Row],[project-no]],"0")</f>
        <v>0</v>
      </c>
      <c r="H1524" s="91">
        <v>7605</v>
      </c>
      <c r="I1524" s="91">
        <v>15</v>
      </c>
      <c r="J1524" s="91">
        <v>2</v>
      </c>
      <c r="K1524" s="91"/>
      <c r="L1524" s="91" t="s">
        <v>2175</v>
      </c>
      <c r="M1524" s="91" t="s">
        <v>4</v>
      </c>
      <c r="Q1524" s="91"/>
      <c r="S1524" s="91" t="s">
        <v>143</v>
      </c>
      <c r="T1524" s="91" t="s">
        <v>4448</v>
      </c>
      <c r="V1524" s="91" t="s">
        <v>155</v>
      </c>
      <c r="W1524" s="91" t="s">
        <v>180</v>
      </c>
    </row>
    <row r="1525" spans="1:23">
      <c r="A1525" s="93" t="str">
        <f>TEXT(tblProjectlist[[#This Row],[project-no]],"0")</f>
        <v>0</v>
      </c>
      <c r="H1525" s="91">
        <v>7605</v>
      </c>
      <c r="I1525" s="91">
        <v>16</v>
      </c>
      <c r="J1525" s="91">
        <v>2</v>
      </c>
      <c r="K1525" s="91"/>
      <c r="L1525" s="91" t="s">
        <v>2175</v>
      </c>
      <c r="M1525" s="91" t="s">
        <v>4</v>
      </c>
      <c r="Q1525" s="91"/>
      <c r="S1525" s="91" t="s">
        <v>143</v>
      </c>
      <c r="T1525" s="91" t="s">
        <v>4597</v>
      </c>
      <c r="V1525" s="91" t="s">
        <v>155</v>
      </c>
      <c r="W1525" s="91" t="s">
        <v>180</v>
      </c>
    </row>
    <row r="1526" spans="1:23">
      <c r="A1526" s="93" t="str">
        <f>TEXT(tblProjectlist[[#This Row],[project-no]],"0")</f>
        <v>0</v>
      </c>
      <c r="H1526" s="91">
        <v>7605</v>
      </c>
      <c r="I1526" s="91">
        <v>17</v>
      </c>
      <c r="J1526" s="91">
        <v>2</v>
      </c>
      <c r="K1526" s="91"/>
      <c r="L1526" s="91" t="s">
        <v>2175</v>
      </c>
      <c r="M1526" s="91" t="s">
        <v>4</v>
      </c>
      <c r="Q1526" s="91"/>
      <c r="S1526" s="91" t="s">
        <v>143</v>
      </c>
      <c r="T1526" s="91" t="s">
        <v>4598</v>
      </c>
      <c r="V1526" s="91" t="s">
        <v>155</v>
      </c>
      <c r="W1526" s="91" t="s">
        <v>180</v>
      </c>
    </row>
    <row r="1527" spans="1:23">
      <c r="A1527" s="93" t="str">
        <f>TEXT(tblProjectlist[[#This Row],[project-no]],"0")</f>
        <v>76050228</v>
      </c>
      <c r="H1527" s="91">
        <v>7605</v>
      </c>
      <c r="I1527" s="91">
        <v>2</v>
      </c>
      <c r="J1527" s="91">
        <v>2</v>
      </c>
      <c r="K1527" s="91" t="s">
        <v>1045</v>
      </c>
      <c r="L1527" s="91" t="s">
        <v>2175</v>
      </c>
      <c r="M1527" s="91" t="s">
        <v>4</v>
      </c>
      <c r="Q1527" s="91"/>
      <c r="S1527" s="91" t="s">
        <v>143</v>
      </c>
      <c r="T1527" s="91" t="s">
        <v>2912</v>
      </c>
      <c r="V1527" s="91" t="s">
        <v>155</v>
      </c>
      <c r="W1527" s="91" t="s">
        <v>180</v>
      </c>
    </row>
    <row r="1528" spans="1:23">
      <c r="A1528" s="93" t="str">
        <f>TEXT(tblProjectlist[[#This Row],[project-no]],"0")</f>
        <v>76050328</v>
      </c>
      <c r="H1528" s="91">
        <v>7605</v>
      </c>
      <c r="I1528" s="91">
        <v>3</v>
      </c>
      <c r="J1528" s="91">
        <v>2</v>
      </c>
      <c r="K1528" s="91" t="s">
        <v>1046</v>
      </c>
      <c r="L1528" s="91" t="s">
        <v>2175</v>
      </c>
      <c r="M1528" s="91" t="s">
        <v>4</v>
      </c>
      <c r="Q1528" s="91"/>
      <c r="S1528" s="91" t="s">
        <v>143</v>
      </c>
      <c r="T1528" s="91" t="s">
        <v>2913</v>
      </c>
      <c r="V1528" s="91" t="s">
        <v>155</v>
      </c>
      <c r="W1528" s="91" t="s">
        <v>180</v>
      </c>
    </row>
    <row r="1529" spans="1:23">
      <c r="A1529" s="93" t="str">
        <f>TEXT(tblProjectlist[[#This Row],[project-no]],"0")</f>
        <v>76050428</v>
      </c>
      <c r="H1529" s="91">
        <v>7605</v>
      </c>
      <c r="I1529" s="91">
        <v>4</v>
      </c>
      <c r="J1529" s="91">
        <v>2</v>
      </c>
      <c r="K1529" s="91" t="s">
        <v>1047</v>
      </c>
      <c r="L1529" s="91" t="s">
        <v>2175</v>
      </c>
      <c r="M1529" s="91" t="s">
        <v>4</v>
      </c>
      <c r="Q1529" s="91"/>
      <c r="S1529" s="91" t="s">
        <v>143</v>
      </c>
      <c r="T1529" s="91" t="s">
        <v>2914</v>
      </c>
      <c r="V1529" s="91" t="s">
        <v>155</v>
      </c>
      <c r="W1529" s="91" t="s">
        <v>180</v>
      </c>
    </row>
    <row r="1530" spans="1:23">
      <c r="A1530" s="93" t="str">
        <f>TEXT(tblProjectlist[[#This Row],[project-no]],"0")</f>
        <v>76050528</v>
      </c>
      <c r="H1530" s="91">
        <v>7605</v>
      </c>
      <c r="I1530" s="91">
        <v>5</v>
      </c>
      <c r="J1530" s="91">
        <v>2</v>
      </c>
      <c r="K1530" s="91" t="s">
        <v>1048</v>
      </c>
      <c r="L1530" s="91" t="s">
        <v>2175</v>
      </c>
      <c r="M1530" s="91" t="s">
        <v>4</v>
      </c>
      <c r="Q1530" s="91"/>
      <c r="S1530" s="91" t="s">
        <v>143</v>
      </c>
      <c r="T1530" s="91" t="s">
        <v>2915</v>
      </c>
      <c r="V1530" s="91" t="s">
        <v>155</v>
      </c>
      <c r="W1530" s="91" t="s">
        <v>180</v>
      </c>
    </row>
    <row r="1531" spans="1:23">
      <c r="A1531" s="93" t="str">
        <f>TEXT(tblProjectlist[[#This Row],[project-no]],"0")</f>
        <v>76050628</v>
      </c>
      <c r="H1531" s="91">
        <v>7605</v>
      </c>
      <c r="I1531" s="91">
        <v>6</v>
      </c>
      <c r="J1531" s="91">
        <v>2</v>
      </c>
      <c r="K1531" s="91" t="s">
        <v>1049</v>
      </c>
      <c r="L1531" s="91" t="s">
        <v>2175</v>
      </c>
      <c r="M1531" s="91" t="s">
        <v>4</v>
      </c>
      <c r="Q1531" s="91"/>
      <c r="S1531" s="91" t="s">
        <v>143</v>
      </c>
      <c r="T1531" s="91" t="s">
        <v>2916</v>
      </c>
      <c r="V1531" s="91" t="s">
        <v>155</v>
      </c>
      <c r="W1531" s="91" t="s">
        <v>180</v>
      </c>
    </row>
    <row r="1532" spans="1:23">
      <c r="A1532" s="93" t="str">
        <f>TEXT(tblProjectlist[[#This Row],[project-no]],"0")</f>
        <v>76050728</v>
      </c>
      <c r="H1532" s="91">
        <v>7605</v>
      </c>
      <c r="I1532" s="91">
        <v>7</v>
      </c>
      <c r="J1532" s="91">
        <v>2</v>
      </c>
      <c r="K1532" s="91" t="s">
        <v>1050</v>
      </c>
      <c r="L1532" s="91" t="s">
        <v>2175</v>
      </c>
      <c r="M1532" s="91" t="s">
        <v>4</v>
      </c>
      <c r="Q1532" s="91"/>
      <c r="S1532" s="91" t="s">
        <v>143</v>
      </c>
      <c r="T1532" s="91" t="s">
        <v>2917</v>
      </c>
      <c r="V1532" s="91" t="s">
        <v>155</v>
      </c>
      <c r="W1532" s="91" t="s">
        <v>180</v>
      </c>
    </row>
    <row r="1533" spans="1:23">
      <c r="A1533" s="93" t="str">
        <f>TEXT(tblProjectlist[[#This Row],[project-no]],"0")</f>
        <v>76050828</v>
      </c>
      <c r="H1533" s="91">
        <v>7605</v>
      </c>
      <c r="I1533" s="91">
        <v>8</v>
      </c>
      <c r="J1533" s="91">
        <v>2</v>
      </c>
      <c r="K1533" s="91" t="s">
        <v>1051</v>
      </c>
      <c r="L1533" s="91" t="s">
        <v>2175</v>
      </c>
      <c r="M1533" s="91" t="s">
        <v>4</v>
      </c>
      <c r="Q1533" s="91"/>
      <c r="S1533" s="91" t="s">
        <v>143</v>
      </c>
      <c r="T1533" s="91" t="s">
        <v>2918</v>
      </c>
      <c r="V1533" s="91" t="s">
        <v>155</v>
      </c>
      <c r="W1533" s="91" t="s">
        <v>180</v>
      </c>
    </row>
    <row r="1534" spans="1:23">
      <c r="A1534" s="93" t="str">
        <f>TEXT(tblProjectlist[[#This Row],[project-no]],"0")</f>
        <v>0</v>
      </c>
      <c r="H1534" s="91">
        <v>7605</v>
      </c>
      <c r="I1534" s="91">
        <v>9</v>
      </c>
      <c r="J1534" s="91">
        <v>2</v>
      </c>
      <c r="K1534" s="91"/>
      <c r="L1534" s="91" t="s">
        <v>2175</v>
      </c>
      <c r="M1534" s="91" t="s">
        <v>4</v>
      </c>
      <c r="Q1534" s="91"/>
      <c r="S1534" s="91" t="s">
        <v>143</v>
      </c>
      <c r="T1534" s="91" t="s">
        <v>3890</v>
      </c>
      <c r="V1534" s="91" t="s">
        <v>155</v>
      </c>
      <c r="W1534" s="91" t="s">
        <v>180</v>
      </c>
    </row>
    <row r="1535" spans="1:23">
      <c r="A1535" s="93" t="str">
        <f>TEXT(tblProjectlist[[#This Row],[project-no]],"0")</f>
        <v>0</v>
      </c>
      <c r="H1535" s="91">
        <v>7605</v>
      </c>
      <c r="I1535" s="91">
        <v>10</v>
      </c>
      <c r="J1535" s="91">
        <v>2</v>
      </c>
      <c r="K1535" s="91"/>
      <c r="L1535" s="91" t="s">
        <v>2175</v>
      </c>
      <c r="M1535" s="91" t="s">
        <v>4</v>
      </c>
      <c r="Q1535" s="91"/>
      <c r="S1535" s="91" t="s">
        <v>143</v>
      </c>
      <c r="T1535" s="91" t="s">
        <v>3968</v>
      </c>
      <c r="V1535" s="91" t="s">
        <v>155</v>
      </c>
      <c r="W1535" s="91" t="s">
        <v>180</v>
      </c>
    </row>
    <row r="1536" spans="1:23">
      <c r="A1536" s="93" t="str">
        <f>TEXT(tblProjectlist[[#This Row],[project-no]],"0")</f>
        <v>0</v>
      </c>
      <c r="H1536" s="91">
        <v>7605</v>
      </c>
      <c r="I1536" s="91">
        <v>11</v>
      </c>
      <c r="J1536" s="91">
        <v>2</v>
      </c>
      <c r="K1536" s="91"/>
      <c r="L1536" s="91" t="s">
        <v>2175</v>
      </c>
      <c r="M1536" s="91" t="s">
        <v>4</v>
      </c>
      <c r="Q1536" s="91"/>
      <c r="S1536" s="91" t="s">
        <v>143</v>
      </c>
      <c r="T1536" s="91" t="s">
        <v>4201</v>
      </c>
      <c r="V1536" s="91" t="s">
        <v>155</v>
      </c>
      <c r="W1536" s="91" t="s">
        <v>180</v>
      </c>
    </row>
    <row r="1537" spans="1:23">
      <c r="A1537" s="93" t="str">
        <f>TEXT(tblProjectlist[[#This Row],[project-no]],"0")</f>
        <v>0</v>
      </c>
      <c r="H1537" s="91">
        <v>7605</v>
      </c>
      <c r="I1537" s="91">
        <v>12</v>
      </c>
      <c r="J1537" s="91">
        <v>2</v>
      </c>
      <c r="K1537" s="91"/>
      <c r="L1537" s="91" t="s">
        <v>2175</v>
      </c>
      <c r="M1537" s="91" t="s">
        <v>4</v>
      </c>
      <c r="Q1537" s="91"/>
      <c r="S1537" s="91" t="s">
        <v>143</v>
      </c>
      <c r="T1537" s="91" t="s">
        <v>4202</v>
      </c>
      <c r="V1537" s="91" t="s">
        <v>155</v>
      </c>
      <c r="W1537" s="91" t="s">
        <v>180</v>
      </c>
    </row>
    <row r="1538" spans="1:23">
      <c r="A1538" s="93" t="str">
        <f>TEXT(tblProjectlist[[#This Row],[project-no]],"0")</f>
        <v>80050226</v>
      </c>
      <c r="H1538" s="91">
        <v>8005</v>
      </c>
      <c r="I1538" s="91">
        <v>2</v>
      </c>
      <c r="J1538" s="91">
        <v>2</v>
      </c>
      <c r="K1538" s="91" t="s">
        <v>1156</v>
      </c>
      <c r="L1538" s="91" t="s">
        <v>2175</v>
      </c>
      <c r="M1538" s="91" t="s">
        <v>4</v>
      </c>
      <c r="Q1538" s="91"/>
      <c r="S1538" s="91" t="s">
        <v>143</v>
      </c>
      <c r="T1538" s="91" t="s">
        <v>3020</v>
      </c>
      <c r="V1538" s="91" t="s">
        <v>155</v>
      </c>
      <c r="W1538" s="91" t="s">
        <v>180</v>
      </c>
    </row>
    <row r="1539" spans="1:23">
      <c r="A1539" s="93" t="str">
        <f>TEXT(tblProjectlist[[#This Row],[project-no]],"0")</f>
        <v>0</v>
      </c>
      <c r="H1539" s="91">
        <v>3061</v>
      </c>
      <c r="I1539" s="91">
        <v>5</v>
      </c>
      <c r="J1539" s="91">
        <v>2</v>
      </c>
      <c r="K1539" s="91"/>
      <c r="L1539" s="91" t="s">
        <v>62</v>
      </c>
      <c r="M1539" s="91" t="s">
        <v>4</v>
      </c>
      <c r="Q1539" s="91"/>
      <c r="S1539" s="91" t="s">
        <v>143</v>
      </c>
      <c r="T1539" s="91" t="s">
        <v>3667</v>
      </c>
      <c r="V1539" s="91" t="s">
        <v>155</v>
      </c>
      <c r="W1539" s="91" t="s">
        <v>180</v>
      </c>
    </row>
    <row r="1540" spans="1:23">
      <c r="A1540" s="93" t="str">
        <f>TEXT(tblProjectlist[[#This Row],[project-no]],"0")</f>
        <v>30610228</v>
      </c>
      <c r="H1540" s="91">
        <v>3061</v>
      </c>
      <c r="I1540" s="91">
        <v>2</v>
      </c>
      <c r="J1540" s="91">
        <v>2</v>
      </c>
      <c r="K1540" s="91" t="s">
        <v>677</v>
      </c>
      <c r="L1540" s="91" t="s">
        <v>62</v>
      </c>
      <c r="M1540" s="91" t="s">
        <v>4</v>
      </c>
      <c r="Q1540" s="91"/>
      <c r="S1540" s="91" t="s">
        <v>143</v>
      </c>
      <c r="T1540" s="91" t="s">
        <v>2578</v>
      </c>
      <c r="W1540" s="91" t="s">
        <v>180</v>
      </c>
    </row>
    <row r="1541" spans="1:23">
      <c r="A1541" s="93" t="str">
        <f>TEXT(tblProjectlist[[#This Row],[project-no]],"0")</f>
        <v>30610328</v>
      </c>
      <c r="H1541" s="91">
        <v>3061</v>
      </c>
      <c r="I1541" s="91">
        <v>3</v>
      </c>
      <c r="J1541" s="91">
        <v>2</v>
      </c>
      <c r="K1541" s="91" t="s">
        <v>678</v>
      </c>
      <c r="L1541" s="91" t="s">
        <v>62</v>
      </c>
      <c r="M1541" s="91" t="s">
        <v>4</v>
      </c>
      <c r="Q1541" s="91"/>
      <c r="S1541" s="91" t="s">
        <v>143</v>
      </c>
      <c r="T1541" s="91" t="s">
        <v>2579</v>
      </c>
      <c r="W1541" s="91" t="s">
        <v>180</v>
      </c>
    </row>
    <row r="1542" spans="1:23">
      <c r="A1542" s="93" t="str">
        <f>TEXT(tblProjectlist[[#This Row],[project-no]],"0")</f>
        <v>30610428</v>
      </c>
      <c r="H1542" s="91">
        <v>3061</v>
      </c>
      <c r="I1542" s="91">
        <v>4</v>
      </c>
      <c r="J1542" s="91">
        <v>2</v>
      </c>
      <c r="K1542" s="91" t="s">
        <v>679</v>
      </c>
      <c r="L1542" s="91" t="s">
        <v>62</v>
      </c>
      <c r="M1542" s="91" t="s">
        <v>4</v>
      </c>
      <c r="Q1542" s="91"/>
      <c r="S1542" s="91" t="s">
        <v>143</v>
      </c>
      <c r="T1542" s="91" t="s">
        <v>2580</v>
      </c>
      <c r="V1542" s="91" t="s">
        <v>155</v>
      </c>
      <c r="W1542" s="91" t="s">
        <v>180</v>
      </c>
    </row>
    <row r="1543" spans="1:23">
      <c r="A1543" s="93" t="str">
        <f>TEXT(tblProjectlist[[#This Row],[project-no]],"0")</f>
        <v>0</v>
      </c>
      <c r="H1543" s="91">
        <v>3061</v>
      </c>
      <c r="I1543" s="91">
        <v>6</v>
      </c>
      <c r="J1543" s="91">
        <v>2</v>
      </c>
      <c r="K1543" s="91"/>
      <c r="L1543" s="91" t="s">
        <v>62</v>
      </c>
      <c r="M1543" s="91" t="s">
        <v>4</v>
      </c>
      <c r="Q1543" s="91"/>
      <c r="S1543" s="91" t="s">
        <v>143</v>
      </c>
      <c r="T1543" s="91" t="s">
        <v>3777</v>
      </c>
      <c r="V1543" s="91" t="s">
        <v>155</v>
      </c>
      <c r="W1543" s="91" t="s">
        <v>180</v>
      </c>
    </row>
    <row r="1544" spans="1:23">
      <c r="A1544" s="93" t="str">
        <f>TEXT(tblProjectlist[[#This Row],[project-no]],"0")</f>
        <v>99869528</v>
      </c>
      <c r="H1544" s="91">
        <v>3061</v>
      </c>
      <c r="I1544" s="91">
        <v>2</v>
      </c>
      <c r="J1544" s="91">
        <v>2</v>
      </c>
      <c r="K1544" s="91" t="s">
        <v>1425</v>
      </c>
      <c r="L1544" s="91" t="s">
        <v>62</v>
      </c>
      <c r="M1544" s="91" t="s">
        <v>4</v>
      </c>
      <c r="Q1544" s="91"/>
      <c r="S1544" s="91" t="s">
        <v>143</v>
      </c>
      <c r="T1544" s="91" t="s">
        <v>2578</v>
      </c>
      <c r="V1544" s="91" t="s">
        <v>155</v>
      </c>
      <c r="W1544" s="91" t="s">
        <v>180</v>
      </c>
    </row>
    <row r="1545" spans="1:23">
      <c r="A1545" s="93" t="str">
        <f>TEXT(tblProjectlist[[#This Row],[project-no]],"0")</f>
        <v>78117611</v>
      </c>
      <c r="H1545" s="91">
        <v>7811</v>
      </c>
      <c r="I1545" s="91">
        <v>76</v>
      </c>
      <c r="J1545" s="91">
        <v>1</v>
      </c>
      <c r="K1545" s="91" t="s">
        <v>1126</v>
      </c>
      <c r="L1545" s="91" t="s">
        <v>2175</v>
      </c>
      <c r="M1545" s="91" t="s">
        <v>0</v>
      </c>
      <c r="Q1545" s="91"/>
      <c r="S1545" s="91" t="s">
        <v>143</v>
      </c>
      <c r="T1545" s="91" t="s">
        <v>2991</v>
      </c>
      <c r="V1545" s="91" t="s">
        <v>169</v>
      </c>
      <c r="W1545" s="91" t="s">
        <v>180</v>
      </c>
    </row>
    <row r="1546" spans="1:23">
      <c r="A1546" s="93" t="str">
        <f>TEXT(tblProjectlist[[#This Row],[project-no]],"0")</f>
        <v>78118712</v>
      </c>
      <c r="H1546" s="91">
        <v>7811</v>
      </c>
      <c r="I1546" s="91">
        <v>87</v>
      </c>
      <c r="J1546" s="91">
        <v>1</v>
      </c>
      <c r="K1546" s="91" t="s">
        <v>1128</v>
      </c>
      <c r="L1546" s="91" t="s">
        <v>2175</v>
      </c>
      <c r="M1546" s="91" t="s">
        <v>0</v>
      </c>
      <c r="Q1546" s="91"/>
      <c r="S1546" s="91" t="s">
        <v>143</v>
      </c>
      <c r="T1546" s="91" t="s">
        <v>2993</v>
      </c>
      <c r="V1546" s="91" t="s">
        <v>169</v>
      </c>
      <c r="W1546" s="91" t="s">
        <v>180</v>
      </c>
    </row>
    <row r="1547" spans="1:23">
      <c r="A1547" s="93" t="str">
        <f>TEXT(tblProjectlist[[#This Row],[project-no]],"0")</f>
        <v>78119616</v>
      </c>
      <c r="H1547" s="91">
        <v>7811</v>
      </c>
      <c r="I1547" s="91">
        <v>96</v>
      </c>
      <c r="J1547" s="91">
        <v>1</v>
      </c>
      <c r="K1547" s="91" t="s">
        <v>1132</v>
      </c>
      <c r="L1547" s="91" t="s">
        <v>2175</v>
      </c>
      <c r="M1547" s="91" t="s">
        <v>0</v>
      </c>
      <c r="Q1547" s="91"/>
      <c r="S1547" s="91" t="s">
        <v>143</v>
      </c>
      <c r="T1547" s="91" t="s">
        <v>2997</v>
      </c>
      <c r="V1547" s="91" t="s">
        <v>168</v>
      </c>
      <c r="W1547" s="91" t="s">
        <v>180</v>
      </c>
    </row>
    <row r="1548" spans="1:23">
      <c r="A1548" s="93" t="str">
        <f>TEXT(tblProjectlist[[#This Row],[project-no]],"0")</f>
        <v>99908616</v>
      </c>
      <c r="H1548" s="91">
        <v>7811</v>
      </c>
      <c r="I1548" s="91">
        <v>96</v>
      </c>
      <c r="J1548" s="91">
        <v>1</v>
      </c>
      <c r="K1548" s="91" t="s">
        <v>1495</v>
      </c>
      <c r="L1548" s="91" t="s">
        <v>2175</v>
      </c>
      <c r="M1548" s="91" t="s">
        <v>0</v>
      </c>
      <c r="Q1548" s="91"/>
      <c r="S1548" s="91" t="s">
        <v>143</v>
      </c>
      <c r="T1548" s="91" t="s">
        <v>2997</v>
      </c>
      <c r="V1548" s="91" t="s">
        <v>168</v>
      </c>
      <c r="W1548" s="91" t="s">
        <v>180</v>
      </c>
    </row>
    <row r="1549" spans="1:23">
      <c r="A1549" s="93" t="str">
        <f>TEXT(tblProjectlist[[#This Row],[project-no]],"0")</f>
        <v>78120711</v>
      </c>
      <c r="H1549" s="91">
        <v>7812</v>
      </c>
      <c r="I1549" s="91">
        <v>7</v>
      </c>
      <c r="J1549" s="91">
        <v>1</v>
      </c>
      <c r="K1549" s="91" t="s">
        <v>1133</v>
      </c>
      <c r="L1549" s="91" t="s">
        <v>2175</v>
      </c>
      <c r="M1549" s="91" t="s">
        <v>0</v>
      </c>
      <c r="Q1549" s="91"/>
      <c r="S1549" s="91" t="s">
        <v>143</v>
      </c>
      <c r="T1549" s="91" t="s">
        <v>2998</v>
      </c>
      <c r="V1549" s="91" t="s">
        <v>169</v>
      </c>
      <c r="W1549" s="91" t="s">
        <v>180</v>
      </c>
    </row>
    <row r="1550" spans="1:23">
      <c r="A1550" s="93" t="str">
        <f>TEXT(tblProjectlist[[#This Row],[project-no]],"0")</f>
        <v>78120816</v>
      </c>
      <c r="H1550" s="91">
        <v>7812</v>
      </c>
      <c r="I1550" s="91">
        <v>8</v>
      </c>
      <c r="J1550" s="91">
        <v>1</v>
      </c>
      <c r="K1550" s="91" t="s">
        <v>1134</v>
      </c>
      <c r="L1550" s="91" t="s">
        <v>2175</v>
      </c>
      <c r="M1550" s="91" t="s">
        <v>0</v>
      </c>
      <c r="Q1550" s="91"/>
      <c r="S1550" s="91" t="s">
        <v>143</v>
      </c>
      <c r="T1550" s="91" t="s">
        <v>2999</v>
      </c>
      <c r="V1550" s="91" t="s">
        <v>168</v>
      </c>
      <c r="W1550" s="91" t="s">
        <v>180</v>
      </c>
    </row>
    <row r="1551" spans="1:23">
      <c r="A1551" s="93" t="str">
        <f>TEXT(tblProjectlist[[#This Row],[project-no]],"0")</f>
        <v>0</v>
      </c>
      <c r="H1551" s="91">
        <v>7812</v>
      </c>
      <c r="I1551" s="91">
        <v>12</v>
      </c>
      <c r="J1551" s="91">
        <v>1</v>
      </c>
      <c r="K1551" s="91"/>
      <c r="L1551" s="91" t="s">
        <v>2175</v>
      </c>
      <c r="M1551" s="91" t="s">
        <v>0</v>
      </c>
      <c r="Q1551" s="91"/>
      <c r="S1551" s="91" t="s">
        <v>143</v>
      </c>
      <c r="T1551" s="91" t="s">
        <v>3821</v>
      </c>
      <c r="V1551" s="91" t="s">
        <v>168</v>
      </c>
      <c r="W1551" s="91" t="s">
        <v>180</v>
      </c>
    </row>
    <row r="1552" spans="1:23">
      <c r="A1552" s="93" t="str">
        <f>TEXT(tblProjectlist[[#This Row],[project-no]],"0")</f>
        <v>30740528</v>
      </c>
      <c r="H1552" s="91">
        <v>3074</v>
      </c>
      <c r="I1552" s="91">
        <v>5</v>
      </c>
      <c r="J1552" s="91">
        <v>2</v>
      </c>
      <c r="K1552" s="91" t="s">
        <v>692</v>
      </c>
      <c r="L1552" s="91" t="s">
        <v>2175</v>
      </c>
      <c r="M1552" s="91" t="s">
        <v>4</v>
      </c>
      <c r="Q1552" s="91"/>
      <c r="S1552" s="91" t="s">
        <v>143</v>
      </c>
      <c r="T1552" s="91" t="s">
        <v>2592</v>
      </c>
      <c r="V1552" s="91" t="s">
        <v>155</v>
      </c>
      <c r="W1552" s="91" t="s">
        <v>180</v>
      </c>
    </row>
    <row r="1553" spans="1:23">
      <c r="A1553" s="93" t="str">
        <f>TEXT(tblProjectlist[[#This Row],[project-no]],"0")</f>
        <v>20560228</v>
      </c>
      <c r="H1553" s="91">
        <v>2056</v>
      </c>
      <c r="I1553" s="91">
        <v>2</v>
      </c>
      <c r="J1553" s="91">
        <v>2</v>
      </c>
      <c r="K1553" s="91" t="s">
        <v>506</v>
      </c>
      <c r="L1553" s="91" t="s">
        <v>197</v>
      </c>
      <c r="M1553" s="91" t="s">
        <v>4</v>
      </c>
      <c r="Q1553" s="91"/>
      <c r="S1553" s="91" t="s">
        <v>143</v>
      </c>
      <c r="T1553" s="91" t="s">
        <v>2442</v>
      </c>
      <c r="W1553" s="91" t="s">
        <v>180</v>
      </c>
    </row>
    <row r="1554" spans="1:23">
      <c r="A1554" s="93" t="str">
        <f>TEXT(tblProjectlist[[#This Row],[project-no]],"0")</f>
        <v>0</v>
      </c>
      <c r="H1554" s="91">
        <v>7681</v>
      </c>
      <c r="I1554" s="91">
        <v>2</v>
      </c>
      <c r="J1554" s="91">
        <v>2</v>
      </c>
      <c r="K1554" s="91"/>
      <c r="L1554" s="91" t="s">
        <v>64</v>
      </c>
      <c r="M1554" s="91" t="s">
        <v>4</v>
      </c>
      <c r="Q1554" s="91"/>
      <c r="S1554" s="91" t="s">
        <v>143</v>
      </c>
      <c r="T1554" s="91" t="s">
        <v>3872</v>
      </c>
      <c r="V1554" s="91" t="s">
        <v>155</v>
      </c>
      <c r="W1554" s="91" t="s">
        <v>180</v>
      </c>
    </row>
    <row r="1555" spans="1:23">
      <c r="A1555" s="93" t="str">
        <f>TEXT(tblProjectlist[[#This Row],[project-no]],"0")</f>
        <v>0</v>
      </c>
      <c r="H1555" s="91">
        <v>7681</v>
      </c>
      <c r="I1555" s="91">
        <v>3</v>
      </c>
      <c r="J1555" s="91">
        <v>2</v>
      </c>
      <c r="K1555" s="91"/>
      <c r="L1555" s="91" t="s">
        <v>64</v>
      </c>
      <c r="M1555" s="91" t="s">
        <v>4</v>
      </c>
      <c r="Q1555" s="91"/>
      <c r="S1555" s="91" t="s">
        <v>143</v>
      </c>
      <c r="T1555" s="91" t="s">
        <v>3945</v>
      </c>
      <c r="V1555" s="91" t="s">
        <v>155</v>
      </c>
      <c r="W1555" s="91" t="s">
        <v>180</v>
      </c>
    </row>
    <row r="1556" spans="1:23">
      <c r="A1556" s="93" t="str">
        <f>TEXT(tblProjectlist[[#This Row],[project-no]],"0")</f>
        <v>0</v>
      </c>
      <c r="H1556" s="91">
        <v>2126</v>
      </c>
      <c r="I1556" s="91">
        <v>2</v>
      </c>
      <c r="J1556" s="91">
        <v>2</v>
      </c>
      <c r="K1556" s="91"/>
      <c r="L1556" s="91" t="s">
        <v>2175</v>
      </c>
      <c r="M1556" s="91" t="s">
        <v>4</v>
      </c>
      <c r="Q1556" s="91"/>
      <c r="S1556" s="91" t="s">
        <v>143</v>
      </c>
      <c r="T1556" s="91" t="s">
        <v>4622</v>
      </c>
      <c r="V1556" s="91" t="s">
        <v>155</v>
      </c>
      <c r="W1556" s="91" t="s">
        <v>180</v>
      </c>
    </row>
    <row r="1557" spans="1:23">
      <c r="A1557" s="93" t="str">
        <f>TEXT(tblProjectlist[[#This Row],[project-no]],"0")</f>
        <v>12820428</v>
      </c>
      <c r="H1557" s="91">
        <v>1282</v>
      </c>
      <c r="I1557" s="91">
        <v>4</v>
      </c>
      <c r="J1557" s="91">
        <v>2</v>
      </c>
      <c r="K1557" s="91" t="s">
        <v>284</v>
      </c>
      <c r="L1557" s="91" t="s">
        <v>2175</v>
      </c>
      <c r="M1557" s="91" t="s">
        <v>4</v>
      </c>
      <c r="Q1557" s="91"/>
      <c r="S1557" s="91" t="s">
        <v>143</v>
      </c>
      <c r="T1557" s="91" t="s">
        <v>2272</v>
      </c>
      <c r="V1557" s="91" t="s">
        <v>155</v>
      </c>
      <c r="W1557" s="91" t="s">
        <v>180</v>
      </c>
    </row>
    <row r="1558" spans="1:23">
      <c r="A1558" s="93" t="str">
        <f>TEXT(tblProjectlist[[#This Row],[project-no]],"0")</f>
        <v>78022928</v>
      </c>
      <c r="H1558" s="91">
        <v>7802</v>
      </c>
      <c r="I1558" s="91">
        <v>29</v>
      </c>
      <c r="J1558" s="91">
        <v>2</v>
      </c>
      <c r="K1558" s="91" t="s">
        <v>1109</v>
      </c>
      <c r="L1558" s="91" t="s">
        <v>2175</v>
      </c>
      <c r="M1558" s="91" t="s">
        <v>4</v>
      </c>
      <c r="Q1558" s="91"/>
      <c r="S1558" s="91" t="s">
        <v>143</v>
      </c>
      <c r="T1558" s="91" t="s">
        <v>2975</v>
      </c>
      <c r="V1558" s="91" t="s">
        <v>155</v>
      </c>
      <c r="W1558" s="91" t="s">
        <v>180</v>
      </c>
    </row>
    <row r="1559" spans="1:23">
      <c r="A1559" s="93" t="str">
        <f>TEXT(tblProjectlist[[#This Row],[project-no]],"0")</f>
        <v>0</v>
      </c>
      <c r="H1559" s="91">
        <v>3158</v>
      </c>
      <c r="I1559" s="91">
        <v>2</v>
      </c>
      <c r="J1559" s="91">
        <v>2</v>
      </c>
      <c r="K1559" s="91"/>
      <c r="L1559" s="91" t="s">
        <v>2175</v>
      </c>
      <c r="M1559" s="91" t="s">
        <v>4</v>
      </c>
      <c r="Q1559" s="91"/>
      <c r="S1559" s="91" t="s">
        <v>143</v>
      </c>
      <c r="T1559" s="91" t="s">
        <v>3921</v>
      </c>
      <c r="V1559" s="91" t="s">
        <v>155</v>
      </c>
      <c r="W1559" s="91" t="s">
        <v>180</v>
      </c>
    </row>
    <row r="1560" spans="1:23">
      <c r="A1560" s="93" t="str">
        <f>TEXT(tblProjectlist[[#This Row],[project-no]],"0")</f>
        <v>0</v>
      </c>
      <c r="H1560" s="91">
        <v>8080</v>
      </c>
      <c r="I1560" s="91">
        <v>32</v>
      </c>
      <c r="J1560" s="91">
        <v>2</v>
      </c>
      <c r="K1560" s="91"/>
      <c r="L1560" s="91" t="s">
        <v>197</v>
      </c>
      <c r="M1560" s="91" t="s">
        <v>4</v>
      </c>
      <c r="Q1560" s="91"/>
      <c r="S1560" s="91" t="s">
        <v>143</v>
      </c>
      <c r="T1560" s="91" t="s">
        <v>3707</v>
      </c>
      <c r="V1560" s="91" t="s">
        <v>155</v>
      </c>
      <c r="W1560" s="91" t="s">
        <v>180</v>
      </c>
    </row>
    <row r="1561" spans="1:23">
      <c r="A1561" s="93" t="str">
        <f>TEXT(tblProjectlist[[#This Row],[project-no]],"0")</f>
        <v>0</v>
      </c>
      <c r="H1561" s="91">
        <v>8080</v>
      </c>
      <c r="I1561" s="91">
        <v>33</v>
      </c>
      <c r="J1561" s="91">
        <v>2</v>
      </c>
      <c r="K1561" s="91"/>
      <c r="L1561" s="91" t="s">
        <v>197</v>
      </c>
      <c r="M1561" s="91" t="s">
        <v>4</v>
      </c>
      <c r="Q1561" s="91"/>
      <c r="S1561" s="91" t="s">
        <v>143</v>
      </c>
      <c r="T1561" s="91" t="s">
        <v>3798</v>
      </c>
      <c r="V1561" s="91" t="s">
        <v>155</v>
      </c>
      <c r="W1561" s="91" t="s">
        <v>180</v>
      </c>
    </row>
    <row r="1562" spans="1:23">
      <c r="A1562" s="93" t="str">
        <f>TEXT(tblProjectlist[[#This Row],[project-no]],"0")</f>
        <v>0</v>
      </c>
      <c r="H1562" s="91">
        <v>8080</v>
      </c>
      <c r="I1562" s="91">
        <v>34</v>
      </c>
      <c r="J1562" s="91">
        <v>2</v>
      </c>
      <c r="K1562" s="91"/>
      <c r="L1562" s="91" t="s">
        <v>62</v>
      </c>
      <c r="M1562" s="91" t="s">
        <v>4</v>
      </c>
      <c r="Q1562" s="91"/>
      <c r="S1562" s="91" t="s">
        <v>143</v>
      </c>
      <c r="T1562" s="91" t="s">
        <v>3878</v>
      </c>
      <c r="V1562" s="91" t="s">
        <v>155</v>
      </c>
      <c r="W1562" s="91" t="s">
        <v>180</v>
      </c>
    </row>
    <row r="1563" spans="1:23">
      <c r="A1563" s="93" t="str">
        <f>TEXT(tblProjectlist[[#This Row],[project-no]],"0")</f>
        <v>0</v>
      </c>
      <c r="H1563" s="91">
        <v>8080</v>
      </c>
      <c r="I1563" s="91">
        <v>35</v>
      </c>
      <c r="J1563" s="91">
        <v>2</v>
      </c>
      <c r="K1563" s="91"/>
      <c r="L1563" s="91" t="s">
        <v>197</v>
      </c>
      <c r="M1563" s="91" t="s">
        <v>4</v>
      </c>
      <c r="Q1563" s="91"/>
      <c r="S1563" s="91" t="s">
        <v>143</v>
      </c>
      <c r="T1563" s="91" t="s">
        <v>3950</v>
      </c>
      <c r="V1563" s="91" t="s">
        <v>155</v>
      </c>
      <c r="W1563" s="91" t="s">
        <v>180</v>
      </c>
    </row>
    <row r="1564" spans="1:23">
      <c r="A1564" s="93" t="str">
        <f>TEXT(tblProjectlist[[#This Row],[project-no]],"0")</f>
        <v>0</v>
      </c>
      <c r="H1564" s="91">
        <v>8080</v>
      </c>
      <c r="I1564" s="91">
        <v>36</v>
      </c>
      <c r="J1564" s="91">
        <v>2</v>
      </c>
      <c r="K1564" s="91"/>
      <c r="L1564" s="91" t="s">
        <v>2175</v>
      </c>
      <c r="M1564" s="91" t="s">
        <v>4</v>
      </c>
      <c r="Q1564" s="91"/>
      <c r="S1564" s="91" t="s">
        <v>143</v>
      </c>
      <c r="T1564" s="91" t="s">
        <v>4244</v>
      </c>
      <c r="V1564" s="91" t="s">
        <v>155</v>
      </c>
      <c r="W1564" s="91" t="s">
        <v>180</v>
      </c>
    </row>
    <row r="1565" spans="1:23">
      <c r="A1565" s="93" t="str">
        <f>TEXT(tblProjectlist[[#This Row],[project-no]],"0")</f>
        <v>0</v>
      </c>
      <c r="H1565" s="91">
        <v>8080</v>
      </c>
      <c r="I1565" s="91">
        <v>37</v>
      </c>
      <c r="J1565" s="91">
        <v>2</v>
      </c>
      <c r="K1565" s="91"/>
      <c r="L1565" s="91" t="s">
        <v>197</v>
      </c>
      <c r="M1565" s="91" t="s">
        <v>4</v>
      </c>
      <c r="Q1565" s="91"/>
      <c r="S1565" s="91" t="s">
        <v>143</v>
      </c>
      <c r="T1565" s="91" t="s">
        <v>4333</v>
      </c>
      <c r="V1565" s="91" t="s">
        <v>155</v>
      </c>
      <c r="W1565" s="91" t="s">
        <v>180</v>
      </c>
    </row>
    <row r="1566" spans="1:23">
      <c r="A1566" s="93" t="str">
        <f>TEXT(tblProjectlist[[#This Row],[project-no]],"0")</f>
        <v>0</v>
      </c>
      <c r="H1566" s="91">
        <v>8080</v>
      </c>
      <c r="I1566" s="91">
        <v>38</v>
      </c>
      <c r="J1566" s="91">
        <v>2</v>
      </c>
      <c r="K1566" s="91"/>
      <c r="L1566" s="91" t="s">
        <v>197</v>
      </c>
      <c r="M1566" s="91" t="s">
        <v>4</v>
      </c>
      <c r="Q1566" s="91"/>
      <c r="S1566" s="91" t="s">
        <v>143</v>
      </c>
      <c r="T1566" s="91" t="s">
        <v>4365</v>
      </c>
      <c r="V1566" s="91" t="s">
        <v>155</v>
      </c>
      <c r="W1566" s="91" t="s">
        <v>180</v>
      </c>
    </row>
    <row r="1567" spans="1:23">
      <c r="A1567" s="93" t="str">
        <f>TEXT(tblProjectlist[[#This Row],[project-no]],"0")</f>
        <v>0</v>
      </c>
      <c r="H1567" s="91">
        <v>8080</v>
      </c>
      <c r="I1567" s="91">
        <v>39</v>
      </c>
      <c r="J1567" s="91">
        <v>2</v>
      </c>
      <c r="K1567" s="91"/>
      <c r="L1567" s="91" t="s">
        <v>197</v>
      </c>
      <c r="M1567" s="91" t="s">
        <v>4</v>
      </c>
      <c r="Q1567" s="91"/>
      <c r="S1567" s="91" t="s">
        <v>143</v>
      </c>
      <c r="T1567" s="91" t="s">
        <v>4392</v>
      </c>
      <c r="V1567" s="91" t="s">
        <v>155</v>
      </c>
      <c r="W1567" s="91" t="s">
        <v>180</v>
      </c>
    </row>
    <row r="1568" spans="1:23">
      <c r="A1568" s="93" t="str">
        <f>TEXT(tblProjectlist[[#This Row],[project-no]],"0")</f>
        <v>0</v>
      </c>
      <c r="H1568" s="91">
        <v>8080</v>
      </c>
      <c r="I1568" s="91">
        <v>40</v>
      </c>
      <c r="J1568" s="91">
        <v>2</v>
      </c>
      <c r="K1568" s="91"/>
      <c r="L1568" s="91" t="s">
        <v>197</v>
      </c>
      <c r="M1568" s="91" t="s">
        <v>4</v>
      </c>
      <c r="Q1568" s="91"/>
      <c r="S1568" s="91" t="s">
        <v>143</v>
      </c>
      <c r="T1568" s="91" t="s">
        <v>4490</v>
      </c>
      <c r="V1568" s="91" t="s">
        <v>155</v>
      </c>
      <c r="W1568" s="91" t="s">
        <v>180</v>
      </c>
    </row>
    <row r="1569" spans="1:23">
      <c r="A1569" s="93" t="str">
        <f>TEXT(tblProjectlist[[#This Row],[project-no]],"0")</f>
        <v>0</v>
      </c>
      <c r="H1569" s="91">
        <v>8080</v>
      </c>
      <c r="I1569" s="91">
        <v>41</v>
      </c>
      <c r="J1569" s="91">
        <v>2</v>
      </c>
      <c r="K1569" s="91"/>
      <c r="L1569" s="91" t="s">
        <v>197</v>
      </c>
      <c r="M1569" s="91" t="s">
        <v>4</v>
      </c>
      <c r="Q1569" s="91"/>
      <c r="S1569" s="91" t="s">
        <v>143</v>
      </c>
      <c r="T1569" s="91" t="s">
        <v>4561</v>
      </c>
      <c r="V1569" s="91" t="s">
        <v>155</v>
      </c>
      <c r="W1569" s="91" t="s">
        <v>180</v>
      </c>
    </row>
    <row r="1570" spans="1:23">
      <c r="A1570" s="93" t="str">
        <f>TEXT(tblProjectlist[[#This Row],[project-no]],"0")</f>
        <v>0</v>
      </c>
      <c r="H1570" s="91">
        <v>8080</v>
      </c>
      <c r="I1570" s="91">
        <v>42</v>
      </c>
      <c r="J1570" s="91">
        <v>2</v>
      </c>
      <c r="K1570" s="91"/>
      <c r="L1570" s="91" t="s">
        <v>197</v>
      </c>
      <c r="M1570" s="91" t="s">
        <v>4</v>
      </c>
      <c r="Q1570" s="91"/>
      <c r="S1570" s="91" t="s">
        <v>143</v>
      </c>
      <c r="T1570" s="91" t="s">
        <v>4658</v>
      </c>
      <c r="V1570" s="91" t="s">
        <v>155</v>
      </c>
      <c r="W1570" s="91" t="s">
        <v>180</v>
      </c>
    </row>
    <row r="1571" spans="1:23">
      <c r="A1571" s="93" t="str">
        <f>TEXT(tblProjectlist[[#This Row],[project-no]],"0")</f>
        <v>80801328</v>
      </c>
      <c r="H1571" s="91">
        <v>8080</v>
      </c>
      <c r="I1571" s="91">
        <v>13</v>
      </c>
      <c r="J1571" s="91">
        <v>2</v>
      </c>
      <c r="K1571" s="91" t="s">
        <v>1196</v>
      </c>
      <c r="L1571" s="91" t="s">
        <v>197</v>
      </c>
      <c r="M1571" s="91" t="s">
        <v>4</v>
      </c>
      <c r="Q1571" s="91"/>
      <c r="S1571" s="91" t="s">
        <v>143</v>
      </c>
      <c r="T1571" s="91" t="s">
        <v>3049</v>
      </c>
      <c r="V1571" s="91" t="s">
        <v>155</v>
      </c>
      <c r="W1571" s="91" t="s">
        <v>180</v>
      </c>
    </row>
    <row r="1572" spans="1:23">
      <c r="A1572" s="93" t="str">
        <f>TEXT(tblProjectlist[[#This Row],[project-no]],"0")</f>
        <v>80801528</v>
      </c>
      <c r="H1572" s="91">
        <v>8080</v>
      </c>
      <c r="I1572" s="91">
        <v>15</v>
      </c>
      <c r="J1572" s="91">
        <v>2</v>
      </c>
      <c r="K1572" s="91" t="s">
        <v>1197</v>
      </c>
      <c r="L1572" s="91" t="s">
        <v>2175</v>
      </c>
      <c r="M1572" s="91" t="s">
        <v>4</v>
      </c>
      <c r="Q1572" s="91"/>
      <c r="S1572" s="91" t="s">
        <v>143</v>
      </c>
      <c r="T1572" s="91" t="s">
        <v>3050</v>
      </c>
      <c r="V1572" s="91" t="s">
        <v>155</v>
      </c>
      <c r="W1572" s="91" t="s">
        <v>180</v>
      </c>
    </row>
    <row r="1573" spans="1:23">
      <c r="A1573" s="93" t="str">
        <f>TEXT(tblProjectlist[[#This Row],[project-no]],"0")</f>
        <v>80802028</v>
      </c>
      <c r="H1573" s="91">
        <v>8080</v>
      </c>
      <c r="I1573" s="91">
        <v>20</v>
      </c>
      <c r="J1573" s="91">
        <v>2</v>
      </c>
      <c r="K1573" s="91" t="s">
        <v>1198</v>
      </c>
      <c r="L1573" s="91" t="s">
        <v>197</v>
      </c>
      <c r="M1573" s="91" t="s">
        <v>4</v>
      </c>
      <c r="Q1573" s="91"/>
      <c r="S1573" s="91" t="s">
        <v>143</v>
      </c>
      <c r="T1573" s="91" t="s">
        <v>3051</v>
      </c>
      <c r="V1573" s="91" t="s">
        <v>155</v>
      </c>
      <c r="W1573" s="91" t="s">
        <v>180</v>
      </c>
    </row>
    <row r="1574" spans="1:23">
      <c r="A1574" s="93" t="str">
        <f>TEXT(tblProjectlist[[#This Row],[project-no]],"0")</f>
        <v>80802328</v>
      </c>
      <c r="H1574" s="91">
        <v>8080</v>
      </c>
      <c r="I1574" s="91">
        <v>23</v>
      </c>
      <c r="J1574" s="91">
        <v>2</v>
      </c>
      <c r="K1574" s="91" t="s">
        <v>1199</v>
      </c>
      <c r="L1574" s="91" t="s">
        <v>197</v>
      </c>
      <c r="M1574" s="91" t="s">
        <v>4</v>
      </c>
      <c r="Q1574" s="91"/>
      <c r="S1574" s="91" t="s">
        <v>143</v>
      </c>
      <c r="T1574" s="91" t="s">
        <v>3052</v>
      </c>
      <c r="V1574" s="91" t="s">
        <v>155</v>
      </c>
      <c r="W1574" s="91" t="s">
        <v>180</v>
      </c>
    </row>
    <row r="1575" spans="1:23">
      <c r="A1575" s="93" t="str">
        <f>TEXT(tblProjectlist[[#This Row],[project-no]],"0")</f>
        <v>80802428</v>
      </c>
      <c r="H1575" s="91">
        <v>8080</v>
      </c>
      <c r="I1575" s="91">
        <v>24</v>
      </c>
      <c r="J1575" s="91">
        <v>2</v>
      </c>
      <c r="K1575" s="91" t="s">
        <v>1200</v>
      </c>
      <c r="L1575" s="91" t="s">
        <v>197</v>
      </c>
      <c r="M1575" s="91" t="s">
        <v>4</v>
      </c>
      <c r="Q1575" s="91"/>
      <c r="S1575" s="91" t="s">
        <v>143</v>
      </c>
      <c r="T1575" s="91" t="s">
        <v>3053</v>
      </c>
      <c r="W1575" s="91" t="s">
        <v>180</v>
      </c>
    </row>
    <row r="1576" spans="1:23">
      <c r="A1576" s="93" t="str">
        <f>TEXT(tblProjectlist[[#This Row],[project-no]],"0")</f>
        <v>80802526</v>
      </c>
      <c r="H1576" s="91">
        <v>8080</v>
      </c>
      <c r="I1576" s="91">
        <v>25</v>
      </c>
      <c r="J1576" s="91">
        <v>2</v>
      </c>
      <c r="K1576" s="91" t="s">
        <v>1201</v>
      </c>
      <c r="L1576" s="91" t="s">
        <v>2175</v>
      </c>
      <c r="M1576" s="91" t="s">
        <v>4</v>
      </c>
      <c r="Q1576" s="91"/>
      <c r="S1576" s="91" t="s">
        <v>143</v>
      </c>
      <c r="T1576" s="91" t="s">
        <v>3054</v>
      </c>
      <c r="V1576" s="91" t="s">
        <v>155</v>
      </c>
      <c r="W1576" s="91" t="s">
        <v>180</v>
      </c>
    </row>
    <row r="1577" spans="1:23">
      <c r="A1577" s="93" t="str">
        <f>TEXT(tblProjectlist[[#This Row],[project-no]],"0")</f>
        <v>80802628</v>
      </c>
      <c r="H1577" s="91">
        <v>8080</v>
      </c>
      <c r="I1577" s="91">
        <v>26</v>
      </c>
      <c r="J1577" s="91">
        <v>2</v>
      </c>
      <c r="K1577" s="91" t="s">
        <v>1202</v>
      </c>
      <c r="L1577" s="91" t="s">
        <v>197</v>
      </c>
      <c r="M1577" s="91" t="s">
        <v>4</v>
      </c>
      <c r="Q1577" s="91"/>
      <c r="S1577" s="91" t="s">
        <v>143</v>
      </c>
      <c r="T1577" s="91" t="s">
        <v>3055</v>
      </c>
      <c r="W1577" s="91" t="s">
        <v>180</v>
      </c>
    </row>
    <row r="1578" spans="1:23">
      <c r="A1578" s="93" t="str">
        <f>TEXT(tblProjectlist[[#This Row],[project-no]],"0")</f>
        <v>80802728</v>
      </c>
      <c r="H1578" s="91">
        <v>8080</v>
      </c>
      <c r="I1578" s="91">
        <v>27</v>
      </c>
      <c r="J1578" s="91">
        <v>2</v>
      </c>
      <c r="K1578" s="91" t="s">
        <v>1203</v>
      </c>
      <c r="L1578" s="91" t="s">
        <v>197</v>
      </c>
      <c r="M1578" s="91" t="s">
        <v>4</v>
      </c>
      <c r="Q1578" s="91"/>
      <c r="S1578" s="91" t="s">
        <v>143</v>
      </c>
      <c r="T1578" s="91" t="s">
        <v>3056</v>
      </c>
      <c r="W1578" s="91" t="s">
        <v>180</v>
      </c>
    </row>
    <row r="1579" spans="1:23">
      <c r="A1579" s="93" t="str">
        <f>TEXT(tblProjectlist[[#This Row],[project-no]],"0")</f>
        <v>80802828</v>
      </c>
      <c r="H1579" s="91">
        <v>8080</v>
      </c>
      <c r="I1579" s="91">
        <v>28</v>
      </c>
      <c r="J1579" s="91">
        <v>2</v>
      </c>
      <c r="K1579" s="91" t="s">
        <v>1204</v>
      </c>
      <c r="L1579" s="91" t="s">
        <v>2175</v>
      </c>
      <c r="M1579" s="91" t="s">
        <v>4</v>
      </c>
      <c r="Q1579" s="91"/>
      <c r="S1579" s="91" t="s">
        <v>143</v>
      </c>
      <c r="T1579" s="91" t="s">
        <v>3057</v>
      </c>
      <c r="V1579" s="91" t="s">
        <v>155</v>
      </c>
      <c r="W1579" s="91" t="s">
        <v>180</v>
      </c>
    </row>
    <row r="1580" spans="1:23">
      <c r="A1580" s="93" t="str">
        <f>TEXT(tblProjectlist[[#This Row],[project-no]],"0")</f>
        <v>80802928</v>
      </c>
      <c r="H1580" s="91">
        <v>8080</v>
      </c>
      <c r="I1580" s="91">
        <v>29</v>
      </c>
      <c r="J1580" s="91">
        <v>2</v>
      </c>
      <c r="K1580" s="91" t="s">
        <v>1205</v>
      </c>
      <c r="L1580" s="91" t="s">
        <v>197</v>
      </c>
      <c r="M1580" s="91" t="s">
        <v>4</v>
      </c>
      <c r="Q1580" s="91"/>
      <c r="S1580" s="91" t="s">
        <v>143</v>
      </c>
      <c r="T1580" s="91" t="s">
        <v>3058</v>
      </c>
      <c r="W1580" s="91" t="s">
        <v>180</v>
      </c>
    </row>
    <row r="1581" spans="1:23">
      <c r="A1581" s="93" t="str">
        <f>TEXT(tblProjectlist[[#This Row],[project-no]],"0")</f>
        <v>80803028</v>
      </c>
      <c r="H1581" s="91">
        <v>8080</v>
      </c>
      <c r="I1581" s="91">
        <v>30</v>
      </c>
      <c r="J1581" s="91">
        <v>2</v>
      </c>
      <c r="K1581" s="91" t="s">
        <v>1206</v>
      </c>
      <c r="L1581" s="91" t="s">
        <v>197</v>
      </c>
      <c r="M1581" s="91" t="s">
        <v>4</v>
      </c>
      <c r="Q1581" s="91"/>
      <c r="S1581" s="91" t="s">
        <v>143</v>
      </c>
      <c r="T1581" s="91" t="s">
        <v>3059</v>
      </c>
      <c r="V1581" s="91" t="s">
        <v>155</v>
      </c>
      <c r="W1581" s="91" t="s">
        <v>180</v>
      </c>
    </row>
    <row r="1582" spans="1:23">
      <c r="A1582" s="93" t="str">
        <f>TEXT(tblProjectlist[[#This Row],[project-no]],"0")</f>
        <v>99966026</v>
      </c>
      <c r="H1582" s="91">
        <v>8080</v>
      </c>
      <c r="I1582" s="91">
        <v>25</v>
      </c>
      <c r="J1582" s="91">
        <v>2</v>
      </c>
      <c r="K1582" s="91" t="s">
        <v>1778</v>
      </c>
      <c r="L1582" s="91" t="s">
        <v>2175</v>
      </c>
      <c r="M1582" s="91" t="s">
        <v>4</v>
      </c>
      <c r="Q1582" s="91"/>
      <c r="S1582" s="91" t="s">
        <v>143</v>
      </c>
      <c r="T1582" s="91" t="s">
        <v>3054</v>
      </c>
      <c r="W1582" s="91" t="s">
        <v>180</v>
      </c>
    </row>
    <row r="1583" spans="1:23">
      <c r="A1583" s="93" t="str">
        <f>TEXT(tblProjectlist[[#This Row],[project-no]],"0")</f>
        <v>81800428</v>
      </c>
      <c r="H1583" s="91">
        <v>8180</v>
      </c>
      <c r="I1583" s="91">
        <v>4</v>
      </c>
      <c r="J1583" s="91">
        <v>2</v>
      </c>
      <c r="K1583" s="91" t="s">
        <v>1232</v>
      </c>
      <c r="L1583" s="91" t="s">
        <v>197</v>
      </c>
      <c r="M1583" s="91" t="s">
        <v>4</v>
      </c>
      <c r="Q1583" s="91"/>
      <c r="S1583" s="91" t="s">
        <v>143</v>
      </c>
      <c r="T1583" s="91" t="s">
        <v>3084</v>
      </c>
      <c r="W1583" s="91" t="s">
        <v>180</v>
      </c>
    </row>
    <row r="1584" spans="1:23">
      <c r="A1584" s="93" t="str">
        <f>TEXT(tblProjectlist[[#This Row],[project-no]],"0")</f>
        <v>81810328</v>
      </c>
      <c r="H1584" s="91">
        <v>8181</v>
      </c>
      <c r="I1584" s="91">
        <v>3</v>
      </c>
      <c r="J1584" s="91">
        <v>2</v>
      </c>
      <c r="K1584" s="91" t="s">
        <v>1233</v>
      </c>
      <c r="L1584" s="91" t="s">
        <v>197</v>
      </c>
      <c r="M1584" s="91" t="s">
        <v>4</v>
      </c>
      <c r="Q1584" s="91"/>
      <c r="S1584" s="91" t="s">
        <v>143</v>
      </c>
      <c r="T1584" s="91" t="s">
        <v>3085</v>
      </c>
      <c r="W1584" s="91" t="s">
        <v>180</v>
      </c>
    </row>
    <row r="1585" spans="1:23">
      <c r="A1585" s="93" t="str">
        <f>TEXT(tblProjectlist[[#This Row],[project-no]],"0")</f>
        <v>81820328</v>
      </c>
      <c r="H1585" s="91">
        <v>8182</v>
      </c>
      <c r="I1585" s="91">
        <v>3</v>
      </c>
      <c r="J1585" s="91">
        <v>2</v>
      </c>
      <c r="K1585" s="91" t="s">
        <v>1234</v>
      </c>
      <c r="L1585" s="91" t="s">
        <v>197</v>
      </c>
      <c r="M1585" s="91" t="s">
        <v>4</v>
      </c>
      <c r="Q1585" s="91"/>
      <c r="S1585" s="91" t="s">
        <v>143</v>
      </c>
      <c r="T1585" s="91" t="s">
        <v>3086</v>
      </c>
      <c r="W1585" s="91" t="s">
        <v>180</v>
      </c>
    </row>
    <row r="1586" spans="1:23">
      <c r="A1586" s="93" t="str">
        <f>TEXT(tblProjectlist[[#This Row],[project-no]],"0")</f>
        <v>81830328</v>
      </c>
      <c r="H1586" s="91">
        <v>8183</v>
      </c>
      <c r="I1586" s="91">
        <v>3</v>
      </c>
      <c r="J1586" s="91">
        <v>2</v>
      </c>
      <c r="K1586" s="91" t="s">
        <v>1235</v>
      </c>
      <c r="L1586" s="91" t="s">
        <v>2175</v>
      </c>
      <c r="M1586" s="91" t="s">
        <v>4</v>
      </c>
      <c r="Q1586" s="91"/>
      <c r="S1586" s="91" t="s">
        <v>143</v>
      </c>
      <c r="T1586" s="91" t="s">
        <v>3087</v>
      </c>
      <c r="V1586" s="91" t="s">
        <v>155</v>
      </c>
      <c r="W1586" s="91" t="s">
        <v>180</v>
      </c>
    </row>
    <row r="1587" spans="1:23">
      <c r="A1587" s="93" t="str">
        <f>TEXT(tblProjectlist[[#This Row],[project-no]],"0")</f>
        <v>81840228</v>
      </c>
      <c r="H1587" s="91">
        <v>8184</v>
      </c>
      <c r="I1587" s="91">
        <v>2</v>
      </c>
      <c r="J1587" s="91">
        <v>2</v>
      </c>
      <c r="K1587" s="91" t="s">
        <v>1236</v>
      </c>
      <c r="L1587" s="91" t="s">
        <v>197</v>
      </c>
      <c r="M1587" s="91" t="s">
        <v>4</v>
      </c>
      <c r="Q1587" s="91"/>
      <c r="S1587" s="91" t="s">
        <v>143</v>
      </c>
      <c r="T1587" s="91" t="s">
        <v>3088</v>
      </c>
      <c r="W1587" s="91" t="s">
        <v>180</v>
      </c>
    </row>
    <row r="1588" spans="1:23">
      <c r="A1588" s="93" t="str">
        <f>TEXT(tblProjectlist[[#This Row],[project-no]],"0")</f>
        <v>60190128</v>
      </c>
      <c r="H1588" s="91">
        <v>6019</v>
      </c>
      <c r="I1588" s="91">
        <v>1</v>
      </c>
      <c r="J1588" s="91">
        <v>2</v>
      </c>
      <c r="K1588" s="91" t="s">
        <v>769</v>
      </c>
      <c r="L1588" s="91" t="s">
        <v>2175</v>
      </c>
      <c r="M1588" s="91" t="s">
        <v>4</v>
      </c>
      <c r="Q1588" s="91"/>
      <c r="S1588" s="91" t="s">
        <v>143</v>
      </c>
      <c r="T1588" s="91" t="s">
        <v>2665</v>
      </c>
      <c r="V1588" s="91" t="s">
        <v>155</v>
      </c>
      <c r="W1588" s="91" t="s">
        <v>180</v>
      </c>
    </row>
    <row r="1589" spans="1:23">
      <c r="A1589" s="93" t="str">
        <f>TEXT(tblProjectlist[[#This Row],[project-no]],"0")</f>
        <v>60190828</v>
      </c>
      <c r="H1589" s="91">
        <v>6019</v>
      </c>
      <c r="I1589" s="91">
        <v>8</v>
      </c>
      <c r="J1589" s="91">
        <v>2</v>
      </c>
      <c r="K1589" s="91" t="s">
        <v>770</v>
      </c>
      <c r="L1589" s="91" t="s">
        <v>2175</v>
      </c>
      <c r="M1589" s="91" t="s">
        <v>4</v>
      </c>
      <c r="Q1589" s="91"/>
      <c r="S1589" s="91" t="s">
        <v>143</v>
      </c>
      <c r="T1589" s="91" t="s">
        <v>2666</v>
      </c>
      <c r="V1589" s="91" t="s">
        <v>155</v>
      </c>
      <c r="W1589" s="91" t="s">
        <v>180</v>
      </c>
    </row>
    <row r="1590" spans="1:23">
      <c r="A1590" s="93" t="str">
        <f>TEXT(tblProjectlist[[#This Row],[project-no]],"0")</f>
        <v>60190928</v>
      </c>
      <c r="H1590" s="91">
        <v>6019</v>
      </c>
      <c r="I1590" s="91">
        <v>9</v>
      </c>
      <c r="J1590" s="91">
        <v>2</v>
      </c>
      <c r="K1590" s="91" t="s">
        <v>771</v>
      </c>
      <c r="L1590" s="91" t="s">
        <v>2175</v>
      </c>
      <c r="M1590" s="91" t="s">
        <v>4</v>
      </c>
      <c r="Q1590" s="91"/>
      <c r="S1590" s="91" t="s">
        <v>143</v>
      </c>
      <c r="T1590" s="91" t="s">
        <v>2667</v>
      </c>
      <c r="V1590" s="91" t="s">
        <v>155</v>
      </c>
      <c r="W1590" s="91" t="s">
        <v>180</v>
      </c>
    </row>
    <row r="1591" spans="1:23">
      <c r="A1591" s="93" t="str">
        <f>TEXT(tblProjectlist[[#This Row],[project-no]],"0")</f>
        <v>60191028</v>
      </c>
      <c r="H1591" s="91">
        <v>6019</v>
      </c>
      <c r="I1591" s="91">
        <v>10</v>
      </c>
      <c r="J1591" s="91">
        <v>2</v>
      </c>
      <c r="K1591" s="91" t="s">
        <v>772</v>
      </c>
      <c r="L1591" s="91" t="s">
        <v>2175</v>
      </c>
      <c r="M1591" s="91" t="s">
        <v>4</v>
      </c>
      <c r="Q1591" s="91"/>
      <c r="S1591" s="91" t="s">
        <v>143</v>
      </c>
      <c r="T1591" s="91" t="s">
        <v>2668</v>
      </c>
      <c r="V1591" s="91" t="s">
        <v>155</v>
      </c>
      <c r="W1591" s="91" t="s">
        <v>180</v>
      </c>
    </row>
    <row r="1592" spans="1:23">
      <c r="A1592" s="93" t="str">
        <f>TEXT(tblProjectlist[[#This Row],[project-no]],"0")</f>
        <v>60191111</v>
      </c>
      <c r="H1592" s="91">
        <v>6019</v>
      </c>
      <c r="I1592" s="91">
        <v>11</v>
      </c>
      <c r="J1592" s="91">
        <v>1</v>
      </c>
      <c r="K1592" s="91" t="s">
        <v>773</v>
      </c>
      <c r="L1592" s="91" t="s">
        <v>2175</v>
      </c>
      <c r="M1592" s="91" t="s">
        <v>0</v>
      </c>
      <c r="Q1592" s="91"/>
      <c r="S1592" s="91" t="s">
        <v>143</v>
      </c>
      <c r="T1592" s="91" t="s">
        <v>2669</v>
      </c>
      <c r="V1592" s="91" t="s">
        <v>169</v>
      </c>
      <c r="W1592" s="91" t="s">
        <v>180</v>
      </c>
    </row>
    <row r="1593" spans="1:23">
      <c r="A1593" s="93" t="str">
        <f>TEXT(tblProjectlist[[#This Row],[project-no]],"0")</f>
        <v>60191228</v>
      </c>
      <c r="H1593" s="91">
        <v>6019</v>
      </c>
      <c r="I1593" s="91">
        <v>12</v>
      </c>
      <c r="J1593" s="91">
        <v>2</v>
      </c>
      <c r="K1593" s="91" t="s">
        <v>774</v>
      </c>
      <c r="L1593" s="91" t="s">
        <v>2175</v>
      </c>
      <c r="M1593" s="91" t="s">
        <v>4</v>
      </c>
      <c r="Q1593" s="91"/>
      <c r="S1593" s="91" t="s">
        <v>143</v>
      </c>
      <c r="T1593" s="91" t="s">
        <v>2670</v>
      </c>
      <c r="V1593" s="91" t="s">
        <v>155</v>
      </c>
      <c r="W1593" s="91" t="s">
        <v>180</v>
      </c>
    </row>
    <row r="1594" spans="1:23">
      <c r="A1594" s="93" t="str">
        <f>TEXT(tblProjectlist[[#This Row],[project-no]],"0")</f>
        <v>99968628</v>
      </c>
      <c r="H1594" s="91">
        <v>6019</v>
      </c>
      <c r="I1594" s="91">
        <v>12</v>
      </c>
      <c r="J1594" s="91">
        <v>2</v>
      </c>
      <c r="K1594" s="91" t="s">
        <v>1802</v>
      </c>
      <c r="L1594" s="91" t="s">
        <v>2175</v>
      </c>
      <c r="M1594" s="91" t="s">
        <v>4</v>
      </c>
      <c r="Q1594" s="91"/>
      <c r="S1594" s="91" t="s">
        <v>143</v>
      </c>
      <c r="T1594" s="91" t="s">
        <v>2670</v>
      </c>
      <c r="V1594" s="91" t="s">
        <v>155</v>
      </c>
      <c r="W1594" s="91" t="s">
        <v>180</v>
      </c>
    </row>
    <row r="1595" spans="1:23">
      <c r="A1595" s="93" t="str">
        <f>TEXT(tblProjectlist[[#This Row],[project-no]],"0")</f>
        <v>0</v>
      </c>
      <c r="H1595" s="91">
        <v>3168</v>
      </c>
      <c r="I1595" s="91">
        <v>3</v>
      </c>
      <c r="J1595" s="91">
        <v>2</v>
      </c>
      <c r="K1595" s="91"/>
      <c r="L1595" s="91" t="s">
        <v>197</v>
      </c>
      <c r="M1595" s="91" t="s">
        <v>4</v>
      </c>
      <c r="Q1595" s="91"/>
      <c r="S1595" s="91" t="s">
        <v>143</v>
      </c>
      <c r="T1595" s="91" t="s">
        <v>4269</v>
      </c>
      <c r="V1595" s="91" t="s">
        <v>155</v>
      </c>
      <c r="W1595" s="91" t="s">
        <v>180</v>
      </c>
    </row>
    <row r="1596" spans="1:23">
      <c r="A1596" s="93" t="str">
        <f>TEXT(tblProjectlist[[#This Row],[project-no]],"0")</f>
        <v>0</v>
      </c>
      <c r="H1596" s="91">
        <v>3168</v>
      </c>
      <c r="I1596" s="91">
        <v>4</v>
      </c>
      <c r="J1596" s="91">
        <v>2</v>
      </c>
      <c r="K1596" s="91"/>
      <c r="L1596" s="91" t="s">
        <v>197</v>
      </c>
      <c r="M1596" s="91" t="s">
        <v>4</v>
      </c>
      <c r="Q1596" s="91"/>
      <c r="S1596" s="91" t="s">
        <v>143</v>
      </c>
      <c r="T1596" s="91" t="s">
        <v>4482</v>
      </c>
      <c r="V1596" s="91" t="s">
        <v>155</v>
      </c>
      <c r="W1596" s="91" t="s">
        <v>180</v>
      </c>
    </row>
    <row r="1597" spans="1:23">
      <c r="A1597" s="93" t="str">
        <f>TEXT(tblProjectlist[[#This Row],[project-no]],"0")</f>
        <v>0</v>
      </c>
      <c r="H1597" s="91">
        <v>3168</v>
      </c>
      <c r="I1597" s="91">
        <v>2</v>
      </c>
      <c r="J1597" s="91">
        <v>2</v>
      </c>
      <c r="K1597" s="91"/>
      <c r="L1597" s="91" t="s">
        <v>197</v>
      </c>
      <c r="M1597" s="91" t="s">
        <v>4</v>
      </c>
      <c r="Q1597" s="91"/>
      <c r="S1597" s="91" t="s">
        <v>143</v>
      </c>
      <c r="T1597" s="91" t="s">
        <v>4191</v>
      </c>
      <c r="V1597" s="91" t="s">
        <v>155</v>
      </c>
      <c r="W1597" s="91" t="s">
        <v>180</v>
      </c>
    </row>
    <row r="1598" spans="1:23">
      <c r="A1598" s="93" t="str">
        <f>TEXT(tblProjectlist[[#This Row],[project-no]],"0")</f>
        <v>78024111</v>
      </c>
      <c r="H1598" s="91">
        <v>7802</v>
      </c>
      <c r="I1598" s="91">
        <v>41</v>
      </c>
      <c r="J1598" s="91">
        <v>1</v>
      </c>
      <c r="K1598" s="91" t="s">
        <v>1121</v>
      </c>
      <c r="L1598" s="91" t="s">
        <v>2175</v>
      </c>
      <c r="M1598" s="91" t="s">
        <v>0</v>
      </c>
      <c r="Q1598" s="91"/>
      <c r="S1598" s="91" t="s">
        <v>143</v>
      </c>
      <c r="T1598" s="91" t="s">
        <v>2987</v>
      </c>
      <c r="V1598" s="91" t="s">
        <v>169</v>
      </c>
      <c r="W1598" s="91" t="s">
        <v>180</v>
      </c>
    </row>
    <row r="1599" spans="1:23">
      <c r="A1599" s="93" t="str">
        <f>TEXT(tblProjectlist[[#This Row],[project-no]],"0")</f>
        <v>78024116</v>
      </c>
      <c r="H1599" s="91">
        <v>7802</v>
      </c>
      <c r="I1599" s="91">
        <v>41</v>
      </c>
      <c r="J1599" s="91">
        <v>1</v>
      </c>
      <c r="K1599" s="91" t="s">
        <v>1122</v>
      </c>
      <c r="L1599" s="91" t="s">
        <v>2175</v>
      </c>
      <c r="M1599" s="91" t="s">
        <v>0</v>
      </c>
      <c r="Q1599" s="91"/>
      <c r="S1599" s="91" t="s">
        <v>143</v>
      </c>
      <c r="T1599" s="91" t="s">
        <v>2987</v>
      </c>
      <c r="V1599" s="91" t="s">
        <v>168</v>
      </c>
      <c r="W1599" s="91" t="s">
        <v>180</v>
      </c>
    </row>
    <row r="1600" spans="1:23">
      <c r="A1600" s="93" t="str">
        <f>TEXT(tblProjectlist[[#This Row],[project-no]],"0")</f>
        <v>21500843</v>
      </c>
      <c r="H1600" s="91">
        <v>2150</v>
      </c>
      <c r="I1600" s="91">
        <v>8</v>
      </c>
      <c r="J1600" s="91">
        <v>4</v>
      </c>
      <c r="K1600" s="91" t="s">
        <v>544</v>
      </c>
      <c r="L1600" s="91" t="s">
        <v>58</v>
      </c>
      <c r="M1600" s="91" t="s">
        <v>1</v>
      </c>
      <c r="Q1600" s="91"/>
      <c r="S1600" s="91" t="s">
        <v>143</v>
      </c>
      <c r="T1600" s="91" t="s">
        <v>2473</v>
      </c>
      <c r="V1600" s="91" t="s">
        <v>164</v>
      </c>
      <c r="W1600" s="91" t="s">
        <v>180</v>
      </c>
    </row>
    <row r="1601" spans="1:23">
      <c r="A1601" s="93" t="str">
        <f>TEXT(tblProjectlist[[#This Row],[project-no]],"0")</f>
        <v>21500844</v>
      </c>
      <c r="H1601" s="91">
        <v>2150</v>
      </c>
      <c r="I1601" s="91">
        <v>8</v>
      </c>
      <c r="J1601" s="91">
        <v>4</v>
      </c>
      <c r="K1601" s="91" t="s">
        <v>545</v>
      </c>
      <c r="L1601" s="91" t="s">
        <v>58</v>
      </c>
      <c r="M1601" s="91" t="s">
        <v>1</v>
      </c>
      <c r="Q1601" s="91"/>
      <c r="S1601" s="91" t="s">
        <v>143</v>
      </c>
      <c r="T1601" s="91" t="s">
        <v>2473</v>
      </c>
      <c r="V1601" s="91" t="s">
        <v>160</v>
      </c>
      <c r="W1601" s="91" t="s">
        <v>180</v>
      </c>
    </row>
    <row r="1602" spans="1:23">
      <c r="A1602" s="93" t="str">
        <f>TEXT(tblProjectlist[[#This Row],[project-no]],"0")</f>
        <v>21506447</v>
      </c>
      <c r="H1602" s="91">
        <v>2150</v>
      </c>
      <c r="I1602" s="91">
        <v>64</v>
      </c>
      <c r="J1602" s="91">
        <v>4</v>
      </c>
      <c r="K1602" s="91" t="s">
        <v>546</v>
      </c>
      <c r="L1602" s="91" t="s">
        <v>58</v>
      </c>
      <c r="M1602" s="91" t="s">
        <v>1</v>
      </c>
      <c r="Q1602" s="91"/>
      <c r="S1602" s="91" t="s">
        <v>143</v>
      </c>
      <c r="T1602" s="91" t="s">
        <v>2474</v>
      </c>
      <c r="V1602" s="91" t="s">
        <v>162</v>
      </c>
      <c r="W1602" s="91" t="s">
        <v>180</v>
      </c>
    </row>
    <row r="1603" spans="1:23">
      <c r="A1603" s="93" t="str">
        <f>TEXT(tblProjectlist[[#This Row],[project-no]],"0")</f>
        <v>21508641</v>
      </c>
      <c r="H1603" s="91">
        <v>2150</v>
      </c>
      <c r="I1603" s="91">
        <v>86</v>
      </c>
      <c r="J1603" s="91">
        <v>4</v>
      </c>
      <c r="K1603" s="91" t="s">
        <v>547</v>
      </c>
      <c r="L1603" s="91" t="s">
        <v>58</v>
      </c>
      <c r="M1603" s="91" t="s">
        <v>1</v>
      </c>
      <c r="Q1603" s="91"/>
      <c r="S1603" s="91" t="s">
        <v>143</v>
      </c>
      <c r="T1603" s="91" t="s">
        <v>2475</v>
      </c>
      <c r="V1603" s="91" t="s">
        <v>159</v>
      </c>
      <c r="W1603" s="91" t="s">
        <v>180</v>
      </c>
    </row>
    <row r="1604" spans="1:23">
      <c r="A1604" s="93" t="str">
        <f>TEXT(tblProjectlist[[#This Row],[project-no]],"0")</f>
        <v>21508642</v>
      </c>
      <c r="H1604" s="91">
        <v>2150</v>
      </c>
      <c r="I1604" s="91">
        <v>86</v>
      </c>
      <c r="J1604" s="91">
        <v>4</v>
      </c>
      <c r="K1604" s="91" t="s">
        <v>548</v>
      </c>
      <c r="L1604" s="91" t="s">
        <v>58</v>
      </c>
      <c r="M1604" s="91" t="s">
        <v>1</v>
      </c>
      <c r="Q1604" s="91"/>
      <c r="S1604" s="91" t="s">
        <v>143</v>
      </c>
      <c r="T1604" s="91" t="s">
        <v>2475</v>
      </c>
      <c r="V1604" s="91" t="s">
        <v>163</v>
      </c>
      <c r="W1604" s="91" t="s">
        <v>180</v>
      </c>
    </row>
    <row r="1605" spans="1:23">
      <c r="A1605" s="93" t="str">
        <f>TEXT(tblProjectlist[[#This Row],[project-no]],"0")</f>
        <v>21508643</v>
      </c>
      <c r="H1605" s="91">
        <v>2150</v>
      </c>
      <c r="I1605" s="91">
        <v>86</v>
      </c>
      <c r="J1605" s="91">
        <v>4</v>
      </c>
      <c r="K1605" s="91" t="s">
        <v>549</v>
      </c>
      <c r="L1605" s="91" t="s">
        <v>58</v>
      </c>
      <c r="M1605" s="91" t="s">
        <v>1</v>
      </c>
      <c r="Q1605" s="91"/>
      <c r="S1605" s="91" t="s">
        <v>143</v>
      </c>
      <c r="T1605" s="91" t="s">
        <v>2475</v>
      </c>
      <c r="V1605" s="91" t="s">
        <v>164</v>
      </c>
      <c r="W1605" s="91" t="s">
        <v>180</v>
      </c>
    </row>
    <row r="1606" spans="1:23">
      <c r="A1606" s="93" t="str">
        <f>TEXT(tblProjectlist[[#This Row],[project-no]],"0")</f>
        <v>21508644</v>
      </c>
      <c r="H1606" s="91">
        <v>2150</v>
      </c>
      <c r="I1606" s="91">
        <v>86</v>
      </c>
      <c r="J1606" s="91">
        <v>4</v>
      </c>
      <c r="K1606" s="91" t="s">
        <v>550</v>
      </c>
      <c r="L1606" s="91" t="s">
        <v>58</v>
      </c>
      <c r="M1606" s="91" t="s">
        <v>1</v>
      </c>
      <c r="Q1606" s="91"/>
      <c r="S1606" s="91" t="s">
        <v>143</v>
      </c>
      <c r="T1606" s="91" t="s">
        <v>2475</v>
      </c>
      <c r="V1606" s="91" t="s">
        <v>160</v>
      </c>
      <c r="W1606" s="91" t="s">
        <v>180</v>
      </c>
    </row>
    <row r="1607" spans="1:23">
      <c r="A1607" s="93" t="str">
        <f>TEXT(tblProjectlist[[#This Row],[project-no]],"0")</f>
        <v>21508647</v>
      </c>
      <c r="H1607" s="91">
        <v>2150</v>
      </c>
      <c r="I1607" s="91">
        <v>86</v>
      </c>
      <c r="J1607" s="91">
        <v>4</v>
      </c>
      <c r="K1607" s="91" t="s">
        <v>551</v>
      </c>
      <c r="L1607" s="91" t="s">
        <v>58</v>
      </c>
      <c r="M1607" s="91" t="s">
        <v>1</v>
      </c>
      <c r="Q1607" s="91"/>
      <c r="S1607" s="91" t="s">
        <v>143</v>
      </c>
      <c r="T1607" s="91" t="s">
        <v>2475</v>
      </c>
      <c r="V1607" s="91" t="s">
        <v>162</v>
      </c>
      <c r="W1607" s="91" t="s">
        <v>180</v>
      </c>
    </row>
    <row r="1608" spans="1:23">
      <c r="A1608" s="93" t="str">
        <f>TEXT(tblProjectlist[[#This Row],[project-no]],"0")</f>
        <v>21508847</v>
      </c>
      <c r="H1608" s="91">
        <v>2150</v>
      </c>
      <c r="I1608" s="91">
        <v>88</v>
      </c>
      <c r="J1608" s="91">
        <v>4</v>
      </c>
      <c r="K1608" s="91" t="s">
        <v>552</v>
      </c>
      <c r="L1608" s="91" t="s">
        <v>58</v>
      </c>
      <c r="M1608" s="91" t="s">
        <v>1</v>
      </c>
      <c r="Q1608" s="91"/>
      <c r="S1608" s="91" t="s">
        <v>143</v>
      </c>
      <c r="T1608" s="91" t="s">
        <v>2476</v>
      </c>
      <c r="W1608" s="91" t="s">
        <v>180</v>
      </c>
    </row>
    <row r="1609" spans="1:23">
      <c r="A1609" s="93" t="str">
        <f>TEXT(tblProjectlist[[#This Row],[project-no]],"0")</f>
        <v>21508947</v>
      </c>
      <c r="H1609" s="91">
        <v>2150</v>
      </c>
      <c r="I1609" s="91">
        <v>89</v>
      </c>
      <c r="J1609" s="91">
        <v>4</v>
      </c>
      <c r="K1609" s="91" t="s">
        <v>553</v>
      </c>
      <c r="L1609" s="91" t="s">
        <v>58</v>
      </c>
      <c r="M1609" s="91" t="s">
        <v>1</v>
      </c>
      <c r="Q1609" s="91"/>
      <c r="S1609" s="91" t="s">
        <v>143</v>
      </c>
      <c r="T1609" s="91" t="s">
        <v>2477</v>
      </c>
      <c r="W1609" s="91" t="s">
        <v>180</v>
      </c>
    </row>
    <row r="1610" spans="1:23">
      <c r="A1610" s="93" t="str">
        <f>TEXT(tblProjectlist[[#This Row],[project-no]],"0")</f>
        <v>21509028</v>
      </c>
      <c r="H1610" s="91">
        <v>2150</v>
      </c>
      <c r="I1610" s="91">
        <v>90</v>
      </c>
      <c r="J1610" s="91">
        <v>2</v>
      </c>
      <c r="K1610" s="91" t="s">
        <v>554</v>
      </c>
      <c r="L1610" s="91" t="s">
        <v>2175</v>
      </c>
      <c r="M1610" s="91" t="s">
        <v>4</v>
      </c>
      <c r="Q1610" s="91"/>
      <c r="S1610" s="91" t="s">
        <v>143</v>
      </c>
      <c r="T1610" s="91" t="s">
        <v>2478</v>
      </c>
      <c r="V1610" s="91" t="s">
        <v>155</v>
      </c>
      <c r="W1610" s="91" t="s">
        <v>180</v>
      </c>
    </row>
    <row r="1611" spans="1:23">
      <c r="A1611" s="93" t="str">
        <f>TEXT(tblProjectlist[[#This Row],[project-no]],"0")</f>
        <v>99894943</v>
      </c>
      <c r="H1611" s="91">
        <v>2150</v>
      </c>
      <c r="I1611" s="91">
        <v>8</v>
      </c>
      <c r="J1611" s="91">
        <v>4</v>
      </c>
      <c r="K1611" s="91" t="s">
        <v>1467</v>
      </c>
      <c r="L1611" s="91" t="s">
        <v>58</v>
      </c>
      <c r="M1611" s="91" t="s">
        <v>1</v>
      </c>
      <c r="Q1611" s="91"/>
      <c r="S1611" s="91" t="s">
        <v>143</v>
      </c>
      <c r="T1611" s="91" t="s">
        <v>2473</v>
      </c>
      <c r="V1611" s="91" t="s">
        <v>164</v>
      </c>
      <c r="W1611" s="91" t="s">
        <v>180</v>
      </c>
    </row>
    <row r="1612" spans="1:23">
      <c r="A1612" s="93" t="str">
        <f>TEXT(tblProjectlist[[#This Row],[project-no]],"0")</f>
        <v>99894944</v>
      </c>
      <c r="H1612" s="91">
        <v>2150</v>
      </c>
      <c r="I1612" s="91">
        <v>8</v>
      </c>
      <c r="J1612" s="91">
        <v>4</v>
      </c>
      <c r="K1612" s="91" t="s">
        <v>1468</v>
      </c>
      <c r="L1612" s="91" t="s">
        <v>58</v>
      </c>
      <c r="M1612" s="91" t="s">
        <v>1</v>
      </c>
      <c r="Q1612" s="91"/>
      <c r="S1612" s="91" t="s">
        <v>143</v>
      </c>
      <c r="T1612" s="91" t="s">
        <v>2473</v>
      </c>
      <c r="V1612" s="91" t="s">
        <v>160</v>
      </c>
      <c r="W1612" s="91" t="s">
        <v>180</v>
      </c>
    </row>
    <row r="1613" spans="1:23">
      <c r="A1613" s="93" t="str">
        <f>TEXT(tblProjectlist[[#This Row],[project-no]],"0")</f>
        <v>99950543</v>
      </c>
      <c r="H1613" s="91">
        <v>2150</v>
      </c>
      <c r="I1613" s="91">
        <v>86</v>
      </c>
      <c r="J1613" s="91">
        <v>4</v>
      </c>
      <c r="K1613" s="91" t="s">
        <v>1620</v>
      </c>
      <c r="L1613" s="91" t="s">
        <v>58</v>
      </c>
      <c r="M1613" s="91" t="s">
        <v>1</v>
      </c>
      <c r="Q1613" s="91"/>
      <c r="S1613" s="91" t="s">
        <v>143</v>
      </c>
      <c r="T1613" s="91" t="s">
        <v>2475</v>
      </c>
      <c r="V1613" s="91" t="s">
        <v>164</v>
      </c>
      <c r="W1613" s="91" t="s">
        <v>180</v>
      </c>
    </row>
    <row r="1614" spans="1:23">
      <c r="A1614" s="93" t="str">
        <f>TEXT(tblProjectlist[[#This Row],[project-no]],"0")</f>
        <v>99950544</v>
      </c>
      <c r="H1614" s="91">
        <v>2150</v>
      </c>
      <c r="I1614" s="91">
        <v>86</v>
      </c>
      <c r="J1614" s="91">
        <v>4</v>
      </c>
      <c r="K1614" s="91" t="s">
        <v>1621</v>
      </c>
      <c r="L1614" s="91" t="s">
        <v>58</v>
      </c>
      <c r="M1614" s="91" t="s">
        <v>1</v>
      </c>
      <c r="Q1614" s="91"/>
      <c r="S1614" s="91" t="s">
        <v>143</v>
      </c>
      <c r="T1614" s="91" t="s">
        <v>2475</v>
      </c>
      <c r="V1614" s="91" t="s">
        <v>160</v>
      </c>
      <c r="W1614" s="91" t="s">
        <v>180</v>
      </c>
    </row>
    <row r="1615" spans="1:23">
      <c r="A1615" s="93" t="str">
        <f>TEXT(tblProjectlist[[#This Row],[project-no]],"0")</f>
        <v>0</v>
      </c>
      <c r="H1615" s="91">
        <v>9963</v>
      </c>
      <c r="I1615" s="91">
        <v>76</v>
      </c>
      <c r="J1615" s="91">
        <v>1</v>
      </c>
      <c r="K1615" s="91"/>
      <c r="L1615" s="91" t="s">
        <v>2175</v>
      </c>
      <c r="M1615" s="91" t="s">
        <v>0</v>
      </c>
      <c r="Q1615" s="91"/>
      <c r="S1615" s="91" t="s">
        <v>143</v>
      </c>
      <c r="T1615" s="91" t="s">
        <v>4247</v>
      </c>
      <c r="V1615" s="91" t="s">
        <v>169</v>
      </c>
      <c r="W1615" s="91" t="s">
        <v>180</v>
      </c>
    </row>
    <row r="1616" spans="1:23">
      <c r="A1616" s="93" t="str">
        <f>TEXT(tblProjectlist[[#This Row],[project-no]],"0")</f>
        <v>99813311</v>
      </c>
      <c r="H1616" s="91">
        <v>9981</v>
      </c>
      <c r="I1616" s="91">
        <v>33</v>
      </c>
      <c r="J1616" s="91">
        <v>1</v>
      </c>
      <c r="K1616" s="91" t="s">
        <v>1350</v>
      </c>
      <c r="L1616" s="91" t="s">
        <v>2175</v>
      </c>
      <c r="M1616" s="91" t="s">
        <v>0</v>
      </c>
      <c r="Q1616" s="91"/>
      <c r="S1616" s="91" t="s">
        <v>143</v>
      </c>
      <c r="T1616" s="91" t="s">
        <v>3181</v>
      </c>
      <c r="V1616" s="91" t="s">
        <v>169</v>
      </c>
      <c r="W1616" s="91" t="s">
        <v>180</v>
      </c>
    </row>
    <row r="1617" spans="1:23">
      <c r="A1617" s="93" t="str">
        <f>TEXT(tblProjectlist[[#This Row],[project-no]],"0")</f>
        <v>99815011</v>
      </c>
      <c r="H1617" s="91">
        <v>9981</v>
      </c>
      <c r="I1617" s="91">
        <v>50</v>
      </c>
      <c r="J1617" s="91">
        <v>1</v>
      </c>
      <c r="K1617" s="91" t="s">
        <v>1351</v>
      </c>
      <c r="L1617" s="91" t="s">
        <v>2175</v>
      </c>
      <c r="M1617" s="91" t="s">
        <v>0</v>
      </c>
      <c r="Q1617" s="91"/>
      <c r="S1617" s="91" t="s">
        <v>143</v>
      </c>
      <c r="T1617" s="91" t="s">
        <v>3182</v>
      </c>
      <c r="V1617" s="91" t="s">
        <v>169</v>
      </c>
      <c r="W1617" s="91" t="s">
        <v>180</v>
      </c>
    </row>
    <row r="1618" spans="1:23">
      <c r="A1618" s="93" t="str">
        <f>TEXT(tblProjectlist[[#This Row],[project-no]],"0")</f>
        <v>99912911</v>
      </c>
      <c r="H1618" s="91">
        <v>9991</v>
      </c>
      <c r="I1618" s="91">
        <v>29</v>
      </c>
      <c r="J1618" s="91">
        <v>1</v>
      </c>
      <c r="K1618" s="91" t="s">
        <v>1519</v>
      </c>
      <c r="L1618" s="91" t="s">
        <v>2175</v>
      </c>
      <c r="M1618" s="91" t="s">
        <v>0</v>
      </c>
      <c r="Q1618" s="91"/>
      <c r="S1618" s="91" t="s">
        <v>143</v>
      </c>
      <c r="T1618" s="91" t="s">
        <v>3249</v>
      </c>
      <c r="V1618" s="91" t="s">
        <v>169</v>
      </c>
      <c r="W1618" s="91" t="s">
        <v>180</v>
      </c>
    </row>
    <row r="1619" spans="1:23">
      <c r="A1619" s="93" t="str">
        <f>TEXT(tblProjectlist[[#This Row],[project-no]],"0")</f>
        <v>99914911</v>
      </c>
      <c r="H1619" s="91">
        <v>9991</v>
      </c>
      <c r="I1619" s="91">
        <v>49</v>
      </c>
      <c r="J1619" s="91">
        <v>1</v>
      </c>
      <c r="K1619" s="91" t="s">
        <v>1525</v>
      </c>
      <c r="L1619" s="91" t="s">
        <v>2175</v>
      </c>
      <c r="M1619" s="91" t="s">
        <v>0</v>
      </c>
      <c r="Q1619" s="91"/>
      <c r="S1619" s="91" t="s">
        <v>143</v>
      </c>
      <c r="T1619" s="91" t="s">
        <v>3252</v>
      </c>
      <c r="V1619" s="91" t="s">
        <v>169</v>
      </c>
      <c r="W1619" s="91" t="s">
        <v>180</v>
      </c>
    </row>
    <row r="1620" spans="1:23">
      <c r="A1620" s="93" t="str">
        <f>TEXT(tblProjectlist[[#This Row],[project-no]],"0")</f>
        <v>99932311</v>
      </c>
      <c r="H1620" s="91">
        <v>9991</v>
      </c>
      <c r="I1620" s="91">
        <v>29</v>
      </c>
      <c r="J1620" s="91">
        <v>1</v>
      </c>
      <c r="K1620" s="91" t="s">
        <v>4458</v>
      </c>
      <c r="L1620" s="91" t="s">
        <v>2175</v>
      </c>
      <c r="M1620" s="91" t="s">
        <v>0</v>
      </c>
      <c r="Q1620" s="91"/>
      <c r="S1620" s="91" t="s">
        <v>143</v>
      </c>
      <c r="T1620" s="91" t="s">
        <v>3249</v>
      </c>
      <c r="V1620" s="91" t="s">
        <v>169</v>
      </c>
      <c r="W1620" s="91" t="s">
        <v>180</v>
      </c>
    </row>
    <row r="1621" spans="1:23">
      <c r="A1621" s="93" t="str">
        <f>TEXT(tblProjectlist[[#This Row],[project-no]],"0")</f>
        <v>99947928</v>
      </c>
      <c r="H1621" s="91">
        <v>9995</v>
      </c>
      <c r="I1621" s="91">
        <v>5</v>
      </c>
      <c r="J1621" s="91">
        <v>2</v>
      </c>
      <c r="K1621" s="91" t="s">
        <v>1605</v>
      </c>
      <c r="L1621" s="91" t="s">
        <v>2175</v>
      </c>
      <c r="M1621" s="91" t="s">
        <v>4</v>
      </c>
      <c r="Q1621" s="91"/>
      <c r="S1621" s="91" t="s">
        <v>143</v>
      </c>
      <c r="T1621" s="91" t="s">
        <v>3273</v>
      </c>
      <c r="V1621" s="91" t="s">
        <v>155</v>
      </c>
      <c r="W1621" s="91" t="s">
        <v>180</v>
      </c>
    </row>
    <row r="1622" spans="1:23">
      <c r="A1622" s="93" t="str">
        <f>TEXT(tblProjectlist[[#This Row],[project-no]],"0")</f>
        <v>99950511</v>
      </c>
      <c r="H1622" s="91">
        <v>9995</v>
      </c>
      <c r="I1622" s="91">
        <v>5</v>
      </c>
      <c r="J1622" s="91">
        <v>1</v>
      </c>
      <c r="K1622" s="91" t="s">
        <v>1617</v>
      </c>
      <c r="L1622" s="91" t="s">
        <v>2175</v>
      </c>
      <c r="M1622" s="91" t="s">
        <v>0</v>
      </c>
      <c r="Q1622" s="91"/>
      <c r="S1622" s="91" t="s">
        <v>143</v>
      </c>
      <c r="T1622" s="91" t="s">
        <v>3279</v>
      </c>
      <c r="V1622" s="91" t="s">
        <v>169</v>
      </c>
      <c r="W1622" s="91" t="s">
        <v>180</v>
      </c>
    </row>
    <row r="1623" spans="1:23">
      <c r="A1623" s="93" t="str">
        <f>TEXT(tblProjectlist[[#This Row],[project-no]],"0")</f>
        <v>99950516</v>
      </c>
      <c r="H1623" s="91">
        <v>9995</v>
      </c>
      <c r="I1623" s="91">
        <v>5</v>
      </c>
      <c r="J1623" s="91">
        <v>1</v>
      </c>
      <c r="K1623" s="91" t="s">
        <v>1618</v>
      </c>
      <c r="L1623" s="91" t="s">
        <v>2175</v>
      </c>
      <c r="M1623" s="91" t="s">
        <v>0</v>
      </c>
      <c r="Q1623" s="91"/>
      <c r="S1623" s="91" t="s">
        <v>143</v>
      </c>
      <c r="T1623" s="91" t="s">
        <v>3279</v>
      </c>
      <c r="V1623" s="91" t="s">
        <v>168</v>
      </c>
      <c r="W1623" s="91" t="s">
        <v>180</v>
      </c>
    </row>
    <row r="1624" spans="1:23">
      <c r="A1624" s="93" t="str">
        <f>TEXT(tblProjectlist[[#This Row],[project-no]],"0")</f>
        <v>99950528</v>
      </c>
      <c r="H1624" s="91">
        <v>9995</v>
      </c>
      <c r="I1624" s="91">
        <v>5</v>
      </c>
      <c r="J1624" s="91">
        <v>2</v>
      </c>
      <c r="K1624" s="91" t="s">
        <v>1619</v>
      </c>
      <c r="L1624" s="91" t="s">
        <v>2175</v>
      </c>
      <c r="M1624" s="91" t="s">
        <v>4</v>
      </c>
      <c r="Q1624" s="91"/>
      <c r="S1624" s="91" t="s">
        <v>143</v>
      </c>
      <c r="T1624" s="91" t="s">
        <v>3273</v>
      </c>
      <c r="V1624" s="91" t="s">
        <v>155</v>
      </c>
      <c r="W1624" s="91" t="s">
        <v>180</v>
      </c>
    </row>
    <row r="1625" spans="1:23">
      <c r="A1625" s="93" t="str">
        <f>TEXT(tblProjectlist[[#This Row],[project-no]],"0")</f>
        <v>99950911</v>
      </c>
      <c r="H1625" s="91">
        <v>9995</v>
      </c>
      <c r="I1625" s="91">
        <v>9</v>
      </c>
      <c r="J1625" s="91">
        <v>1</v>
      </c>
      <c r="K1625" s="91" t="s">
        <v>1624</v>
      </c>
      <c r="L1625" s="91" t="s">
        <v>2175</v>
      </c>
      <c r="M1625" s="91" t="s">
        <v>0</v>
      </c>
      <c r="Q1625" s="91"/>
      <c r="S1625" s="91" t="s">
        <v>143</v>
      </c>
      <c r="T1625" s="91" t="s">
        <v>3280</v>
      </c>
      <c r="V1625" s="91" t="s">
        <v>169</v>
      </c>
      <c r="W1625" s="91" t="s">
        <v>180</v>
      </c>
    </row>
    <row r="1626" spans="1:23">
      <c r="A1626" s="93" t="str">
        <f>TEXT(tblProjectlist[[#This Row],[project-no]],"0")</f>
        <v>99951311</v>
      </c>
      <c r="H1626" s="91">
        <v>9995</v>
      </c>
      <c r="I1626" s="91">
        <v>13</v>
      </c>
      <c r="J1626" s="91">
        <v>1</v>
      </c>
      <c r="K1626" s="91" t="s">
        <v>1625</v>
      </c>
      <c r="L1626" s="91" t="s">
        <v>2175</v>
      </c>
      <c r="M1626" s="91" t="s">
        <v>0</v>
      </c>
      <c r="Q1626" s="91"/>
      <c r="S1626" s="91" t="s">
        <v>143</v>
      </c>
      <c r="T1626" s="91" t="s">
        <v>3281</v>
      </c>
      <c r="V1626" s="91" t="s">
        <v>169</v>
      </c>
      <c r="W1626" s="91" t="s">
        <v>180</v>
      </c>
    </row>
    <row r="1627" spans="1:23">
      <c r="A1627" s="93" t="str">
        <f>TEXT(tblProjectlist[[#This Row],[project-no]],"0")</f>
        <v>99951313</v>
      </c>
      <c r="H1627" s="91">
        <v>9995</v>
      </c>
      <c r="I1627" s="91">
        <v>13</v>
      </c>
      <c r="J1627" s="91">
        <v>1</v>
      </c>
      <c r="K1627" s="91" t="s">
        <v>1626</v>
      </c>
      <c r="L1627" s="91" t="s">
        <v>2175</v>
      </c>
      <c r="M1627" s="91" t="s">
        <v>0</v>
      </c>
      <c r="Q1627" s="91"/>
      <c r="S1627" s="91" t="s">
        <v>143</v>
      </c>
      <c r="T1627" s="91" t="s">
        <v>3281</v>
      </c>
      <c r="V1627" s="91" t="s">
        <v>167</v>
      </c>
      <c r="W1627" s="91" t="s">
        <v>180</v>
      </c>
    </row>
    <row r="1628" spans="1:23">
      <c r="A1628" s="93" t="str">
        <f>TEXT(tblProjectlist[[#This Row],[project-no]],"0")</f>
        <v>99952013</v>
      </c>
      <c r="H1628" s="91">
        <v>9995</v>
      </c>
      <c r="I1628" s="91">
        <v>20</v>
      </c>
      <c r="J1628" s="91">
        <v>1</v>
      </c>
      <c r="K1628" s="91" t="s">
        <v>1635</v>
      </c>
      <c r="L1628" s="91" t="s">
        <v>2175</v>
      </c>
      <c r="M1628" s="91" t="s">
        <v>0</v>
      </c>
      <c r="Q1628" s="91"/>
      <c r="S1628" s="91" t="s">
        <v>143</v>
      </c>
      <c r="T1628" s="91" t="s">
        <v>3284</v>
      </c>
      <c r="V1628" s="91" t="s">
        <v>167</v>
      </c>
      <c r="W1628" s="91" t="s">
        <v>180</v>
      </c>
    </row>
    <row r="1629" spans="1:23">
      <c r="A1629" s="93" t="str">
        <f>TEXT(tblProjectlist[[#This Row],[project-no]],"0")</f>
        <v>99952113</v>
      </c>
      <c r="H1629" s="91">
        <v>9995</v>
      </c>
      <c r="I1629" s="91">
        <v>21</v>
      </c>
      <c r="J1629" s="91">
        <v>1</v>
      </c>
      <c r="K1629" s="91" t="s">
        <v>1636</v>
      </c>
      <c r="L1629" s="91" t="s">
        <v>2175</v>
      </c>
      <c r="M1629" s="91" t="s">
        <v>0</v>
      </c>
      <c r="Q1629" s="91"/>
      <c r="S1629" s="91" t="s">
        <v>143</v>
      </c>
      <c r="T1629" s="91" t="s">
        <v>3285</v>
      </c>
      <c r="V1629" s="91" t="s">
        <v>167</v>
      </c>
      <c r="W1629" s="91" t="s">
        <v>180</v>
      </c>
    </row>
    <row r="1630" spans="1:23">
      <c r="A1630" s="93" t="str">
        <f>TEXT(tblProjectlist[[#This Row],[project-no]],"0")</f>
        <v>99954513</v>
      </c>
      <c r="H1630" s="91">
        <v>9995</v>
      </c>
      <c r="I1630" s="91">
        <v>45</v>
      </c>
      <c r="J1630" s="91">
        <v>1</v>
      </c>
      <c r="K1630" s="91" t="s">
        <v>1657</v>
      </c>
      <c r="L1630" s="91" t="s">
        <v>2175</v>
      </c>
      <c r="M1630" s="91" t="s">
        <v>0</v>
      </c>
      <c r="Q1630" s="91"/>
      <c r="S1630" s="91" t="s">
        <v>143</v>
      </c>
      <c r="T1630" s="91" t="s">
        <v>3301</v>
      </c>
      <c r="V1630" s="91" t="s">
        <v>167</v>
      </c>
      <c r="W1630" s="91" t="s">
        <v>180</v>
      </c>
    </row>
    <row r="1631" spans="1:23">
      <c r="A1631" s="93" t="str">
        <f>TEXT(tblProjectlist[[#This Row],[project-no]],"0")</f>
        <v>99956011</v>
      </c>
      <c r="H1631" s="91">
        <v>9995</v>
      </c>
      <c r="I1631" s="91">
        <v>60</v>
      </c>
      <c r="J1631" s="91">
        <v>1</v>
      </c>
      <c r="K1631" s="91" t="s">
        <v>1675</v>
      </c>
      <c r="L1631" s="91" t="s">
        <v>2175</v>
      </c>
      <c r="M1631" s="91" t="s">
        <v>0</v>
      </c>
      <c r="Q1631" s="91"/>
      <c r="S1631" s="91" t="s">
        <v>143</v>
      </c>
      <c r="T1631" s="91" t="s">
        <v>3313</v>
      </c>
      <c r="V1631" s="91" t="s">
        <v>169</v>
      </c>
      <c r="W1631" s="91" t="s">
        <v>180</v>
      </c>
    </row>
    <row r="1632" spans="1:23">
      <c r="A1632" s="93" t="str">
        <f>TEXT(tblProjectlist[[#This Row],[project-no]],"0")</f>
        <v>99956013</v>
      </c>
      <c r="H1632" s="91">
        <v>9995</v>
      </c>
      <c r="I1632" s="91">
        <v>60</v>
      </c>
      <c r="J1632" s="91">
        <v>1</v>
      </c>
      <c r="K1632" s="91" t="s">
        <v>1676</v>
      </c>
      <c r="L1632" s="91" t="s">
        <v>2175</v>
      </c>
      <c r="M1632" s="91" t="s">
        <v>0</v>
      </c>
      <c r="Q1632" s="91"/>
      <c r="S1632" s="91" t="s">
        <v>143</v>
      </c>
      <c r="T1632" s="91" t="s">
        <v>3313</v>
      </c>
      <c r="V1632" s="91" t="s">
        <v>167</v>
      </c>
      <c r="W1632" s="91" t="s">
        <v>180</v>
      </c>
    </row>
    <row r="1633" spans="1:23">
      <c r="A1633" s="93" t="str">
        <f>TEXT(tblProjectlist[[#This Row],[project-no]],"0")</f>
        <v>99958613</v>
      </c>
      <c r="H1633" s="91">
        <v>9995</v>
      </c>
      <c r="I1633" s="91">
        <v>86</v>
      </c>
      <c r="J1633" s="91">
        <v>1</v>
      </c>
      <c r="K1633" s="91" t="s">
        <v>1707</v>
      </c>
      <c r="L1633" s="91" t="s">
        <v>2175</v>
      </c>
      <c r="M1633" s="91" t="s">
        <v>0</v>
      </c>
      <c r="Q1633" s="91"/>
      <c r="S1633" s="91" t="s">
        <v>143</v>
      </c>
      <c r="T1633" s="91" t="s">
        <v>3337</v>
      </c>
      <c r="V1633" s="91" t="s">
        <v>167</v>
      </c>
      <c r="W1633" s="91" t="s">
        <v>180</v>
      </c>
    </row>
    <row r="1634" spans="1:23">
      <c r="A1634" s="93" t="str">
        <f>TEXT(tblProjectlist[[#This Row],[project-no]],"0")</f>
        <v>99520128</v>
      </c>
      <c r="H1634" s="91">
        <v>9952</v>
      </c>
      <c r="I1634" s="91">
        <v>1</v>
      </c>
      <c r="J1634" s="91">
        <v>2</v>
      </c>
      <c r="K1634" s="91" t="s">
        <v>1282</v>
      </c>
      <c r="L1634" s="91" t="s">
        <v>2175</v>
      </c>
      <c r="M1634" s="91" t="s">
        <v>4</v>
      </c>
      <c r="Q1634" s="91"/>
      <c r="S1634" s="91" t="s">
        <v>143</v>
      </c>
      <c r="T1634" s="91" t="s">
        <v>3132</v>
      </c>
      <c r="V1634" s="91" t="s">
        <v>155</v>
      </c>
      <c r="W1634" s="91" t="s">
        <v>180</v>
      </c>
    </row>
    <row r="1635" spans="1:23">
      <c r="A1635" s="93" t="str">
        <f>TEXT(tblProjectlist[[#This Row],[project-no]],"0")</f>
        <v>99520228</v>
      </c>
      <c r="H1635" s="91">
        <v>9952</v>
      </c>
      <c r="I1635" s="91">
        <v>2</v>
      </c>
      <c r="J1635" s="91">
        <v>2</v>
      </c>
      <c r="K1635" s="91" t="s">
        <v>1283</v>
      </c>
      <c r="L1635" s="91" t="s">
        <v>2175</v>
      </c>
      <c r="M1635" s="91" t="s">
        <v>4</v>
      </c>
      <c r="Q1635" s="91"/>
      <c r="S1635" s="91" t="s">
        <v>143</v>
      </c>
      <c r="T1635" s="91" t="s">
        <v>3133</v>
      </c>
      <c r="V1635" s="91" t="s">
        <v>155</v>
      </c>
      <c r="W1635" s="91" t="s">
        <v>180</v>
      </c>
    </row>
    <row r="1636" spans="1:23">
      <c r="A1636" s="93" t="str">
        <f>TEXT(tblProjectlist[[#This Row],[project-no]],"0")</f>
        <v>99520328</v>
      </c>
      <c r="H1636" s="91">
        <v>9952</v>
      </c>
      <c r="I1636" s="91">
        <v>3</v>
      </c>
      <c r="J1636" s="91">
        <v>2</v>
      </c>
      <c r="K1636" s="91" t="s">
        <v>1284</v>
      </c>
      <c r="L1636" s="91" t="s">
        <v>2175</v>
      </c>
      <c r="M1636" s="91" t="s">
        <v>4</v>
      </c>
      <c r="Q1636" s="91"/>
      <c r="S1636" s="91" t="s">
        <v>143</v>
      </c>
      <c r="T1636" s="91" t="s">
        <v>3134</v>
      </c>
      <c r="V1636" s="91" t="s">
        <v>155</v>
      </c>
      <c r="W1636" s="91" t="s">
        <v>180</v>
      </c>
    </row>
    <row r="1637" spans="1:23">
      <c r="A1637" s="93" t="str">
        <f>TEXT(tblProjectlist[[#This Row],[project-no]],"0")</f>
        <v>75380428</v>
      </c>
      <c r="H1637" s="91">
        <v>7538</v>
      </c>
      <c r="I1637" s="91">
        <v>4</v>
      </c>
      <c r="J1637" s="91">
        <v>2</v>
      </c>
      <c r="K1637" s="91" t="s">
        <v>1013</v>
      </c>
      <c r="L1637" s="91" t="s">
        <v>2175</v>
      </c>
      <c r="M1637" s="91" t="s">
        <v>4</v>
      </c>
      <c r="Q1637" s="91"/>
      <c r="S1637" s="91" t="s">
        <v>143</v>
      </c>
      <c r="T1637" s="91" t="s">
        <v>2882</v>
      </c>
      <c r="V1637" s="91" t="s">
        <v>155</v>
      </c>
      <c r="W1637" s="91" t="s">
        <v>180</v>
      </c>
    </row>
    <row r="1638" spans="1:23">
      <c r="A1638" s="93" t="str">
        <f>TEXT(tblProjectlist[[#This Row],[project-no]],"0")</f>
        <v>30210428</v>
      </c>
      <c r="H1638" s="91">
        <v>3021</v>
      </c>
      <c r="I1638" s="91">
        <v>4</v>
      </c>
      <c r="J1638" s="91">
        <v>2</v>
      </c>
      <c r="K1638" s="91" t="s">
        <v>628</v>
      </c>
      <c r="L1638" s="91" t="s">
        <v>2175</v>
      </c>
      <c r="M1638" s="91" t="s">
        <v>4</v>
      </c>
      <c r="Q1638" s="91"/>
      <c r="S1638" s="91" t="s">
        <v>143</v>
      </c>
      <c r="T1638" s="91" t="s">
        <v>2538</v>
      </c>
      <c r="V1638" s="91" t="s">
        <v>155</v>
      </c>
      <c r="W1638" s="91" t="s">
        <v>180</v>
      </c>
    </row>
    <row r="1639" spans="1:23">
      <c r="A1639" s="93" t="str">
        <f>TEXT(tblProjectlist[[#This Row],[project-no]],"0")</f>
        <v>0</v>
      </c>
      <c r="H1639" s="91">
        <v>7630</v>
      </c>
      <c r="I1639" s="91">
        <v>2</v>
      </c>
      <c r="J1639" s="91">
        <v>2</v>
      </c>
      <c r="K1639" s="91"/>
      <c r="L1639" s="91" t="s">
        <v>64</v>
      </c>
      <c r="M1639" s="91" t="s">
        <v>4</v>
      </c>
      <c r="Q1639" s="91"/>
      <c r="S1639" s="91" t="s">
        <v>143</v>
      </c>
      <c r="T1639" s="91" t="s">
        <v>3697</v>
      </c>
      <c r="V1639" s="91" t="s">
        <v>155</v>
      </c>
    </row>
    <row r="1640" spans="1:23">
      <c r="A1640" s="93" t="str">
        <f>TEXT(tblProjectlist[[#This Row],[project-no]],"0")</f>
        <v>0</v>
      </c>
      <c r="H1640" s="91">
        <v>7630</v>
      </c>
      <c r="I1640" s="91">
        <v>3</v>
      </c>
      <c r="J1640" s="91">
        <v>2</v>
      </c>
      <c r="K1640" s="91"/>
      <c r="L1640" s="91" t="s">
        <v>64</v>
      </c>
      <c r="M1640" s="91" t="s">
        <v>4</v>
      </c>
      <c r="Q1640" s="91"/>
      <c r="S1640" s="91" t="s">
        <v>143</v>
      </c>
      <c r="T1640" s="91" t="s">
        <v>4146</v>
      </c>
      <c r="V1640" s="91" t="s">
        <v>155</v>
      </c>
      <c r="W1640" s="91" t="s">
        <v>180</v>
      </c>
    </row>
    <row r="1641" spans="1:23">
      <c r="A1641" s="93" t="str">
        <f>TEXT(tblProjectlist[[#This Row],[project-no]],"0")</f>
        <v>0</v>
      </c>
      <c r="H1641" s="91">
        <v>7802</v>
      </c>
      <c r="I1641" s="91">
        <v>47</v>
      </c>
      <c r="J1641" s="91">
        <v>2</v>
      </c>
      <c r="K1641" s="91"/>
      <c r="L1641" s="91" t="s">
        <v>2175</v>
      </c>
      <c r="M1641" s="91" t="s">
        <v>4</v>
      </c>
      <c r="Q1641" s="91"/>
      <c r="S1641" s="91" t="s">
        <v>143</v>
      </c>
      <c r="T1641" s="91" t="s">
        <v>3873</v>
      </c>
      <c r="V1641" s="91" t="s">
        <v>156</v>
      </c>
      <c r="W1641" s="91" t="s">
        <v>180</v>
      </c>
    </row>
    <row r="1642" spans="1:23">
      <c r="A1642" s="93" t="str">
        <f>TEXT(tblProjectlist[[#This Row],[project-no]],"0")</f>
        <v>99965128</v>
      </c>
      <c r="H1642" s="91">
        <v>7505</v>
      </c>
      <c r="I1642" s="91">
        <v>43</v>
      </c>
      <c r="J1642" s="91">
        <v>2</v>
      </c>
      <c r="K1642" s="91" t="s">
        <v>1769</v>
      </c>
      <c r="L1642" s="91" t="s">
        <v>2175</v>
      </c>
      <c r="M1642" s="91" t="s">
        <v>4</v>
      </c>
      <c r="Q1642" s="91"/>
      <c r="S1642" s="91" t="s">
        <v>143</v>
      </c>
      <c r="T1642" s="91" t="s">
        <v>2853</v>
      </c>
      <c r="V1642" s="91" t="s">
        <v>155</v>
      </c>
      <c r="W1642" s="91" t="s">
        <v>180</v>
      </c>
    </row>
    <row r="1643" spans="1:23">
      <c r="A1643" s="93" t="str">
        <f>TEXT(tblProjectlist[[#This Row],[project-no]],"0")</f>
        <v>0</v>
      </c>
      <c r="H1643" s="91">
        <v>7505</v>
      </c>
      <c r="I1643" s="91">
        <v>46</v>
      </c>
      <c r="J1643" s="91">
        <v>2</v>
      </c>
      <c r="K1643" s="91"/>
      <c r="L1643" s="91" t="s">
        <v>2175</v>
      </c>
      <c r="M1643" s="91" t="s">
        <v>4</v>
      </c>
      <c r="Q1643" s="91"/>
      <c r="S1643" s="91" t="s">
        <v>143</v>
      </c>
      <c r="T1643" s="91" t="s">
        <v>3787</v>
      </c>
      <c r="V1643" s="91" t="s">
        <v>155</v>
      </c>
      <c r="W1643" s="91" t="s">
        <v>180</v>
      </c>
    </row>
    <row r="1644" spans="1:23">
      <c r="A1644" s="93" t="str">
        <f>TEXT(tblProjectlist[[#This Row],[project-no]],"0")</f>
        <v>0</v>
      </c>
      <c r="H1644" s="91">
        <v>7505</v>
      </c>
      <c r="I1644" s="91">
        <v>47</v>
      </c>
      <c r="J1644" s="91">
        <v>2</v>
      </c>
      <c r="K1644" s="91"/>
      <c r="L1644" s="91" t="s">
        <v>2175</v>
      </c>
      <c r="M1644" s="91" t="s">
        <v>4</v>
      </c>
      <c r="Q1644" s="91"/>
      <c r="S1644" s="91" t="s">
        <v>143</v>
      </c>
      <c r="T1644" s="91" t="s">
        <v>3816</v>
      </c>
      <c r="V1644" s="91" t="s">
        <v>155</v>
      </c>
      <c r="W1644" s="91" t="s">
        <v>180</v>
      </c>
    </row>
    <row r="1645" spans="1:23">
      <c r="A1645" s="93" t="str">
        <f>TEXT(tblProjectlist[[#This Row],[project-no]],"0")</f>
        <v>0</v>
      </c>
      <c r="H1645" s="91">
        <v>7505</v>
      </c>
      <c r="I1645" s="91">
        <v>48</v>
      </c>
      <c r="J1645" s="91">
        <v>2</v>
      </c>
      <c r="K1645" s="91"/>
      <c r="L1645" s="91" t="s">
        <v>2175</v>
      </c>
      <c r="M1645" s="91" t="s">
        <v>4</v>
      </c>
      <c r="Q1645" s="91"/>
      <c r="S1645" s="91" t="s">
        <v>143</v>
      </c>
      <c r="T1645" s="91" t="s">
        <v>4599</v>
      </c>
      <c r="V1645" s="91" t="s">
        <v>155</v>
      </c>
      <c r="W1645" s="91" t="s">
        <v>180</v>
      </c>
    </row>
    <row r="1646" spans="1:23">
      <c r="A1646" s="93" t="str">
        <f>TEXT(tblProjectlist[[#This Row],[project-no]],"0")</f>
        <v>75053228</v>
      </c>
      <c r="H1646" s="91">
        <v>7505</v>
      </c>
      <c r="I1646" s="91">
        <v>32</v>
      </c>
      <c r="J1646" s="91">
        <v>2</v>
      </c>
      <c r="K1646" s="91" t="s">
        <v>980</v>
      </c>
      <c r="L1646" s="91" t="s">
        <v>2175</v>
      </c>
      <c r="M1646" s="91" t="s">
        <v>4</v>
      </c>
      <c r="Q1646" s="91"/>
      <c r="S1646" s="91" t="s">
        <v>143</v>
      </c>
      <c r="T1646" s="91" t="s">
        <v>2849</v>
      </c>
      <c r="V1646" s="91" t="s">
        <v>155</v>
      </c>
      <c r="W1646" s="91" t="s">
        <v>180</v>
      </c>
    </row>
    <row r="1647" spans="1:23">
      <c r="A1647" s="93" t="str">
        <f>TEXT(tblProjectlist[[#This Row],[project-no]],"0")</f>
        <v>75053828</v>
      </c>
      <c r="H1647" s="91">
        <v>7505</v>
      </c>
      <c r="I1647" s="91">
        <v>38</v>
      </c>
      <c r="J1647" s="91">
        <v>2</v>
      </c>
      <c r="K1647" s="91" t="s">
        <v>981</v>
      </c>
      <c r="L1647" s="91" t="s">
        <v>2175</v>
      </c>
      <c r="M1647" s="91" t="s">
        <v>4</v>
      </c>
      <c r="Q1647" s="91"/>
      <c r="S1647" s="91" t="s">
        <v>143</v>
      </c>
      <c r="T1647" s="91" t="s">
        <v>2850</v>
      </c>
      <c r="V1647" s="91" t="s">
        <v>155</v>
      </c>
      <c r="W1647" s="91" t="s">
        <v>180</v>
      </c>
    </row>
    <row r="1648" spans="1:23">
      <c r="A1648" s="93" t="str">
        <f>TEXT(tblProjectlist[[#This Row],[project-no]],"0")</f>
        <v>75053928</v>
      </c>
      <c r="H1648" s="91">
        <v>7505</v>
      </c>
      <c r="I1648" s="91">
        <v>39</v>
      </c>
      <c r="J1648" s="91">
        <v>2</v>
      </c>
      <c r="K1648" s="91" t="s">
        <v>982</v>
      </c>
      <c r="L1648" s="91" t="s">
        <v>2175</v>
      </c>
      <c r="M1648" s="91" t="s">
        <v>4</v>
      </c>
      <c r="Q1648" s="91"/>
      <c r="S1648" s="91" t="s">
        <v>143</v>
      </c>
      <c r="T1648" s="91" t="s">
        <v>2851</v>
      </c>
      <c r="V1648" s="91" t="s">
        <v>155</v>
      </c>
      <c r="W1648" s="91" t="s">
        <v>180</v>
      </c>
    </row>
    <row r="1649" spans="1:23">
      <c r="A1649" s="93" t="str">
        <f>TEXT(tblProjectlist[[#This Row],[project-no]],"0")</f>
        <v>75054228</v>
      </c>
      <c r="H1649" s="91">
        <v>7505</v>
      </c>
      <c r="I1649" s="91">
        <v>42</v>
      </c>
      <c r="J1649" s="91">
        <v>2</v>
      </c>
      <c r="K1649" s="91" t="s">
        <v>983</v>
      </c>
      <c r="L1649" s="91" t="s">
        <v>2175</v>
      </c>
      <c r="M1649" s="91" t="s">
        <v>4</v>
      </c>
      <c r="Q1649" s="91"/>
      <c r="S1649" s="91" t="s">
        <v>143</v>
      </c>
      <c r="T1649" s="91" t="s">
        <v>2852</v>
      </c>
      <c r="V1649" s="91" t="s">
        <v>155</v>
      </c>
      <c r="W1649" s="91" t="s">
        <v>180</v>
      </c>
    </row>
    <row r="1650" spans="1:23">
      <c r="A1650" s="93" t="str">
        <f>TEXT(tblProjectlist[[#This Row],[project-no]],"0")</f>
        <v>75054328</v>
      </c>
      <c r="H1650" s="91">
        <v>7505</v>
      </c>
      <c r="I1650" s="91">
        <v>43</v>
      </c>
      <c r="J1650" s="91">
        <v>2</v>
      </c>
      <c r="K1650" s="91" t="s">
        <v>984</v>
      </c>
      <c r="L1650" s="91" t="s">
        <v>2175</v>
      </c>
      <c r="M1650" s="91" t="s">
        <v>4</v>
      </c>
      <c r="Q1650" s="91"/>
      <c r="S1650" s="91" t="s">
        <v>143</v>
      </c>
      <c r="T1650" s="91" t="s">
        <v>2853</v>
      </c>
      <c r="V1650" s="91" t="s">
        <v>155</v>
      </c>
      <c r="W1650" s="91" t="s">
        <v>180</v>
      </c>
    </row>
    <row r="1651" spans="1:23">
      <c r="A1651" s="93" t="str">
        <f>TEXT(tblProjectlist[[#This Row],[project-no]],"0")</f>
        <v>75054428</v>
      </c>
      <c r="H1651" s="91">
        <v>7505</v>
      </c>
      <c r="I1651" s="91">
        <v>44</v>
      </c>
      <c r="J1651" s="91">
        <v>2</v>
      </c>
      <c r="K1651" s="91" t="s">
        <v>985</v>
      </c>
      <c r="L1651" s="91" t="s">
        <v>2175</v>
      </c>
      <c r="M1651" s="91" t="s">
        <v>4</v>
      </c>
      <c r="Q1651" s="91"/>
      <c r="S1651" s="91" t="s">
        <v>143</v>
      </c>
      <c r="T1651" s="91" t="s">
        <v>2854</v>
      </c>
      <c r="V1651" s="91" t="s">
        <v>155</v>
      </c>
      <c r="W1651" s="91" t="s">
        <v>180</v>
      </c>
    </row>
    <row r="1652" spans="1:23">
      <c r="A1652" s="93" t="str">
        <f>TEXT(tblProjectlist[[#This Row],[project-no]],"0")</f>
        <v>75054528</v>
      </c>
      <c r="H1652" s="91">
        <v>7505</v>
      </c>
      <c r="I1652" s="91">
        <v>45</v>
      </c>
      <c r="J1652" s="91">
        <v>2</v>
      </c>
      <c r="K1652" s="91" t="s">
        <v>986</v>
      </c>
      <c r="L1652" s="91" t="s">
        <v>2175</v>
      </c>
      <c r="M1652" s="91" t="s">
        <v>4</v>
      </c>
      <c r="Q1652" s="91"/>
      <c r="S1652" s="91" t="s">
        <v>143</v>
      </c>
      <c r="T1652" s="91" t="s">
        <v>2855</v>
      </c>
      <c r="V1652" s="91" t="s">
        <v>155</v>
      </c>
      <c r="W1652" s="91" t="s">
        <v>180</v>
      </c>
    </row>
    <row r="1653" spans="1:23">
      <c r="A1653" s="93" t="str">
        <f>TEXT(tblProjectlist[[#This Row],[project-no]],"0")</f>
        <v>99946828</v>
      </c>
      <c r="H1653" s="91">
        <v>7505</v>
      </c>
      <c r="I1653" s="91">
        <v>38</v>
      </c>
      <c r="J1653" s="91">
        <v>2</v>
      </c>
      <c r="K1653" s="91" t="s">
        <v>1602</v>
      </c>
      <c r="L1653" s="91" t="s">
        <v>2175</v>
      </c>
      <c r="M1653" s="91" t="s">
        <v>4</v>
      </c>
      <c r="Q1653" s="91"/>
      <c r="S1653" s="91" t="s">
        <v>143</v>
      </c>
      <c r="T1653" s="91" t="s">
        <v>2850</v>
      </c>
      <c r="V1653" s="91" t="s">
        <v>155</v>
      </c>
      <c r="W1653" s="91" t="s">
        <v>180</v>
      </c>
    </row>
    <row r="1654" spans="1:23">
      <c r="A1654" s="93" t="str">
        <f>TEXT(tblProjectlist[[#This Row],[project-no]],"0")</f>
        <v>99964428</v>
      </c>
      <c r="H1654" s="91">
        <v>7505</v>
      </c>
      <c r="I1654" s="91">
        <v>42</v>
      </c>
      <c r="J1654" s="91">
        <v>2</v>
      </c>
      <c r="K1654" s="91" t="s">
        <v>1763</v>
      </c>
      <c r="L1654" s="91" t="s">
        <v>2175</v>
      </c>
      <c r="M1654" s="91" t="s">
        <v>4</v>
      </c>
      <c r="Q1654" s="91"/>
      <c r="S1654" s="91" t="s">
        <v>143</v>
      </c>
      <c r="T1654" s="91" t="s">
        <v>2852</v>
      </c>
      <c r="V1654" s="91" t="s">
        <v>155</v>
      </c>
      <c r="W1654" s="91" t="s">
        <v>180</v>
      </c>
    </row>
    <row r="1655" spans="1:23">
      <c r="A1655" s="93" t="str">
        <f>TEXT(tblProjectlist[[#This Row],[project-no]],"0")</f>
        <v>0</v>
      </c>
      <c r="H1655" s="91">
        <v>3126</v>
      </c>
      <c r="I1655" s="91">
        <v>9</v>
      </c>
      <c r="J1655" s="91">
        <v>2</v>
      </c>
      <c r="K1655" s="91"/>
      <c r="L1655" s="91" t="s">
        <v>2175</v>
      </c>
      <c r="M1655" s="91" t="s">
        <v>4</v>
      </c>
      <c r="Q1655" s="91"/>
      <c r="S1655" s="91" t="s">
        <v>143</v>
      </c>
      <c r="T1655" s="91" t="s">
        <v>4631</v>
      </c>
      <c r="V1655" s="91" t="s">
        <v>155</v>
      </c>
      <c r="W1655" s="91" t="s">
        <v>180</v>
      </c>
    </row>
    <row r="1656" spans="1:23">
      <c r="A1656" s="93" t="str">
        <f>TEXT(tblProjectlist[[#This Row],[project-no]],"0")</f>
        <v>0</v>
      </c>
      <c r="H1656" s="91">
        <v>3126</v>
      </c>
      <c r="I1656" s="91">
        <v>8</v>
      </c>
      <c r="J1656" s="91">
        <v>2</v>
      </c>
      <c r="K1656" s="91"/>
      <c r="L1656" s="91" t="s">
        <v>2175</v>
      </c>
      <c r="M1656" s="91" t="s">
        <v>4</v>
      </c>
      <c r="Q1656" s="91"/>
      <c r="S1656" s="91" t="s">
        <v>143</v>
      </c>
      <c r="T1656" s="91" t="s">
        <v>4630</v>
      </c>
      <c r="V1656" s="91" t="s">
        <v>155</v>
      </c>
      <c r="W1656" s="91" t="s">
        <v>180</v>
      </c>
    </row>
    <row r="1657" spans="1:23">
      <c r="A1657" s="93" t="str">
        <f>TEXT(tblProjectlist[[#This Row],[project-no]],"0")</f>
        <v>0</v>
      </c>
      <c r="H1657" s="91">
        <v>3126</v>
      </c>
      <c r="I1657" s="91">
        <v>5</v>
      </c>
      <c r="J1657" s="91">
        <v>2</v>
      </c>
      <c r="K1657" s="91"/>
      <c r="L1657" s="91" t="s">
        <v>2175</v>
      </c>
      <c r="M1657" s="91" t="s">
        <v>4</v>
      </c>
      <c r="Q1657" s="91"/>
      <c r="S1657" s="91" t="s">
        <v>143</v>
      </c>
      <c r="T1657" s="91" t="s">
        <v>4071</v>
      </c>
      <c r="V1657" s="91" t="s">
        <v>155</v>
      </c>
      <c r="W1657" s="91" t="s">
        <v>180</v>
      </c>
    </row>
    <row r="1658" spans="1:23">
      <c r="A1658" s="93" t="str">
        <f>TEXT(tblProjectlist[[#This Row],[project-no]],"0")</f>
        <v>0</v>
      </c>
      <c r="H1658" s="91">
        <v>3126</v>
      </c>
      <c r="I1658" s="91">
        <v>7</v>
      </c>
      <c r="J1658" s="91">
        <v>2</v>
      </c>
      <c r="K1658" s="91"/>
      <c r="L1658" s="91" t="s">
        <v>2175</v>
      </c>
      <c r="M1658" s="91" t="s">
        <v>4</v>
      </c>
      <c r="Q1658" s="91"/>
      <c r="S1658" s="91" t="s">
        <v>143</v>
      </c>
      <c r="T1658" s="91" t="s">
        <v>4629</v>
      </c>
      <c r="V1658" s="91" t="s">
        <v>155</v>
      </c>
      <c r="W1658" s="91" t="s">
        <v>180</v>
      </c>
    </row>
    <row r="1659" spans="1:23">
      <c r="A1659" s="93" t="str">
        <f>TEXT(tblProjectlist[[#This Row],[project-no]],"0")</f>
        <v>0</v>
      </c>
      <c r="H1659" s="91">
        <v>3126</v>
      </c>
      <c r="I1659" s="91">
        <v>6</v>
      </c>
      <c r="J1659" s="91">
        <v>2</v>
      </c>
      <c r="K1659" s="91"/>
      <c r="L1659" s="91" t="s">
        <v>2175</v>
      </c>
      <c r="M1659" s="91" t="s">
        <v>4</v>
      </c>
      <c r="Q1659" s="91"/>
      <c r="S1659" s="91" t="s">
        <v>143</v>
      </c>
      <c r="T1659" s="91" t="s">
        <v>4569</v>
      </c>
      <c r="V1659" s="91" t="s">
        <v>155</v>
      </c>
      <c r="W1659" s="91" t="s">
        <v>180</v>
      </c>
    </row>
    <row r="1660" spans="1:23">
      <c r="A1660" s="93" t="str">
        <f>TEXT(tblProjectlist[[#This Row],[project-no]],"0")</f>
        <v>0</v>
      </c>
      <c r="H1660" s="91">
        <v>3126</v>
      </c>
      <c r="I1660" s="91">
        <v>10</v>
      </c>
      <c r="J1660" s="91">
        <v>2</v>
      </c>
      <c r="K1660" s="91"/>
      <c r="L1660" s="91" t="s">
        <v>2175</v>
      </c>
      <c r="M1660" s="91" t="s">
        <v>4</v>
      </c>
      <c r="Q1660" s="91"/>
      <c r="S1660" s="91" t="s">
        <v>143</v>
      </c>
      <c r="T1660" s="91" t="s">
        <v>4706</v>
      </c>
      <c r="V1660" s="91" t="s">
        <v>155</v>
      </c>
      <c r="W1660" s="91" t="s">
        <v>180</v>
      </c>
    </row>
    <row r="1661" spans="1:23">
      <c r="A1661" s="93" t="str">
        <f>TEXT(tblProjectlist[[#This Row],[project-no]],"0")</f>
        <v>0</v>
      </c>
      <c r="H1661" s="91">
        <v>3154</v>
      </c>
      <c r="I1661" s="91">
        <v>2</v>
      </c>
      <c r="J1661" s="91">
        <v>2</v>
      </c>
      <c r="K1661" s="91"/>
      <c r="L1661" s="91" t="s">
        <v>62</v>
      </c>
      <c r="M1661" s="91" t="s">
        <v>4</v>
      </c>
      <c r="Q1661" s="91"/>
      <c r="S1661" s="91" t="s">
        <v>143</v>
      </c>
      <c r="T1661" s="91" t="s">
        <v>3855</v>
      </c>
      <c r="V1661" s="91" t="s">
        <v>155</v>
      </c>
      <c r="W1661" s="91" t="s">
        <v>180</v>
      </c>
    </row>
    <row r="1662" spans="1:23">
      <c r="A1662" s="93" t="str">
        <f>TEXT(tblProjectlist[[#This Row],[project-no]],"0")</f>
        <v>75360211</v>
      </c>
      <c r="H1662" s="91">
        <v>7536</v>
      </c>
      <c r="I1662" s="91">
        <v>2</v>
      </c>
      <c r="J1662" s="91">
        <v>1</v>
      </c>
      <c r="K1662" s="91" t="s">
        <v>1011</v>
      </c>
      <c r="L1662" s="91" t="s">
        <v>2175</v>
      </c>
      <c r="M1662" s="91" t="s">
        <v>0</v>
      </c>
      <c r="Q1662" s="91"/>
      <c r="S1662" s="91" t="s">
        <v>143</v>
      </c>
      <c r="T1662" s="91" t="s">
        <v>2880</v>
      </c>
      <c r="V1662" s="91" t="s">
        <v>169</v>
      </c>
      <c r="W1662" s="91" t="s">
        <v>180</v>
      </c>
    </row>
    <row r="1663" spans="1:23">
      <c r="A1663" s="93" t="str">
        <f>TEXT(tblProjectlist[[#This Row],[project-no]],"0")</f>
        <v>0</v>
      </c>
      <c r="H1663" s="91">
        <v>7636</v>
      </c>
      <c r="I1663" s="91">
        <v>35</v>
      </c>
      <c r="J1663" s="91">
        <v>2</v>
      </c>
      <c r="K1663" s="91"/>
      <c r="L1663" s="91" t="s">
        <v>2175</v>
      </c>
      <c r="M1663" s="91" t="s">
        <v>4</v>
      </c>
      <c r="Q1663" s="91"/>
      <c r="S1663" s="91" t="s">
        <v>143</v>
      </c>
      <c r="T1663" s="91" t="s">
        <v>4171</v>
      </c>
      <c r="V1663" s="91" t="s">
        <v>155</v>
      </c>
      <c r="W1663" s="91" t="s">
        <v>180</v>
      </c>
    </row>
    <row r="1664" spans="1:23">
      <c r="A1664" s="93" t="str">
        <f>TEXT(tblProjectlist[[#This Row],[project-no]],"0")</f>
        <v>0</v>
      </c>
      <c r="H1664" s="91">
        <v>7636</v>
      </c>
      <c r="I1664" s="91">
        <v>36</v>
      </c>
      <c r="J1664" s="91">
        <v>2</v>
      </c>
      <c r="K1664" s="91"/>
      <c r="L1664" s="91" t="s">
        <v>2175</v>
      </c>
      <c r="M1664" s="91" t="s">
        <v>4</v>
      </c>
      <c r="Q1664" s="91"/>
      <c r="S1664" s="91" t="s">
        <v>143</v>
      </c>
      <c r="T1664" s="91" t="s">
        <v>4285</v>
      </c>
      <c r="V1664" s="91" t="s">
        <v>155</v>
      </c>
      <c r="W1664" s="91" t="s">
        <v>180</v>
      </c>
    </row>
    <row r="1665" spans="1:23">
      <c r="A1665" s="93" t="str">
        <f>TEXT(tblProjectlist[[#This Row],[project-no]],"0")</f>
        <v>0</v>
      </c>
      <c r="H1665" s="91">
        <v>7636</v>
      </c>
      <c r="I1665" s="91">
        <v>37</v>
      </c>
      <c r="J1665" s="91">
        <v>2</v>
      </c>
      <c r="K1665" s="91"/>
      <c r="L1665" s="91" t="s">
        <v>2175</v>
      </c>
      <c r="M1665" s="91" t="s">
        <v>4</v>
      </c>
      <c r="Q1665" s="91"/>
      <c r="S1665" s="91" t="s">
        <v>143</v>
      </c>
      <c r="T1665" s="91" t="s">
        <v>4286</v>
      </c>
      <c r="V1665" s="91" t="s">
        <v>155</v>
      </c>
      <c r="W1665" s="91" t="s">
        <v>180</v>
      </c>
    </row>
    <row r="1666" spans="1:23">
      <c r="A1666" s="93" t="str">
        <f>TEXT(tblProjectlist[[#This Row],[project-no]],"0")</f>
        <v>76360128</v>
      </c>
      <c r="H1666" s="91">
        <v>7636</v>
      </c>
      <c r="I1666" s="91">
        <v>1</v>
      </c>
      <c r="J1666" s="91">
        <v>2</v>
      </c>
      <c r="K1666" s="91" t="s">
        <v>1069</v>
      </c>
      <c r="L1666" s="91" t="s">
        <v>2175</v>
      </c>
      <c r="M1666" s="91" t="s">
        <v>4</v>
      </c>
      <c r="Q1666" s="91"/>
      <c r="S1666" s="91" t="s">
        <v>143</v>
      </c>
      <c r="T1666" s="91" t="s">
        <v>2935</v>
      </c>
      <c r="V1666" s="91" t="s">
        <v>155</v>
      </c>
      <c r="W1666" s="91" t="s">
        <v>180</v>
      </c>
    </row>
    <row r="1667" spans="1:23">
      <c r="A1667" s="93" t="str">
        <f>TEXT(tblProjectlist[[#This Row],[project-no]],"0")</f>
        <v>76362128</v>
      </c>
      <c r="H1667" s="91">
        <v>7636</v>
      </c>
      <c r="I1667" s="91">
        <v>21</v>
      </c>
      <c r="J1667" s="91">
        <v>2</v>
      </c>
      <c r="K1667" s="91" t="s">
        <v>1070</v>
      </c>
      <c r="L1667" s="91" t="s">
        <v>2175</v>
      </c>
      <c r="M1667" s="91" t="s">
        <v>4</v>
      </c>
      <c r="Q1667" s="91"/>
      <c r="S1667" s="91" t="s">
        <v>143</v>
      </c>
      <c r="T1667" s="91" t="s">
        <v>2936</v>
      </c>
      <c r="V1667" s="91" t="s">
        <v>155</v>
      </c>
      <c r="W1667" s="91" t="s">
        <v>180</v>
      </c>
    </row>
    <row r="1668" spans="1:23">
      <c r="A1668" s="93" t="str">
        <f>TEXT(tblProjectlist[[#This Row],[project-no]],"0")</f>
        <v>76362328</v>
      </c>
      <c r="H1668" s="91">
        <v>7636</v>
      </c>
      <c r="I1668" s="91">
        <v>23</v>
      </c>
      <c r="J1668" s="91">
        <v>2</v>
      </c>
      <c r="K1668" s="91" t="s">
        <v>1071</v>
      </c>
      <c r="L1668" s="91" t="s">
        <v>2175</v>
      </c>
      <c r="M1668" s="91" t="s">
        <v>4</v>
      </c>
      <c r="Q1668" s="91"/>
      <c r="S1668" s="91" t="s">
        <v>143</v>
      </c>
      <c r="T1668" s="91" t="s">
        <v>2937</v>
      </c>
      <c r="V1668" s="91" t="s">
        <v>155</v>
      </c>
      <c r="W1668" s="91" t="s">
        <v>180</v>
      </c>
    </row>
    <row r="1669" spans="1:23">
      <c r="A1669" s="93" t="str">
        <f>TEXT(tblProjectlist[[#This Row],[project-no]],"0")</f>
        <v>76362928</v>
      </c>
      <c r="H1669" s="91">
        <v>7636</v>
      </c>
      <c r="I1669" s="91">
        <v>29</v>
      </c>
      <c r="J1669" s="91">
        <v>2</v>
      </c>
      <c r="K1669" s="91" t="s">
        <v>1072</v>
      </c>
      <c r="L1669" s="91" t="s">
        <v>2175</v>
      </c>
      <c r="M1669" s="91" t="s">
        <v>4</v>
      </c>
      <c r="Q1669" s="91"/>
      <c r="S1669" s="91" t="s">
        <v>143</v>
      </c>
      <c r="T1669" s="91" t="s">
        <v>2938</v>
      </c>
      <c r="V1669" s="91" t="s">
        <v>155</v>
      </c>
      <c r="W1669" s="91" t="s">
        <v>180</v>
      </c>
    </row>
    <row r="1670" spans="1:23">
      <c r="A1670" s="93" t="str">
        <f>TEXT(tblProjectlist[[#This Row],[project-no]],"0")</f>
        <v>76363028</v>
      </c>
      <c r="H1670" s="91">
        <v>7636</v>
      </c>
      <c r="I1670" s="91">
        <v>30</v>
      </c>
      <c r="J1670" s="91">
        <v>2</v>
      </c>
      <c r="K1670" s="91" t="s">
        <v>1073</v>
      </c>
      <c r="L1670" s="91" t="s">
        <v>2175</v>
      </c>
      <c r="M1670" s="91" t="s">
        <v>4</v>
      </c>
      <c r="Q1670" s="91"/>
      <c r="S1670" s="91" t="s">
        <v>143</v>
      </c>
      <c r="T1670" s="91" t="s">
        <v>2939</v>
      </c>
      <c r="V1670" s="91" t="s">
        <v>155</v>
      </c>
      <c r="W1670" s="91" t="s">
        <v>180</v>
      </c>
    </row>
    <row r="1671" spans="1:23">
      <c r="A1671" s="93" t="str">
        <f>TEXT(tblProjectlist[[#This Row],[project-no]],"0")</f>
        <v>76363128</v>
      </c>
      <c r="H1671" s="91">
        <v>7636</v>
      </c>
      <c r="I1671" s="91">
        <v>31</v>
      </c>
      <c r="J1671" s="91">
        <v>2</v>
      </c>
      <c r="K1671" s="91" t="s">
        <v>1074</v>
      </c>
      <c r="L1671" s="91" t="s">
        <v>2175</v>
      </c>
      <c r="M1671" s="91" t="s">
        <v>4</v>
      </c>
      <c r="Q1671" s="91"/>
      <c r="S1671" s="91" t="s">
        <v>143</v>
      </c>
      <c r="T1671" s="91" t="s">
        <v>2940</v>
      </c>
      <c r="V1671" s="91" t="s">
        <v>155</v>
      </c>
      <c r="W1671" s="91" t="s">
        <v>180</v>
      </c>
    </row>
    <row r="1672" spans="1:23">
      <c r="A1672" s="93" t="str">
        <f>TEXT(tblProjectlist[[#This Row],[project-no]],"0")</f>
        <v>76363228</v>
      </c>
      <c r="H1672" s="91">
        <v>7636</v>
      </c>
      <c r="I1672" s="91">
        <v>32</v>
      </c>
      <c r="J1672" s="91">
        <v>2</v>
      </c>
      <c r="K1672" s="91" t="s">
        <v>1075</v>
      </c>
      <c r="L1672" s="91" t="s">
        <v>2175</v>
      </c>
      <c r="M1672" s="91" t="s">
        <v>4</v>
      </c>
      <c r="Q1672" s="91"/>
      <c r="S1672" s="91" t="s">
        <v>143</v>
      </c>
      <c r="T1672" s="91" t="s">
        <v>2941</v>
      </c>
      <c r="V1672" s="91" t="s">
        <v>155</v>
      </c>
      <c r="W1672" s="91" t="s">
        <v>180</v>
      </c>
    </row>
    <row r="1673" spans="1:23">
      <c r="A1673" s="93" t="str">
        <f>TEXT(tblProjectlist[[#This Row],[project-no]],"0")</f>
        <v>0</v>
      </c>
      <c r="H1673" s="91">
        <v>7636</v>
      </c>
      <c r="I1673" s="91">
        <v>33</v>
      </c>
      <c r="J1673" s="91">
        <v>2</v>
      </c>
      <c r="K1673" s="91"/>
      <c r="L1673" s="91" t="s">
        <v>2175</v>
      </c>
      <c r="M1673" s="91" t="s">
        <v>4</v>
      </c>
      <c r="Q1673" s="91"/>
      <c r="S1673" s="91" t="s">
        <v>143</v>
      </c>
      <c r="T1673" s="91" t="s">
        <v>4006</v>
      </c>
      <c r="V1673" s="91" t="s">
        <v>155</v>
      </c>
      <c r="W1673" s="91" t="s">
        <v>180</v>
      </c>
    </row>
    <row r="1674" spans="1:23">
      <c r="A1674" s="93" t="str">
        <f>TEXT(tblProjectlist[[#This Row],[project-no]],"0")</f>
        <v>99967628</v>
      </c>
      <c r="H1674" s="91">
        <v>7636</v>
      </c>
      <c r="I1674" s="91">
        <v>30</v>
      </c>
      <c r="J1674" s="91">
        <v>2</v>
      </c>
      <c r="K1674" s="91" t="s">
        <v>1793</v>
      </c>
      <c r="L1674" s="91" t="s">
        <v>2175</v>
      </c>
      <c r="M1674" s="91" t="s">
        <v>4</v>
      </c>
      <c r="Q1674" s="91"/>
      <c r="S1674" s="91" t="s">
        <v>143</v>
      </c>
      <c r="T1674" s="91" t="s">
        <v>2939</v>
      </c>
      <c r="W1674" s="91" t="s">
        <v>180</v>
      </c>
    </row>
    <row r="1675" spans="1:23">
      <c r="A1675" s="93" t="str">
        <f>TEXT(tblProjectlist[[#This Row],[project-no]],"0")</f>
        <v>0</v>
      </c>
      <c r="H1675" s="91">
        <v>7655</v>
      </c>
      <c r="I1675" s="91">
        <v>9</v>
      </c>
      <c r="J1675" s="91">
        <v>2</v>
      </c>
      <c r="K1675" s="91"/>
      <c r="L1675" s="91" t="s">
        <v>2175</v>
      </c>
      <c r="M1675" s="91" t="s">
        <v>4</v>
      </c>
      <c r="Q1675" s="91"/>
      <c r="S1675" s="91" t="s">
        <v>143</v>
      </c>
      <c r="T1675" s="91" t="s">
        <v>4092</v>
      </c>
      <c r="V1675" s="91" t="s">
        <v>155</v>
      </c>
      <c r="W1675" s="91" t="s">
        <v>180</v>
      </c>
    </row>
    <row r="1676" spans="1:23">
      <c r="A1676" s="93" t="str">
        <f>TEXT(tblProjectlist[[#This Row],[project-no]],"0")</f>
        <v>0</v>
      </c>
      <c r="H1676" s="91">
        <v>7655</v>
      </c>
      <c r="I1676" s="91">
        <v>10</v>
      </c>
      <c r="J1676" s="91">
        <v>2</v>
      </c>
      <c r="K1676" s="91"/>
      <c r="L1676" s="91" t="s">
        <v>2175</v>
      </c>
      <c r="M1676" s="91" t="s">
        <v>4</v>
      </c>
      <c r="Q1676" s="91"/>
      <c r="S1676" s="91" t="s">
        <v>143</v>
      </c>
      <c r="T1676" s="91" t="s">
        <v>4241</v>
      </c>
      <c r="V1676" s="91" t="s">
        <v>155</v>
      </c>
      <c r="W1676" s="91" t="s">
        <v>180</v>
      </c>
    </row>
    <row r="1677" spans="1:23">
      <c r="A1677" s="93" t="str">
        <f>TEXT(tblProjectlist[[#This Row],[project-no]],"0")</f>
        <v>0</v>
      </c>
      <c r="H1677" s="91">
        <v>7655</v>
      </c>
      <c r="I1677" s="91">
        <v>11</v>
      </c>
      <c r="J1677" s="91">
        <v>2</v>
      </c>
      <c r="K1677" s="91"/>
      <c r="L1677" s="91" t="s">
        <v>2175</v>
      </c>
      <c r="M1677" s="91" t="s">
        <v>4</v>
      </c>
      <c r="Q1677" s="91"/>
      <c r="S1677" s="91" t="s">
        <v>143</v>
      </c>
      <c r="T1677" s="91" t="s">
        <v>4242</v>
      </c>
      <c r="V1677" s="91" t="s">
        <v>155</v>
      </c>
      <c r="W1677" s="91" t="s">
        <v>180</v>
      </c>
    </row>
    <row r="1678" spans="1:23">
      <c r="A1678" s="93" t="str">
        <f>TEXT(tblProjectlist[[#This Row],[project-no]],"0")</f>
        <v>76550328</v>
      </c>
      <c r="H1678" s="91">
        <v>7655</v>
      </c>
      <c r="I1678" s="91">
        <v>3</v>
      </c>
      <c r="J1678" s="91">
        <v>2</v>
      </c>
      <c r="K1678" s="91" t="s">
        <v>1080</v>
      </c>
      <c r="L1678" s="91" t="s">
        <v>2175</v>
      </c>
      <c r="M1678" s="91" t="s">
        <v>4</v>
      </c>
      <c r="Q1678" s="91"/>
      <c r="S1678" s="91" t="s">
        <v>143</v>
      </c>
      <c r="T1678" s="91" t="s">
        <v>2946</v>
      </c>
      <c r="V1678" s="91" t="s">
        <v>155</v>
      </c>
      <c r="W1678" s="91" t="s">
        <v>180</v>
      </c>
    </row>
    <row r="1679" spans="1:23">
      <c r="A1679" s="93" t="str">
        <f>TEXT(tblProjectlist[[#This Row],[project-no]],"0")</f>
        <v>76550428</v>
      </c>
      <c r="H1679" s="91">
        <v>7655</v>
      </c>
      <c r="I1679" s="91">
        <v>4</v>
      </c>
      <c r="J1679" s="91">
        <v>2</v>
      </c>
      <c r="K1679" s="91" t="s">
        <v>1081</v>
      </c>
      <c r="L1679" s="91" t="s">
        <v>2175</v>
      </c>
      <c r="M1679" s="91" t="s">
        <v>4</v>
      </c>
      <c r="Q1679" s="91"/>
      <c r="S1679" s="91" t="s">
        <v>143</v>
      </c>
      <c r="T1679" s="91" t="s">
        <v>2947</v>
      </c>
      <c r="V1679" s="91" t="s">
        <v>155</v>
      </c>
      <c r="W1679" s="91" t="s">
        <v>180</v>
      </c>
    </row>
    <row r="1680" spans="1:23">
      <c r="A1680" s="93" t="str">
        <f>TEXT(tblProjectlist[[#This Row],[project-no]],"0")</f>
        <v>76550528</v>
      </c>
      <c r="H1680" s="91">
        <v>7655</v>
      </c>
      <c r="I1680" s="91">
        <v>5</v>
      </c>
      <c r="J1680" s="91">
        <v>2</v>
      </c>
      <c r="K1680" s="91" t="s">
        <v>1082</v>
      </c>
      <c r="L1680" s="91" t="s">
        <v>2175</v>
      </c>
      <c r="M1680" s="91" t="s">
        <v>4</v>
      </c>
      <c r="Q1680" s="91"/>
      <c r="S1680" s="91" t="s">
        <v>143</v>
      </c>
      <c r="T1680" s="91" t="s">
        <v>2948</v>
      </c>
      <c r="V1680" s="91" t="s">
        <v>155</v>
      </c>
      <c r="W1680" s="91" t="s">
        <v>180</v>
      </c>
    </row>
    <row r="1681" spans="1:23">
      <c r="A1681" s="93" t="str">
        <f>TEXT(tblProjectlist[[#This Row],[project-no]],"0")</f>
        <v>76550628</v>
      </c>
      <c r="H1681" s="91">
        <v>7655</v>
      </c>
      <c r="I1681" s="91">
        <v>6</v>
      </c>
      <c r="J1681" s="91">
        <v>2</v>
      </c>
      <c r="K1681" s="91" t="s">
        <v>1083</v>
      </c>
      <c r="L1681" s="91" t="s">
        <v>2175</v>
      </c>
      <c r="M1681" s="91" t="s">
        <v>4</v>
      </c>
      <c r="Q1681" s="91"/>
      <c r="S1681" s="91" t="s">
        <v>143</v>
      </c>
      <c r="T1681" s="91" t="s">
        <v>2949</v>
      </c>
      <c r="V1681" s="91" t="s">
        <v>155</v>
      </c>
      <c r="W1681" s="91" t="s">
        <v>180</v>
      </c>
    </row>
    <row r="1682" spans="1:23">
      <c r="A1682" s="93" t="str">
        <f>TEXT(tblProjectlist[[#This Row],[project-no]],"0")</f>
        <v>76550728</v>
      </c>
      <c r="H1682" s="91">
        <v>7655</v>
      </c>
      <c r="I1682" s="91">
        <v>7</v>
      </c>
      <c r="J1682" s="91">
        <v>2</v>
      </c>
      <c r="K1682" s="91" t="s">
        <v>1084</v>
      </c>
      <c r="L1682" s="91" t="s">
        <v>2175</v>
      </c>
      <c r="M1682" s="91" t="s">
        <v>4</v>
      </c>
      <c r="Q1682" s="91"/>
      <c r="S1682" s="91" t="s">
        <v>143</v>
      </c>
      <c r="T1682" s="91" t="s">
        <v>2950</v>
      </c>
      <c r="V1682" s="91" t="s">
        <v>155</v>
      </c>
      <c r="W1682" s="91" t="s">
        <v>180</v>
      </c>
    </row>
    <row r="1683" spans="1:23">
      <c r="A1683" s="93" t="str">
        <f>TEXT(tblProjectlist[[#This Row],[project-no]],"0")</f>
        <v>76550828</v>
      </c>
      <c r="H1683" s="91">
        <v>7655</v>
      </c>
      <c r="I1683" s="91">
        <v>8</v>
      </c>
      <c r="J1683" s="91">
        <v>2</v>
      </c>
      <c r="K1683" s="91" t="s">
        <v>1085</v>
      </c>
      <c r="L1683" s="91" t="s">
        <v>2175</v>
      </c>
      <c r="M1683" s="91" t="s">
        <v>4</v>
      </c>
      <c r="Q1683" s="91"/>
      <c r="S1683" s="91" t="s">
        <v>143</v>
      </c>
      <c r="T1683" s="91" t="s">
        <v>2951</v>
      </c>
      <c r="V1683" s="91" t="s">
        <v>155</v>
      </c>
      <c r="W1683" s="91" t="s">
        <v>180</v>
      </c>
    </row>
    <row r="1684" spans="1:23">
      <c r="A1684" s="93" t="str">
        <f>TEXT(tblProjectlist[[#This Row],[project-no]],"0")</f>
        <v>40060228</v>
      </c>
      <c r="H1684" s="91">
        <v>4006</v>
      </c>
      <c r="I1684" s="91">
        <v>2</v>
      </c>
      <c r="J1684" s="91">
        <v>2</v>
      </c>
      <c r="K1684" s="91" t="s">
        <v>756</v>
      </c>
      <c r="L1684" s="91" t="s">
        <v>2175</v>
      </c>
      <c r="M1684" s="91" t="s">
        <v>4</v>
      </c>
      <c r="Q1684" s="91"/>
      <c r="S1684" s="91" t="s">
        <v>143</v>
      </c>
      <c r="T1684" s="91" t="s">
        <v>2652</v>
      </c>
      <c r="V1684" s="91" t="s">
        <v>155</v>
      </c>
      <c r="W1684" s="91" t="s">
        <v>180</v>
      </c>
    </row>
    <row r="1685" spans="1:23">
      <c r="A1685" s="93" t="str">
        <f>TEXT(tblProjectlist[[#This Row],[project-no]],"0")</f>
        <v>0</v>
      </c>
      <c r="H1685" s="91">
        <v>7049</v>
      </c>
      <c r="I1685" s="91">
        <v>2</v>
      </c>
      <c r="J1685" s="91">
        <v>2</v>
      </c>
      <c r="K1685" s="91"/>
      <c r="L1685" s="91" t="s">
        <v>2175</v>
      </c>
      <c r="M1685" s="91" t="s">
        <v>4</v>
      </c>
      <c r="Q1685" s="91"/>
      <c r="S1685" s="91" t="s">
        <v>143</v>
      </c>
      <c r="T1685" s="91" t="s">
        <v>3815</v>
      </c>
      <c r="V1685" s="91" t="s">
        <v>155</v>
      </c>
      <c r="W1685" s="91" t="s">
        <v>180</v>
      </c>
    </row>
    <row r="1686" spans="1:23">
      <c r="A1686" s="93" t="str">
        <f>TEXT(tblProjectlist[[#This Row],[project-no]],"0")</f>
        <v>0</v>
      </c>
      <c r="H1686" s="91">
        <v>7049</v>
      </c>
      <c r="I1686" s="91">
        <v>3</v>
      </c>
      <c r="J1686" s="91">
        <v>2</v>
      </c>
      <c r="K1686" s="91"/>
      <c r="L1686" s="91" t="s">
        <v>2175</v>
      </c>
      <c r="M1686" s="91" t="s">
        <v>4</v>
      </c>
      <c r="Q1686" s="91"/>
      <c r="S1686" s="91" t="s">
        <v>143</v>
      </c>
      <c r="T1686" s="91" t="s">
        <v>3939</v>
      </c>
      <c r="V1686" s="91" t="s">
        <v>155</v>
      </c>
      <c r="W1686" s="91" t="s">
        <v>180</v>
      </c>
    </row>
    <row r="1687" spans="1:23">
      <c r="A1687" s="93" t="str">
        <f>TEXT(tblProjectlist[[#This Row],[project-no]],"0")</f>
        <v>0</v>
      </c>
      <c r="H1687" s="91">
        <v>7049</v>
      </c>
      <c r="I1687" s="91">
        <v>4</v>
      </c>
      <c r="J1687" s="91">
        <v>2</v>
      </c>
      <c r="K1687" s="91"/>
      <c r="L1687" s="91" t="s">
        <v>2175</v>
      </c>
      <c r="M1687" s="91" t="s">
        <v>4</v>
      </c>
      <c r="Q1687" s="91"/>
      <c r="S1687" s="91" t="s">
        <v>143</v>
      </c>
      <c r="T1687" s="91" t="s">
        <v>3940</v>
      </c>
      <c r="V1687" s="91" t="s">
        <v>155</v>
      </c>
      <c r="W1687" s="91" t="s">
        <v>180</v>
      </c>
    </row>
    <row r="1688" spans="1:23">
      <c r="A1688" s="93" t="str">
        <f>TEXT(tblProjectlist[[#This Row],[project-no]],"0")</f>
        <v>0</v>
      </c>
      <c r="H1688" s="91">
        <v>6065</v>
      </c>
      <c r="I1688" s="91">
        <v>8</v>
      </c>
      <c r="J1688" s="91">
        <v>2</v>
      </c>
      <c r="K1688" s="91"/>
      <c r="L1688" s="91" t="s">
        <v>2175</v>
      </c>
      <c r="M1688" s="91" t="s">
        <v>4</v>
      </c>
      <c r="Q1688" s="91"/>
      <c r="S1688" s="91" t="s">
        <v>143</v>
      </c>
      <c r="T1688" s="91" t="s">
        <v>4334</v>
      </c>
      <c r="V1688" s="91" t="s">
        <v>155</v>
      </c>
      <c r="W1688" s="91" t="s">
        <v>180</v>
      </c>
    </row>
    <row r="1689" spans="1:23">
      <c r="A1689" s="93" t="str">
        <f>TEXT(tblProjectlist[[#This Row],[project-no]],"0")</f>
        <v>80803128</v>
      </c>
      <c r="H1689" s="91">
        <v>8080</v>
      </c>
      <c r="I1689" s="91">
        <v>31</v>
      </c>
      <c r="J1689" s="91">
        <v>2</v>
      </c>
      <c r="K1689" s="91" t="s">
        <v>1207</v>
      </c>
      <c r="L1689" s="91" t="s">
        <v>2175</v>
      </c>
      <c r="M1689" s="91" t="s">
        <v>4</v>
      </c>
      <c r="Q1689" s="91"/>
      <c r="S1689" s="91" t="s">
        <v>143</v>
      </c>
      <c r="T1689" s="91" t="s">
        <v>3060</v>
      </c>
      <c r="V1689" s="91" t="s">
        <v>155</v>
      </c>
      <c r="W1689" s="91" t="s">
        <v>180</v>
      </c>
    </row>
    <row r="1690" spans="1:23">
      <c r="A1690" s="93" t="str">
        <f>TEXT(tblProjectlist[[#This Row],[project-no]],"0")</f>
        <v>70110128</v>
      </c>
      <c r="H1690" s="91">
        <v>7011</v>
      </c>
      <c r="I1690" s="91">
        <v>1</v>
      </c>
      <c r="J1690" s="91">
        <v>2</v>
      </c>
      <c r="K1690" s="91" t="s">
        <v>925</v>
      </c>
      <c r="L1690" s="91" t="s">
        <v>2175</v>
      </c>
      <c r="M1690" s="91" t="s">
        <v>4</v>
      </c>
      <c r="Q1690" s="91"/>
      <c r="S1690" s="91" t="s">
        <v>143</v>
      </c>
      <c r="T1690" s="91" t="s">
        <v>2800</v>
      </c>
      <c r="V1690" s="91" t="s">
        <v>155</v>
      </c>
      <c r="W1690" s="91" t="s">
        <v>180</v>
      </c>
    </row>
    <row r="1691" spans="1:23">
      <c r="A1691" s="93" t="str">
        <f>TEXT(tblProjectlist[[#This Row],[project-no]],"0")</f>
        <v>70110228</v>
      </c>
      <c r="H1691" s="91">
        <v>7011</v>
      </c>
      <c r="I1691" s="91">
        <v>2</v>
      </c>
      <c r="J1691" s="91">
        <v>2</v>
      </c>
      <c r="K1691" s="91" t="s">
        <v>926</v>
      </c>
      <c r="L1691" s="91" t="s">
        <v>2175</v>
      </c>
      <c r="M1691" s="91" t="s">
        <v>4</v>
      </c>
      <c r="Q1691" s="91"/>
      <c r="S1691" s="91" t="s">
        <v>143</v>
      </c>
      <c r="T1691" s="91" t="s">
        <v>2801</v>
      </c>
      <c r="V1691" s="91" t="s">
        <v>155</v>
      </c>
      <c r="W1691" s="91" t="s">
        <v>180</v>
      </c>
    </row>
    <row r="1692" spans="1:23">
      <c r="A1692" s="93" t="str">
        <f>TEXT(tblProjectlist[[#This Row],[project-no]],"0")</f>
        <v>70110311</v>
      </c>
      <c r="H1692" s="91">
        <v>7011</v>
      </c>
      <c r="I1692" s="91">
        <v>3</v>
      </c>
      <c r="J1692" s="91">
        <v>1</v>
      </c>
      <c r="K1692" s="91" t="s">
        <v>927</v>
      </c>
      <c r="L1692" s="91" t="s">
        <v>2175</v>
      </c>
      <c r="M1692" s="91" t="s">
        <v>0</v>
      </c>
      <c r="Q1692" s="91"/>
      <c r="S1692" s="91" t="s">
        <v>143</v>
      </c>
      <c r="T1692" s="91" t="s">
        <v>2802</v>
      </c>
      <c r="V1692" s="91" t="s">
        <v>169</v>
      </c>
      <c r="W1692" s="91" t="s">
        <v>180</v>
      </c>
    </row>
    <row r="1693" spans="1:23">
      <c r="A1693" s="93" t="str">
        <f>TEXT(tblProjectlist[[#This Row],[project-no]],"0")</f>
        <v>70110316</v>
      </c>
      <c r="H1693" s="91">
        <v>7011</v>
      </c>
      <c r="I1693" s="91">
        <v>3</v>
      </c>
      <c r="J1693" s="91">
        <v>1</v>
      </c>
      <c r="K1693" s="91" t="s">
        <v>928</v>
      </c>
      <c r="L1693" s="91" t="s">
        <v>2175</v>
      </c>
      <c r="M1693" s="91" t="s">
        <v>0</v>
      </c>
      <c r="Q1693" s="91"/>
      <c r="S1693" s="91" t="s">
        <v>143</v>
      </c>
      <c r="T1693" s="91" t="s">
        <v>2802</v>
      </c>
      <c r="V1693" s="91" t="s">
        <v>168</v>
      </c>
      <c r="W1693" s="91" t="s">
        <v>180</v>
      </c>
    </row>
    <row r="1694" spans="1:23">
      <c r="A1694" s="93" t="str">
        <f>TEXT(tblProjectlist[[#This Row],[project-no]],"0")</f>
        <v>0</v>
      </c>
      <c r="H1694" s="91">
        <v>7670</v>
      </c>
      <c r="I1694" s="91">
        <v>2</v>
      </c>
      <c r="J1694" s="91">
        <v>4</v>
      </c>
      <c r="K1694" s="91"/>
      <c r="L1694" s="91" t="s">
        <v>197</v>
      </c>
      <c r="M1694" s="91" t="s">
        <v>1</v>
      </c>
      <c r="Q1694" s="91"/>
      <c r="S1694" s="91" t="s">
        <v>143</v>
      </c>
      <c r="T1694" s="91" t="s">
        <v>3819</v>
      </c>
      <c r="V1694" s="91" t="s">
        <v>164</v>
      </c>
      <c r="W1694" s="91" t="s">
        <v>180</v>
      </c>
    </row>
    <row r="1695" spans="1:23">
      <c r="A1695" s="93" t="str">
        <f>TEXT(tblProjectlist[[#This Row],[project-no]],"0")</f>
        <v>0</v>
      </c>
      <c r="H1695" s="91">
        <v>6400</v>
      </c>
      <c r="I1695" s="91">
        <v>9</v>
      </c>
      <c r="J1695" s="91">
        <v>2</v>
      </c>
      <c r="K1695" s="91"/>
      <c r="L1695" s="91" t="s">
        <v>2175</v>
      </c>
      <c r="M1695" s="91" t="s">
        <v>4</v>
      </c>
      <c r="Q1695" s="91"/>
      <c r="S1695" s="91" t="s">
        <v>143</v>
      </c>
      <c r="T1695" s="91" t="s">
        <v>4196</v>
      </c>
      <c r="V1695" s="91" t="s">
        <v>155</v>
      </c>
      <c r="W1695" s="91" t="s">
        <v>180</v>
      </c>
    </row>
    <row r="1696" spans="1:23">
      <c r="A1696" s="93" t="str">
        <f>TEXT(tblProjectlist[[#This Row],[project-no]],"0")</f>
        <v>0</v>
      </c>
      <c r="H1696" s="91">
        <v>7629</v>
      </c>
      <c r="I1696" s="91">
        <v>4</v>
      </c>
      <c r="J1696" s="91">
        <v>2</v>
      </c>
      <c r="K1696" s="91"/>
      <c r="L1696" s="91" t="s">
        <v>197</v>
      </c>
      <c r="M1696" s="91" t="s">
        <v>4</v>
      </c>
      <c r="Q1696" s="91"/>
      <c r="S1696" s="91" t="s">
        <v>143</v>
      </c>
      <c r="T1696" s="91" t="s">
        <v>3818</v>
      </c>
      <c r="V1696" s="91" t="s">
        <v>155</v>
      </c>
      <c r="W1696" s="91" t="s">
        <v>180</v>
      </c>
    </row>
    <row r="1697" spans="1:23">
      <c r="A1697" s="93" t="str">
        <f>TEXT(tblProjectlist[[#This Row],[project-no]],"0")</f>
        <v>0</v>
      </c>
      <c r="H1697" s="91">
        <v>7629</v>
      </c>
      <c r="I1697" s="91">
        <v>5</v>
      </c>
      <c r="J1697" s="91">
        <v>2</v>
      </c>
      <c r="K1697" s="91"/>
      <c r="L1697" s="91" t="s">
        <v>197</v>
      </c>
      <c r="M1697" s="91" t="s">
        <v>4</v>
      </c>
      <c r="Q1697" s="91"/>
      <c r="S1697" s="91" t="s">
        <v>143</v>
      </c>
      <c r="T1697" s="91" t="s">
        <v>4048</v>
      </c>
      <c r="V1697" s="91" t="s">
        <v>155</v>
      </c>
      <c r="W1697" s="91" t="s">
        <v>180</v>
      </c>
    </row>
    <row r="1698" spans="1:23">
      <c r="A1698" s="93" t="str">
        <f>TEXT(tblProjectlist[[#This Row],[project-no]],"0")</f>
        <v>0</v>
      </c>
      <c r="H1698" s="91">
        <v>7629</v>
      </c>
      <c r="I1698" s="91">
        <v>6</v>
      </c>
      <c r="J1698" s="91">
        <v>2</v>
      </c>
      <c r="K1698" s="91"/>
      <c r="L1698" s="91" t="s">
        <v>197</v>
      </c>
      <c r="M1698" s="91" t="s">
        <v>4</v>
      </c>
      <c r="Q1698" s="91"/>
      <c r="S1698" s="91" t="s">
        <v>143</v>
      </c>
      <c r="T1698" s="91" t="s">
        <v>4283</v>
      </c>
      <c r="V1698" s="91" t="s">
        <v>155</v>
      </c>
      <c r="W1698" s="91" t="s">
        <v>180</v>
      </c>
    </row>
    <row r="1699" spans="1:23">
      <c r="A1699" s="93" t="str">
        <f>TEXT(tblProjectlist[[#This Row],[project-no]],"0")</f>
        <v>0</v>
      </c>
      <c r="H1699" s="91">
        <v>7629</v>
      </c>
      <c r="I1699" s="91">
        <v>7</v>
      </c>
      <c r="J1699" s="91">
        <v>2</v>
      </c>
      <c r="K1699" s="91"/>
      <c r="L1699" s="91" t="s">
        <v>197</v>
      </c>
      <c r="M1699" s="91" t="s">
        <v>4</v>
      </c>
      <c r="Q1699" s="91"/>
      <c r="S1699" s="91" t="s">
        <v>143</v>
      </c>
      <c r="T1699" s="91" t="s">
        <v>4284</v>
      </c>
      <c r="V1699" s="91" t="s">
        <v>155</v>
      </c>
      <c r="W1699" s="91" t="s">
        <v>180</v>
      </c>
    </row>
    <row r="1700" spans="1:23">
      <c r="A1700" s="93" t="str">
        <f>TEXT(tblProjectlist[[#This Row],[project-no]],"0")</f>
        <v>0</v>
      </c>
      <c r="H1700" s="91">
        <v>7629</v>
      </c>
      <c r="I1700" s="91">
        <v>8</v>
      </c>
      <c r="J1700" s="91">
        <v>2</v>
      </c>
      <c r="K1700" s="91"/>
      <c r="L1700" s="91" t="s">
        <v>197</v>
      </c>
      <c r="M1700" s="91" t="s">
        <v>4</v>
      </c>
      <c r="Q1700" s="91"/>
      <c r="S1700" s="91" t="s">
        <v>143</v>
      </c>
      <c r="T1700" s="91" t="s">
        <v>4361</v>
      </c>
      <c r="V1700" s="91" t="s">
        <v>155</v>
      </c>
      <c r="W1700" s="91" t="s">
        <v>180</v>
      </c>
    </row>
    <row r="1701" spans="1:23">
      <c r="A1701" s="93" t="str">
        <f>TEXT(tblProjectlist[[#This Row],[project-no]],"0")</f>
        <v>0</v>
      </c>
      <c r="H1701" s="91">
        <v>7629</v>
      </c>
      <c r="I1701" s="91">
        <v>9</v>
      </c>
      <c r="J1701" s="91">
        <v>2</v>
      </c>
      <c r="K1701" s="91"/>
      <c r="L1701" s="91" t="s">
        <v>197</v>
      </c>
      <c r="M1701" s="91" t="s">
        <v>4</v>
      </c>
      <c r="Q1701" s="91"/>
      <c r="S1701" s="91" t="s">
        <v>143</v>
      </c>
      <c r="T1701" s="91" t="s">
        <v>4489</v>
      </c>
      <c r="V1701" s="91" t="s">
        <v>155</v>
      </c>
      <c r="W1701" s="91" t="s">
        <v>180</v>
      </c>
    </row>
    <row r="1702" spans="1:23">
      <c r="A1702" s="93" t="str">
        <f>TEXT(tblProjectlist[[#This Row],[project-no]],"0")</f>
        <v>76290226</v>
      </c>
      <c r="H1702" s="91">
        <v>7629</v>
      </c>
      <c r="I1702" s="91">
        <v>2</v>
      </c>
      <c r="J1702" s="91">
        <v>2</v>
      </c>
      <c r="K1702" s="91" t="s">
        <v>1068</v>
      </c>
      <c r="L1702" s="91" t="s">
        <v>197</v>
      </c>
      <c r="M1702" s="91" t="s">
        <v>4</v>
      </c>
      <c r="Q1702" s="91"/>
      <c r="S1702" s="91" t="s">
        <v>143</v>
      </c>
      <c r="T1702" s="91" t="s">
        <v>2934</v>
      </c>
      <c r="V1702" s="91" t="s">
        <v>155</v>
      </c>
      <c r="W1702" s="91" t="s">
        <v>180</v>
      </c>
    </row>
    <row r="1703" spans="1:23">
      <c r="A1703" s="93" t="str">
        <f>TEXT(tblProjectlist[[#This Row],[project-no]],"0")</f>
        <v>0</v>
      </c>
      <c r="H1703" s="91">
        <v>7629</v>
      </c>
      <c r="I1703" s="91">
        <v>3</v>
      </c>
      <c r="J1703" s="91">
        <v>2</v>
      </c>
      <c r="K1703" s="91"/>
      <c r="L1703" s="91" t="s">
        <v>197</v>
      </c>
      <c r="M1703" s="91" t="s">
        <v>4</v>
      </c>
      <c r="Q1703" s="91"/>
      <c r="S1703" s="91" t="s">
        <v>143</v>
      </c>
      <c r="T1703" s="91" t="s">
        <v>3791</v>
      </c>
      <c r="V1703" s="91" t="s">
        <v>155</v>
      </c>
      <c r="W1703" s="91" t="s">
        <v>180</v>
      </c>
    </row>
    <row r="1704" spans="1:23">
      <c r="A1704" s="93" t="str">
        <f>TEXT(tblProjectlist[[#This Row],[project-no]],"0")</f>
        <v>75241228</v>
      </c>
      <c r="H1704" s="91">
        <v>7524</v>
      </c>
      <c r="I1704" s="91">
        <v>12</v>
      </c>
      <c r="J1704" s="91">
        <v>2</v>
      </c>
      <c r="K1704" s="91" t="s">
        <v>1000</v>
      </c>
      <c r="L1704" s="91" t="s">
        <v>2175</v>
      </c>
      <c r="M1704" s="91" t="s">
        <v>4</v>
      </c>
      <c r="Q1704" s="91"/>
      <c r="S1704" s="91" t="s">
        <v>143</v>
      </c>
      <c r="T1704" s="91" t="s">
        <v>2869</v>
      </c>
      <c r="V1704" s="91" t="s">
        <v>155</v>
      </c>
      <c r="W1704" s="91" t="s">
        <v>180</v>
      </c>
    </row>
    <row r="1705" spans="1:23">
      <c r="A1705" s="93" t="str">
        <f>TEXT(tblProjectlist[[#This Row],[project-no]],"0")</f>
        <v>0</v>
      </c>
      <c r="H1705" s="91">
        <v>7692</v>
      </c>
      <c r="I1705" s="91">
        <v>2</v>
      </c>
      <c r="J1705" s="91">
        <v>2</v>
      </c>
      <c r="K1705" s="91"/>
      <c r="L1705" s="91" t="s">
        <v>2175</v>
      </c>
      <c r="M1705" s="91" t="s">
        <v>4</v>
      </c>
      <c r="Q1705" s="91"/>
      <c r="S1705" s="91" t="s">
        <v>143</v>
      </c>
      <c r="T1705" s="91" t="s">
        <v>4451</v>
      </c>
      <c r="V1705" s="91" t="s">
        <v>155</v>
      </c>
      <c r="W1705" s="91" t="s">
        <v>180</v>
      </c>
    </row>
    <row r="1706" spans="1:23">
      <c r="A1706" s="93" t="str">
        <f>TEXT(tblProjectlist[[#This Row],[project-no]],"0")</f>
        <v>77000528</v>
      </c>
      <c r="H1706" s="91">
        <v>7700</v>
      </c>
      <c r="I1706" s="91">
        <v>5</v>
      </c>
      <c r="J1706" s="91">
        <v>2</v>
      </c>
      <c r="K1706" s="91" t="s">
        <v>1093</v>
      </c>
      <c r="L1706" s="91" t="s">
        <v>62</v>
      </c>
      <c r="M1706" s="91" t="s">
        <v>4</v>
      </c>
      <c r="Q1706" s="91"/>
      <c r="S1706" s="91" t="s">
        <v>143</v>
      </c>
      <c r="T1706" s="91" t="s">
        <v>2959</v>
      </c>
      <c r="V1706" s="91" t="s">
        <v>155</v>
      </c>
      <c r="W1706" s="91" t="s">
        <v>180</v>
      </c>
    </row>
    <row r="1707" spans="1:23">
      <c r="A1707" s="93" t="str">
        <f>TEXT(tblProjectlist[[#This Row],[project-no]],"0")</f>
        <v>77000628</v>
      </c>
      <c r="H1707" s="91">
        <v>7700</v>
      </c>
      <c r="I1707" s="91">
        <v>6</v>
      </c>
      <c r="J1707" s="91">
        <v>2</v>
      </c>
      <c r="K1707" s="91" t="s">
        <v>1094</v>
      </c>
      <c r="L1707" s="91" t="s">
        <v>197</v>
      </c>
      <c r="M1707" s="91" t="s">
        <v>4</v>
      </c>
      <c r="Q1707" s="91"/>
      <c r="S1707" s="91" t="s">
        <v>143</v>
      </c>
      <c r="T1707" s="91" t="s">
        <v>2960</v>
      </c>
      <c r="V1707" s="91" t="s">
        <v>155</v>
      </c>
      <c r="W1707" s="91" t="s">
        <v>180</v>
      </c>
    </row>
    <row r="1708" spans="1:23">
      <c r="A1708" s="93" t="str">
        <f>TEXT(tblProjectlist[[#This Row],[project-no]],"0")</f>
        <v>77000728</v>
      </c>
      <c r="H1708" s="91">
        <v>7700</v>
      </c>
      <c r="I1708" s="91">
        <v>7</v>
      </c>
      <c r="J1708" s="91">
        <v>2</v>
      </c>
      <c r="K1708" s="91" t="s">
        <v>1095</v>
      </c>
      <c r="L1708" s="91" t="s">
        <v>197</v>
      </c>
      <c r="M1708" s="91" t="s">
        <v>4</v>
      </c>
      <c r="Q1708" s="91"/>
      <c r="S1708" s="91" t="s">
        <v>143</v>
      </c>
      <c r="T1708" s="91" t="s">
        <v>2961</v>
      </c>
      <c r="V1708" s="91" t="s">
        <v>155</v>
      </c>
      <c r="W1708" s="91" t="s">
        <v>180</v>
      </c>
    </row>
    <row r="1709" spans="1:23">
      <c r="A1709" s="93" t="str">
        <f>TEXT(tblProjectlist[[#This Row],[project-no]],"0")</f>
        <v>0</v>
      </c>
      <c r="H1709" s="91">
        <v>7700</v>
      </c>
      <c r="I1709" s="91">
        <v>8</v>
      </c>
      <c r="J1709" s="91">
        <v>2</v>
      </c>
      <c r="K1709" s="91"/>
      <c r="L1709" s="91" t="s">
        <v>197</v>
      </c>
      <c r="M1709" s="91" t="s">
        <v>4</v>
      </c>
      <c r="Q1709" s="91"/>
      <c r="S1709" s="91" t="s">
        <v>143</v>
      </c>
      <c r="T1709" s="91" t="s">
        <v>4707</v>
      </c>
      <c r="V1709" s="91" t="s">
        <v>155</v>
      </c>
      <c r="W1709" s="91" t="s">
        <v>180</v>
      </c>
    </row>
    <row r="1710" spans="1:23">
      <c r="A1710" s="93" t="str">
        <f>TEXT(tblProjectlist[[#This Row],[project-no]],"0")</f>
        <v>77020328</v>
      </c>
      <c r="H1710" s="91">
        <v>7702</v>
      </c>
      <c r="I1710" s="91">
        <v>3</v>
      </c>
      <c r="J1710" s="91">
        <v>2</v>
      </c>
      <c r="K1710" s="91" t="s">
        <v>1096</v>
      </c>
      <c r="L1710" s="91" t="s">
        <v>197</v>
      </c>
      <c r="M1710" s="91" t="s">
        <v>4</v>
      </c>
      <c r="Q1710" s="91"/>
      <c r="S1710" s="91" t="s">
        <v>143</v>
      </c>
      <c r="T1710" s="91" t="s">
        <v>2962</v>
      </c>
      <c r="V1710" s="91" t="s">
        <v>155</v>
      </c>
      <c r="W1710" s="91" t="s">
        <v>180</v>
      </c>
    </row>
    <row r="1711" spans="1:23">
      <c r="A1711" s="93" t="str">
        <f>TEXT(tblProjectlist[[#This Row],[project-no]],"0")</f>
        <v>77020428</v>
      </c>
      <c r="H1711" s="91">
        <v>7702</v>
      </c>
      <c r="I1711" s="91">
        <v>4</v>
      </c>
      <c r="J1711" s="91">
        <v>2</v>
      </c>
      <c r="K1711" s="91" t="s">
        <v>1097</v>
      </c>
      <c r="L1711" s="91" t="s">
        <v>197</v>
      </c>
      <c r="M1711" s="91" t="s">
        <v>4</v>
      </c>
      <c r="Q1711" s="91"/>
      <c r="S1711" s="91" t="s">
        <v>143</v>
      </c>
      <c r="T1711" s="91" t="s">
        <v>2963</v>
      </c>
      <c r="W1711" s="91" t="s">
        <v>180</v>
      </c>
    </row>
    <row r="1712" spans="1:23">
      <c r="A1712" s="93" t="str">
        <f>TEXT(tblProjectlist[[#This Row],[project-no]],"0")</f>
        <v>0</v>
      </c>
      <c r="H1712" s="91">
        <v>7663</v>
      </c>
      <c r="I1712" s="91">
        <v>2</v>
      </c>
      <c r="J1712" s="91">
        <v>2</v>
      </c>
      <c r="K1712" s="91"/>
      <c r="L1712" s="91" t="s">
        <v>64</v>
      </c>
      <c r="M1712" s="91" t="s">
        <v>4</v>
      </c>
      <c r="Q1712" s="91"/>
      <c r="S1712" s="91" t="s">
        <v>143</v>
      </c>
      <c r="T1712" s="91" t="s">
        <v>3871</v>
      </c>
      <c r="V1712" s="91" t="s">
        <v>155</v>
      </c>
      <c r="W1712" s="91" t="s">
        <v>180</v>
      </c>
    </row>
    <row r="1713" spans="1:23">
      <c r="A1713" s="93" t="str">
        <f>TEXT(tblProjectlist[[#This Row],[project-no]],"0")</f>
        <v>0</v>
      </c>
      <c r="H1713" s="91">
        <v>2051</v>
      </c>
      <c r="I1713" s="91">
        <v>36</v>
      </c>
      <c r="J1713" s="91">
        <v>2</v>
      </c>
      <c r="K1713" s="91"/>
      <c r="L1713" s="91" t="s">
        <v>2175</v>
      </c>
      <c r="M1713" s="91" t="s">
        <v>4</v>
      </c>
      <c r="Q1713" s="91"/>
      <c r="S1713" s="91" t="s">
        <v>143</v>
      </c>
      <c r="T1713" s="91" t="s">
        <v>3656</v>
      </c>
      <c r="V1713" s="91" t="s">
        <v>155</v>
      </c>
      <c r="W1713" s="91" t="s">
        <v>180</v>
      </c>
    </row>
    <row r="1714" spans="1:23">
      <c r="A1714" s="93" t="str">
        <f>TEXT(tblProjectlist[[#This Row],[project-no]],"0")</f>
        <v>0</v>
      </c>
      <c r="H1714" s="91">
        <v>2051</v>
      </c>
      <c r="I1714" s="91">
        <v>37</v>
      </c>
      <c r="J1714" s="91">
        <v>2</v>
      </c>
      <c r="K1714" s="91"/>
      <c r="L1714" s="91" t="s">
        <v>2175</v>
      </c>
      <c r="M1714" s="91" t="s">
        <v>4</v>
      </c>
      <c r="Q1714" s="91"/>
      <c r="S1714" s="91" t="s">
        <v>143</v>
      </c>
      <c r="T1714" s="91" t="s">
        <v>3657</v>
      </c>
      <c r="V1714" s="91" t="s">
        <v>155</v>
      </c>
    </row>
    <row r="1715" spans="1:23">
      <c r="A1715" s="93" t="str">
        <f>TEXT(tblProjectlist[[#This Row],[project-no]],"0")</f>
        <v>20512144</v>
      </c>
      <c r="H1715" s="91">
        <v>2051</v>
      </c>
      <c r="I1715" s="91">
        <v>21</v>
      </c>
      <c r="J1715" s="91">
        <v>4</v>
      </c>
      <c r="K1715" s="91" t="s">
        <v>498</v>
      </c>
      <c r="L1715" s="91" t="s">
        <v>58</v>
      </c>
      <c r="M1715" s="91" t="s">
        <v>1</v>
      </c>
      <c r="Q1715" s="91"/>
      <c r="S1715" s="91" t="s">
        <v>143</v>
      </c>
      <c r="T1715" s="91" t="s">
        <v>2436</v>
      </c>
      <c r="V1715" s="91" t="s">
        <v>160</v>
      </c>
      <c r="W1715" s="91" t="s">
        <v>180</v>
      </c>
    </row>
    <row r="1716" spans="1:23">
      <c r="A1716" s="93" t="str">
        <f>TEXT(tblProjectlist[[#This Row],[project-no]],"0")</f>
        <v>20513143</v>
      </c>
      <c r="H1716" s="91">
        <v>2051</v>
      </c>
      <c r="I1716" s="91">
        <v>31</v>
      </c>
      <c r="J1716" s="91">
        <v>4</v>
      </c>
      <c r="K1716" s="91" t="s">
        <v>499</v>
      </c>
      <c r="L1716" s="91" t="s">
        <v>58</v>
      </c>
      <c r="M1716" s="91" t="s">
        <v>1</v>
      </c>
      <c r="Q1716" s="91"/>
      <c r="S1716" s="91" t="s">
        <v>143</v>
      </c>
      <c r="T1716" s="91" t="s">
        <v>2437</v>
      </c>
      <c r="V1716" s="91" t="s">
        <v>164</v>
      </c>
      <c r="W1716" s="91" t="s">
        <v>180</v>
      </c>
    </row>
    <row r="1717" spans="1:23">
      <c r="A1717" s="93" t="str">
        <f>TEXT(tblProjectlist[[#This Row],[project-no]],"0")</f>
        <v>20513144</v>
      </c>
      <c r="H1717" s="91">
        <v>2051</v>
      </c>
      <c r="I1717" s="91">
        <v>31</v>
      </c>
      <c r="J1717" s="91">
        <v>4</v>
      </c>
      <c r="K1717" s="91" t="s">
        <v>500</v>
      </c>
      <c r="L1717" s="91" t="s">
        <v>58</v>
      </c>
      <c r="M1717" s="91" t="s">
        <v>1</v>
      </c>
      <c r="Q1717" s="91"/>
      <c r="S1717" s="91" t="s">
        <v>143</v>
      </c>
      <c r="T1717" s="91" t="s">
        <v>2437</v>
      </c>
      <c r="V1717" s="91" t="s">
        <v>160</v>
      </c>
      <c r="W1717" s="91" t="s">
        <v>180</v>
      </c>
    </row>
    <row r="1718" spans="1:23">
      <c r="A1718" s="93" t="str">
        <f>TEXT(tblProjectlist[[#This Row],[project-no]],"0")</f>
        <v>20513147</v>
      </c>
      <c r="H1718" s="91">
        <v>2051</v>
      </c>
      <c r="I1718" s="91">
        <v>31</v>
      </c>
      <c r="J1718" s="91">
        <v>4</v>
      </c>
      <c r="K1718" s="91" t="s">
        <v>501</v>
      </c>
      <c r="L1718" s="91" t="s">
        <v>58</v>
      </c>
      <c r="M1718" s="91" t="s">
        <v>1</v>
      </c>
      <c r="Q1718" s="91"/>
      <c r="S1718" s="91" t="s">
        <v>143</v>
      </c>
      <c r="T1718" s="91" t="s">
        <v>2437</v>
      </c>
      <c r="V1718" s="91" t="s">
        <v>162</v>
      </c>
      <c r="W1718" s="91" t="s">
        <v>180</v>
      </c>
    </row>
    <row r="1719" spans="1:23">
      <c r="A1719" s="93" t="str">
        <f>TEXT(tblProjectlist[[#This Row],[project-no]],"0")</f>
        <v>20513212</v>
      </c>
      <c r="H1719" s="91">
        <v>2051</v>
      </c>
      <c r="I1719" s="91">
        <v>32</v>
      </c>
      <c r="J1719" s="91">
        <v>1</v>
      </c>
      <c r="K1719" s="91" t="s">
        <v>502</v>
      </c>
      <c r="L1719" s="91" t="s">
        <v>2175</v>
      </c>
      <c r="M1719" s="91" t="s">
        <v>0</v>
      </c>
      <c r="Q1719" s="91"/>
      <c r="S1719" s="91" t="s">
        <v>143</v>
      </c>
      <c r="T1719" s="91" t="s">
        <v>2438</v>
      </c>
      <c r="V1719" s="91" t="s">
        <v>169</v>
      </c>
      <c r="W1719" s="91" t="s">
        <v>180</v>
      </c>
    </row>
    <row r="1720" spans="1:23">
      <c r="A1720" s="93" t="str">
        <f>TEXT(tblProjectlist[[#This Row],[project-no]],"0")</f>
        <v>20513343</v>
      </c>
      <c r="H1720" s="91">
        <v>2051</v>
      </c>
      <c r="I1720" s="91">
        <v>33</v>
      </c>
      <c r="J1720" s="91">
        <v>4</v>
      </c>
      <c r="K1720" s="91" t="s">
        <v>503</v>
      </c>
      <c r="L1720" s="91" t="s">
        <v>58</v>
      </c>
      <c r="M1720" s="91" t="s">
        <v>1</v>
      </c>
      <c r="Q1720" s="91"/>
      <c r="S1720" s="91" t="s">
        <v>143</v>
      </c>
      <c r="T1720" s="91" t="s">
        <v>2439</v>
      </c>
      <c r="V1720" s="91" t="s">
        <v>164</v>
      </c>
      <c r="W1720" s="91" t="s">
        <v>180</v>
      </c>
    </row>
    <row r="1721" spans="1:23">
      <c r="A1721" s="93" t="str">
        <f>TEXT(tblProjectlist[[#This Row],[project-no]],"0")</f>
        <v>20513447</v>
      </c>
      <c r="H1721" s="91">
        <v>2051</v>
      </c>
      <c r="I1721" s="91">
        <v>34</v>
      </c>
      <c r="J1721" s="91">
        <v>4</v>
      </c>
      <c r="K1721" s="91" t="s">
        <v>504</v>
      </c>
      <c r="L1721" s="91" t="s">
        <v>58</v>
      </c>
      <c r="M1721" s="91" t="s">
        <v>1</v>
      </c>
      <c r="Q1721" s="91"/>
      <c r="S1721" s="91" t="s">
        <v>143</v>
      </c>
      <c r="T1721" s="91" t="s">
        <v>2440</v>
      </c>
      <c r="W1721" s="91" t="s">
        <v>180</v>
      </c>
    </row>
    <row r="1722" spans="1:23">
      <c r="A1722" s="93" t="str">
        <f>TEXT(tblProjectlist[[#This Row],[project-no]],"0")</f>
        <v>20513547</v>
      </c>
      <c r="H1722" s="91">
        <v>2051</v>
      </c>
      <c r="I1722" s="91">
        <v>35</v>
      </c>
      <c r="J1722" s="91">
        <v>4</v>
      </c>
      <c r="K1722" s="91" t="s">
        <v>505</v>
      </c>
      <c r="L1722" s="91" t="s">
        <v>58</v>
      </c>
      <c r="M1722" s="91" t="s">
        <v>1</v>
      </c>
      <c r="Q1722" s="91"/>
      <c r="S1722" s="91" t="s">
        <v>143</v>
      </c>
      <c r="T1722" s="91" t="s">
        <v>2441</v>
      </c>
      <c r="W1722" s="91" t="s">
        <v>180</v>
      </c>
    </row>
    <row r="1723" spans="1:23">
      <c r="A1723" s="93" t="str">
        <f>TEXT(tblProjectlist[[#This Row],[project-no]],"0")</f>
        <v>99894543</v>
      </c>
      <c r="H1723" s="91">
        <v>2051</v>
      </c>
      <c r="I1723" s="91">
        <v>31</v>
      </c>
      <c r="J1723" s="91">
        <v>4</v>
      </c>
      <c r="K1723" s="91" t="s">
        <v>1465</v>
      </c>
      <c r="L1723" s="91" t="s">
        <v>58</v>
      </c>
      <c r="M1723" s="91" t="s">
        <v>1</v>
      </c>
      <c r="Q1723" s="91"/>
      <c r="S1723" s="91" t="s">
        <v>143</v>
      </c>
      <c r="T1723" s="91" t="s">
        <v>2437</v>
      </c>
      <c r="V1723" s="91" t="s">
        <v>164</v>
      </c>
      <c r="W1723" s="91" t="s">
        <v>180</v>
      </c>
    </row>
    <row r="1724" spans="1:23">
      <c r="A1724" s="93" t="str">
        <f>TEXT(tblProjectlist[[#This Row],[project-no]],"0")</f>
        <v>0</v>
      </c>
      <c r="H1724" s="91">
        <v>2065</v>
      </c>
      <c r="I1724" s="91">
        <v>6</v>
      </c>
      <c r="J1724" s="91">
        <v>2</v>
      </c>
      <c r="K1724" s="91"/>
      <c r="L1724" s="91" t="s">
        <v>2175</v>
      </c>
      <c r="M1724" s="91" t="s">
        <v>4</v>
      </c>
      <c r="Q1724" s="91"/>
      <c r="S1724" s="91" t="s">
        <v>143</v>
      </c>
      <c r="T1724" s="91" t="s">
        <v>4187</v>
      </c>
      <c r="V1724" s="91" t="s">
        <v>155</v>
      </c>
      <c r="W1724" s="91" t="s">
        <v>180</v>
      </c>
    </row>
    <row r="1725" spans="1:23">
      <c r="A1725" s="93" t="str">
        <f>TEXT(tblProjectlist[[#This Row],[project-no]],"0")</f>
        <v>0</v>
      </c>
      <c r="H1725" s="91">
        <v>2065</v>
      </c>
      <c r="I1725" s="91">
        <v>7</v>
      </c>
      <c r="J1725" s="91">
        <v>2</v>
      </c>
      <c r="K1725" s="91"/>
      <c r="L1725" s="91" t="s">
        <v>2175</v>
      </c>
      <c r="M1725" s="91" t="s">
        <v>4</v>
      </c>
      <c r="Q1725" s="91"/>
      <c r="S1725" s="91" t="s">
        <v>143</v>
      </c>
      <c r="T1725" s="91" t="s">
        <v>4263</v>
      </c>
      <c r="V1725" s="91" t="s">
        <v>155</v>
      </c>
      <c r="W1725" s="91" t="s">
        <v>180</v>
      </c>
    </row>
    <row r="1726" spans="1:23">
      <c r="A1726" s="93" t="str">
        <f>TEXT(tblProjectlist[[#This Row],[project-no]],"0")</f>
        <v>0</v>
      </c>
      <c r="H1726" s="91">
        <v>2129</v>
      </c>
      <c r="I1726" s="91">
        <v>2</v>
      </c>
      <c r="J1726" s="91">
        <v>1</v>
      </c>
      <c r="K1726" s="91"/>
      <c r="L1726" s="91" t="s">
        <v>2175</v>
      </c>
      <c r="M1726" s="91" t="s">
        <v>0</v>
      </c>
      <c r="Q1726" s="91"/>
      <c r="S1726" s="91" t="s">
        <v>143</v>
      </c>
      <c r="T1726" s="91" t="s">
        <v>4666</v>
      </c>
      <c r="V1726" s="91" t="s">
        <v>168</v>
      </c>
      <c r="W1726" s="91" t="s">
        <v>180</v>
      </c>
    </row>
    <row r="1727" spans="1:23">
      <c r="A1727" s="93" t="str">
        <f>TEXT(tblProjectlist[[#This Row],[project-no]],"0")</f>
        <v>0</v>
      </c>
      <c r="H1727" s="91">
        <v>9963</v>
      </c>
      <c r="I1727" s="91">
        <v>76</v>
      </c>
      <c r="J1727" s="91">
        <v>1</v>
      </c>
      <c r="K1727" s="91"/>
      <c r="L1727" s="91" t="s">
        <v>2175</v>
      </c>
      <c r="M1727" s="91" t="s">
        <v>0</v>
      </c>
      <c r="Q1727" s="91"/>
      <c r="S1727" s="91" t="s">
        <v>143</v>
      </c>
      <c r="T1727" s="91" t="s">
        <v>4247</v>
      </c>
      <c r="V1727" s="91" t="s">
        <v>167</v>
      </c>
      <c r="W1727" s="91" t="s">
        <v>180</v>
      </c>
    </row>
    <row r="1728" spans="1:23">
      <c r="A1728" s="93" t="str">
        <f>TEXT(tblProjectlist[[#This Row],[project-no]],"0")</f>
        <v>0</v>
      </c>
      <c r="H1728" s="91">
        <v>9963</v>
      </c>
      <c r="I1728" s="91">
        <v>76</v>
      </c>
      <c r="J1728" s="91">
        <v>1</v>
      </c>
      <c r="K1728" s="91"/>
      <c r="L1728" s="91" t="s">
        <v>2175</v>
      </c>
      <c r="M1728" s="91" t="s">
        <v>0</v>
      </c>
      <c r="Q1728" s="91"/>
      <c r="S1728" s="91" t="s">
        <v>143</v>
      </c>
      <c r="T1728" s="91" t="s">
        <v>4247</v>
      </c>
      <c r="V1728" s="91" t="s">
        <v>168</v>
      </c>
      <c r="W1728" s="91" t="s">
        <v>180</v>
      </c>
    </row>
    <row r="1729" spans="1:23">
      <c r="A1729" s="93" t="str">
        <f>TEXT(tblProjectlist[[#This Row],[project-no]],"0")</f>
        <v>0</v>
      </c>
      <c r="H1729" s="91">
        <v>9963</v>
      </c>
      <c r="I1729" s="91">
        <v>77</v>
      </c>
      <c r="J1729" s="91">
        <v>2</v>
      </c>
      <c r="K1729" s="91"/>
      <c r="L1729" s="91" t="s">
        <v>2175</v>
      </c>
      <c r="M1729" s="91" t="s">
        <v>4</v>
      </c>
      <c r="Q1729" s="91"/>
      <c r="S1729" s="91" t="s">
        <v>143</v>
      </c>
      <c r="T1729" s="91" t="s">
        <v>4248</v>
      </c>
      <c r="V1729" s="91" t="s">
        <v>155</v>
      </c>
      <c r="W1729" s="91" t="s">
        <v>180</v>
      </c>
    </row>
    <row r="1730" spans="1:23">
      <c r="A1730" s="93" t="str">
        <f>TEXT(tblProjectlist[[#This Row],[project-no]],"0")</f>
        <v>0</v>
      </c>
      <c r="H1730" s="91">
        <v>9963</v>
      </c>
      <c r="I1730" s="91">
        <v>78</v>
      </c>
      <c r="J1730" s="91">
        <v>1</v>
      </c>
      <c r="K1730" s="91"/>
      <c r="L1730" s="91" t="s">
        <v>2175</v>
      </c>
      <c r="M1730" s="91" t="s">
        <v>0</v>
      </c>
      <c r="Q1730" s="91"/>
      <c r="S1730" s="91" t="s">
        <v>143</v>
      </c>
      <c r="T1730" s="91" t="s">
        <v>4289</v>
      </c>
      <c r="V1730" s="91" t="s">
        <v>169</v>
      </c>
      <c r="W1730" s="91" t="s">
        <v>180</v>
      </c>
    </row>
    <row r="1731" spans="1:23">
      <c r="A1731" s="93" t="str">
        <f>TEXT(tblProjectlist[[#This Row],[project-no]],"0")</f>
        <v>0</v>
      </c>
      <c r="H1731" s="91">
        <v>9963</v>
      </c>
      <c r="I1731" s="91">
        <v>78</v>
      </c>
      <c r="J1731" s="91">
        <v>1</v>
      </c>
      <c r="K1731" s="91"/>
      <c r="L1731" s="91" t="s">
        <v>2175</v>
      </c>
      <c r="M1731" s="91" t="s">
        <v>0</v>
      </c>
      <c r="Q1731" s="91"/>
      <c r="S1731" s="91" t="s">
        <v>143</v>
      </c>
      <c r="T1731" s="91" t="s">
        <v>4289</v>
      </c>
      <c r="V1731" s="91" t="s">
        <v>167</v>
      </c>
      <c r="W1731" s="91" t="s">
        <v>180</v>
      </c>
    </row>
    <row r="1732" spans="1:23">
      <c r="A1732" s="93" t="str">
        <f>TEXT(tblProjectlist[[#This Row],[project-no]],"0")</f>
        <v>0</v>
      </c>
      <c r="H1732" s="91">
        <v>9963</v>
      </c>
      <c r="I1732" s="91">
        <v>78</v>
      </c>
      <c r="J1732" s="91">
        <v>1</v>
      </c>
      <c r="K1732" s="91"/>
      <c r="L1732" s="91" t="s">
        <v>2175</v>
      </c>
      <c r="M1732" s="91" t="s">
        <v>0</v>
      </c>
      <c r="Q1732" s="91"/>
      <c r="S1732" s="91" t="s">
        <v>143</v>
      </c>
      <c r="T1732" s="91" t="s">
        <v>4289</v>
      </c>
      <c r="V1732" s="91" t="s">
        <v>168</v>
      </c>
      <c r="W1732" s="91" t="s">
        <v>180</v>
      </c>
    </row>
    <row r="1733" spans="1:23">
      <c r="A1733" s="93" t="str">
        <f>TEXT(tblProjectlist[[#This Row],[project-no]],"0")</f>
        <v>99931311</v>
      </c>
      <c r="H1733" s="91">
        <v>9981</v>
      </c>
      <c r="I1733" s="91">
        <v>50</v>
      </c>
      <c r="J1733" s="91">
        <v>1</v>
      </c>
      <c r="K1733" s="91" t="s">
        <v>1571</v>
      </c>
      <c r="L1733" s="91" t="s">
        <v>2175</v>
      </c>
      <c r="M1733" s="91" t="s">
        <v>0</v>
      </c>
      <c r="Q1733" s="91"/>
      <c r="S1733" s="91" t="s">
        <v>143</v>
      </c>
      <c r="T1733" s="91" t="s">
        <v>3182</v>
      </c>
      <c r="V1733" s="91" t="s">
        <v>169</v>
      </c>
      <c r="W1733" s="91" t="s">
        <v>180</v>
      </c>
    </row>
    <row r="1734" spans="1:23">
      <c r="A1734" s="93" t="str">
        <f>TEXT(tblProjectlist[[#This Row],[project-no]],"0")</f>
        <v>99888411</v>
      </c>
      <c r="H1734" s="91">
        <v>9988</v>
      </c>
      <c r="I1734" s="91">
        <v>84</v>
      </c>
      <c r="J1734" s="91">
        <v>1</v>
      </c>
      <c r="K1734" s="91" t="s">
        <v>1451</v>
      </c>
      <c r="L1734" s="91" t="s">
        <v>2175</v>
      </c>
      <c r="M1734" s="91" t="s">
        <v>0</v>
      </c>
      <c r="Q1734" s="91"/>
      <c r="S1734" s="91" t="s">
        <v>143</v>
      </c>
      <c r="T1734" s="91" t="s">
        <v>3221</v>
      </c>
      <c r="V1734" s="91" t="s">
        <v>169</v>
      </c>
      <c r="W1734" s="91" t="s">
        <v>180</v>
      </c>
    </row>
    <row r="1735" spans="1:23">
      <c r="A1735" s="93" t="str">
        <f>TEXT(tblProjectlist[[#This Row],[project-no]],"0")</f>
        <v>99888413</v>
      </c>
      <c r="H1735" s="91">
        <v>9988</v>
      </c>
      <c r="I1735" s="91">
        <v>84</v>
      </c>
      <c r="J1735" s="91">
        <v>1</v>
      </c>
      <c r="K1735" s="91" t="s">
        <v>1452</v>
      </c>
      <c r="L1735" s="91" t="s">
        <v>2175</v>
      </c>
      <c r="M1735" s="91" t="s">
        <v>0</v>
      </c>
      <c r="Q1735" s="91"/>
      <c r="S1735" s="91" t="s">
        <v>143</v>
      </c>
      <c r="T1735" s="91" t="s">
        <v>3221</v>
      </c>
      <c r="V1735" s="91" t="s">
        <v>167</v>
      </c>
      <c r="W1735" s="91" t="s">
        <v>180</v>
      </c>
    </row>
    <row r="1736" spans="1:23">
      <c r="A1736" s="93" t="str">
        <f>TEXT(tblProjectlist[[#This Row],[project-no]],"0")</f>
        <v>99931611</v>
      </c>
      <c r="H1736" s="91">
        <v>9988</v>
      </c>
      <c r="I1736" s="91">
        <v>84</v>
      </c>
      <c r="J1736" s="91">
        <v>1</v>
      </c>
      <c r="K1736" s="91" t="s">
        <v>1574</v>
      </c>
      <c r="L1736" s="91" t="s">
        <v>2175</v>
      </c>
      <c r="M1736" s="91" t="s">
        <v>0</v>
      </c>
      <c r="Q1736" s="91"/>
      <c r="S1736" s="91" t="s">
        <v>143</v>
      </c>
      <c r="T1736" s="91" t="s">
        <v>3221</v>
      </c>
      <c r="V1736" s="91" t="s">
        <v>169</v>
      </c>
      <c r="W1736" s="91" t="s">
        <v>180</v>
      </c>
    </row>
    <row r="1737" spans="1:23">
      <c r="A1737" s="93" t="str">
        <f>TEXT(tblProjectlist[[#This Row],[project-no]],"0")</f>
        <v>99894011</v>
      </c>
      <c r="H1737" s="91">
        <v>9989</v>
      </c>
      <c r="I1737" s="91">
        <v>40</v>
      </c>
      <c r="J1737" s="91">
        <v>1</v>
      </c>
      <c r="K1737" s="91" t="s">
        <v>1464</v>
      </c>
      <c r="L1737" s="91" t="s">
        <v>2175</v>
      </c>
      <c r="M1737" s="91" t="s">
        <v>0</v>
      </c>
      <c r="Q1737" s="91"/>
      <c r="S1737" s="91" t="s">
        <v>143</v>
      </c>
      <c r="T1737" s="91" t="s">
        <v>3230</v>
      </c>
      <c r="V1737" s="91" t="s">
        <v>169</v>
      </c>
      <c r="W1737" s="91" t="s">
        <v>180</v>
      </c>
    </row>
    <row r="1738" spans="1:23">
      <c r="A1738" s="93" t="str">
        <f>TEXT(tblProjectlist[[#This Row],[project-no]],"0")</f>
        <v>99910913</v>
      </c>
      <c r="H1738" s="91">
        <v>9991</v>
      </c>
      <c r="I1738" s="91">
        <v>9</v>
      </c>
      <c r="J1738" s="91">
        <v>1</v>
      </c>
      <c r="K1738" s="91" t="s">
        <v>1507</v>
      </c>
      <c r="L1738" s="91" t="s">
        <v>2175</v>
      </c>
      <c r="M1738" s="91" t="s">
        <v>0</v>
      </c>
      <c r="Q1738" s="91"/>
      <c r="S1738" s="91" t="s">
        <v>143</v>
      </c>
      <c r="T1738" s="91" t="s">
        <v>3245</v>
      </c>
      <c r="V1738" s="91" t="s">
        <v>167</v>
      </c>
      <c r="W1738" s="91" t="s">
        <v>180</v>
      </c>
    </row>
    <row r="1739" spans="1:23">
      <c r="A1739" s="93" t="str">
        <f>TEXT(tblProjectlist[[#This Row],[project-no]],"0")</f>
        <v>99912613</v>
      </c>
      <c r="H1739" s="91">
        <v>9991</v>
      </c>
      <c r="I1739" s="91">
        <v>26</v>
      </c>
      <c r="J1739" s="91">
        <v>1</v>
      </c>
      <c r="K1739" s="91" t="s">
        <v>1514</v>
      </c>
      <c r="L1739" s="91" t="s">
        <v>2175</v>
      </c>
      <c r="M1739" s="91" t="s">
        <v>0</v>
      </c>
      <c r="Q1739" s="91"/>
      <c r="S1739" s="91" t="s">
        <v>143</v>
      </c>
      <c r="T1739" s="91" t="s">
        <v>3247</v>
      </c>
      <c r="V1739" s="91" t="s">
        <v>167</v>
      </c>
      <c r="W1739" s="91" t="s">
        <v>180</v>
      </c>
    </row>
    <row r="1740" spans="1:23">
      <c r="A1740" s="93" t="str">
        <f>TEXT(tblProjectlist[[#This Row],[project-no]],"0")</f>
        <v>99955913</v>
      </c>
      <c r="H1740" s="91">
        <v>9995</v>
      </c>
      <c r="I1740" s="91">
        <v>59</v>
      </c>
      <c r="J1740" s="91">
        <v>1</v>
      </c>
      <c r="K1740" s="91" t="s">
        <v>1674</v>
      </c>
      <c r="L1740" s="91" t="s">
        <v>2175</v>
      </c>
      <c r="M1740" s="91" t="s">
        <v>0</v>
      </c>
      <c r="Q1740" s="91"/>
      <c r="S1740" s="91" t="s">
        <v>143</v>
      </c>
      <c r="T1740" s="91" t="s">
        <v>3312</v>
      </c>
      <c r="V1740" s="91" t="s">
        <v>167</v>
      </c>
      <c r="W1740" s="91" t="s">
        <v>180</v>
      </c>
    </row>
    <row r="1741" spans="1:23">
      <c r="A1741" s="93" t="str">
        <f>TEXT(tblProjectlist[[#This Row],[project-no]],"0")</f>
        <v>99957516</v>
      </c>
      <c r="H1741" s="91">
        <v>9995</v>
      </c>
      <c r="I1741" s="91">
        <v>75</v>
      </c>
      <c r="J1741" s="91">
        <v>1</v>
      </c>
      <c r="K1741" s="91" t="s">
        <v>1691</v>
      </c>
      <c r="L1741" s="91" t="s">
        <v>2175</v>
      </c>
      <c r="M1741" s="91" t="s">
        <v>0</v>
      </c>
      <c r="Q1741" s="91"/>
      <c r="S1741" s="91" t="s">
        <v>143</v>
      </c>
      <c r="T1741" s="91" t="s">
        <v>3328</v>
      </c>
      <c r="V1741" s="91" t="s">
        <v>168</v>
      </c>
      <c r="W1741" s="91" t="s">
        <v>180</v>
      </c>
    </row>
    <row r="1742" spans="1:23">
      <c r="A1742" s="93" t="str">
        <f>TEXT(tblProjectlist[[#This Row],[project-no]],"0")</f>
        <v>99957913</v>
      </c>
      <c r="H1742" s="91">
        <v>9995</v>
      </c>
      <c r="I1742" s="91">
        <v>79</v>
      </c>
      <c r="J1742" s="91">
        <v>1</v>
      </c>
      <c r="K1742" s="91" t="s">
        <v>1700</v>
      </c>
      <c r="L1742" s="91" t="s">
        <v>2175</v>
      </c>
      <c r="M1742" s="91" t="s">
        <v>0</v>
      </c>
      <c r="Q1742" s="91"/>
      <c r="S1742" s="91" t="s">
        <v>143</v>
      </c>
      <c r="T1742" s="91" t="s">
        <v>3331</v>
      </c>
      <c r="V1742" s="91" t="s">
        <v>167</v>
      </c>
      <c r="W1742" s="91" t="s">
        <v>180</v>
      </c>
    </row>
    <row r="1743" spans="1:23">
      <c r="A1743" s="93" t="str">
        <f>TEXT(tblProjectlist[[#This Row],[project-no]],"0")</f>
        <v>99958113</v>
      </c>
      <c r="H1743" s="91">
        <v>9995</v>
      </c>
      <c r="I1743" s="91">
        <v>81</v>
      </c>
      <c r="J1743" s="91">
        <v>1</v>
      </c>
      <c r="K1743" s="91" t="s">
        <v>1702</v>
      </c>
      <c r="L1743" s="91" t="s">
        <v>2175</v>
      </c>
      <c r="M1743" s="91" t="s">
        <v>0</v>
      </c>
      <c r="Q1743" s="91"/>
      <c r="S1743" s="91" t="s">
        <v>143</v>
      </c>
      <c r="T1743" s="91" t="s">
        <v>3333</v>
      </c>
      <c r="V1743" s="91" t="s">
        <v>167</v>
      </c>
      <c r="W1743" s="91" t="s">
        <v>180</v>
      </c>
    </row>
    <row r="1744" spans="1:23">
      <c r="A1744" s="93" t="str">
        <f>TEXT(tblProjectlist[[#This Row],[project-no]],"0")</f>
        <v>99959011</v>
      </c>
      <c r="H1744" s="91">
        <v>9995</v>
      </c>
      <c r="I1744" s="91">
        <v>90</v>
      </c>
      <c r="J1744" s="91">
        <v>1</v>
      </c>
      <c r="K1744" s="91" t="s">
        <v>1712</v>
      </c>
      <c r="L1744" s="91" t="s">
        <v>2175</v>
      </c>
      <c r="M1744" s="91" t="s">
        <v>0</v>
      </c>
      <c r="Q1744" s="91"/>
      <c r="S1744" s="91" t="s">
        <v>143</v>
      </c>
      <c r="T1744" s="91" t="s">
        <v>3341</v>
      </c>
      <c r="V1744" s="91" t="s">
        <v>169</v>
      </c>
      <c r="W1744" s="91" t="s">
        <v>180</v>
      </c>
    </row>
    <row r="1745" spans="1:23">
      <c r="A1745" s="93" t="str">
        <f>TEXT(tblProjectlist[[#This Row],[project-no]],"0")</f>
        <v>99959013</v>
      </c>
      <c r="H1745" s="91">
        <v>9995</v>
      </c>
      <c r="I1745" s="91">
        <v>90</v>
      </c>
      <c r="J1745" s="91">
        <v>1</v>
      </c>
      <c r="K1745" s="91" t="s">
        <v>1713</v>
      </c>
      <c r="L1745" s="91" t="s">
        <v>2175</v>
      </c>
      <c r="M1745" s="91" t="s">
        <v>0</v>
      </c>
      <c r="Q1745" s="91"/>
      <c r="S1745" s="91" t="s">
        <v>143</v>
      </c>
      <c r="T1745" s="91" t="s">
        <v>3341</v>
      </c>
      <c r="V1745" s="91" t="s">
        <v>167</v>
      </c>
      <c r="W1745" s="91" t="s">
        <v>180</v>
      </c>
    </row>
    <row r="1746" spans="1:23">
      <c r="A1746" s="93" t="str">
        <f>TEXT(tblProjectlist[[#This Row],[project-no]],"0")</f>
        <v>99959111</v>
      </c>
      <c r="H1746" s="91">
        <v>9995</v>
      </c>
      <c r="I1746" s="91">
        <v>91</v>
      </c>
      <c r="J1746" s="91">
        <v>1</v>
      </c>
      <c r="K1746" s="91" t="s">
        <v>1714</v>
      </c>
      <c r="L1746" s="91" t="s">
        <v>2175</v>
      </c>
      <c r="M1746" s="91" t="s">
        <v>0</v>
      </c>
      <c r="Q1746" s="91"/>
      <c r="S1746" s="91" t="s">
        <v>143</v>
      </c>
      <c r="T1746" s="91" t="s">
        <v>3342</v>
      </c>
      <c r="V1746" s="91" t="s">
        <v>169</v>
      </c>
      <c r="W1746" s="91" t="s">
        <v>180</v>
      </c>
    </row>
    <row r="1747" spans="1:23">
      <c r="A1747" s="93" t="str">
        <f>TEXT(tblProjectlist[[#This Row],[project-no]],"0")</f>
        <v>99959113</v>
      </c>
      <c r="H1747" s="91">
        <v>9995</v>
      </c>
      <c r="I1747" s="91">
        <v>91</v>
      </c>
      <c r="J1747" s="91">
        <v>1</v>
      </c>
      <c r="K1747" s="91" t="s">
        <v>1715</v>
      </c>
      <c r="L1747" s="91" t="s">
        <v>2175</v>
      </c>
      <c r="M1747" s="91" t="s">
        <v>0</v>
      </c>
      <c r="Q1747" s="91"/>
      <c r="S1747" s="91" t="s">
        <v>143</v>
      </c>
      <c r="T1747" s="91" t="s">
        <v>3342</v>
      </c>
      <c r="V1747" s="91" t="s">
        <v>167</v>
      </c>
      <c r="W1747" s="91" t="s">
        <v>180</v>
      </c>
    </row>
    <row r="1748" spans="1:23">
      <c r="A1748" s="93" t="str">
        <f>TEXT(tblProjectlist[[#This Row],[project-no]],"0")</f>
        <v>0</v>
      </c>
      <c r="H1748" s="91">
        <v>9963</v>
      </c>
      <c r="I1748" s="91">
        <v>79</v>
      </c>
      <c r="J1748" s="91">
        <v>2</v>
      </c>
      <c r="K1748" s="91"/>
      <c r="L1748" s="91" t="s">
        <v>58</v>
      </c>
      <c r="M1748" s="91" t="s">
        <v>4</v>
      </c>
      <c r="Q1748" s="91"/>
      <c r="S1748" s="91" t="s">
        <v>143</v>
      </c>
      <c r="T1748" s="91" t="s">
        <v>4290</v>
      </c>
      <c r="V1748" s="91" t="s">
        <v>155</v>
      </c>
      <c r="W1748" s="91" t="s">
        <v>180</v>
      </c>
    </row>
    <row r="1749" spans="1:23">
      <c r="A1749" s="93" t="str">
        <f>TEXT(tblProjectlist[[#This Row],[project-no]],"0")</f>
        <v>76070228</v>
      </c>
      <c r="H1749" s="91">
        <v>7607</v>
      </c>
      <c r="I1749" s="91">
        <v>2</v>
      </c>
      <c r="J1749" s="91">
        <v>2</v>
      </c>
      <c r="K1749" s="91" t="s">
        <v>1052</v>
      </c>
      <c r="L1749" s="91" t="s">
        <v>64</v>
      </c>
      <c r="M1749" s="91" t="s">
        <v>4</v>
      </c>
      <c r="Q1749" s="91"/>
      <c r="S1749" s="91" t="s">
        <v>143</v>
      </c>
      <c r="T1749" s="91" t="s">
        <v>2919</v>
      </c>
      <c r="W1749" s="91" t="s">
        <v>180</v>
      </c>
    </row>
    <row r="1750" spans="1:23">
      <c r="A1750" s="93" t="str">
        <f>TEXT(tblProjectlist[[#This Row],[project-no]],"0")</f>
        <v>0</v>
      </c>
      <c r="H1750" s="91">
        <v>2083</v>
      </c>
      <c r="I1750" s="91">
        <v>7</v>
      </c>
      <c r="J1750" s="91">
        <v>2</v>
      </c>
      <c r="K1750" s="91"/>
      <c r="L1750" s="91" t="s">
        <v>2175</v>
      </c>
      <c r="M1750" s="91" t="s">
        <v>4</v>
      </c>
      <c r="Q1750" s="91"/>
      <c r="S1750" s="91" t="s">
        <v>143</v>
      </c>
      <c r="T1750" s="91" t="s">
        <v>3843</v>
      </c>
      <c r="V1750" s="91" t="s">
        <v>155</v>
      </c>
      <c r="W1750" s="91" t="s">
        <v>180</v>
      </c>
    </row>
    <row r="1751" spans="1:23">
      <c r="A1751" s="93" t="str">
        <f>TEXT(tblProjectlist[[#This Row],[project-no]],"0")</f>
        <v>20830628</v>
      </c>
      <c r="H1751" s="91">
        <v>2083</v>
      </c>
      <c r="I1751" s="91">
        <v>6</v>
      </c>
      <c r="J1751" s="91">
        <v>2</v>
      </c>
      <c r="K1751" s="91" t="s">
        <v>514</v>
      </c>
      <c r="L1751" s="91" t="s">
        <v>2175</v>
      </c>
      <c r="M1751" s="91" t="s">
        <v>4</v>
      </c>
      <c r="Q1751" s="91"/>
      <c r="S1751" s="91" t="s">
        <v>143</v>
      </c>
      <c r="T1751" s="91" t="s">
        <v>2450</v>
      </c>
      <c r="V1751" s="91" t="s">
        <v>155</v>
      </c>
      <c r="W1751" s="91" t="s">
        <v>180</v>
      </c>
    </row>
    <row r="1752" spans="1:23">
      <c r="A1752" s="93" t="str">
        <f>TEXT(tblProjectlist[[#This Row],[project-no]],"0")</f>
        <v>21250328</v>
      </c>
      <c r="H1752" s="91">
        <v>2125</v>
      </c>
      <c r="I1752" s="91">
        <v>3</v>
      </c>
      <c r="J1752" s="91">
        <v>2</v>
      </c>
      <c r="K1752" s="91" t="s">
        <v>537</v>
      </c>
      <c r="L1752" s="91" t="s">
        <v>2175</v>
      </c>
      <c r="M1752" s="91" t="s">
        <v>4</v>
      </c>
      <c r="Q1752" s="91"/>
      <c r="S1752" s="91" t="s">
        <v>143</v>
      </c>
      <c r="T1752" s="91" t="s">
        <v>2466</v>
      </c>
      <c r="V1752" s="91" t="s">
        <v>155</v>
      </c>
      <c r="W1752" s="91" t="s">
        <v>180</v>
      </c>
    </row>
    <row r="1753" spans="1:23">
      <c r="A1753" s="93" t="str">
        <f>TEXT(tblProjectlist[[#This Row],[project-no]],"0")</f>
        <v>21250428</v>
      </c>
      <c r="H1753" s="91">
        <v>2125</v>
      </c>
      <c r="I1753" s="91">
        <v>4</v>
      </c>
      <c r="J1753" s="91">
        <v>2</v>
      </c>
      <c r="K1753" s="91" t="s">
        <v>538</v>
      </c>
      <c r="L1753" s="91" t="s">
        <v>2175</v>
      </c>
      <c r="M1753" s="91" t="s">
        <v>4</v>
      </c>
      <c r="Q1753" s="91"/>
      <c r="S1753" s="91" t="s">
        <v>143</v>
      </c>
      <c r="T1753" s="91" t="s">
        <v>2467</v>
      </c>
      <c r="V1753" s="91" t="s">
        <v>155</v>
      </c>
      <c r="W1753" s="91" t="s">
        <v>180</v>
      </c>
    </row>
    <row r="1754" spans="1:23">
      <c r="A1754" s="93" t="str">
        <f>TEXT(tblProjectlist[[#This Row],[project-no]],"0")</f>
        <v>21250528</v>
      </c>
      <c r="H1754" s="91">
        <v>2125</v>
      </c>
      <c r="I1754" s="91">
        <v>5</v>
      </c>
      <c r="J1754" s="91">
        <v>2</v>
      </c>
      <c r="K1754" s="91" t="s">
        <v>539</v>
      </c>
      <c r="L1754" s="91" t="s">
        <v>2175</v>
      </c>
      <c r="M1754" s="91" t="s">
        <v>4</v>
      </c>
      <c r="Q1754" s="91"/>
      <c r="S1754" s="91" t="s">
        <v>143</v>
      </c>
      <c r="T1754" s="91" t="s">
        <v>2468</v>
      </c>
      <c r="V1754" s="91" t="s">
        <v>155</v>
      </c>
      <c r="W1754" s="91" t="s">
        <v>180</v>
      </c>
    </row>
    <row r="1755" spans="1:23">
      <c r="A1755" s="93" t="str">
        <f>TEXT(tblProjectlist[[#This Row],[project-no]],"0")</f>
        <v>21250628</v>
      </c>
      <c r="H1755" s="91">
        <v>2125</v>
      </c>
      <c r="I1755" s="91">
        <v>6</v>
      </c>
      <c r="J1755" s="91">
        <v>2</v>
      </c>
      <c r="K1755" s="91" t="s">
        <v>540</v>
      </c>
      <c r="L1755" s="91" t="s">
        <v>2175</v>
      </c>
      <c r="M1755" s="91" t="s">
        <v>4</v>
      </c>
      <c r="Q1755" s="91"/>
      <c r="S1755" s="91" t="s">
        <v>143</v>
      </c>
      <c r="T1755" s="91" t="s">
        <v>2469</v>
      </c>
      <c r="V1755" s="91" t="s">
        <v>155</v>
      </c>
      <c r="W1755" s="91" t="s">
        <v>180</v>
      </c>
    </row>
    <row r="1756" spans="1:23">
      <c r="A1756" s="93" t="str">
        <f>TEXT(tblProjectlist[[#This Row],[project-no]],"0")</f>
        <v>21250728</v>
      </c>
      <c r="H1756" s="91">
        <v>2125</v>
      </c>
      <c r="I1756" s="91">
        <v>7</v>
      </c>
      <c r="J1756" s="91">
        <v>2</v>
      </c>
      <c r="K1756" s="91" t="s">
        <v>541</v>
      </c>
      <c r="L1756" s="91" t="s">
        <v>2175</v>
      </c>
      <c r="M1756" s="91" t="s">
        <v>4</v>
      </c>
      <c r="Q1756" s="91"/>
      <c r="S1756" s="91" t="s">
        <v>143</v>
      </c>
      <c r="T1756" s="91" t="s">
        <v>2470</v>
      </c>
      <c r="V1756" s="91" t="s">
        <v>155</v>
      </c>
      <c r="W1756" s="91" t="s">
        <v>180</v>
      </c>
    </row>
    <row r="1757" spans="1:23">
      <c r="A1757" s="93" t="str">
        <f>TEXT(tblProjectlist[[#This Row],[project-no]],"0")</f>
        <v>21250828</v>
      </c>
      <c r="H1757" s="91">
        <v>2125</v>
      </c>
      <c r="I1757" s="91">
        <v>8</v>
      </c>
      <c r="J1757" s="91">
        <v>2</v>
      </c>
      <c r="K1757" s="91" t="s">
        <v>542</v>
      </c>
      <c r="L1757" s="91" t="s">
        <v>2175</v>
      </c>
      <c r="M1757" s="91" t="s">
        <v>4</v>
      </c>
      <c r="Q1757" s="91"/>
      <c r="S1757" s="91" t="s">
        <v>143</v>
      </c>
      <c r="T1757" s="91" t="s">
        <v>2471</v>
      </c>
      <c r="V1757" s="91" t="s">
        <v>155</v>
      </c>
      <c r="W1757" s="91" t="s">
        <v>180</v>
      </c>
    </row>
    <row r="1758" spans="1:23">
      <c r="A1758" s="93" t="str">
        <f>TEXT(tblProjectlist[[#This Row],[project-no]],"0")</f>
        <v>21250928</v>
      </c>
      <c r="H1758" s="91">
        <v>2125</v>
      </c>
      <c r="I1758" s="91">
        <v>9</v>
      </c>
      <c r="J1758" s="91">
        <v>2</v>
      </c>
      <c r="K1758" s="91" t="s">
        <v>543</v>
      </c>
      <c r="L1758" s="91" t="s">
        <v>2175</v>
      </c>
      <c r="M1758" s="91" t="s">
        <v>4</v>
      </c>
      <c r="Q1758" s="91"/>
      <c r="S1758" s="91" t="s">
        <v>143</v>
      </c>
      <c r="T1758" s="91" t="s">
        <v>2472</v>
      </c>
      <c r="V1758" s="91" t="s">
        <v>155</v>
      </c>
      <c r="W1758" s="91" t="s">
        <v>180</v>
      </c>
    </row>
    <row r="1759" spans="1:23">
      <c r="A1759" s="93" t="str">
        <f>TEXT(tblProjectlist[[#This Row],[project-no]],"0")</f>
        <v>0</v>
      </c>
      <c r="H1759" s="91">
        <v>3016</v>
      </c>
      <c r="I1759" s="91">
        <v>13</v>
      </c>
      <c r="J1759" s="91">
        <v>2</v>
      </c>
      <c r="K1759" s="91"/>
      <c r="L1759" s="91" t="s">
        <v>2175</v>
      </c>
      <c r="M1759" s="91" t="s">
        <v>4</v>
      </c>
      <c r="Q1759" s="91"/>
      <c r="S1759" s="91" t="s">
        <v>143</v>
      </c>
      <c r="T1759" s="91" t="s">
        <v>3850</v>
      </c>
      <c r="V1759" s="91" t="s">
        <v>155</v>
      </c>
      <c r="W1759" s="91" t="s">
        <v>180</v>
      </c>
    </row>
    <row r="1760" spans="1:23">
      <c r="A1760" s="93" t="str">
        <f>TEXT(tblProjectlist[[#This Row],[project-no]],"0")</f>
        <v>0</v>
      </c>
      <c r="H1760" s="91">
        <v>3016</v>
      </c>
      <c r="I1760" s="91">
        <v>14</v>
      </c>
      <c r="J1760" s="91">
        <v>2</v>
      </c>
      <c r="K1760" s="91"/>
      <c r="L1760" s="91" t="s">
        <v>2175</v>
      </c>
      <c r="M1760" s="91" t="s">
        <v>4</v>
      </c>
      <c r="Q1760" s="91"/>
      <c r="S1760" s="91" t="s">
        <v>143</v>
      </c>
      <c r="T1760" s="91" t="s">
        <v>3916</v>
      </c>
      <c r="V1760" s="91" t="s">
        <v>155</v>
      </c>
      <c r="W1760" s="91" t="s">
        <v>180</v>
      </c>
    </row>
    <row r="1761" spans="1:23">
      <c r="A1761" s="93" t="str">
        <f>TEXT(tblProjectlist[[#This Row],[project-no]],"0")</f>
        <v>30161228</v>
      </c>
      <c r="H1761" s="91">
        <v>3016</v>
      </c>
      <c r="I1761" s="91">
        <v>12</v>
      </c>
      <c r="J1761" s="91">
        <v>2</v>
      </c>
      <c r="K1761" s="91" t="s">
        <v>627</v>
      </c>
      <c r="L1761" s="91" t="s">
        <v>2175</v>
      </c>
      <c r="M1761" s="91" t="s">
        <v>4</v>
      </c>
      <c r="Q1761" s="91"/>
      <c r="S1761" s="91" t="s">
        <v>143</v>
      </c>
      <c r="T1761" s="91" t="s">
        <v>2537</v>
      </c>
      <c r="V1761" s="91" t="s">
        <v>155</v>
      </c>
      <c r="W1761" s="91" t="s">
        <v>180</v>
      </c>
    </row>
    <row r="1762" spans="1:23">
      <c r="A1762" s="93" t="str">
        <f>TEXT(tblProjectlist[[#This Row],[project-no]],"0")</f>
        <v>78023928</v>
      </c>
      <c r="H1762" s="91">
        <v>7802</v>
      </c>
      <c r="I1762" s="91">
        <v>39</v>
      </c>
      <c r="J1762" s="91">
        <v>2</v>
      </c>
      <c r="K1762" s="91" t="s">
        <v>1119</v>
      </c>
      <c r="L1762" s="91" t="s">
        <v>2175</v>
      </c>
      <c r="M1762" s="91" t="s">
        <v>4</v>
      </c>
      <c r="Q1762" s="91"/>
      <c r="S1762" s="91" t="s">
        <v>143</v>
      </c>
      <c r="T1762" s="91" t="s">
        <v>2985</v>
      </c>
      <c r="V1762" s="91" t="s">
        <v>155</v>
      </c>
      <c r="W1762" s="91" t="s">
        <v>180</v>
      </c>
    </row>
    <row r="1763" spans="1:23">
      <c r="A1763" s="93" t="str">
        <f>TEXT(tblProjectlist[[#This Row],[project-no]],"0")</f>
        <v>0</v>
      </c>
      <c r="H1763" s="91">
        <v>7694</v>
      </c>
      <c r="I1763" s="91">
        <v>2</v>
      </c>
      <c r="J1763" s="91">
        <v>2</v>
      </c>
      <c r="K1763" s="91"/>
      <c r="L1763" s="91" t="s">
        <v>2175</v>
      </c>
      <c r="M1763" s="91" t="s">
        <v>4</v>
      </c>
      <c r="Q1763" s="91"/>
      <c r="S1763" s="91" t="s">
        <v>143</v>
      </c>
      <c r="T1763" s="91" t="s">
        <v>4589</v>
      </c>
      <c r="V1763" s="91" t="s">
        <v>155</v>
      </c>
      <c r="W1763" s="91" t="s">
        <v>180</v>
      </c>
    </row>
    <row r="1764" spans="1:23">
      <c r="A1764" s="93" t="str">
        <f>TEXT(tblProjectlist[[#This Row],[project-no]],"0")</f>
        <v>0</v>
      </c>
      <c r="H1764" s="91">
        <v>7625</v>
      </c>
      <c r="I1764" s="91">
        <v>2</v>
      </c>
      <c r="J1764" s="91">
        <v>2</v>
      </c>
      <c r="K1764" s="91"/>
      <c r="L1764" s="91" t="s">
        <v>2175</v>
      </c>
      <c r="M1764" s="91" t="s">
        <v>4</v>
      </c>
      <c r="Q1764" s="91"/>
      <c r="S1764" s="91" t="s">
        <v>143</v>
      </c>
      <c r="T1764" s="91" t="s">
        <v>3594</v>
      </c>
      <c r="V1764" s="91" t="s">
        <v>155</v>
      </c>
      <c r="W1764" s="91" t="s">
        <v>180</v>
      </c>
    </row>
    <row r="1765" spans="1:23">
      <c r="A1765" s="93" t="str">
        <f>TEXT(tblProjectlist[[#This Row],[project-no]],"0")</f>
        <v>0</v>
      </c>
      <c r="H1765" s="91">
        <v>2042</v>
      </c>
      <c r="I1765" s="91">
        <v>2</v>
      </c>
      <c r="J1765" s="91">
        <v>2</v>
      </c>
      <c r="K1765" s="91"/>
      <c r="L1765" s="91" t="s">
        <v>64</v>
      </c>
      <c r="M1765" s="91" t="s">
        <v>4</v>
      </c>
      <c r="Q1765" s="91"/>
      <c r="S1765" s="91" t="s">
        <v>143</v>
      </c>
      <c r="T1765" s="91" t="s">
        <v>3767</v>
      </c>
      <c r="V1765" s="91" t="s">
        <v>155</v>
      </c>
      <c r="W1765" s="91" t="s">
        <v>180</v>
      </c>
    </row>
    <row r="1766" spans="1:23">
      <c r="A1766" s="93" t="str">
        <f>TEXT(tblProjectlist[[#This Row],[project-no]],"0")</f>
        <v>0</v>
      </c>
      <c r="H1766" s="91">
        <v>2042</v>
      </c>
      <c r="I1766" s="91">
        <v>3</v>
      </c>
      <c r="J1766" s="91">
        <v>2</v>
      </c>
      <c r="K1766" s="91"/>
      <c r="L1766" s="91" t="s">
        <v>64</v>
      </c>
      <c r="M1766" s="91" t="s">
        <v>4</v>
      </c>
      <c r="Q1766" s="91"/>
      <c r="S1766" s="91" t="s">
        <v>143</v>
      </c>
      <c r="T1766" s="91" t="s">
        <v>3884</v>
      </c>
      <c r="V1766" s="91" t="s">
        <v>155</v>
      </c>
      <c r="W1766" s="91" t="s">
        <v>180</v>
      </c>
    </row>
    <row r="1767" spans="1:23">
      <c r="A1767" s="93" t="str">
        <f>TEXT(tblProjectlist[[#This Row],[project-no]],"0")</f>
        <v>21910128</v>
      </c>
      <c r="H1767" s="91">
        <v>2191</v>
      </c>
      <c r="I1767" s="91">
        <v>1</v>
      </c>
      <c r="J1767" s="91">
        <v>2</v>
      </c>
      <c r="K1767" s="91" t="s">
        <v>4552</v>
      </c>
      <c r="L1767" s="91" t="s">
        <v>2175</v>
      </c>
      <c r="M1767" s="91" t="s">
        <v>4</v>
      </c>
      <c r="Q1767" s="91"/>
      <c r="S1767" s="91" t="s">
        <v>143</v>
      </c>
      <c r="T1767" s="91" t="s">
        <v>4570</v>
      </c>
      <c r="V1767" s="91" t="s">
        <v>155</v>
      </c>
      <c r="W1767" s="91" t="s">
        <v>180</v>
      </c>
    </row>
    <row r="1768" spans="1:23">
      <c r="A1768" s="93" t="str">
        <f>TEXT(tblProjectlist[[#This Row],[project-no]],"0")</f>
        <v>70450328</v>
      </c>
      <c r="H1768" s="91">
        <v>7045</v>
      </c>
      <c r="I1768" s="91">
        <v>3</v>
      </c>
      <c r="J1768" s="91">
        <v>2</v>
      </c>
      <c r="K1768" s="91" t="s">
        <v>958</v>
      </c>
      <c r="L1768" s="91" t="s">
        <v>62</v>
      </c>
      <c r="M1768" s="91" t="s">
        <v>4</v>
      </c>
      <c r="Q1768" s="91"/>
      <c r="S1768" s="91" t="s">
        <v>143</v>
      </c>
      <c r="T1768" s="91" t="s">
        <v>2830</v>
      </c>
      <c r="V1768" s="91" t="s">
        <v>155</v>
      </c>
      <c r="W1768" s="91" t="s">
        <v>180</v>
      </c>
    </row>
    <row r="1769" spans="1:23">
      <c r="A1769" s="93" t="str">
        <f>TEXT(tblProjectlist[[#This Row],[project-no]],"0")</f>
        <v>70450528</v>
      </c>
      <c r="H1769" s="91">
        <v>7045</v>
      </c>
      <c r="I1769" s="91">
        <v>5</v>
      </c>
      <c r="J1769" s="91">
        <v>2</v>
      </c>
      <c r="K1769" s="91" t="s">
        <v>959</v>
      </c>
      <c r="L1769" s="91" t="s">
        <v>62</v>
      </c>
      <c r="M1769" s="91" t="s">
        <v>4</v>
      </c>
      <c r="Q1769" s="91"/>
      <c r="S1769" s="91" t="s">
        <v>143</v>
      </c>
      <c r="T1769" s="91" t="s">
        <v>2831</v>
      </c>
      <c r="V1769" s="91" t="s">
        <v>155</v>
      </c>
      <c r="W1769" s="91" t="s">
        <v>180</v>
      </c>
    </row>
    <row r="1770" spans="1:23">
      <c r="A1770" s="93" t="str">
        <f>TEXT(tblProjectlist[[#This Row],[project-no]],"0")</f>
        <v>70450628</v>
      </c>
      <c r="H1770" s="91">
        <v>7045</v>
      </c>
      <c r="I1770" s="91">
        <v>6</v>
      </c>
      <c r="J1770" s="91">
        <v>2</v>
      </c>
      <c r="K1770" s="91" t="s">
        <v>960</v>
      </c>
      <c r="L1770" s="91" t="s">
        <v>62</v>
      </c>
      <c r="M1770" s="91" t="s">
        <v>4</v>
      </c>
      <c r="Q1770" s="91"/>
      <c r="S1770" s="91" t="s">
        <v>143</v>
      </c>
      <c r="T1770" s="91" t="s">
        <v>2832</v>
      </c>
      <c r="W1770" s="91" t="s">
        <v>180</v>
      </c>
    </row>
    <row r="1771" spans="1:23">
      <c r="A1771" s="93" t="str">
        <f>TEXT(tblProjectlist[[#This Row],[project-no]],"0")</f>
        <v>0</v>
      </c>
      <c r="H1771" s="91">
        <v>7045</v>
      </c>
      <c r="I1771" s="91">
        <v>7</v>
      </c>
      <c r="J1771" s="91">
        <v>2</v>
      </c>
      <c r="K1771" s="91"/>
      <c r="L1771" s="91" t="s">
        <v>62</v>
      </c>
      <c r="M1771" s="91" t="s">
        <v>4</v>
      </c>
      <c r="Q1771" s="91"/>
      <c r="S1771" s="91" t="s">
        <v>143</v>
      </c>
      <c r="T1771" s="91" t="s">
        <v>4090</v>
      </c>
      <c r="V1771" s="91" t="s">
        <v>155</v>
      </c>
      <c r="W1771" s="91" t="s">
        <v>180</v>
      </c>
    </row>
    <row r="1772" spans="1:23">
      <c r="A1772" s="93" t="str">
        <f>TEXT(tblProjectlist[[#This Row],[project-no]],"0")</f>
        <v>0</v>
      </c>
      <c r="H1772" s="91">
        <v>3161</v>
      </c>
      <c r="I1772" s="91">
        <v>2</v>
      </c>
      <c r="J1772" s="91">
        <v>2</v>
      </c>
      <c r="K1772" s="91"/>
      <c r="L1772" s="91" t="s">
        <v>64</v>
      </c>
      <c r="M1772" s="91" t="s">
        <v>4</v>
      </c>
      <c r="Q1772" s="91"/>
      <c r="S1772" s="91" t="s">
        <v>143</v>
      </c>
      <c r="T1772" s="91" t="s">
        <v>4116</v>
      </c>
      <c r="V1772" s="91" t="s">
        <v>155</v>
      </c>
      <c r="W1772" s="91" t="s">
        <v>180</v>
      </c>
    </row>
    <row r="1773" spans="1:23">
      <c r="A1773" s="93" t="str">
        <f>TEXT(tblProjectlist[[#This Row],[project-no]],"0")</f>
        <v>21912211</v>
      </c>
      <c r="H1773" s="91">
        <v>2191</v>
      </c>
      <c r="I1773" s="91">
        <v>21</v>
      </c>
      <c r="J1773" s="91">
        <v>1</v>
      </c>
      <c r="K1773" s="91">
        <v>21912211</v>
      </c>
      <c r="L1773" s="91" t="s">
        <v>2175</v>
      </c>
      <c r="M1773" s="91" t="s">
        <v>0</v>
      </c>
      <c r="Q1773" s="91"/>
      <c r="S1773" s="91" t="s">
        <v>143</v>
      </c>
      <c r="T1773" s="91" t="s">
        <v>3912</v>
      </c>
      <c r="V1773" s="91" t="s">
        <v>169</v>
      </c>
      <c r="W1773" s="91" t="s">
        <v>180</v>
      </c>
    </row>
    <row r="1774" spans="1:23">
      <c r="A1774" s="93" t="str">
        <f>TEXT(tblProjectlist[[#This Row],[project-no]],"0")</f>
        <v>21912116</v>
      </c>
      <c r="H1774" s="91">
        <v>2191</v>
      </c>
      <c r="I1774" s="91">
        <v>21</v>
      </c>
      <c r="J1774" s="91">
        <v>1</v>
      </c>
      <c r="K1774" s="91">
        <v>21912116</v>
      </c>
      <c r="L1774" s="91" t="s">
        <v>2175</v>
      </c>
      <c r="M1774" s="91" t="s">
        <v>0</v>
      </c>
      <c r="Q1774" s="91"/>
      <c r="S1774" s="91" t="s">
        <v>143</v>
      </c>
      <c r="T1774" s="91" t="s">
        <v>3912</v>
      </c>
      <c r="V1774" s="91" t="s">
        <v>168</v>
      </c>
      <c r="W1774" s="91" t="s">
        <v>180</v>
      </c>
    </row>
    <row r="1775" spans="1:23">
      <c r="A1775" s="93" t="str">
        <f>TEXT(tblProjectlist[[#This Row],[project-no]],"0")</f>
        <v>76190428</v>
      </c>
      <c r="H1775" s="91">
        <v>7619</v>
      </c>
      <c r="I1775" s="91">
        <v>4</v>
      </c>
      <c r="J1775" s="91">
        <v>2</v>
      </c>
      <c r="K1775" s="91" t="s">
        <v>1063</v>
      </c>
      <c r="L1775" s="91" t="s">
        <v>2175</v>
      </c>
      <c r="M1775" s="91" t="s">
        <v>4</v>
      </c>
      <c r="Q1775" s="91"/>
      <c r="S1775" s="91" t="s">
        <v>143</v>
      </c>
      <c r="T1775" s="91" t="s">
        <v>2929</v>
      </c>
      <c r="V1775" s="91" t="s">
        <v>155</v>
      </c>
      <c r="W1775" s="91" t="s">
        <v>180</v>
      </c>
    </row>
    <row r="1776" spans="1:23">
      <c r="A1776" s="93" t="str">
        <f>TEXT(tblProjectlist[[#This Row],[project-no]],"0")</f>
        <v>0</v>
      </c>
      <c r="H1776" s="91">
        <v>2114</v>
      </c>
      <c r="I1776" s="91">
        <v>7</v>
      </c>
      <c r="J1776" s="91">
        <v>2</v>
      </c>
      <c r="K1776" s="91"/>
      <c r="L1776" s="91" t="s">
        <v>2175</v>
      </c>
      <c r="M1776" s="91" t="s">
        <v>4</v>
      </c>
      <c r="Q1776" s="91"/>
      <c r="S1776" s="91" t="s">
        <v>143</v>
      </c>
      <c r="T1776" s="91" t="s">
        <v>3844</v>
      </c>
      <c r="V1776" s="91" t="s">
        <v>155</v>
      </c>
      <c r="W1776" s="91" t="s">
        <v>180</v>
      </c>
    </row>
    <row r="1777" spans="1:23">
      <c r="A1777" s="93" t="str">
        <f>TEXT(tblProjectlist[[#This Row],[project-no]],"0")</f>
        <v>0</v>
      </c>
      <c r="H1777" s="91">
        <v>2114</v>
      </c>
      <c r="I1777" s="91">
        <v>8</v>
      </c>
      <c r="J1777" s="91">
        <v>2</v>
      </c>
      <c r="K1777" s="91"/>
      <c r="L1777" s="91" t="s">
        <v>2175</v>
      </c>
      <c r="M1777" s="91" t="s">
        <v>4</v>
      </c>
      <c r="Q1777" s="91"/>
      <c r="S1777" s="91" t="s">
        <v>143</v>
      </c>
      <c r="T1777" s="91" t="s">
        <v>3990</v>
      </c>
      <c r="V1777" s="91" t="s">
        <v>155</v>
      </c>
      <c r="W1777" s="91" t="s">
        <v>180</v>
      </c>
    </row>
    <row r="1778" spans="1:23">
      <c r="A1778" s="93" t="str">
        <f>TEXT(tblProjectlist[[#This Row],[project-no]],"0")</f>
        <v>0</v>
      </c>
      <c r="H1778" s="91">
        <v>2114</v>
      </c>
      <c r="I1778" s="91">
        <v>9</v>
      </c>
      <c r="J1778" s="91">
        <v>2</v>
      </c>
      <c r="K1778" s="91"/>
      <c r="L1778" s="91" t="s">
        <v>2175</v>
      </c>
      <c r="M1778" s="91" t="s">
        <v>4</v>
      </c>
      <c r="Q1778" s="91"/>
      <c r="S1778" s="91" t="s">
        <v>143</v>
      </c>
      <c r="T1778" s="91" t="s">
        <v>4026</v>
      </c>
      <c r="V1778" s="91" t="s">
        <v>155</v>
      </c>
      <c r="W1778" s="91" t="s">
        <v>180</v>
      </c>
    </row>
    <row r="1779" spans="1:23">
      <c r="A1779" s="93" t="str">
        <f>TEXT(tblProjectlist[[#This Row],[project-no]],"0")</f>
        <v>0</v>
      </c>
      <c r="H1779" s="91">
        <v>2114</v>
      </c>
      <c r="I1779" s="91">
        <v>11</v>
      </c>
      <c r="J1779" s="91">
        <v>2</v>
      </c>
      <c r="K1779" s="91"/>
      <c r="L1779" s="91" t="s">
        <v>2175</v>
      </c>
      <c r="M1779" s="91" t="s">
        <v>4</v>
      </c>
      <c r="Q1779" s="91"/>
      <c r="S1779" s="91" t="s">
        <v>143</v>
      </c>
      <c r="T1779" s="91" t="s">
        <v>4226</v>
      </c>
      <c r="V1779" s="91" t="s">
        <v>155</v>
      </c>
      <c r="W1779" s="91" t="s">
        <v>180</v>
      </c>
    </row>
    <row r="1780" spans="1:23">
      <c r="A1780" s="93" t="str">
        <f>TEXT(tblProjectlist[[#This Row],[project-no]],"0")</f>
        <v>0</v>
      </c>
      <c r="H1780" s="91">
        <v>2114</v>
      </c>
      <c r="I1780" s="91">
        <v>12</v>
      </c>
      <c r="J1780" s="91">
        <v>2</v>
      </c>
      <c r="K1780" s="91"/>
      <c r="L1780" s="91" t="s">
        <v>2175</v>
      </c>
      <c r="M1780" s="91" t="s">
        <v>4</v>
      </c>
      <c r="Q1780" s="91"/>
      <c r="S1780" s="91" t="s">
        <v>143</v>
      </c>
      <c r="T1780" s="91" t="s">
        <v>4266</v>
      </c>
      <c r="V1780" s="91" t="s">
        <v>155</v>
      </c>
      <c r="W1780" s="91" t="s">
        <v>180</v>
      </c>
    </row>
    <row r="1781" spans="1:23">
      <c r="A1781" s="93" t="str">
        <f>TEXT(tblProjectlist[[#This Row],[project-no]],"0")</f>
        <v>21140628</v>
      </c>
      <c r="H1781" s="91">
        <v>2114</v>
      </c>
      <c r="I1781" s="91">
        <v>6</v>
      </c>
      <c r="J1781" s="91">
        <v>2</v>
      </c>
      <c r="K1781" s="91" t="s">
        <v>528</v>
      </c>
      <c r="L1781" s="91" t="s">
        <v>2175</v>
      </c>
      <c r="M1781" s="91" t="s">
        <v>4</v>
      </c>
      <c r="Q1781" s="91"/>
      <c r="S1781" s="91" t="s">
        <v>143</v>
      </c>
      <c r="T1781" s="91" t="s">
        <v>2461</v>
      </c>
      <c r="V1781" s="91" t="s">
        <v>155</v>
      </c>
      <c r="W1781" s="91" t="s">
        <v>180</v>
      </c>
    </row>
    <row r="1782" spans="1:23">
      <c r="A1782" s="93" t="str">
        <f>TEXT(tblProjectlist[[#This Row],[project-no]],"0")</f>
        <v>0</v>
      </c>
      <c r="H1782" s="91">
        <v>2114</v>
      </c>
      <c r="I1782" s="91">
        <v>10</v>
      </c>
      <c r="J1782" s="91">
        <v>2</v>
      </c>
      <c r="K1782" s="91"/>
      <c r="L1782" s="91" t="s">
        <v>2175</v>
      </c>
      <c r="M1782" s="91" t="s">
        <v>4</v>
      </c>
      <c r="Q1782" s="91"/>
      <c r="S1782" s="91" t="s">
        <v>143</v>
      </c>
      <c r="T1782" s="91" t="s">
        <v>4068</v>
      </c>
      <c r="V1782" s="91" t="s">
        <v>155</v>
      </c>
      <c r="W1782" s="91" t="s">
        <v>180</v>
      </c>
    </row>
    <row r="1783" spans="1:23">
      <c r="A1783" s="93" t="str">
        <f>TEXT(tblProjectlist[[#This Row],[project-no]],"0")</f>
        <v>0</v>
      </c>
      <c r="H1783" s="91">
        <v>2144</v>
      </c>
      <c r="I1783" s="91">
        <v>11</v>
      </c>
      <c r="J1783" s="91">
        <v>2</v>
      </c>
      <c r="K1783" s="91"/>
      <c r="L1783" s="91" t="s">
        <v>2175</v>
      </c>
      <c r="M1783" s="91" t="s">
        <v>4</v>
      </c>
      <c r="Q1783" s="91"/>
      <c r="S1783" s="91" t="s">
        <v>143</v>
      </c>
      <c r="T1783" s="91" t="s">
        <v>4624</v>
      </c>
      <c r="V1783" s="91" t="s">
        <v>155</v>
      </c>
      <c r="W1783" s="91" t="s">
        <v>180</v>
      </c>
    </row>
    <row r="1784" spans="1:23">
      <c r="A1784" s="93" t="str">
        <f>TEXT(tblProjectlist[[#This Row],[project-no]],"0")</f>
        <v>66192447</v>
      </c>
      <c r="H1784" s="91">
        <v>6619</v>
      </c>
      <c r="I1784" s="91">
        <v>24</v>
      </c>
      <c r="J1784" s="91">
        <v>4</v>
      </c>
      <c r="K1784" s="91" t="s">
        <v>897</v>
      </c>
      <c r="L1784" s="91" t="s">
        <v>58</v>
      </c>
      <c r="M1784" s="91" t="s">
        <v>1</v>
      </c>
      <c r="Q1784" s="91"/>
      <c r="S1784" s="91" t="s">
        <v>143</v>
      </c>
      <c r="T1784" s="91" t="s">
        <v>2772</v>
      </c>
      <c r="V1784" s="91" t="s">
        <v>162</v>
      </c>
      <c r="W1784" s="91" t="s">
        <v>180</v>
      </c>
    </row>
    <row r="1785" spans="1:23">
      <c r="A1785" s="93" t="str">
        <f>TEXT(tblProjectlist[[#This Row],[project-no]],"0")</f>
        <v>66192547</v>
      </c>
      <c r="H1785" s="91">
        <v>6619</v>
      </c>
      <c r="I1785" s="91">
        <v>25</v>
      </c>
      <c r="J1785" s="91">
        <v>4</v>
      </c>
      <c r="K1785" s="91" t="s">
        <v>898</v>
      </c>
      <c r="L1785" s="91" t="s">
        <v>58</v>
      </c>
      <c r="M1785" s="91" t="s">
        <v>1</v>
      </c>
      <c r="Q1785" s="91"/>
      <c r="S1785" s="91" t="s">
        <v>143</v>
      </c>
      <c r="T1785" s="91" t="s">
        <v>2773</v>
      </c>
      <c r="V1785" s="91" t="s">
        <v>162</v>
      </c>
      <c r="W1785" s="91" t="s">
        <v>180</v>
      </c>
    </row>
    <row r="1786" spans="1:23">
      <c r="A1786" s="93" t="str">
        <f>TEXT(tblProjectlist[[#This Row],[project-no]],"0")</f>
        <v>66192847</v>
      </c>
      <c r="H1786" s="91">
        <v>6619</v>
      </c>
      <c r="I1786" s="91">
        <v>28</v>
      </c>
      <c r="J1786" s="91">
        <v>4</v>
      </c>
      <c r="K1786" s="91" t="s">
        <v>899</v>
      </c>
      <c r="L1786" s="91" t="s">
        <v>58</v>
      </c>
      <c r="M1786" s="91" t="s">
        <v>1</v>
      </c>
      <c r="Q1786" s="91"/>
      <c r="S1786" s="91" t="s">
        <v>143</v>
      </c>
      <c r="T1786" s="91" t="s">
        <v>2774</v>
      </c>
      <c r="V1786" s="91" t="s">
        <v>162</v>
      </c>
      <c r="W1786" s="91" t="s">
        <v>180</v>
      </c>
    </row>
    <row r="1787" spans="1:23">
      <c r="A1787" s="93" t="str">
        <f>TEXT(tblProjectlist[[#This Row],[project-no]],"0")</f>
        <v>66192928</v>
      </c>
      <c r="H1787" s="91">
        <v>6619</v>
      </c>
      <c r="I1787" s="91">
        <v>29</v>
      </c>
      <c r="J1787" s="91">
        <v>2</v>
      </c>
      <c r="K1787" s="91" t="s">
        <v>900</v>
      </c>
      <c r="L1787" s="91" t="s">
        <v>2175</v>
      </c>
      <c r="M1787" s="91" t="s">
        <v>4</v>
      </c>
      <c r="Q1787" s="91"/>
      <c r="S1787" s="91" t="s">
        <v>143</v>
      </c>
      <c r="T1787" s="91" t="s">
        <v>2775</v>
      </c>
      <c r="V1787" s="91" t="s">
        <v>155</v>
      </c>
      <c r="W1787" s="91" t="s">
        <v>180</v>
      </c>
    </row>
    <row r="1788" spans="1:23">
      <c r="A1788" s="93" t="str">
        <f>TEXT(tblProjectlist[[#This Row],[project-no]],"0")</f>
        <v>0</v>
      </c>
      <c r="H1788" s="91">
        <v>6619</v>
      </c>
      <c r="I1788" s="91">
        <v>30</v>
      </c>
      <c r="J1788" s="91">
        <v>2</v>
      </c>
      <c r="K1788" s="91"/>
      <c r="L1788" s="91" t="s">
        <v>2175</v>
      </c>
      <c r="M1788" s="91" t="s">
        <v>4</v>
      </c>
      <c r="Q1788" s="91"/>
      <c r="S1788" s="91" t="s">
        <v>143</v>
      </c>
      <c r="T1788" s="91" t="s">
        <v>3935</v>
      </c>
      <c r="V1788" s="91" t="s">
        <v>155</v>
      </c>
      <c r="W1788" s="91" t="s">
        <v>180</v>
      </c>
    </row>
    <row r="1789" spans="1:23">
      <c r="A1789" s="93" t="str">
        <f>TEXT(tblProjectlist[[#This Row],[project-no]],"0")</f>
        <v>66193142</v>
      </c>
      <c r="H1789" s="91">
        <v>6619</v>
      </c>
      <c r="I1789" s="91">
        <v>31</v>
      </c>
      <c r="J1789" s="91">
        <v>4</v>
      </c>
      <c r="K1789" s="91">
        <v>66193142</v>
      </c>
      <c r="L1789" s="91" t="s">
        <v>58</v>
      </c>
      <c r="M1789" s="91" t="s">
        <v>1</v>
      </c>
      <c r="Q1789" s="91"/>
      <c r="S1789" s="91" t="s">
        <v>143</v>
      </c>
      <c r="T1789" s="91" t="s">
        <v>4416</v>
      </c>
      <c r="V1789" s="91" t="s">
        <v>163</v>
      </c>
      <c r="W1789" s="91" t="s">
        <v>180</v>
      </c>
    </row>
    <row r="1790" spans="1:23">
      <c r="A1790" s="93" t="str">
        <f>TEXT(tblProjectlist[[#This Row],[project-no]],"0")</f>
        <v>0</v>
      </c>
      <c r="H1790" s="91">
        <v>6622</v>
      </c>
      <c r="I1790" s="91">
        <v>3</v>
      </c>
      <c r="J1790" s="91">
        <v>2</v>
      </c>
      <c r="K1790" s="91"/>
      <c r="L1790" s="91" t="s">
        <v>197</v>
      </c>
      <c r="M1790" s="91" t="s">
        <v>4</v>
      </c>
      <c r="Q1790" s="91"/>
      <c r="S1790" s="91" t="s">
        <v>143</v>
      </c>
      <c r="T1790" s="91" t="s">
        <v>3888</v>
      </c>
      <c r="V1790" s="91" t="s">
        <v>155</v>
      </c>
      <c r="W1790" s="91" t="s">
        <v>180</v>
      </c>
    </row>
    <row r="1791" spans="1:23">
      <c r="A1791" s="93" t="str">
        <f>TEXT(tblProjectlist[[#This Row],[project-no]],"0")</f>
        <v>0</v>
      </c>
      <c r="H1791" s="91">
        <v>6622</v>
      </c>
      <c r="I1791" s="91">
        <v>4</v>
      </c>
      <c r="J1791" s="91">
        <v>2</v>
      </c>
      <c r="K1791" s="91"/>
      <c r="L1791" s="91" t="s">
        <v>197</v>
      </c>
      <c r="M1791" s="91" t="s">
        <v>4</v>
      </c>
      <c r="Q1791" s="91"/>
      <c r="S1791" s="91" t="s">
        <v>143</v>
      </c>
      <c r="T1791" s="91" t="s">
        <v>4139</v>
      </c>
      <c r="V1791" s="91" t="s">
        <v>155</v>
      </c>
      <c r="W1791" s="91" t="s">
        <v>180</v>
      </c>
    </row>
    <row r="1792" spans="1:23">
      <c r="A1792" s="93" t="str">
        <f>TEXT(tblProjectlist[[#This Row],[project-no]],"0")</f>
        <v>0</v>
      </c>
      <c r="H1792" s="91">
        <v>6625</v>
      </c>
      <c r="I1792" s="91">
        <v>2</v>
      </c>
      <c r="J1792" s="91">
        <v>2</v>
      </c>
      <c r="K1792" s="91"/>
      <c r="L1792" s="91" t="s">
        <v>2175</v>
      </c>
      <c r="M1792" s="91" t="s">
        <v>4</v>
      </c>
      <c r="Q1792" s="91"/>
      <c r="S1792" s="91" t="s">
        <v>143</v>
      </c>
      <c r="T1792" s="91" t="s">
        <v>3785</v>
      </c>
      <c r="V1792" s="91" t="s">
        <v>155</v>
      </c>
      <c r="W1792" s="91" t="s">
        <v>180</v>
      </c>
    </row>
    <row r="1793" spans="1:23">
      <c r="A1793" s="93" t="str">
        <f>TEXT(tblProjectlist[[#This Row],[project-no]],"0")</f>
        <v>66280243</v>
      </c>
      <c r="H1793" s="91">
        <v>6628</v>
      </c>
      <c r="I1793" s="91">
        <v>2</v>
      </c>
      <c r="J1793" s="91">
        <v>4</v>
      </c>
      <c r="K1793" s="91" t="s">
        <v>901</v>
      </c>
      <c r="L1793" s="91" t="s">
        <v>197</v>
      </c>
      <c r="M1793" s="91" t="s">
        <v>1</v>
      </c>
      <c r="Q1793" s="91"/>
      <c r="S1793" s="91" t="s">
        <v>143</v>
      </c>
      <c r="T1793" s="91" t="s">
        <v>2776</v>
      </c>
      <c r="W1793" s="91" t="s">
        <v>180</v>
      </c>
    </row>
    <row r="1794" spans="1:23">
      <c r="A1794" s="93" t="str">
        <f>TEXT(tblProjectlist[[#This Row],[project-no]],"0")</f>
        <v>66300242</v>
      </c>
      <c r="H1794" s="91">
        <v>6630</v>
      </c>
      <c r="I1794" s="91">
        <v>2</v>
      </c>
      <c r="J1794" s="91">
        <v>4</v>
      </c>
      <c r="K1794" s="91">
        <v>66300242</v>
      </c>
      <c r="L1794" s="91" t="s">
        <v>58</v>
      </c>
      <c r="M1794" s="91" t="s">
        <v>1</v>
      </c>
      <c r="Q1794" s="91"/>
      <c r="S1794" s="91" t="s">
        <v>143</v>
      </c>
      <c r="T1794" s="91" t="s">
        <v>3864</v>
      </c>
      <c r="V1794" s="91" t="s">
        <v>163</v>
      </c>
      <c r="W1794" s="91" t="s">
        <v>180</v>
      </c>
    </row>
    <row r="1795" spans="1:23">
      <c r="A1795" s="93" t="str">
        <f>TEXT(tblProjectlist[[#This Row],[project-no]],"0")</f>
        <v>66300243</v>
      </c>
      <c r="H1795" s="91">
        <v>6630</v>
      </c>
      <c r="I1795" s="91">
        <v>2</v>
      </c>
      <c r="J1795" s="91">
        <v>4</v>
      </c>
      <c r="K1795" s="91">
        <v>66300243</v>
      </c>
      <c r="L1795" s="91" t="s">
        <v>58</v>
      </c>
      <c r="M1795" s="91" t="s">
        <v>1</v>
      </c>
      <c r="Q1795" s="91"/>
      <c r="S1795" s="91" t="s">
        <v>143</v>
      </c>
      <c r="T1795" s="91" t="s">
        <v>3864</v>
      </c>
      <c r="V1795" s="91" t="s">
        <v>164</v>
      </c>
      <c r="W1795" s="91" t="s">
        <v>180</v>
      </c>
    </row>
    <row r="1796" spans="1:23">
      <c r="A1796" s="93" t="str">
        <f>TEXT(tblProjectlist[[#This Row],[project-no]],"0")</f>
        <v>66300244</v>
      </c>
      <c r="H1796" s="91">
        <v>6630</v>
      </c>
      <c r="I1796" s="91">
        <v>2</v>
      </c>
      <c r="J1796" s="91">
        <v>4</v>
      </c>
      <c r="K1796" s="91">
        <v>66300244</v>
      </c>
      <c r="L1796" s="91" t="s">
        <v>58</v>
      </c>
      <c r="M1796" s="91" t="s">
        <v>1</v>
      </c>
      <c r="Q1796" s="91"/>
      <c r="S1796" s="91" t="s">
        <v>143</v>
      </c>
      <c r="T1796" s="91" t="s">
        <v>3864</v>
      </c>
      <c r="V1796" s="91" t="s">
        <v>160</v>
      </c>
      <c r="W1796" s="91" t="s">
        <v>180</v>
      </c>
    </row>
    <row r="1797" spans="1:23">
      <c r="A1797" s="93" t="str">
        <f>TEXT(tblProjectlist[[#This Row],[project-no]],"0")</f>
        <v>66300249</v>
      </c>
      <c r="H1797" s="91">
        <v>6630</v>
      </c>
      <c r="I1797" s="91">
        <v>2</v>
      </c>
      <c r="J1797" s="91">
        <v>4</v>
      </c>
      <c r="K1797" s="91">
        <v>66300249</v>
      </c>
      <c r="L1797" s="91" t="s">
        <v>58</v>
      </c>
      <c r="M1797" s="91" t="s">
        <v>1</v>
      </c>
      <c r="Q1797" s="91"/>
      <c r="S1797" s="91" t="s">
        <v>143</v>
      </c>
      <c r="T1797" s="91" t="s">
        <v>3864</v>
      </c>
      <c r="V1797" s="91" t="s">
        <v>158</v>
      </c>
      <c r="W1797" s="91" t="s">
        <v>180</v>
      </c>
    </row>
    <row r="1798" spans="1:23">
      <c r="A1798" s="93" t="str">
        <f>TEXT(tblProjectlist[[#This Row],[project-no]],"0")</f>
        <v>66300344</v>
      </c>
      <c r="H1798" s="91">
        <v>6630</v>
      </c>
      <c r="I1798" s="91">
        <v>3</v>
      </c>
      <c r="J1798" s="91">
        <v>4</v>
      </c>
      <c r="K1798" s="91">
        <v>66300344</v>
      </c>
      <c r="L1798" s="91" t="s">
        <v>58</v>
      </c>
      <c r="M1798" s="91" t="s">
        <v>1</v>
      </c>
      <c r="Q1798" s="91"/>
      <c r="S1798" s="91" t="s">
        <v>143</v>
      </c>
      <c r="T1798" s="91" t="s">
        <v>4647</v>
      </c>
      <c r="V1798" s="91" t="s">
        <v>160</v>
      </c>
      <c r="W1798" s="91" t="s">
        <v>180</v>
      </c>
    </row>
    <row r="1799" spans="1:23">
      <c r="A1799" s="93" t="str">
        <f>TEXT(tblProjectlist[[#This Row],[project-no]],"0")</f>
        <v>66370444</v>
      </c>
      <c r="H1799" s="91">
        <v>6637</v>
      </c>
      <c r="I1799" s="91">
        <v>4</v>
      </c>
      <c r="J1799" s="91">
        <v>4</v>
      </c>
      <c r="K1799" s="91" t="s">
        <v>902</v>
      </c>
      <c r="L1799" s="91" t="s">
        <v>197</v>
      </c>
      <c r="M1799" s="91" t="s">
        <v>1</v>
      </c>
      <c r="Q1799" s="91"/>
      <c r="S1799" s="91" t="s">
        <v>143</v>
      </c>
      <c r="T1799" s="91" t="s">
        <v>2777</v>
      </c>
      <c r="V1799" s="91" t="s">
        <v>160</v>
      </c>
      <c r="W1799" s="91" t="s">
        <v>180</v>
      </c>
    </row>
    <row r="1800" spans="1:23">
      <c r="A1800" s="93" t="str">
        <f>TEXT(tblProjectlist[[#This Row],[project-no]],"0")</f>
        <v>66380428</v>
      </c>
      <c r="H1800" s="91">
        <v>6638</v>
      </c>
      <c r="I1800" s="91">
        <v>4</v>
      </c>
      <c r="J1800" s="91">
        <v>2</v>
      </c>
      <c r="K1800" s="91" t="s">
        <v>903</v>
      </c>
      <c r="L1800" s="91" t="s">
        <v>2175</v>
      </c>
      <c r="M1800" s="91" t="s">
        <v>4</v>
      </c>
      <c r="Q1800" s="91"/>
      <c r="S1800" s="91" t="s">
        <v>143</v>
      </c>
      <c r="T1800" s="91" t="s">
        <v>2778</v>
      </c>
      <c r="V1800" s="91" t="s">
        <v>155</v>
      </c>
      <c r="W1800" s="91" t="s">
        <v>180</v>
      </c>
    </row>
    <row r="1801" spans="1:23">
      <c r="A1801" s="93" t="str">
        <f>TEXT(tblProjectlist[[#This Row],[project-no]],"0")</f>
        <v>0</v>
      </c>
      <c r="H1801" s="91">
        <v>9963</v>
      </c>
      <c r="I1801" s="91">
        <v>80</v>
      </c>
      <c r="J1801" s="91">
        <v>2</v>
      </c>
      <c r="K1801" s="91"/>
      <c r="L1801" s="91" t="s">
        <v>58</v>
      </c>
      <c r="M1801" s="91" t="s">
        <v>4</v>
      </c>
      <c r="Q1801" s="91"/>
      <c r="S1801" s="91" t="s">
        <v>143</v>
      </c>
      <c r="T1801" s="91" t="s">
        <v>4304</v>
      </c>
      <c r="V1801" s="91" t="s">
        <v>155</v>
      </c>
      <c r="W1801" s="91" t="s">
        <v>180</v>
      </c>
    </row>
    <row r="1802" spans="1:23">
      <c r="A1802" s="93" t="str">
        <f>TEXT(tblProjectlist[[#This Row],[project-no]],"0")</f>
        <v>0</v>
      </c>
      <c r="H1802" s="91">
        <v>9963</v>
      </c>
      <c r="I1802" s="91">
        <v>81</v>
      </c>
      <c r="J1802" s="91">
        <v>1</v>
      </c>
      <c r="K1802" s="91"/>
      <c r="L1802" s="91" t="s">
        <v>2175</v>
      </c>
      <c r="M1802" s="91" t="s">
        <v>0</v>
      </c>
      <c r="Q1802" s="91"/>
      <c r="S1802" s="91" t="s">
        <v>143</v>
      </c>
      <c r="T1802" s="91" t="s">
        <v>4376</v>
      </c>
      <c r="V1802" s="91" t="s">
        <v>169</v>
      </c>
      <c r="W1802" s="91" t="s">
        <v>180</v>
      </c>
    </row>
    <row r="1803" spans="1:23">
      <c r="A1803" s="93" t="str">
        <f>TEXT(tblProjectlist[[#This Row],[project-no]],"0")</f>
        <v>0</v>
      </c>
      <c r="H1803" s="91">
        <v>9963</v>
      </c>
      <c r="I1803" s="91">
        <v>81</v>
      </c>
      <c r="J1803" s="91">
        <v>1</v>
      </c>
      <c r="K1803" s="91"/>
      <c r="L1803" s="91" t="s">
        <v>2175</v>
      </c>
      <c r="M1803" s="91" t="s">
        <v>0</v>
      </c>
      <c r="Q1803" s="91"/>
      <c r="S1803" s="91" t="s">
        <v>143</v>
      </c>
      <c r="T1803" s="91" t="s">
        <v>4376</v>
      </c>
      <c r="V1803" s="91" t="s">
        <v>167</v>
      </c>
      <c r="W1803" s="91" t="s">
        <v>180</v>
      </c>
    </row>
    <row r="1804" spans="1:23">
      <c r="A1804" s="93" t="str">
        <f>TEXT(tblProjectlist[[#This Row],[project-no]],"0")</f>
        <v>0</v>
      </c>
      <c r="H1804" s="91">
        <v>9963</v>
      </c>
      <c r="I1804" s="91">
        <v>81</v>
      </c>
      <c r="J1804" s="91">
        <v>1</v>
      </c>
      <c r="K1804" s="91"/>
      <c r="L1804" s="91" t="s">
        <v>2175</v>
      </c>
      <c r="M1804" s="91" t="s">
        <v>0</v>
      </c>
      <c r="Q1804" s="91"/>
      <c r="S1804" s="91" t="s">
        <v>143</v>
      </c>
      <c r="T1804" s="91" t="s">
        <v>4376</v>
      </c>
      <c r="V1804" s="91" t="s">
        <v>168</v>
      </c>
      <c r="W1804" s="91" t="s">
        <v>180</v>
      </c>
    </row>
    <row r="1805" spans="1:23">
      <c r="A1805" s="93" t="str">
        <f>TEXT(tblProjectlist[[#This Row],[project-no]],"0")</f>
        <v>0</v>
      </c>
      <c r="H1805" s="91">
        <v>9963</v>
      </c>
      <c r="I1805" s="91">
        <v>82</v>
      </c>
      <c r="J1805" s="91">
        <v>1</v>
      </c>
      <c r="K1805" s="91"/>
      <c r="M1805" s="91" t="s">
        <v>0</v>
      </c>
      <c r="Q1805" s="91"/>
      <c r="S1805" s="91" t="s">
        <v>143</v>
      </c>
      <c r="T1805" s="91" t="s">
        <v>4417</v>
      </c>
      <c r="V1805" s="91" t="s">
        <v>169</v>
      </c>
      <c r="W1805" s="91" t="s">
        <v>180</v>
      </c>
    </row>
    <row r="1806" spans="1:23">
      <c r="A1806" s="93" t="str">
        <f>TEXT(tblProjectlist[[#This Row],[project-no]],"0")</f>
        <v>0</v>
      </c>
      <c r="H1806" s="91">
        <v>9963</v>
      </c>
      <c r="I1806" s="91">
        <v>82</v>
      </c>
      <c r="J1806" s="91">
        <v>1</v>
      </c>
      <c r="K1806" s="91"/>
      <c r="M1806" s="91" t="s">
        <v>0</v>
      </c>
      <c r="Q1806" s="91"/>
      <c r="S1806" s="91" t="s">
        <v>143</v>
      </c>
      <c r="T1806" s="91" t="s">
        <v>4417</v>
      </c>
      <c r="V1806" s="91" t="s">
        <v>167</v>
      </c>
      <c r="W1806" s="91" t="s">
        <v>180</v>
      </c>
    </row>
    <row r="1807" spans="1:23">
      <c r="A1807" s="93" t="str">
        <f>TEXT(tblProjectlist[[#This Row],[project-no]],"0")</f>
        <v>0</v>
      </c>
      <c r="H1807" s="91">
        <v>9963</v>
      </c>
      <c r="I1807" s="91">
        <v>83</v>
      </c>
      <c r="J1807" s="91">
        <v>1</v>
      </c>
      <c r="K1807" s="91"/>
      <c r="M1807" s="91" t="s">
        <v>0</v>
      </c>
      <c r="Q1807" s="91"/>
      <c r="S1807" s="91" t="s">
        <v>143</v>
      </c>
      <c r="T1807" s="91" t="s">
        <v>4418</v>
      </c>
      <c r="V1807" s="91" t="s">
        <v>168</v>
      </c>
      <c r="W1807" s="91" t="s">
        <v>180</v>
      </c>
    </row>
    <row r="1808" spans="1:23">
      <c r="A1808" s="93" t="str">
        <f>TEXT(tblProjectlist[[#This Row],[project-no]],"0")</f>
        <v>0</v>
      </c>
      <c r="H1808" s="91">
        <v>9981</v>
      </c>
      <c r="I1808" s="91">
        <v>51</v>
      </c>
      <c r="J1808" s="91">
        <v>2</v>
      </c>
      <c r="K1808" s="91"/>
      <c r="L1808" s="91" t="s">
        <v>2175</v>
      </c>
      <c r="M1808" s="91" t="s">
        <v>4</v>
      </c>
      <c r="Q1808" s="91"/>
      <c r="S1808" s="91" t="s">
        <v>143</v>
      </c>
      <c r="T1808" s="91" t="s">
        <v>4519</v>
      </c>
      <c r="V1808" s="91" t="s">
        <v>155</v>
      </c>
      <c r="W1808" s="91" t="s">
        <v>180</v>
      </c>
    </row>
    <row r="1809" spans="1:23">
      <c r="A1809" s="93" t="str">
        <f>TEXT(tblProjectlist[[#This Row],[project-no]],"0")</f>
        <v>99846011</v>
      </c>
      <c r="H1809" s="91">
        <v>9985</v>
      </c>
      <c r="I1809" s="91">
        <v>89</v>
      </c>
      <c r="J1809" s="91">
        <v>1</v>
      </c>
      <c r="K1809" s="91" t="s">
        <v>1355</v>
      </c>
      <c r="L1809" s="91" t="s">
        <v>197</v>
      </c>
      <c r="M1809" s="91" t="s">
        <v>0</v>
      </c>
      <c r="Q1809" s="91"/>
      <c r="S1809" s="91" t="s">
        <v>143</v>
      </c>
      <c r="T1809" s="91" t="s">
        <v>3186</v>
      </c>
      <c r="V1809" s="91" t="s">
        <v>169</v>
      </c>
      <c r="W1809" s="91" t="s">
        <v>180</v>
      </c>
    </row>
    <row r="1810" spans="1:23">
      <c r="A1810" s="93" t="str">
        <f>TEXT(tblProjectlist[[#This Row],[project-no]],"0")</f>
        <v>99858911</v>
      </c>
      <c r="H1810" s="91">
        <v>9985</v>
      </c>
      <c r="I1810" s="91">
        <v>89</v>
      </c>
      <c r="J1810" s="91">
        <v>1</v>
      </c>
      <c r="K1810" s="91" t="s">
        <v>1378</v>
      </c>
      <c r="L1810" s="91" t="s">
        <v>197</v>
      </c>
      <c r="M1810" s="91" t="s">
        <v>0</v>
      </c>
      <c r="Q1810" s="91"/>
      <c r="S1810" s="91" t="s">
        <v>143</v>
      </c>
      <c r="T1810" s="91" t="s">
        <v>3186</v>
      </c>
      <c r="V1810" s="91" t="s">
        <v>169</v>
      </c>
      <c r="W1810" s="91" t="s">
        <v>180</v>
      </c>
    </row>
    <row r="1811" spans="1:23">
      <c r="A1811" s="93" t="str">
        <f>TEXT(tblProjectlist[[#This Row],[project-no]],"0")</f>
        <v>99892411</v>
      </c>
      <c r="H1811" s="91">
        <v>9989</v>
      </c>
      <c r="I1811" s="91">
        <v>24</v>
      </c>
      <c r="J1811" s="91">
        <v>1</v>
      </c>
      <c r="K1811" s="91" t="s">
        <v>1456</v>
      </c>
      <c r="L1811" s="91" t="s">
        <v>2175</v>
      </c>
      <c r="M1811" s="91" t="s">
        <v>0</v>
      </c>
      <c r="Q1811" s="91"/>
      <c r="S1811" s="91" t="s">
        <v>143</v>
      </c>
      <c r="T1811" s="91" t="s">
        <v>3222</v>
      </c>
      <c r="V1811" s="91" t="s">
        <v>169</v>
      </c>
      <c r="W1811" s="91" t="s">
        <v>180</v>
      </c>
    </row>
    <row r="1812" spans="1:23">
      <c r="A1812" s="93" t="str">
        <f>TEXT(tblProjectlist[[#This Row],[project-no]],"0")</f>
        <v>99899011</v>
      </c>
      <c r="H1812" s="91">
        <v>9989</v>
      </c>
      <c r="I1812" s="91">
        <v>90</v>
      </c>
      <c r="J1812" s="91">
        <v>1</v>
      </c>
      <c r="K1812" s="91" t="s">
        <v>1487</v>
      </c>
      <c r="L1812" s="91" t="s">
        <v>2175</v>
      </c>
      <c r="M1812" s="91" t="s">
        <v>0</v>
      </c>
      <c r="Q1812" s="91"/>
      <c r="S1812" s="91" t="s">
        <v>143</v>
      </c>
      <c r="T1812" s="91" t="s">
        <v>3239</v>
      </c>
      <c r="V1812" s="91" t="s">
        <v>169</v>
      </c>
      <c r="W1812" s="91" t="s">
        <v>180</v>
      </c>
    </row>
    <row r="1813" spans="1:23">
      <c r="A1813" s="93" t="str">
        <f>TEXT(tblProjectlist[[#This Row],[project-no]],"0")</f>
        <v>99931711</v>
      </c>
      <c r="H1813" s="91">
        <v>9989</v>
      </c>
      <c r="I1813" s="91">
        <v>90</v>
      </c>
      <c r="J1813" s="91">
        <v>1</v>
      </c>
      <c r="K1813" s="91" t="s">
        <v>1575</v>
      </c>
      <c r="L1813" s="91" t="s">
        <v>2175</v>
      </c>
      <c r="M1813" s="91" t="s">
        <v>0</v>
      </c>
      <c r="Q1813" s="91"/>
      <c r="S1813" s="91" t="s">
        <v>143</v>
      </c>
      <c r="T1813" s="91" t="s">
        <v>3239</v>
      </c>
      <c r="V1813" s="91" t="s">
        <v>169</v>
      </c>
      <c r="W1813" s="91" t="s">
        <v>180</v>
      </c>
    </row>
    <row r="1814" spans="1:23">
      <c r="A1814" s="93" t="str">
        <f>TEXT(tblProjectlist[[#This Row],[project-no]],"0")</f>
        <v>99902048</v>
      </c>
      <c r="H1814" s="91">
        <v>9990</v>
      </c>
      <c r="I1814" s="91">
        <v>20</v>
      </c>
      <c r="J1814" s="91">
        <v>4</v>
      </c>
      <c r="K1814" s="91" t="s">
        <v>1493</v>
      </c>
      <c r="L1814" s="91" t="s">
        <v>58</v>
      </c>
      <c r="M1814" s="91" t="s">
        <v>1</v>
      </c>
      <c r="Q1814" s="91"/>
      <c r="S1814" s="91" t="s">
        <v>143</v>
      </c>
      <c r="T1814" s="91" t="s">
        <v>3242</v>
      </c>
      <c r="W1814" s="91" t="s">
        <v>180</v>
      </c>
    </row>
    <row r="1815" spans="1:23">
      <c r="A1815" s="93" t="str">
        <f>TEXT(tblProjectlist[[#This Row],[project-no]],"0")</f>
        <v>99911828</v>
      </c>
      <c r="H1815" s="91">
        <v>9991</v>
      </c>
      <c r="I1815" s="91">
        <v>18</v>
      </c>
      <c r="J1815" s="91">
        <v>2</v>
      </c>
      <c r="K1815" s="91" t="s">
        <v>1510</v>
      </c>
      <c r="L1815" s="91" t="s">
        <v>2175</v>
      </c>
      <c r="M1815" s="91" t="s">
        <v>4</v>
      </c>
      <c r="Q1815" s="91"/>
      <c r="S1815" s="91" t="s">
        <v>143</v>
      </c>
      <c r="T1815" s="91" t="s">
        <v>3246</v>
      </c>
      <c r="V1815" s="91" t="s">
        <v>155</v>
      </c>
      <c r="W1815" s="91" t="s">
        <v>180</v>
      </c>
    </row>
    <row r="1816" spans="1:23">
      <c r="A1816" s="93" t="str">
        <f>TEXT(tblProjectlist[[#This Row],[project-no]],"0")</f>
        <v>99917028</v>
      </c>
      <c r="H1816" s="91">
        <v>9991</v>
      </c>
      <c r="I1816" s="91">
        <v>70</v>
      </c>
      <c r="J1816" s="91">
        <v>2</v>
      </c>
      <c r="K1816" s="91">
        <v>99917028</v>
      </c>
      <c r="L1816" s="91" t="s">
        <v>2175</v>
      </c>
      <c r="M1816" s="91" t="s">
        <v>4</v>
      </c>
      <c r="Q1816" s="91"/>
      <c r="S1816" s="91" t="s">
        <v>143</v>
      </c>
      <c r="T1816" s="91" t="s">
        <v>4249</v>
      </c>
      <c r="V1816" s="91" t="s">
        <v>155</v>
      </c>
      <c r="W1816" s="91" t="s">
        <v>180</v>
      </c>
    </row>
    <row r="1817" spans="1:23">
      <c r="A1817" s="93" t="str">
        <f>TEXT(tblProjectlist[[#This Row],[project-no]],"0")</f>
        <v>99919211</v>
      </c>
      <c r="H1817" s="91">
        <v>9991</v>
      </c>
      <c r="I1817" s="91">
        <v>92</v>
      </c>
      <c r="J1817" s="91">
        <v>1</v>
      </c>
      <c r="K1817" s="91" t="s">
        <v>1537</v>
      </c>
      <c r="L1817" s="91" t="s">
        <v>2175</v>
      </c>
      <c r="M1817" s="91" t="s">
        <v>0</v>
      </c>
      <c r="Q1817" s="91"/>
      <c r="S1817" s="91" t="s">
        <v>143</v>
      </c>
      <c r="T1817" s="91" t="s">
        <v>3259</v>
      </c>
      <c r="V1817" s="91" t="s">
        <v>169</v>
      </c>
      <c r="W1817" s="91" t="s">
        <v>180</v>
      </c>
    </row>
    <row r="1818" spans="1:23">
      <c r="A1818" s="93" t="str">
        <f>TEXT(tblProjectlist[[#This Row],[project-no]],"0")</f>
        <v>99955513</v>
      </c>
      <c r="H1818" s="91">
        <v>9995</v>
      </c>
      <c r="I1818" s="91">
        <v>55</v>
      </c>
      <c r="J1818" s="91">
        <v>1</v>
      </c>
      <c r="K1818" s="91" t="s">
        <v>1669</v>
      </c>
      <c r="L1818" s="91" t="s">
        <v>2175</v>
      </c>
      <c r="M1818" s="91" t="s">
        <v>0</v>
      </c>
      <c r="Q1818" s="91"/>
      <c r="S1818" s="91" t="s">
        <v>143</v>
      </c>
      <c r="T1818" s="91" t="s">
        <v>3308</v>
      </c>
      <c r="V1818" s="91" t="s">
        <v>167</v>
      </c>
      <c r="W1818" s="91" t="s">
        <v>180</v>
      </c>
    </row>
    <row r="1819" spans="1:23">
      <c r="A1819" s="93" t="str">
        <f>TEXT(tblProjectlist[[#This Row],[project-no]],"0")</f>
        <v>99958511</v>
      </c>
      <c r="H1819" s="91">
        <v>9995</v>
      </c>
      <c r="I1819" s="91">
        <v>85</v>
      </c>
      <c r="J1819" s="91">
        <v>1</v>
      </c>
      <c r="K1819" s="91" t="s">
        <v>1705</v>
      </c>
      <c r="L1819" s="91" t="s">
        <v>2175</v>
      </c>
      <c r="M1819" s="91" t="s">
        <v>0</v>
      </c>
      <c r="Q1819" s="91"/>
      <c r="S1819" s="91" t="s">
        <v>143</v>
      </c>
      <c r="T1819" s="91" t="s">
        <v>3336</v>
      </c>
      <c r="V1819" s="91" t="s">
        <v>169</v>
      </c>
      <c r="W1819" s="91" t="s">
        <v>180</v>
      </c>
    </row>
    <row r="1820" spans="1:23">
      <c r="A1820" s="93" t="str">
        <f>TEXT(tblProjectlist[[#This Row],[project-no]],"0")</f>
        <v>99958513</v>
      </c>
      <c r="H1820" s="91">
        <v>9995</v>
      </c>
      <c r="I1820" s="91">
        <v>85</v>
      </c>
      <c r="J1820" s="91">
        <v>1</v>
      </c>
      <c r="K1820" s="91" t="s">
        <v>1706</v>
      </c>
      <c r="L1820" s="91" t="s">
        <v>2175</v>
      </c>
      <c r="M1820" s="91" t="s">
        <v>0</v>
      </c>
      <c r="Q1820" s="91"/>
      <c r="S1820" s="91" t="s">
        <v>143</v>
      </c>
      <c r="T1820" s="91" t="s">
        <v>3336</v>
      </c>
      <c r="V1820" s="91" t="s">
        <v>167</v>
      </c>
      <c r="W1820" s="91" t="s">
        <v>180</v>
      </c>
    </row>
    <row r="1821" spans="1:23">
      <c r="A1821" s="93" t="str">
        <f>TEXT(tblProjectlist[[#This Row],[project-no]],"0")</f>
        <v>70430228</v>
      </c>
      <c r="H1821" s="91">
        <v>7043</v>
      </c>
      <c r="I1821" s="91">
        <v>2</v>
      </c>
      <c r="J1821" s="91">
        <v>2</v>
      </c>
      <c r="K1821" s="91" t="s">
        <v>955</v>
      </c>
      <c r="L1821" s="91" t="s">
        <v>64</v>
      </c>
      <c r="M1821" s="91" t="s">
        <v>4</v>
      </c>
      <c r="Q1821" s="91"/>
      <c r="S1821" s="91" t="s">
        <v>143</v>
      </c>
      <c r="T1821" s="91" t="s">
        <v>2827</v>
      </c>
      <c r="W1821" s="91" t="s">
        <v>180</v>
      </c>
    </row>
    <row r="1822" spans="1:23">
      <c r="A1822" s="93" t="str">
        <f>TEXT(tblProjectlist[[#This Row],[project-no]],"0")</f>
        <v>70430328</v>
      </c>
      <c r="H1822" s="91">
        <v>7043</v>
      </c>
      <c r="I1822" s="91">
        <v>3</v>
      </c>
      <c r="J1822" s="91">
        <v>2</v>
      </c>
      <c r="K1822" s="91" t="s">
        <v>956</v>
      </c>
      <c r="L1822" s="91" t="s">
        <v>64</v>
      </c>
      <c r="M1822" s="91" t="s">
        <v>4</v>
      </c>
      <c r="Q1822" s="91"/>
      <c r="S1822" s="91" t="s">
        <v>143</v>
      </c>
      <c r="T1822" s="91" t="s">
        <v>2828</v>
      </c>
      <c r="W1822" s="91" t="s">
        <v>180</v>
      </c>
    </row>
    <row r="1823" spans="1:23">
      <c r="A1823" s="93" t="str">
        <f>TEXT(tblProjectlist[[#This Row],[project-no]],"0")</f>
        <v>76160228</v>
      </c>
      <c r="H1823" s="91">
        <v>7616</v>
      </c>
      <c r="I1823" s="91">
        <v>2</v>
      </c>
      <c r="J1823" s="91">
        <v>2</v>
      </c>
      <c r="K1823" s="91" t="s">
        <v>1060</v>
      </c>
      <c r="L1823" s="91" t="s">
        <v>64</v>
      </c>
      <c r="M1823" s="91" t="s">
        <v>4</v>
      </c>
      <c r="Q1823" s="91"/>
      <c r="S1823" s="91" t="s">
        <v>143</v>
      </c>
      <c r="T1823" s="91" t="s">
        <v>2926</v>
      </c>
      <c r="W1823" s="91" t="s">
        <v>180</v>
      </c>
    </row>
    <row r="1824" spans="1:23">
      <c r="A1824" s="93" t="str">
        <f>TEXT(tblProjectlist[[#This Row],[project-no]],"0")</f>
        <v>76160328</v>
      </c>
      <c r="H1824" s="91">
        <v>7616</v>
      </c>
      <c r="I1824" s="91">
        <v>3</v>
      </c>
      <c r="J1824" s="91">
        <v>2</v>
      </c>
      <c r="K1824" s="91" t="s">
        <v>1061</v>
      </c>
      <c r="L1824" s="91" t="s">
        <v>64</v>
      </c>
      <c r="M1824" s="91" t="s">
        <v>4</v>
      </c>
      <c r="Q1824" s="91"/>
      <c r="S1824" s="91" t="s">
        <v>143</v>
      </c>
      <c r="T1824" s="91" t="s">
        <v>2927</v>
      </c>
      <c r="W1824" s="91" t="s">
        <v>180</v>
      </c>
    </row>
    <row r="1825" spans="1:23">
      <c r="A1825" s="93" t="str">
        <f>TEXT(tblProjectlist[[#This Row],[project-no]],"0")</f>
        <v>0</v>
      </c>
      <c r="H1825" s="91">
        <v>6136</v>
      </c>
      <c r="I1825" s="91">
        <v>2</v>
      </c>
      <c r="J1825" s="91">
        <v>1</v>
      </c>
      <c r="K1825" s="91"/>
      <c r="L1825" s="91" t="s">
        <v>2175</v>
      </c>
      <c r="M1825" s="91" t="s">
        <v>0</v>
      </c>
      <c r="Q1825" s="91"/>
      <c r="S1825" s="91" t="s">
        <v>143</v>
      </c>
      <c r="T1825" s="91" t="s">
        <v>4386</v>
      </c>
      <c r="V1825" s="91" t="s">
        <v>169</v>
      </c>
      <c r="W1825" s="91" t="s">
        <v>180</v>
      </c>
    </row>
    <row r="1826" spans="1:23">
      <c r="A1826" s="93" t="str">
        <f>TEXT(tblProjectlist[[#This Row],[project-no]],"0")</f>
        <v>0</v>
      </c>
      <c r="H1826" s="91">
        <v>6136</v>
      </c>
      <c r="I1826" s="91">
        <v>2</v>
      </c>
      <c r="J1826" s="91">
        <v>1</v>
      </c>
      <c r="K1826" s="91"/>
      <c r="L1826" s="91" t="s">
        <v>2175</v>
      </c>
      <c r="M1826" s="91" t="s">
        <v>0</v>
      </c>
      <c r="Q1826" s="91"/>
      <c r="S1826" s="91" t="s">
        <v>143</v>
      </c>
      <c r="T1826" s="91" t="s">
        <v>4386</v>
      </c>
      <c r="V1826" s="91" t="s">
        <v>168</v>
      </c>
      <c r="W1826" s="91" t="s">
        <v>180</v>
      </c>
    </row>
    <row r="1827" spans="1:23">
      <c r="A1827" s="93" t="str">
        <f>TEXT(tblProjectlist[[#This Row],[project-no]],"0")</f>
        <v>0</v>
      </c>
      <c r="H1827" s="91">
        <v>6122</v>
      </c>
      <c r="I1827" s="91">
        <v>2</v>
      </c>
      <c r="J1827" s="91">
        <v>1</v>
      </c>
      <c r="K1827" s="91"/>
      <c r="L1827" s="91" t="s">
        <v>2175</v>
      </c>
      <c r="M1827" s="91" t="s">
        <v>0</v>
      </c>
      <c r="Q1827" s="91"/>
      <c r="S1827" s="91" t="s">
        <v>143</v>
      </c>
      <c r="T1827" s="91" t="s">
        <v>4130</v>
      </c>
      <c r="V1827" s="91" t="s">
        <v>169</v>
      </c>
      <c r="W1827" s="91" t="s">
        <v>180</v>
      </c>
    </row>
    <row r="1828" spans="1:23">
      <c r="A1828" s="93" t="str">
        <f>TEXT(tblProjectlist[[#This Row],[project-no]],"0")</f>
        <v>0</v>
      </c>
      <c r="H1828" s="91">
        <v>2124</v>
      </c>
      <c r="I1828" s="91">
        <v>2</v>
      </c>
      <c r="J1828" s="91">
        <v>2</v>
      </c>
      <c r="K1828" s="91"/>
      <c r="L1828" s="91" t="s">
        <v>2175</v>
      </c>
      <c r="M1828" s="91" t="s">
        <v>4</v>
      </c>
      <c r="Q1828" s="91"/>
      <c r="S1828" s="91" t="s">
        <v>143</v>
      </c>
      <c r="T1828" s="91" t="s">
        <v>4545</v>
      </c>
      <c r="V1828" s="91" t="s">
        <v>155</v>
      </c>
      <c r="W1828" s="91" t="s">
        <v>180</v>
      </c>
    </row>
    <row r="1829" spans="1:23">
      <c r="A1829" s="93" t="str">
        <f>TEXT(tblProjectlist[[#This Row],[project-no]],"0")</f>
        <v>0</v>
      </c>
      <c r="H1829" s="91">
        <v>2124</v>
      </c>
      <c r="I1829" s="91">
        <v>3</v>
      </c>
      <c r="J1829" s="91">
        <v>2</v>
      </c>
      <c r="K1829" s="91"/>
      <c r="L1829" s="91" t="s">
        <v>2175</v>
      </c>
      <c r="M1829" s="91" t="s">
        <v>4</v>
      </c>
      <c r="Q1829" s="91"/>
      <c r="S1829" s="91" t="s">
        <v>143</v>
      </c>
      <c r="T1829" s="91" t="s">
        <v>4546</v>
      </c>
      <c r="V1829" s="91" t="s">
        <v>155</v>
      </c>
      <c r="W1829" s="91" t="s">
        <v>180</v>
      </c>
    </row>
    <row r="1830" spans="1:23">
      <c r="A1830" s="93" t="str">
        <f>TEXT(tblProjectlist[[#This Row],[project-no]],"0")</f>
        <v>0</v>
      </c>
      <c r="H1830" s="91">
        <v>6023</v>
      </c>
      <c r="I1830" s="91">
        <v>19</v>
      </c>
      <c r="J1830" s="91">
        <v>2</v>
      </c>
      <c r="K1830" s="91"/>
      <c r="L1830" s="91" t="s">
        <v>2175</v>
      </c>
      <c r="M1830" s="91" t="s">
        <v>4</v>
      </c>
      <c r="Q1830" s="91"/>
      <c r="S1830" s="91" t="s">
        <v>143</v>
      </c>
      <c r="T1830" s="91" t="s">
        <v>3572</v>
      </c>
      <c r="V1830" s="91" t="s">
        <v>155</v>
      </c>
      <c r="W1830" s="91" t="s">
        <v>180</v>
      </c>
    </row>
    <row r="1831" spans="1:23">
      <c r="A1831" s="93" t="str">
        <f>TEXT(tblProjectlist[[#This Row],[project-no]],"0")</f>
        <v>60230328</v>
      </c>
      <c r="H1831" s="91">
        <v>6023</v>
      </c>
      <c r="I1831" s="91">
        <v>3</v>
      </c>
      <c r="J1831" s="91">
        <v>2</v>
      </c>
      <c r="K1831" s="91" t="s">
        <v>779</v>
      </c>
      <c r="L1831" s="91" t="s">
        <v>2175</v>
      </c>
      <c r="M1831" s="91" t="s">
        <v>4</v>
      </c>
      <c r="Q1831" s="91"/>
      <c r="S1831" s="91" t="s">
        <v>143</v>
      </c>
      <c r="T1831" s="91" t="s">
        <v>2675</v>
      </c>
      <c r="V1831" s="91" t="s">
        <v>155</v>
      </c>
      <c r="W1831" s="91" t="s">
        <v>180</v>
      </c>
    </row>
    <row r="1832" spans="1:23">
      <c r="A1832" s="93" t="str">
        <f>TEXT(tblProjectlist[[#This Row],[project-no]],"0")</f>
        <v>60231628</v>
      </c>
      <c r="H1832" s="91">
        <v>6023</v>
      </c>
      <c r="I1832" s="91">
        <v>16</v>
      </c>
      <c r="J1832" s="91">
        <v>2</v>
      </c>
      <c r="K1832" s="91" t="s">
        <v>780</v>
      </c>
      <c r="L1832" s="91" t="s">
        <v>2175</v>
      </c>
      <c r="M1832" s="91" t="s">
        <v>4</v>
      </c>
      <c r="Q1832" s="91"/>
      <c r="S1832" s="91" t="s">
        <v>143</v>
      </c>
      <c r="T1832" s="91" t="s">
        <v>2676</v>
      </c>
      <c r="V1832" s="91" t="s">
        <v>155</v>
      </c>
      <c r="W1832" s="91" t="s">
        <v>180</v>
      </c>
    </row>
    <row r="1833" spans="1:23">
      <c r="A1833" s="93" t="str">
        <f>TEXT(tblProjectlist[[#This Row],[project-no]],"0")</f>
        <v>60231728</v>
      </c>
      <c r="H1833" s="91">
        <v>6023</v>
      </c>
      <c r="I1833" s="91">
        <v>17</v>
      </c>
      <c r="J1833" s="91">
        <v>2</v>
      </c>
      <c r="K1833" s="91" t="s">
        <v>781</v>
      </c>
      <c r="L1833" s="91" t="s">
        <v>2175</v>
      </c>
      <c r="M1833" s="91" t="s">
        <v>4</v>
      </c>
      <c r="Q1833" s="91"/>
      <c r="S1833" s="91" t="s">
        <v>143</v>
      </c>
      <c r="T1833" s="91" t="s">
        <v>2677</v>
      </c>
      <c r="V1833" s="91" t="s">
        <v>155</v>
      </c>
      <c r="W1833" s="91" t="s">
        <v>180</v>
      </c>
    </row>
    <row r="1834" spans="1:23">
      <c r="A1834" s="93" t="str">
        <f>TEXT(tblProjectlist[[#This Row],[project-no]],"0")</f>
        <v>60231828</v>
      </c>
      <c r="H1834" s="91">
        <v>6023</v>
      </c>
      <c r="I1834" s="91">
        <v>18</v>
      </c>
      <c r="J1834" s="91">
        <v>2</v>
      </c>
      <c r="K1834" s="91" t="s">
        <v>782</v>
      </c>
      <c r="L1834" s="91" t="s">
        <v>2175</v>
      </c>
      <c r="M1834" s="91" t="s">
        <v>4</v>
      </c>
      <c r="Q1834" s="91"/>
      <c r="S1834" s="91" t="s">
        <v>143</v>
      </c>
      <c r="T1834" s="91" t="s">
        <v>2678</v>
      </c>
      <c r="V1834" s="91" t="s">
        <v>155</v>
      </c>
      <c r="W1834" s="91" t="s">
        <v>180</v>
      </c>
    </row>
    <row r="1835" spans="1:23">
      <c r="A1835" s="93" t="str">
        <f>TEXT(tblProjectlist[[#This Row],[project-no]],"0")</f>
        <v>99963828</v>
      </c>
      <c r="H1835" s="91">
        <v>6023</v>
      </c>
      <c r="I1835" s="91">
        <v>16</v>
      </c>
      <c r="J1835" s="91">
        <v>2</v>
      </c>
      <c r="K1835" s="91" t="s">
        <v>1757</v>
      </c>
      <c r="L1835" s="91" t="s">
        <v>2175</v>
      </c>
      <c r="M1835" s="91" t="s">
        <v>4</v>
      </c>
      <c r="Q1835" s="91"/>
      <c r="S1835" s="91" t="s">
        <v>143</v>
      </c>
      <c r="T1835" s="91" t="s">
        <v>2676</v>
      </c>
      <c r="W1835" s="91" t="s">
        <v>180</v>
      </c>
    </row>
    <row r="1836" spans="1:23">
      <c r="A1836" s="93" t="str">
        <f>TEXT(tblProjectlist[[#This Row],[project-no]],"0")</f>
        <v>99965628</v>
      </c>
      <c r="H1836" s="91">
        <v>6023</v>
      </c>
      <c r="I1836" s="91">
        <v>17</v>
      </c>
      <c r="J1836" s="91">
        <v>2</v>
      </c>
      <c r="K1836" s="91" t="s">
        <v>1774</v>
      </c>
      <c r="L1836" s="91" t="s">
        <v>2175</v>
      </c>
      <c r="M1836" s="91" t="s">
        <v>4</v>
      </c>
      <c r="Q1836" s="91"/>
      <c r="S1836" s="91" t="s">
        <v>143</v>
      </c>
      <c r="T1836" s="91" t="s">
        <v>2677</v>
      </c>
      <c r="W1836" s="91" t="s">
        <v>180</v>
      </c>
    </row>
    <row r="1837" spans="1:23">
      <c r="A1837" s="93" t="str">
        <f>TEXT(tblProjectlist[[#This Row],[project-no]],"0")</f>
        <v>99967928</v>
      </c>
      <c r="H1837" s="91">
        <v>6023</v>
      </c>
      <c r="I1837" s="91">
        <v>18</v>
      </c>
      <c r="J1837" s="91">
        <v>2</v>
      </c>
      <c r="K1837" s="91" t="s">
        <v>1796</v>
      </c>
      <c r="L1837" s="91" t="s">
        <v>2175</v>
      </c>
      <c r="M1837" s="91" t="s">
        <v>4</v>
      </c>
      <c r="Q1837" s="91"/>
      <c r="S1837" s="91" t="s">
        <v>143</v>
      </c>
      <c r="T1837" s="91" t="s">
        <v>2678</v>
      </c>
      <c r="V1837" s="91" t="s">
        <v>155</v>
      </c>
      <c r="W1837" s="91" t="s">
        <v>180</v>
      </c>
    </row>
    <row r="1838" spans="1:23">
      <c r="A1838" s="93" t="str">
        <f>TEXT(tblProjectlist[[#This Row],[project-no]],"0")</f>
        <v>60270726</v>
      </c>
      <c r="H1838" s="91">
        <v>6027</v>
      </c>
      <c r="I1838" s="91">
        <v>7</v>
      </c>
      <c r="J1838" s="91">
        <v>2</v>
      </c>
      <c r="K1838" s="91" t="s">
        <v>788</v>
      </c>
      <c r="L1838" s="91" t="s">
        <v>62</v>
      </c>
      <c r="M1838" s="91" t="s">
        <v>4</v>
      </c>
      <c r="Q1838" s="91"/>
      <c r="S1838" s="91" t="s">
        <v>143</v>
      </c>
      <c r="T1838" s="91" t="s">
        <v>2684</v>
      </c>
      <c r="V1838" s="91" t="s">
        <v>155</v>
      </c>
      <c r="W1838" s="91" t="s">
        <v>180</v>
      </c>
    </row>
    <row r="1839" spans="1:23">
      <c r="A1839" s="93" t="str">
        <f>TEXT(tblProjectlist[[#This Row],[project-no]],"0")</f>
        <v>60270826</v>
      </c>
      <c r="H1839" s="91">
        <v>6027</v>
      </c>
      <c r="I1839" s="91">
        <v>8</v>
      </c>
      <c r="J1839" s="91">
        <v>2</v>
      </c>
      <c r="K1839" s="91" t="s">
        <v>789</v>
      </c>
      <c r="L1839" s="91" t="s">
        <v>62</v>
      </c>
      <c r="M1839" s="91" t="s">
        <v>4</v>
      </c>
      <c r="Q1839" s="91"/>
      <c r="S1839" s="91" t="s">
        <v>143</v>
      </c>
      <c r="T1839" s="91" t="s">
        <v>2685</v>
      </c>
      <c r="V1839" s="91" t="s">
        <v>155</v>
      </c>
      <c r="W1839" s="91" t="s">
        <v>180</v>
      </c>
    </row>
    <row r="1840" spans="1:23">
      <c r="A1840" s="93" t="str">
        <f>TEXT(tblProjectlist[[#This Row],[project-no]],"0")</f>
        <v>60270928</v>
      </c>
      <c r="H1840" s="91">
        <v>6027</v>
      </c>
      <c r="I1840" s="91">
        <v>9</v>
      </c>
      <c r="J1840" s="91">
        <v>2</v>
      </c>
      <c r="K1840" s="91" t="s">
        <v>790</v>
      </c>
      <c r="L1840" s="91" t="s">
        <v>62</v>
      </c>
      <c r="M1840" s="91" t="s">
        <v>4</v>
      </c>
      <c r="Q1840" s="91"/>
      <c r="S1840" s="91" t="s">
        <v>143</v>
      </c>
      <c r="T1840" s="91" t="s">
        <v>2686</v>
      </c>
      <c r="W1840" s="91" t="s">
        <v>180</v>
      </c>
    </row>
    <row r="1841" spans="1:23">
      <c r="A1841" s="93" t="str">
        <f>TEXT(tblProjectlist[[#This Row],[project-no]],"0")</f>
        <v>75710244</v>
      </c>
      <c r="H1841" s="91">
        <v>7571</v>
      </c>
      <c r="I1841" s="91">
        <v>2</v>
      </c>
      <c r="J1841" s="91">
        <v>4</v>
      </c>
      <c r="K1841" s="91" t="s">
        <v>1028</v>
      </c>
      <c r="L1841" s="91" t="s">
        <v>58</v>
      </c>
      <c r="M1841" s="91" t="s">
        <v>1</v>
      </c>
      <c r="Q1841" s="91"/>
      <c r="S1841" s="91" t="s">
        <v>143</v>
      </c>
      <c r="T1841" s="91" t="s">
        <v>2895</v>
      </c>
      <c r="W1841" s="91" t="s">
        <v>180</v>
      </c>
    </row>
    <row r="1842" spans="1:23">
      <c r="A1842" s="93" t="str">
        <f>TEXT(tblProjectlist[[#This Row],[project-no]],"0")</f>
        <v>75710328</v>
      </c>
      <c r="H1842" s="91">
        <v>7571</v>
      </c>
      <c r="I1842" s="91">
        <v>3</v>
      </c>
      <c r="J1842" s="91">
        <v>2</v>
      </c>
      <c r="K1842" s="91" t="s">
        <v>1029</v>
      </c>
      <c r="L1842" s="91" t="s">
        <v>2175</v>
      </c>
      <c r="M1842" s="91" t="s">
        <v>4</v>
      </c>
      <c r="Q1842" s="91"/>
      <c r="S1842" s="91" t="s">
        <v>143</v>
      </c>
      <c r="T1842" s="91" t="s">
        <v>2896</v>
      </c>
      <c r="V1842" s="91" t="s">
        <v>155</v>
      </c>
      <c r="W1842" s="91" t="s">
        <v>180</v>
      </c>
    </row>
    <row r="1843" spans="1:23">
      <c r="A1843" s="93" t="str">
        <f>TEXT(tblProjectlist[[#This Row],[project-no]],"0")</f>
        <v>0</v>
      </c>
      <c r="H1843" s="91">
        <v>7545</v>
      </c>
      <c r="I1843" s="91">
        <v>3</v>
      </c>
      <c r="J1843" s="91">
        <v>2</v>
      </c>
      <c r="K1843" s="91"/>
      <c r="L1843" s="91" t="s">
        <v>2175</v>
      </c>
      <c r="M1843" s="91" t="s">
        <v>4</v>
      </c>
      <c r="Q1843" s="91"/>
      <c r="S1843" s="91" t="s">
        <v>143</v>
      </c>
      <c r="T1843" s="91" t="s">
        <v>4729</v>
      </c>
      <c r="V1843" s="91" t="s">
        <v>155</v>
      </c>
      <c r="W1843" s="91" t="s">
        <v>180</v>
      </c>
    </row>
    <row r="1844" spans="1:23">
      <c r="A1844" s="93" t="str">
        <f>TEXT(tblProjectlist[[#This Row],[project-no]],"0")</f>
        <v>76430528</v>
      </c>
      <c r="H1844" s="91">
        <v>7643</v>
      </c>
      <c r="I1844" s="91">
        <v>5</v>
      </c>
      <c r="J1844" s="91">
        <v>2</v>
      </c>
      <c r="K1844" s="91" t="s">
        <v>1076</v>
      </c>
      <c r="L1844" s="91" t="s">
        <v>2175</v>
      </c>
      <c r="M1844" s="91" t="s">
        <v>4</v>
      </c>
      <c r="Q1844" s="91"/>
      <c r="S1844" s="91" t="s">
        <v>143</v>
      </c>
      <c r="T1844" s="91" t="s">
        <v>2942</v>
      </c>
      <c r="V1844" s="91" t="s">
        <v>155</v>
      </c>
      <c r="W1844" s="91" t="s">
        <v>180</v>
      </c>
    </row>
    <row r="1845" spans="1:23">
      <c r="A1845" s="93" t="str">
        <f>TEXT(tblProjectlist[[#This Row],[project-no]],"0")</f>
        <v>0</v>
      </c>
      <c r="H1845" s="91">
        <v>6141</v>
      </c>
      <c r="I1845" s="91">
        <v>2</v>
      </c>
      <c r="J1845" s="91">
        <v>2</v>
      </c>
      <c r="K1845" s="91"/>
      <c r="L1845" s="91" t="s">
        <v>2175</v>
      </c>
      <c r="M1845" s="91" t="s">
        <v>4</v>
      </c>
      <c r="Q1845" s="91"/>
      <c r="S1845" s="91" t="s">
        <v>143</v>
      </c>
      <c r="T1845" s="91" t="s">
        <v>4506</v>
      </c>
      <c r="V1845" s="91" t="s">
        <v>155</v>
      </c>
      <c r="W1845" s="91" t="s">
        <v>180</v>
      </c>
    </row>
    <row r="1846" spans="1:23">
      <c r="A1846" s="93" t="str">
        <f>TEXT(tblProjectlist[[#This Row],[project-no]],"0")</f>
        <v>12025128</v>
      </c>
      <c r="H1846" s="91">
        <v>1202</v>
      </c>
      <c r="I1846" s="91">
        <v>51</v>
      </c>
      <c r="J1846" s="91">
        <v>2</v>
      </c>
      <c r="K1846" s="91" t="s">
        <v>233</v>
      </c>
      <c r="L1846" s="91" t="s">
        <v>2175</v>
      </c>
      <c r="M1846" s="91" t="s">
        <v>4</v>
      </c>
      <c r="Q1846" s="91"/>
      <c r="S1846" s="91" t="s">
        <v>143</v>
      </c>
      <c r="T1846" s="91" t="s">
        <v>2226</v>
      </c>
      <c r="V1846" s="91" t="s">
        <v>155</v>
      </c>
      <c r="W1846" s="91" t="s">
        <v>180</v>
      </c>
    </row>
    <row r="1847" spans="1:23">
      <c r="A1847" s="93" t="str">
        <f>TEXT(tblProjectlist[[#This Row],[project-no]],"0")</f>
        <v>12025228</v>
      </c>
      <c r="H1847" s="91">
        <v>1202</v>
      </c>
      <c r="I1847" s="91">
        <v>52</v>
      </c>
      <c r="J1847" s="91">
        <v>2</v>
      </c>
      <c r="K1847" s="91" t="s">
        <v>234</v>
      </c>
      <c r="L1847" s="91" t="s">
        <v>2175</v>
      </c>
      <c r="M1847" s="91" t="s">
        <v>4</v>
      </c>
      <c r="Q1847" s="91"/>
      <c r="S1847" s="91" t="s">
        <v>143</v>
      </c>
      <c r="T1847" s="91" t="s">
        <v>2227</v>
      </c>
      <c r="V1847" s="91" t="s">
        <v>155</v>
      </c>
      <c r="W1847" s="91" t="s">
        <v>180</v>
      </c>
    </row>
    <row r="1848" spans="1:23">
      <c r="A1848" s="93" t="str">
        <f>TEXT(tblProjectlist[[#This Row],[project-no]],"0")</f>
        <v>12025428</v>
      </c>
      <c r="H1848" s="91">
        <v>1202</v>
      </c>
      <c r="I1848" s="91">
        <v>54</v>
      </c>
      <c r="J1848" s="91">
        <v>2</v>
      </c>
      <c r="K1848" s="91" t="s">
        <v>235</v>
      </c>
      <c r="L1848" s="91" t="s">
        <v>2175</v>
      </c>
      <c r="M1848" s="91" t="s">
        <v>4</v>
      </c>
      <c r="Q1848" s="91"/>
      <c r="S1848" s="91" t="s">
        <v>143</v>
      </c>
      <c r="T1848" s="91" t="s">
        <v>2228</v>
      </c>
      <c r="V1848" s="91" t="s">
        <v>155</v>
      </c>
      <c r="W1848" s="91" t="s">
        <v>180</v>
      </c>
    </row>
    <row r="1849" spans="1:23">
      <c r="A1849" s="93" t="str">
        <f>TEXT(tblProjectlist[[#This Row],[project-no]],"0")</f>
        <v>12025628</v>
      </c>
      <c r="H1849" s="91">
        <v>1202</v>
      </c>
      <c r="I1849" s="91">
        <v>56</v>
      </c>
      <c r="J1849" s="91">
        <v>2</v>
      </c>
      <c r="K1849" s="91" t="s">
        <v>236</v>
      </c>
      <c r="L1849" s="91" t="s">
        <v>2175</v>
      </c>
      <c r="M1849" s="91" t="s">
        <v>4</v>
      </c>
      <c r="Q1849" s="91"/>
      <c r="S1849" s="91" t="s">
        <v>143</v>
      </c>
      <c r="T1849" s="91" t="s">
        <v>2229</v>
      </c>
      <c r="V1849" s="91" t="s">
        <v>155</v>
      </c>
      <c r="W1849" s="91" t="s">
        <v>180</v>
      </c>
    </row>
    <row r="1850" spans="1:23">
      <c r="A1850" s="93" t="str">
        <f>TEXT(tblProjectlist[[#This Row],[project-no]],"0")</f>
        <v>12025928</v>
      </c>
      <c r="H1850" s="91">
        <v>1202</v>
      </c>
      <c r="I1850" s="91">
        <v>59</v>
      </c>
      <c r="J1850" s="91">
        <v>2</v>
      </c>
      <c r="K1850" s="91" t="s">
        <v>237</v>
      </c>
      <c r="L1850" s="91" t="s">
        <v>2175</v>
      </c>
      <c r="M1850" s="91" t="s">
        <v>4</v>
      </c>
      <c r="Q1850" s="91"/>
      <c r="S1850" s="91" t="s">
        <v>143</v>
      </c>
      <c r="T1850" s="91" t="s">
        <v>2230</v>
      </c>
      <c r="V1850" s="91" t="s">
        <v>155</v>
      </c>
      <c r="W1850" s="91" t="s">
        <v>180</v>
      </c>
    </row>
    <row r="1851" spans="1:23">
      <c r="A1851" s="93" t="str">
        <f>TEXT(tblProjectlist[[#This Row],[project-no]],"0")</f>
        <v>12026028</v>
      </c>
      <c r="H1851" s="91">
        <v>1202</v>
      </c>
      <c r="I1851" s="91">
        <v>60</v>
      </c>
      <c r="J1851" s="91">
        <v>2</v>
      </c>
      <c r="K1851" s="91" t="s">
        <v>238</v>
      </c>
      <c r="L1851" s="91" t="s">
        <v>2175</v>
      </c>
      <c r="M1851" s="91" t="s">
        <v>4</v>
      </c>
      <c r="Q1851" s="91"/>
      <c r="S1851" s="91" t="s">
        <v>143</v>
      </c>
      <c r="T1851" s="91" t="s">
        <v>2231</v>
      </c>
      <c r="V1851" s="91" t="s">
        <v>155</v>
      </c>
      <c r="W1851" s="91" t="s">
        <v>180</v>
      </c>
    </row>
    <row r="1852" spans="1:23">
      <c r="A1852" s="93" t="str">
        <f>TEXT(tblProjectlist[[#This Row],[project-no]],"0")</f>
        <v>12026128</v>
      </c>
      <c r="H1852" s="91">
        <v>1202</v>
      </c>
      <c r="I1852" s="91">
        <v>61</v>
      </c>
      <c r="J1852" s="91">
        <v>2</v>
      </c>
      <c r="K1852" s="91" t="s">
        <v>239</v>
      </c>
      <c r="L1852" s="91" t="s">
        <v>2175</v>
      </c>
      <c r="M1852" s="91" t="s">
        <v>4</v>
      </c>
      <c r="Q1852" s="91"/>
      <c r="S1852" s="91" t="s">
        <v>143</v>
      </c>
      <c r="T1852" s="91" t="s">
        <v>2232</v>
      </c>
      <c r="V1852" s="91" t="s">
        <v>155</v>
      </c>
      <c r="W1852" s="91" t="s">
        <v>180</v>
      </c>
    </row>
    <row r="1853" spans="1:23">
      <c r="A1853" s="93" t="str">
        <f>TEXT(tblProjectlist[[#This Row],[project-no]],"0")</f>
        <v>12026228</v>
      </c>
      <c r="H1853" s="91">
        <v>1202</v>
      </c>
      <c r="I1853" s="91">
        <v>62</v>
      </c>
      <c r="J1853" s="91">
        <v>2</v>
      </c>
      <c r="K1853" s="91" t="s">
        <v>240</v>
      </c>
      <c r="L1853" s="91" t="s">
        <v>2175</v>
      </c>
      <c r="M1853" s="91" t="s">
        <v>4</v>
      </c>
      <c r="Q1853" s="91"/>
      <c r="S1853" s="91" t="s">
        <v>143</v>
      </c>
      <c r="T1853" s="91" t="s">
        <v>2233</v>
      </c>
      <c r="V1853" s="91" t="s">
        <v>155</v>
      </c>
      <c r="W1853" s="91" t="s">
        <v>180</v>
      </c>
    </row>
    <row r="1854" spans="1:23">
      <c r="A1854" s="93" t="str">
        <f>TEXT(tblProjectlist[[#This Row],[project-no]],"0")</f>
        <v>0</v>
      </c>
      <c r="H1854" s="91">
        <v>1203</v>
      </c>
      <c r="I1854" s="91">
        <v>66</v>
      </c>
      <c r="J1854" s="91">
        <v>2</v>
      </c>
      <c r="K1854" s="91"/>
      <c r="L1854" s="91" t="s">
        <v>2175</v>
      </c>
      <c r="M1854" s="91" t="s">
        <v>4</v>
      </c>
      <c r="Q1854" s="91"/>
      <c r="S1854" s="91" t="s">
        <v>143</v>
      </c>
      <c r="T1854" s="91" t="s">
        <v>3831</v>
      </c>
      <c r="V1854" s="91" t="s">
        <v>155</v>
      </c>
      <c r="W1854" s="91" t="s">
        <v>180</v>
      </c>
    </row>
    <row r="1855" spans="1:23">
      <c r="A1855" s="93" t="str">
        <f>TEXT(tblProjectlist[[#This Row],[project-no]],"0")</f>
        <v>0</v>
      </c>
      <c r="H1855" s="91">
        <v>1203</v>
      </c>
      <c r="I1855" s="91">
        <v>69</v>
      </c>
      <c r="J1855" s="91">
        <v>2</v>
      </c>
      <c r="K1855" s="91"/>
      <c r="L1855" s="91" t="s">
        <v>2175</v>
      </c>
      <c r="M1855" s="91" t="s">
        <v>4</v>
      </c>
      <c r="Q1855" s="91"/>
      <c r="S1855" s="91" t="s">
        <v>143</v>
      </c>
      <c r="T1855" s="91" t="s">
        <v>4035</v>
      </c>
      <c r="V1855" s="91" t="s">
        <v>155</v>
      </c>
      <c r="W1855" s="91" t="s">
        <v>180</v>
      </c>
    </row>
    <row r="1856" spans="1:23">
      <c r="A1856" s="93" t="str">
        <f>TEXT(tblProjectlist[[#This Row],[project-no]],"0")</f>
        <v>0</v>
      </c>
      <c r="H1856" s="91">
        <v>1203</v>
      </c>
      <c r="I1856" s="91">
        <v>72</v>
      </c>
      <c r="J1856" s="91">
        <v>2</v>
      </c>
      <c r="K1856" s="91"/>
      <c r="L1856" s="91" t="s">
        <v>2175</v>
      </c>
      <c r="M1856" s="91" t="s">
        <v>4</v>
      </c>
      <c r="Q1856" s="91"/>
      <c r="S1856" s="91" t="s">
        <v>143</v>
      </c>
      <c r="T1856" s="91" t="s">
        <v>4216</v>
      </c>
      <c r="V1856" s="91" t="s">
        <v>155</v>
      </c>
      <c r="W1856" s="91" t="s">
        <v>180</v>
      </c>
    </row>
    <row r="1857" spans="1:23">
      <c r="A1857" s="93" t="str">
        <f>TEXT(tblProjectlist[[#This Row],[project-no]],"0")</f>
        <v>0</v>
      </c>
      <c r="H1857" s="91">
        <v>1203</v>
      </c>
      <c r="I1857" s="91">
        <v>73</v>
      </c>
      <c r="J1857" s="91">
        <v>2</v>
      </c>
      <c r="K1857" s="91"/>
      <c r="L1857" s="91" t="s">
        <v>2175</v>
      </c>
      <c r="M1857" s="91" t="s">
        <v>4</v>
      </c>
      <c r="Q1857" s="91"/>
      <c r="S1857" s="91" t="s">
        <v>143</v>
      </c>
      <c r="T1857" s="91" t="s">
        <v>4253</v>
      </c>
      <c r="V1857" s="91" t="s">
        <v>155</v>
      </c>
      <c r="W1857" s="91" t="s">
        <v>180</v>
      </c>
    </row>
    <row r="1858" spans="1:23">
      <c r="A1858" s="93" t="str">
        <f>TEXT(tblProjectlist[[#This Row],[project-no]],"0")</f>
        <v>0</v>
      </c>
      <c r="H1858" s="91">
        <v>1203</v>
      </c>
      <c r="I1858" s="91">
        <v>74</v>
      </c>
      <c r="J1858" s="91">
        <v>2</v>
      </c>
      <c r="K1858" s="91"/>
      <c r="L1858" s="91" t="s">
        <v>2175</v>
      </c>
      <c r="M1858" s="91" t="s">
        <v>4</v>
      </c>
      <c r="Q1858" s="91"/>
      <c r="S1858" s="91" t="s">
        <v>143</v>
      </c>
      <c r="T1858" s="91" t="s">
        <v>4320</v>
      </c>
      <c r="V1858" s="91" t="s">
        <v>155</v>
      </c>
      <c r="W1858" s="91" t="s">
        <v>180</v>
      </c>
    </row>
    <row r="1859" spans="1:23">
      <c r="A1859" s="93" t="str">
        <f>TEXT(tblProjectlist[[#This Row],[project-no]],"0")</f>
        <v>0</v>
      </c>
      <c r="H1859" s="91">
        <v>1203</v>
      </c>
      <c r="I1859" s="91">
        <v>75</v>
      </c>
      <c r="J1859" s="91">
        <v>2</v>
      </c>
      <c r="K1859" s="91"/>
      <c r="L1859" s="91" t="s">
        <v>2175</v>
      </c>
      <c r="M1859" s="91" t="s">
        <v>4</v>
      </c>
      <c r="Q1859" s="91"/>
      <c r="S1859" s="91" t="s">
        <v>143</v>
      </c>
      <c r="T1859" s="91" t="s">
        <v>4571</v>
      </c>
      <c r="V1859" s="91" t="s">
        <v>155</v>
      </c>
      <c r="W1859" s="91" t="s">
        <v>180</v>
      </c>
    </row>
    <row r="1860" spans="1:23">
      <c r="A1860" s="93" t="str">
        <f>TEXT(tblProjectlist[[#This Row],[project-no]],"0")</f>
        <v>0</v>
      </c>
      <c r="H1860" s="91">
        <v>1203</v>
      </c>
      <c r="I1860" s="91">
        <v>76</v>
      </c>
      <c r="J1860" s="91">
        <v>2</v>
      </c>
      <c r="K1860" s="91"/>
      <c r="L1860" s="91" t="s">
        <v>2175</v>
      </c>
      <c r="M1860" s="91" t="s">
        <v>4</v>
      </c>
      <c r="Q1860" s="91"/>
      <c r="S1860" s="91" t="s">
        <v>143</v>
      </c>
      <c r="T1860" s="91" t="s">
        <v>4572</v>
      </c>
      <c r="V1860" s="91" t="s">
        <v>155</v>
      </c>
      <c r="W1860" s="91" t="s">
        <v>180</v>
      </c>
    </row>
    <row r="1861" spans="1:23">
      <c r="A1861" s="93" t="str">
        <f>TEXT(tblProjectlist[[#This Row],[project-no]],"0")</f>
        <v>12034228</v>
      </c>
      <c r="H1861" s="91">
        <v>1203</v>
      </c>
      <c r="I1861" s="91">
        <v>42</v>
      </c>
      <c r="J1861" s="91">
        <v>2</v>
      </c>
      <c r="K1861" s="91" t="s">
        <v>241</v>
      </c>
      <c r="L1861" s="91" t="s">
        <v>2175</v>
      </c>
      <c r="M1861" s="91" t="s">
        <v>4</v>
      </c>
      <c r="Q1861" s="91"/>
      <c r="S1861" s="91" t="s">
        <v>143</v>
      </c>
      <c r="T1861" s="91" t="s">
        <v>2234</v>
      </c>
      <c r="V1861" s="91" t="s">
        <v>155</v>
      </c>
      <c r="W1861" s="91" t="s">
        <v>180</v>
      </c>
    </row>
    <row r="1862" spans="1:23">
      <c r="A1862" s="93" t="str">
        <f>TEXT(tblProjectlist[[#This Row],[project-no]],"0")</f>
        <v>12034328</v>
      </c>
      <c r="H1862" s="91">
        <v>1203</v>
      </c>
      <c r="I1862" s="91">
        <v>43</v>
      </c>
      <c r="J1862" s="91">
        <v>2</v>
      </c>
      <c r="K1862" s="91" t="s">
        <v>242</v>
      </c>
      <c r="L1862" s="91" t="s">
        <v>2175</v>
      </c>
      <c r="M1862" s="91" t="s">
        <v>4</v>
      </c>
      <c r="Q1862" s="91"/>
      <c r="S1862" s="91" t="s">
        <v>143</v>
      </c>
      <c r="T1862" s="91" t="s">
        <v>2235</v>
      </c>
      <c r="V1862" s="91" t="s">
        <v>155</v>
      </c>
      <c r="W1862" s="91" t="s">
        <v>180</v>
      </c>
    </row>
    <row r="1863" spans="1:23">
      <c r="A1863" s="93" t="str">
        <f>TEXT(tblProjectlist[[#This Row],[project-no]],"0")</f>
        <v>12034528</v>
      </c>
      <c r="H1863" s="91">
        <v>1203</v>
      </c>
      <c r="I1863" s="91">
        <v>45</v>
      </c>
      <c r="J1863" s="91">
        <v>2</v>
      </c>
      <c r="K1863" s="91" t="s">
        <v>243</v>
      </c>
      <c r="L1863" s="91" t="s">
        <v>2175</v>
      </c>
      <c r="M1863" s="91" t="s">
        <v>4</v>
      </c>
      <c r="Q1863" s="91"/>
      <c r="S1863" s="91" t="s">
        <v>143</v>
      </c>
      <c r="T1863" s="91" t="s">
        <v>2236</v>
      </c>
      <c r="V1863" s="91" t="s">
        <v>155</v>
      </c>
      <c r="W1863" s="91" t="s">
        <v>180</v>
      </c>
    </row>
    <row r="1864" spans="1:23">
      <c r="A1864" s="93" t="str">
        <f>TEXT(tblProjectlist[[#This Row],[project-no]],"0")</f>
        <v>12034828</v>
      </c>
      <c r="H1864" s="91">
        <v>1203</v>
      </c>
      <c r="I1864" s="91">
        <v>48</v>
      </c>
      <c r="J1864" s="91">
        <v>2</v>
      </c>
      <c r="K1864" s="91" t="s">
        <v>244</v>
      </c>
      <c r="L1864" s="91" t="s">
        <v>2175</v>
      </c>
      <c r="M1864" s="91" t="s">
        <v>4</v>
      </c>
      <c r="Q1864" s="91"/>
      <c r="S1864" s="91" t="s">
        <v>143</v>
      </c>
      <c r="T1864" s="91" t="s">
        <v>2237</v>
      </c>
      <c r="V1864" s="91" t="s">
        <v>155</v>
      </c>
      <c r="W1864" s="91" t="s">
        <v>180</v>
      </c>
    </row>
    <row r="1865" spans="1:23">
      <c r="A1865" s="93" t="str">
        <f>TEXT(tblProjectlist[[#This Row],[project-no]],"0")</f>
        <v>12034928</v>
      </c>
      <c r="H1865" s="91">
        <v>1203</v>
      </c>
      <c r="I1865" s="91">
        <v>49</v>
      </c>
      <c r="J1865" s="91">
        <v>2</v>
      </c>
      <c r="K1865" s="91" t="s">
        <v>245</v>
      </c>
      <c r="L1865" s="91" t="s">
        <v>2175</v>
      </c>
      <c r="M1865" s="91" t="s">
        <v>4</v>
      </c>
      <c r="Q1865" s="91"/>
      <c r="S1865" s="91" t="s">
        <v>143</v>
      </c>
      <c r="T1865" s="91" t="s">
        <v>2238</v>
      </c>
      <c r="V1865" s="91" t="s">
        <v>155</v>
      </c>
      <c r="W1865" s="91" t="s">
        <v>180</v>
      </c>
    </row>
    <row r="1866" spans="1:23">
      <c r="A1866" s="93" t="str">
        <f>TEXT(tblProjectlist[[#This Row],[project-no]],"0")</f>
        <v>12035328</v>
      </c>
      <c r="H1866" s="91">
        <v>1203</v>
      </c>
      <c r="I1866" s="91">
        <v>53</v>
      </c>
      <c r="J1866" s="91">
        <v>2</v>
      </c>
      <c r="K1866" s="91" t="s">
        <v>246</v>
      </c>
      <c r="L1866" s="91" t="s">
        <v>2175</v>
      </c>
      <c r="M1866" s="91" t="s">
        <v>4</v>
      </c>
      <c r="Q1866" s="91"/>
      <c r="S1866" s="91" t="s">
        <v>143</v>
      </c>
      <c r="T1866" s="91" t="s">
        <v>2239</v>
      </c>
      <c r="V1866" s="91" t="s">
        <v>155</v>
      </c>
      <c r="W1866" s="91" t="s">
        <v>180</v>
      </c>
    </row>
    <row r="1867" spans="1:23">
      <c r="A1867" s="93" t="str">
        <f>TEXT(tblProjectlist[[#This Row],[project-no]],"0")</f>
        <v>12035728</v>
      </c>
      <c r="H1867" s="91">
        <v>1203</v>
      </c>
      <c r="I1867" s="91">
        <v>57</v>
      </c>
      <c r="J1867" s="91">
        <v>2</v>
      </c>
      <c r="K1867" s="91" t="s">
        <v>247</v>
      </c>
      <c r="L1867" s="91" t="s">
        <v>2175</v>
      </c>
      <c r="M1867" s="91" t="s">
        <v>4</v>
      </c>
      <c r="Q1867" s="91"/>
      <c r="S1867" s="91" t="s">
        <v>143</v>
      </c>
      <c r="T1867" s="91" t="s">
        <v>2240</v>
      </c>
      <c r="V1867" s="91" t="s">
        <v>155</v>
      </c>
      <c r="W1867" s="91" t="s">
        <v>180</v>
      </c>
    </row>
    <row r="1868" spans="1:23">
      <c r="A1868" s="93" t="str">
        <f>TEXT(tblProjectlist[[#This Row],[project-no]],"0")</f>
        <v>12035928</v>
      </c>
      <c r="H1868" s="91">
        <v>1203</v>
      </c>
      <c r="I1868" s="91">
        <v>59</v>
      </c>
      <c r="J1868" s="91">
        <v>2</v>
      </c>
      <c r="K1868" s="91" t="s">
        <v>248</v>
      </c>
      <c r="L1868" s="91" t="s">
        <v>2175</v>
      </c>
      <c r="M1868" s="91" t="s">
        <v>4</v>
      </c>
      <c r="Q1868" s="91"/>
      <c r="S1868" s="91" t="s">
        <v>143</v>
      </c>
      <c r="T1868" s="91" t="s">
        <v>2241</v>
      </c>
      <c r="V1868" s="91" t="s">
        <v>155</v>
      </c>
      <c r="W1868" s="91" t="s">
        <v>180</v>
      </c>
    </row>
    <row r="1869" spans="1:23">
      <c r="A1869" s="93" t="str">
        <f>TEXT(tblProjectlist[[#This Row],[project-no]],"0")</f>
        <v>12036028</v>
      </c>
      <c r="H1869" s="91">
        <v>1203</v>
      </c>
      <c r="I1869" s="91">
        <v>60</v>
      </c>
      <c r="J1869" s="91">
        <v>2</v>
      </c>
      <c r="K1869" s="91" t="s">
        <v>249</v>
      </c>
      <c r="L1869" s="91" t="s">
        <v>2175</v>
      </c>
      <c r="M1869" s="91" t="s">
        <v>4</v>
      </c>
      <c r="Q1869" s="91"/>
      <c r="S1869" s="91" t="s">
        <v>143</v>
      </c>
      <c r="T1869" s="91" t="s">
        <v>2242</v>
      </c>
      <c r="V1869" s="91" t="s">
        <v>155</v>
      </c>
      <c r="W1869" s="91" t="s">
        <v>180</v>
      </c>
    </row>
    <row r="1870" spans="1:23">
      <c r="A1870" s="93" t="str">
        <f>TEXT(tblProjectlist[[#This Row],[project-no]],"0")</f>
        <v>12036128</v>
      </c>
      <c r="H1870" s="91">
        <v>1203</v>
      </c>
      <c r="I1870" s="91">
        <v>61</v>
      </c>
      <c r="J1870" s="91">
        <v>2</v>
      </c>
      <c r="K1870" s="91" t="s">
        <v>250</v>
      </c>
      <c r="L1870" s="91" t="s">
        <v>2175</v>
      </c>
      <c r="M1870" s="91" t="s">
        <v>4</v>
      </c>
      <c r="Q1870" s="91"/>
      <c r="S1870" s="91" t="s">
        <v>143</v>
      </c>
      <c r="T1870" s="91" t="s">
        <v>2243</v>
      </c>
      <c r="V1870" s="91" t="s">
        <v>155</v>
      </c>
      <c r="W1870" s="91" t="s">
        <v>180</v>
      </c>
    </row>
    <row r="1871" spans="1:23">
      <c r="A1871" s="93" t="str">
        <f>TEXT(tblProjectlist[[#This Row],[project-no]],"0")</f>
        <v>12036228</v>
      </c>
      <c r="H1871" s="91">
        <v>1203</v>
      </c>
      <c r="I1871" s="91">
        <v>62</v>
      </c>
      <c r="J1871" s="91">
        <v>2</v>
      </c>
      <c r="K1871" s="91" t="s">
        <v>251</v>
      </c>
      <c r="L1871" s="91" t="s">
        <v>2175</v>
      </c>
      <c r="M1871" s="91" t="s">
        <v>4</v>
      </c>
      <c r="Q1871" s="91"/>
      <c r="S1871" s="91" t="s">
        <v>143</v>
      </c>
      <c r="T1871" s="91" t="s">
        <v>2244</v>
      </c>
      <c r="V1871" s="91" t="s">
        <v>155</v>
      </c>
      <c r="W1871" s="91" t="s">
        <v>180</v>
      </c>
    </row>
    <row r="1872" spans="1:23">
      <c r="A1872" s="93" t="str">
        <f>TEXT(tblProjectlist[[#This Row],[project-no]],"0")</f>
        <v>12036328</v>
      </c>
      <c r="H1872" s="91">
        <v>1203</v>
      </c>
      <c r="I1872" s="91">
        <v>63</v>
      </c>
      <c r="J1872" s="91">
        <v>2</v>
      </c>
      <c r="K1872" s="91" t="s">
        <v>252</v>
      </c>
      <c r="L1872" s="91" t="s">
        <v>2175</v>
      </c>
      <c r="M1872" s="91" t="s">
        <v>4</v>
      </c>
      <c r="Q1872" s="91"/>
      <c r="S1872" s="91" t="s">
        <v>143</v>
      </c>
      <c r="T1872" s="91" t="s">
        <v>2245</v>
      </c>
      <c r="V1872" s="91" t="s">
        <v>155</v>
      </c>
      <c r="W1872" s="91" t="s">
        <v>180</v>
      </c>
    </row>
    <row r="1873" spans="1:23">
      <c r="A1873" s="93" t="str">
        <f>TEXT(tblProjectlist[[#This Row],[project-no]],"0")</f>
        <v>12036428</v>
      </c>
      <c r="H1873" s="91">
        <v>1203</v>
      </c>
      <c r="I1873" s="91">
        <v>64</v>
      </c>
      <c r="J1873" s="91">
        <v>2</v>
      </c>
      <c r="K1873" s="91" t="s">
        <v>253</v>
      </c>
      <c r="L1873" s="91" t="s">
        <v>2175</v>
      </c>
      <c r="M1873" s="91" t="s">
        <v>4</v>
      </c>
      <c r="Q1873" s="91"/>
      <c r="S1873" s="91" t="s">
        <v>143</v>
      </c>
      <c r="T1873" s="91" t="s">
        <v>2246</v>
      </c>
      <c r="V1873" s="91" t="s">
        <v>155</v>
      </c>
      <c r="W1873" s="91" t="s">
        <v>180</v>
      </c>
    </row>
    <row r="1874" spans="1:23">
      <c r="A1874" s="93" t="str">
        <f>TEXT(tblProjectlist[[#This Row],[project-no]],"0")</f>
        <v>0</v>
      </c>
      <c r="H1874" s="91">
        <v>1203</v>
      </c>
      <c r="I1874" s="91">
        <v>65</v>
      </c>
      <c r="J1874" s="91">
        <v>2</v>
      </c>
      <c r="K1874" s="91"/>
      <c r="L1874" s="91" t="s">
        <v>2175</v>
      </c>
      <c r="M1874" s="91" t="s">
        <v>4</v>
      </c>
      <c r="Q1874" s="91"/>
      <c r="S1874" s="91" t="s">
        <v>143</v>
      </c>
      <c r="T1874" s="91" t="s">
        <v>3760</v>
      </c>
      <c r="V1874" s="91" t="s">
        <v>155</v>
      </c>
      <c r="W1874" s="91" t="s">
        <v>180</v>
      </c>
    </row>
    <row r="1875" spans="1:23">
      <c r="A1875" s="93" t="str">
        <f>TEXT(tblProjectlist[[#This Row],[project-no]],"0")</f>
        <v>0</v>
      </c>
      <c r="H1875" s="91">
        <v>1203</v>
      </c>
      <c r="I1875" s="91">
        <v>67</v>
      </c>
      <c r="J1875" s="91">
        <v>2</v>
      </c>
      <c r="K1875" s="91"/>
      <c r="L1875" s="91" t="s">
        <v>2175</v>
      </c>
      <c r="M1875" s="91" t="s">
        <v>4</v>
      </c>
      <c r="Q1875" s="91"/>
      <c r="S1875" s="91" t="s">
        <v>143</v>
      </c>
      <c r="T1875" s="91" t="s">
        <v>3980</v>
      </c>
      <c r="V1875" s="91" t="s">
        <v>155</v>
      </c>
      <c r="W1875" s="91" t="s">
        <v>180</v>
      </c>
    </row>
    <row r="1876" spans="1:23">
      <c r="A1876" s="93" t="str">
        <f>TEXT(tblProjectlist[[#This Row],[project-no]],"0")</f>
        <v>0</v>
      </c>
      <c r="H1876" s="91">
        <v>1203</v>
      </c>
      <c r="I1876" s="91">
        <v>68</v>
      </c>
      <c r="J1876" s="91">
        <v>2</v>
      </c>
      <c r="K1876" s="91"/>
      <c r="L1876" s="91" t="s">
        <v>2175</v>
      </c>
      <c r="M1876" s="91" t="s">
        <v>4</v>
      </c>
      <c r="Q1876" s="91"/>
      <c r="S1876" s="91" t="s">
        <v>143</v>
      </c>
      <c r="T1876" s="91" t="s">
        <v>4024</v>
      </c>
      <c r="V1876" s="91" t="s">
        <v>155</v>
      </c>
      <c r="W1876" s="91" t="s">
        <v>180</v>
      </c>
    </row>
    <row r="1877" spans="1:23">
      <c r="A1877" s="93" t="str">
        <f>TEXT(tblProjectlist[[#This Row],[project-no]],"0")</f>
        <v>0</v>
      </c>
      <c r="H1877" s="91">
        <v>1203</v>
      </c>
      <c r="I1877" s="91">
        <v>70</v>
      </c>
      <c r="J1877" s="91">
        <v>2</v>
      </c>
      <c r="K1877" s="91"/>
      <c r="L1877" s="91" t="s">
        <v>2175</v>
      </c>
      <c r="M1877" s="91" t="s">
        <v>4</v>
      </c>
      <c r="Q1877" s="91"/>
      <c r="S1877" s="91" t="s">
        <v>143</v>
      </c>
      <c r="T1877" s="91" t="s">
        <v>4063</v>
      </c>
      <c r="V1877" s="91" t="s">
        <v>155</v>
      </c>
      <c r="W1877" s="91" t="s">
        <v>180</v>
      </c>
    </row>
    <row r="1878" spans="1:23">
      <c r="A1878" s="93" t="str">
        <f>TEXT(tblProjectlist[[#This Row],[project-no]],"0")</f>
        <v>0</v>
      </c>
      <c r="H1878" s="91">
        <v>1203</v>
      </c>
      <c r="I1878" s="91">
        <v>71</v>
      </c>
      <c r="J1878" s="91">
        <v>2</v>
      </c>
      <c r="K1878" s="91"/>
      <c r="L1878" s="91" t="s">
        <v>2175</v>
      </c>
      <c r="M1878" s="91" t="s">
        <v>4</v>
      </c>
      <c r="Q1878" s="91"/>
      <c r="S1878" s="91" t="s">
        <v>143</v>
      </c>
      <c r="T1878" s="91" t="s">
        <v>4179</v>
      </c>
      <c r="V1878" s="91" t="s">
        <v>155</v>
      </c>
      <c r="W1878" s="91" t="s">
        <v>180</v>
      </c>
    </row>
    <row r="1879" spans="1:23">
      <c r="A1879" s="93" t="str">
        <f>TEXT(tblProjectlist[[#This Row],[project-no]],"0")</f>
        <v>99947428</v>
      </c>
      <c r="H1879" s="91">
        <v>1203</v>
      </c>
      <c r="I1879" s="91">
        <v>53</v>
      </c>
      <c r="J1879" s="91">
        <v>2</v>
      </c>
      <c r="K1879" s="91" t="s">
        <v>1603</v>
      </c>
      <c r="L1879" s="91" t="s">
        <v>2175</v>
      </c>
      <c r="M1879" s="91" t="s">
        <v>4</v>
      </c>
      <c r="Q1879" s="91"/>
      <c r="S1879" s="91" t="s">
        <v>143</v>
      </c>
      <c r="T1879" s="91" t="s">
        <v>2239</v>
      </c>
      <c r="W1879" s="91" t="s">
        <v>180</v>
      </c>
    </row>
    <row r="1880" spans="1:23">
      <c r="A1880" s="93" t="str">
        <f>TEXT(tblProjectlist[[#This Row],[project-no]],"0")</f>
        <v>99961328</v>
      </c>
      <c r="H1880" s="91">
        <v>1203</v>
      </c>
      <c r="I1880" s="91">
        <v>57</v>
      </c>
      <c r="J1880" s="91">
        <v>2</v>
      </c>
      <c r="K1880" s="91" t="s">
        <v>1734</v>
      </c>
      <c r="L1880" s="91" t="s">
        <v>2175</v>
      </c>
      <c r="M1880" s="91" t="s">
        <v>4</v>
      </c>
      <c r="Q1880" s="91"/>
      <c r="S1880" s="91" t="s">
        <v>143</v>
      </c>
      <c r="T1880" s="91" t="s">
        <v>2240</v>
      </c>
      <c r="W1880" s="91" t="s">
        <v>180</v>
      </c>
    </row>
    <row r="1881" spans="1:23">
      <c r="A1881" s="93" t="str">
        <f>TEXT(tblProjectlist[[#This Row],[project-no]],"0")</f>
        <v>99965728</v>
      </c>
      <c r="H1881" s="91">
        <v>1203</v>
      </c>
      <c r="I1881" s="91">
        <v>59</v>
      </c>
      <c r="J1881" s="91">
        <v>2</v>
      </c>
      <c r="K1881" s="91" t="s">
        <v>1775</v>
      </c>
      <c r="L1881" s="91" t="s">
        <v>2175</v>
      </c>
      <c r="M1881" s="91" t="s">
        <v>4</v>
      </c>
      <c r="Q1881" s="91"/>
      <c r="S1881" s="91" t="s">
        <v>143</v>
      </c>
      <c r="T1881" s="91" t="s">
        <v>2241</v>
      </c>
      <c r="W1881" s="91" t="s">
        <v>180</v>
      </c>
    </row>
    <row r="1882" spans="1:23">
      <c r="A1882" s="93" t="str">
        <f>TEXT(tblProjectlist[[#This Row],[project-no]],"0")</f>
        <v>12040228</v>
      </c>
      <c r="H1882" s="91">
        <v>1204</v>
      </c>
      <c r="I1882" s="91">
        <v>2</v>
      </c>
      <c r="J1882" s="91">
        <v>2</v>
      </c>
      <c r="K1882" s="91" t="s">
        <v>254</v>
      </c>
      <c r="L1882" s="91" t="s">
        <v>2175</v>
      </c>
      <c r="M1882" s="91" t="s">
        <v>4</v>
      </c>
      <c r="Q1882" s="91"/>
      <c r="S1882" s="91" t="s">
        <v>143</v>
      </c>
      <c r="T1882" s="91" t="s">
        <v>2247</v>
      </c>
      <c r="V1882" s="91" t="s">
        <v>155</v>
      </c>
      <c r="W1882" s="91" t="s">
        <v>180</v>
      </c>
    </row>
    <row r="1883" spans="1:23">
      <c r="A1883" s="93" t="str">
        <f>TEXT(tblProjectlist[[#This Row],[project-no]],"0")</f>
        <v>12040328</v>
      </c>
      <c r="H1883" s="91">
        <v>1204</v>
      </c>
      <c r="I1883" s="91">
        <v>3</v>
      </c>
      <c r="J1883" s="91">
        <v>2</v>
      </c>
      <c r="K1883" s="91" t="s">
        <v>255</v>
      </c>
      <c r="L1883" s="91" t="s">
        <v>2175</v>
      </c>
      <c r="M1883" s="91" t="s">
        <v>4</v>
      </c>
      <c r="Q1883" s="91"/>
      <c r="S1883" s="91" t="s">
        <v>143</v>
      </c>
      <c r="T1883" s="91" t="s">
        <v>2248</v>
      </c>
      <c r="V1883" s="91" t="s">
        <v>155</v>
      </c>
      <c r="W1883" s="91" t="s">
        <v>180</v>
      </c>
    </row>
    <row r="1884" spans="1:23">
      <c r="A1884" s="93" t="str">
        <f>TEXT(tblProjectlist[[#This Row],[project-no]],"0")</f>
        <v>12040428</v>
      </c>
      <c r="H1884" s="91">
        <v>1204</v>
      </c>
      <c r="I1884" s="91">
        <v>4</v>
      </c>
      <c r="J1884" s="91">
        <v>2</v>
      </c>
      <c r="K1884" s="91" t="s">
        <v>256</v>
      </c>
      <c r="L1884" s="91" t="s">
        <v>2175</v>
      </c>
      <c r="M1884" s="91" t="s">
        <v>4</v>
      </c>
      <c r="Q1884" s="91"/>
      <c r="S1884" s="91" t="s">
        <v>143</v>
      </c>
      <c r="T1884" s="91" t="s">
        <v>2249</v>
      </c>
      <c r="V1884" s="91" t="s">
        <v>155</v>
      </c>
      <c r="W1884" s="91" t="s">
        <v>180</v>
      </c>
    </row>
    <row r="1885" spans="1:23">
      <c r="A1885" s="93" t="str">
        <f>TEXT(tblProjectlist[[#This Row],[project-no]],"0")</f>
        <v>12040528</v>
      </c>
      <c r="H1885" s="91">
        <v>1204</v>
      </c>
      <c r="I1885" s="91">
        <v>5</v>
      </c>
      <c r="J1885" s="91">
        <v>2</v>
      </c>
      <c r="K1885" s="91" t="s">
        <v>257</v>
      </c>
      <c r="L1885" s="91" t="s">
        <v>2175</v>
      </c>
      <c r="M1885" s="91" t="s">
        <v>4</v>
      </c>
      <c r="Q1885" s="91"/>
      <c r="S1885" s="91" t="s">
        <v>143</v>
      </c>
      <c r="T1885" s="91" t="s">
        <v>2250</v>
      </c>
      <c r="V1885" s="91" t="s">
        <v>155</v>
      </c>
      <c r="W1885" s="91" t="s">
        <v>180</v>
      </c>
    </row>
    <row r="1886" spans="1:23">
      <c r="A1886" s="93" t="str">
        <f>TEXT(tblProjectlist[[#This Row],[project-no]],"0")</f>
        <v>12040628</v>
      </c>
      <c r="H1886" s="91">
        <v>1204</v>
      </c>
      <c r="I1886" s="91">
        <v>6</v>
      </c>
      <c r="J1886" s="91">
        <v>2</v>
      </c>
      <c r="K1886" s="91" t="s">
        <v>258</v>
      </c>
      <c r="L1886" s="91" t="s">
        <v>2175</v>
      </c>
      <c r="M1886" s="91" t="s">
        <v>4</v>
      </c>
      <c r="Q1886" s="91"/>
      <c r="S1886" s="91" t="s">
        <v>143</v>
      </c>
      <c r="T1886" s="91" t="s">
        <v>2251</v>
      </c>
      <c r="V1886" s="91" t="s">
        <v>155</v>
      </c>
      <c r="W1886" s="91" t="s">
        <v>180</v>
      </c>
    </row>
    <row r="1887" spans="1:23">
      <c r="A1887" s="93" t="str">
        <f>TEXT(tblProjectlist[[#This Row],[project-no]],"0")</f>
        <v>0</v>
      </c>
      <c r="H1887" s="91">
        <v>1240</v>
      </c>
      <c r="I1887" s="91">
        <v>95</v>
      </c>
      <c r="J1887" s="91">
        <v>2</v>
      </c>
      <c r="K1887" s="91"/>
      <c r="L1887" s="91" t="s">
        <v>2175</v>
      </c>
      <c r="M1887" s="91" t="s">
        <v>4</v>
      </c>
      <c r="Q1887" s="91"/>
      <c r="S1887" s="91" t="s">
        <v>143</v>
      </c>
      <c r="T1887" s="91" t="s">
        <v>4520</v>
      </c>
      <c r="V1887" s="91" t="s">
        <v>155</v>
      </c>
      <c r="W1887" s="91" t="s">
        <v>180</v>
      </c>
    </row>
    <row r="1888" spans="1:23">
      <c r="A1888" s="93" t="str">
        <f>TEXT(tblProjectlist[[#This Row],[project-no]],"0")</f>
        <v>12410142</v>
      </c>
      <c r="H1888" s="91">
        <v>1241</v>
      </c>
      <c r="I1888" s="91">
        <v>1</v>
      </c>
      <c r="J1888" s="91">
        <v>4</v>
      </c>
      <c r="K1888" s="91" t="s">
        <v>259</v>
      </c>
      <c r="L1888" s="91" t="s">
        <v>58</v>
      </c>
      <c r="M1888" s="91" t="s">
        <v>1</v>
      </c>
      <c r="Q1888" s="91"/>
      <c r="S1888" s="91" t="s">
        <v>143</v>
      </c>
      <c r="T1888" s="91" t="s">
        <v>2252</v>
      </c>
      <c r="V1888" s="91" t="s">
        <v>163</v>
      </c>
      <c r="W1888" s="91" t="s">
        <v>180</v>
      </c>
    </row>
    <row r="1889" spans="1:23">
      <c r="A1889" s="93" t="str">
        <f>TEXT(tblProjectlist[[#This Row],[project-no]],"0")</f>
        <v>99959845</v>
      </c>
      <c r="H1889" s="91">
        <v>1241</v>
      </c>
      <c r="I1889" s="91">
        <v>1</v>
      </c>
      <c r="J1889" s="91">
        <v>4</v>
      </c>
      <c r="K1889" s="91" t="s">
        <v>1724</v>
      </c>
      <c r="L1889" s="91" t="s">
        <v>58</v>
      </c>
      <c r="M1889" s="91" t="s">
        <v>1</v>
      </c>
      <c r="Q1889" s="91"/>
      <c r="S1889" s="91" t="s">
        <v>143</v>
      </c>
      <c r="T1889" s="91" t="s">
        <v>2252</v>
      </c>
      <c r="V1889" s="91" t="s">
        <v>164</v>
      </c>
      <c r="W1889" s="91" t="s">
        <v>180</v>
      </c>
    </row>
    <row r="1890" spans="1:23">
      <c r="A1890" s="93" t="str">
        <f>TEXT(tblProjectlist[[#This Row],[project-no]],"0")</f>
        <v>12410942</v>
      </c>
      <c r="H1890" s="91">
        <v>1241</v>
      </c>
      <c r="I1890" s="91">
        <v>9</v>
      </c>
      <c r="J1890" s="91">
        <v>4</v>
      </c>
      <c r="K1890" s="91" t="s">
        <v>260</v>
      </c>
      <c r="L1890" s="91" t="s">
        <v>58</v>
      </c>
      <c r="M1890" s="91" t="s">
        <v>1</v>
      </c>
      <c r="Q1890" s="91"/>
      <c r="S1890" s="91" t="s">
        <v>143</v>
      </c>
      <c r="T1890" s="91" t="s">
        <v>2253</v>
      </c>
      <c r="V1890" s="91" t="s">
        <v>163</v>
      </c>
      <c r="W1890" s="91" t="s">
        <v>180</v>
      </c>
    </row>
    <row r="1891" spans="1:23">
      <c r="A1891" s="93" t="str">
        <f>TEXT(tblProjectlist[[#This Row],[project-no]],"0")</f>
        <v>12410944</v>
      </c>
      <c r="H1891" s="91">
        <v>1241</v>
      </c>
      <c r="I1891" s="91">
        <v>9</v>
      </c>
      <c r="J1891" s="91">
        <v>4</v>
      </c>
      <c r="K1891" s="91" t="s">
        <v>261</v>
      </c>
      <c r="L1891" s="91" t="s">
        <v>58</v>
      </c>
      <c r="M1891" s="91" t="s">
        <v>1</v>
      </c>
      <c r="Q1891" s="91"/>
      <c r="S1891" s="91" t="s">
        <v>143</v>
      </c>
      <c r="T1891" s="91" t="s">
        <v>2253</v>
      </c>
      <c r="V1891" s="91" t="s">
        <v>160</v>
      </c>
      <c r="W1891" s="91" t="s">
        <v>180</v>
      </c>
    </row>
    <row r="1892" spans="1:23">
      <c r="A1892" s="93" t="str">
        <f>TEXT(tblProjectlist[[#This Row],[project-no]],"0")</f>
        <v>12410947</v>
      </c>
      <c r="H1892" s="91">
        <v>1241</v>
      </c>
      <c r="I1892" s="91">
        <v>9</v>
      </c>
      <c r="J1892" s="91">
        <v>4</v>
      </c>
      <c r="K1892" s="91" t="s">
        <v>262</v>
      </c>
      <c r="L1892" s="91" t="s">
        <v>58</v>
      </c>
      <c r="M1892" s="91" t="s">
        <v>1</v>
      </c>
      <c r="Q1892" s="91"/>
      <c r="S1892" s="91" t="s">
        <v>143</v>
      </c>
      <c r="T1892" s="91" t="s">
        <v>2253</v>
      </c>
      <c r="V1892" s="91" t="s">
        <v>162</v>
      </c>
      <c r="W1892" s="91" t="s">
        <v>180</v>
      </c>
    </row>
    <row r="1893" spans="1:23">
      <c r="A1893" s="93" t="str">
        <f>TEXT(tblProjectlist[[#This Row],[project-no]],"0")</f>
        <v>12410949</v>
      </c>
      <c r="H1893" s="91">
        <v>1241</v>
      </c>
      <c r="I1893" s="91">
        <v>9</v>
      </c>
      <c r="J1893" s="91">
        <v>4</v>
      </c>
      <c r="K1893" s="91" t="s">
        <v>263</v>
      </c>
      <c r="L1893" s="91" t="s">
        <v>58</v>
      </c>
      <c r="M1893" s="91" t="s">
        <v>1</v>
      </c>
      <c r="Q1893" s="91"/>
      <c r="S1893" s="91" t="s">
        <v>143</v>
      </c>
      <c r="T1893" s="91" t="s">
        <v>2253</v>
      </c>
      <c r="W1893" s="91" t="s">
        <v>180</v>
      </c>
    </row>
    <row r="1894" spans="1:23">
      <c r="A1894" s="93" t="str">
        <f>TEXT(tblProjectlist[[#This Row],[project-no]],"0")</f>
        <v>12411028</v>
      </c>
      <c r="H1894" s="91">
        <v>1241</v>
      </c>
      <c r="I1894" s="91">
        <v>10</v>
      </c>
      <c r="J1894" s="91">
        <v>2</v>
      </c>
      <c r="K1894" s="91" t="s">
        <v>264</v>
      </c>
      <c r="L1894" s="91" t="s">
        <v>265</v>
      </c>
      <c r="M1894" s="91" t="s">
        <v>4</v>
      </c>
      <c r="Q1894" s="91"/>
      <c r="S1894" s="91" t="s">
        <v>143</v>
      </c>
      <c r="T1894" s="91" t="s">
        <v>2254</v>
      </c>
      <c r="V1894" s="91" t="s">
        <v>155</v>
      </c>
      <c r="W1894" s="91" t="s">
        <v>180</v>
      </c>
    </row>
    <row r="1895" spans="1:23">
      <c r="A1895" s="93" t="str">
        <f>TEXT(tblProjectlist[[#This Row],[project-no]],"0")</f>
        <v>12411128</v>
      </c>
      <c r="H1895" s="91">
        <v>1241</v>
      </c>
      <c r="I1895" s="91">
        <v>11</v>
      </c>
      <c r="J1895" s="91">
        <v>2</v>
      </c>
      <c r="K1895" s="91" t="s">
        <v>266</v>
      </c>
      <c r="L1895" s="91" t="s">
        <v>265</v>
      </c>
      <c r="M1895" s="91" t="s">
        <v>4</v>
      </c>
      <c r="Q1895" s="91"/>
      <c r="S1895" s="91" t="s">
        <v>143</v>
      </c>
      <c r="T1895" s="91" t="s">
        <v>2255</v>
      </c>
      <c r="V1895" s="91" t="s">
        <v>155</v>
      </c>
      <c r="W1895" s="91" t="s">
        <v>180</v>
      </c>
    </row>
    <row r="1896" spans="1:23">
      <c r="A1896" s="93" t="str">
        <f>TEXT(tblProjectlist[[#This Row],[project-no]],"0")</f>
        <v>12411228</v>
      </c>
      <c r="H1896" s="91">
        <v>1241</v>
      </c>
      <c r="I1896" s="91">
        <v>12</v>
      </c>
      <c r="J1896" s="91">
        <v>2</v>
      </c>
      <c r="K1896" s="91" t="s">
        <v>267</v>
      </c>
      <c r="L1896" s="91" t="s">
        <v>2175</v>
      </c>
      <c r="M1896" s="91" t="s">
        <v>4</v>
      </c>
      <c r="Q1896" s="91"/>
      <c r="S1896" s="91" t="s">
        <v>143</v>
      </c>
      <c r="T1896" s="91" t="s">
        <v>2256</v>
      </c>
      <c r="V1896" s="91" t="s">
        <v>156</v>
      </c>
      <c r="W1896" s="91" t="s">
        <v>180</v>
      </c>
    </row>
    <row r="1897" spans="1:23">
      <c r="A1897" s="93" t="str">
        <f>TEXT(tblProjectlist[[#This Row],[project-no]],"0")</f>
        <v>12411628</v>
      </c>
      <c r="H1897" s="91">
        <v>1241</v>
      </c>
      <c r="I1897" s="91">
        <v>16</v>
      </c>
      <c r="J1897" s="91">
        <v>2</v>
      </c>
      <c r="K1897" s="91" t="s">
        <v>268</v>
      </c>
      <c r="L1897" s="91" t="s">
        <v>2175</v>
      </c>
      <c r="M1897" s="91" t="s">
        <v>4</v>
      </c>
      <c r="Q1897" s="91"/>
      <c r="S1897" s="91" t="s">
        <v>143</v>
      </c>
      <c r="T1897" s="91" t="s">
        <v>2257</v>
      </c>
      <c r="V1897" s="91" t="s">
        <v>155</v>
      </c>
      <c r="W1897" s="91" t="s">
        <v>180</v>
      </c>
    </row>
    <row r="1898" spans="1:23">
      <c r="A1898" s="93" t="str">
        <f>TEXT(tblProjectlist[[#This Row],[project-no]],"0")</f>
        <v>12411728</v>
      </c>
      <c r="H1898" s="91">
        <v>1241</v>
      </c>
      <c r="I1898" s="91">
        <v>17</v>
      </c>
      <c r="J1898" s="91">
        <v>2</v>
      </c>
      <c r="K1898" s="91" t="s">
        <v>269</v>
      </c>
      <c r="L1898" s="91" t="s">
        <v>2175</v>
      </c>
      <c r="M1898" s="91" t="s">
        <v>4</v>
      </c>
      <c r="Q1898" s="91"/>
      <c r="S1898" s="91" t="s">
        <v>143</v>
      </c>
      <c r="T1898" s="91" t="s">
        <v>2258</v>
      </c>
      <c r="V1898" s="91" t="s">
        <v>155</v>
      </c>
      <c r="W1898" s="91" t="s">
        <v>180</v>
      </c>
    </row>
    <row r="1899" spans="1:23">
      <c r="A1899" s="93" t="str">
        <f>TEXT(tblProjectlist[[#This Row],[project-no]],"0")</f>
        <v>12411845</v>
      </c>
      <c r="H1899" s="91">
        <v>1241</v>
      </c>
      <c r="I1899" s="91">
        <v>18</v>
      </c>
      <c r="J1899" s="91">
        <v>4</v>
      </c>
      <c r="K1899" s="91" t="s">
        <v>270</v>
      </c>
      <c r="L1899" s="91" t="s">
        <v>58</v>
      </c>
      <c r="M1899" s="91" t="s">
        <v>1</v>
      </c>
      <c r="Q1899" s="91"/>
      <c r="S1899" s="91" t="s">
        <v>143</v>
      </c>
      <c r="T1899" s="91" t="s">
        <v>2259</v>
      </c>
      <c r="W1899" s="91" t="s">
        <v>180</v>
      </c>
    </row>
    <row r="1900" spans="1:23">
      <c r="A1900" s="93" t="str">
        <f>TEXT(tblProjectlist[[#This Row],[project-no]],"0")</f>
        <v>12411928</v>
      </c>
      <c r="H1900" s="91">
        <v>1241</v>
      </c>
      <c r="I1900" s="91">
        <v>19</v>
      </c>
      <c r="J1900" s="91">
        <v>2</v>
      </c>
      <c r="K1900" s="91" t="s">
        <v>271</v>
      </c>
      <c r="L1900" s="91" t="s">
        <v>2175</v>
      </c>
      <c r="M1900" s="91" t="s">
        <v>4</v>
      </c>
      <c r="Q1900" s="91"/>
      <c r="S1900" s="91" t="s">
        <v>143</v>
      </c>
      <c r="T1900" s="91" t="s">
        <v>2260</v>
      </c>
      <c r="V1900" s="91" t="s">
        <v>155</v>
      </c>
      <c r="W1900" s="91" t="s">
        <v>180</v>
      </c>
    </row>
    <row r="1901" spans="1:23">
      <c r="A1901" s="93" t="str">
        <f>TEXT(tblProjectlist[[#This Row],[project-no]],"0")</f>
        <v>12412028</v>
      </c>
      <c r="H1901" s="91">
        <v>1241</v>
      </c>
      <c r="I1901" s="91">
        <v>20</v>
      </c>
      <c r="J1901" s="91">
        <v>2</v>
      </c>
      <c r="K1901" s="91" t="s">
        <v>272</v>
      </c>
      <c r="L1901" s="91" t="s">
        <v>2175</v>
      </c>
      <c r="M1901" s="91" t="s">
        <v>4</v>
      </c>
      <c r="Q1901" s="91"/>
      <c r="S1901" s="91" t="s">
        <v>143</v>
      </c>
      <c r="T1901" s="91" t="s">
        <v>2261</v>
      </c>
      <c r="V1901" s="91" t="s">
        <v>155</v>
      </c>
      <c r="W1901" s="91" t="s">
        <v>180</v>
      </c>
    </row>
    <row r="1902" spans="1:23">
      <c r="A1902" s="93" t="str">
        <f>TEXT(tblProjectlist[[#This Row],[project-no]],"0")</f>
        <v>12412145</v>
      </c>
      <c r="H1902" s="91">
        <v>1241</v>
      </c>
      <c r="I1902" s="91">
        <v>21</v>
      </c>
      <c r="J1902" s="91">
        <v>4</v>
      </c>
      <c r="K1902" s="91" t="s">
        <v>273</v>
      </c>
      <c r="L1902" s="91" t="s">
        <v>58</v>
      </c>
      <c r="M1902" s="91" t="s">
        <v>1</v>
      </c>
      <c r="Q1902" s="91"/>
      <c r="S1902" s="91" t="s">
        <v>143</v>
      </c>
      <c r="T1902" s="91" t="s">
        <v>2262</v>
      </c>
      <c r="V1902" s="91" t="s">
        <v>164</v>
      </c>
      <c r="W1902" s="91" t="s">
        <v>180</v>
      </c>
    </row>
    <row r="1903" spans="1:23">
      <c r="A1903" s="93" t="str">
        <f>TEXT(tblProjectlist[[#This Row],[project-no]],"0")</f>
        <v>12412147</v>
      </c>
      <c r="H1903" s="91">
        <v>1241</v>
      </c>
      <c r="I1903" s="91">
        <v>21</v>
      </c>
      <c r="J1903" s="91">
        <v>4</v>
      </c>
      <c r="K1903" s="91" t="s">
        <v>274</v>
      </c>
      <c r="L1903" s="91" t="s">
        <v>58</v>
      </c>
      <c r="M1903" s="91" t="s">
        <v>1</v>
      </c>
      <c r="Q1903" s="91"/>
      <c r="S1903" s="91" t="s">
        <v>143</v>
      </c>
      <c r="T1903" s="91" t="s">
        <v>2262</v>
      </c>
      <c r="V1903" s="91" t="s">
        <v>164</v>
      </c>
      <c r="W1903" s="91" t="s">
        <v>180</v>
      </c>
    </row>
    <row r="1904" spans="1:23">
      <c r="A1904" s="93" t="str">
        <f>TEXT(tblProjectlist[[#This Row],[project-no]],"0")</f>
        <v>12412249</v>
      </c>
      <c r="H1904" s="91">
        <v>1241</v>
      </c>
      <c r="I1904" s="91">
        <v>22</v>
      </c>
      <c r="J1904" s="91">
        <v>4</v>
      </c>
      <c r="K1904" s="91" t="s">
        <v>275</v>
      </c>
      <c r="L1904" s="91" t="s">
        <v>58</v>
      </c>
      <c r="M1904" s="91" t="s">
        <v>1</v>
      </c>
      <c r="Q1904" s="91"/>
      <c r="S1904" s="91" t="s">
        <v>143</v>
      </c>
      <c r="T1904" s="91" t="s">
        <v>2263</v>
      </c>
      <c r="W1904" s="91" t="s">
        <v>180</v>
      </c>
    </row>
    <row r="1905" spans="1:23">
      <c r="A1905" s="93" t="str">
        <f>TEXT(tblProjectlist[[#This Row],[project-no]],"0")</f>
        <v>12412349</v>
      </c>
      <c r="H1905" s="91">
        <v>1241</v>
      </c>
      <c r="I1905" s="91">
        <v>23</v>
      </c>
      <c r="J1905" s="91">
        <v>4</v>
      </c>
      <c r="K1905" s="91" t="s">
        <v>276</v>
      </c>
      <c r="L1905" s="91" t="s">
        <v>58</v>
      </c>
      <c r="M1905" s="91" t="s">
        <v>1</v>
      </c>
      <c r="Q1905" s="91"/>
      <c r="S1905" s="91" t="s">
        <v>143</v>
      </c>
      <c r="T1905" s="91" t="s">
        <v>2264</v>
      </c>
      <c r="W1905" s="91" t="s">
        <v>180</v>
      </c>
    </row>
    <row r="1906" spans="1:23">
      <c r="A1906" s="93" t="str">
        <f>TEXT(tblProjectlist[[#This Row],[project-no]],"0")</f>
        <v>12412428</v>
      </c>
      <c r="H1906" s="91">
        <v>1241</v>
      </c>
      <c r="I1906" s="91">
        <v>24</v>
      </c>
      <c r="J1906" s="91">
        <v>2</v>
      </c>
      <c r="K1906" s="91" t="s">
        <v>277</v>
      </c>
      <c r="L1906" s="91" t="s">
        <v>2175</v>
      </c>
      <c r="M1906" s="91" t="s">
        <v>4</v>
      </c>
      <c r="Q1906" s="91"/>
      <c r="S1906" s="91" t="s">
        <v>143</v>
      </c>
      <c r="T1906" s="91" t="s">
        <v>2265</v>
      </c>
      <c r="V1906" s="91" t="s">
        <v>155</v>
      </c>
      <c r="W1906" s="91" t="s">
        <v>180</v>
      </c>
    </row>
    <row r="1907" spans="1:23">
      <c r="A1907" s="93" t="str">
        <f>TEXT(tblProjectlist[[#This Row],[project-no]],"0")</f>
        <v>12412649</v>
      </c>
      <c r="H1907" s="91">
        <v>1241</v>
      </c>
      <c r="I1907" s="91">
        <v>26</v>
      </c>
      <c r="J1907" s="91">
        <v>4</v>
      </c>
      <c r="K1907" s="91" t="s">
        <v>278</v>
      </c>
      <c r="L1907" s="91" t="s">
        <v>58</v>
      </c>
      <c r="M1907" s="91" t="s">
        <v>1</v>
      </c>
      <c r="Q1907" s="91"/>
      <c r="S1907" s="91" t="s">
        <v>143</v>
      </c>
      <c r="T1907" s="91" t="s">
        <v>2266</v>
      </c>
      <c r="W1907" s="91" t="s">
        <v>180</v>
      </c>
    </row>
    <row r="1908" spans="1:23">
      <c r="A1908" s="93" t="str">
        <f>TEXT(tblProjectlist[[#This Row],[project-no]],"0")</f>
        <v>12412728</v>
      </c>
      <c r="H1908" s="91">
        <v>1241</v>
      </c>
      <c r="I1908" s="91">
        <v>27</v>
      </c>
      <c r="J1908" s="91">
        <v>2</v>
      </c>
      <c r="K1908" s="91" t="s">
        <v>279</v>
      </c>
      <c r="L1908" s="91" t="s">
        <v>265</v>
      </c>
      <c r="M1908" s="91" t="s">
        <v>4</v>
      </c>
      <c r="Q1908" s="91"/>
      <c r="S1908" s="91" t="s">
        <v>143</v>
      </c>
      <c r="T1908" s="91" t="s">
        <v>2267</v>
      </c>
      <c r="W1908" s="91" t="s">
        <v>180</v>
      </c>
    </row>
    <row r="1909" spans="1:23">
      <c r="A1909" s="93" t="str">
        <f>TEXT(tblProjectlist[[#This Row],[project-no]],"0")</f>
        <v>12412828</v>
      </c>
      <c r="H1909" s="91">
        <v>1241</v>
      </c>
      <c r="I1909" s="91">
        <v>28</v>
      </c>
      <c r="J1909" s="91">
        <v>2</v>
      </c>
      <c r="K1909" s="91" t="s">
        <v>280</v>
      </c>
      <c r="L1909" s="91" t="s">
        <v>265</v>
      </c>
      <c r="M1909" s="91" t="s">
        <v>4</v>
      </c>
      <c r="Q1909" s="91"/>
      <c r="S1909" s="91" t="s">
        <v>143</v>
      </c>
      <c r="T1909" s="91" t="s">
        <v>2268</v>
      </c>
      <c r="W1909" s="91" t="s">
        <v>180</v>
      </c>
    </row>
    <row r="1910" spans="1:23">
      <c r="A1910" s="93" t="str">
        <f>TEXT(tblProjectlist[[#This Row],[project-no]],"0")</f>
        <v>12412942</v>
      </c>
      <c r="H1910" s="91">
        <v>1241</v>
      </c>
      <c r="I1910" s="91">
        <v>29</v>
      </c>
      <c r="J1910" s="91">
        <v>4</v>
      </c>
      <c r="K1910" s="91" t="s">
        <v>281</v>
      </c>
      <c r="L1910" s="91" t="s">
        <v>58</v>
      </c>
      <c r="M1910" s="91" t="s">
        <v>1</v>
      </c>
      <c r="Q1910" s="91"/>
      <c r="S1910" s="91" t="s">
        <v>143</v>
      </c>
      <c r="T1910" s="91" t="s">
        <v>2269</v>
      </c>
      <c r="W1910" s="91" t="s">
        <v>180</v>
      </c>
    </row>
    <row r="1911" spans="1:23">
      <c r="A1911" s="93" t="str">
        <f>TEXT(tblProjectlist[[#This Row],[project-no]],"0")</f>
        <v>12413045</v>
      </c>
      <c r="H1911" s="91">
        <v>1241</v>
      </c>
      <c r="I1911" s="91">
        <v>30</v>
      </c>
      <c r="J1911" s="91">
        <v>4</v>
      </c>
      <c r="K1911" s="91" t="s">
        <v>282</v>
      </c>
      <c r="L1911" s="91" t="s">
        <v>58</v>
      </c>
      <c r="M1911" s="91" t="s">
        <v>1</v>
      </c>
      <c r="Q1911" s="91"/>
      <c r="S1911" s="91" t="s">
        <v>143</v>
      </c>
      <c r="T1911" s="91" t="s">
        <v>2270</v>
      </c>
      <c r="V1911" s="91" t="s">
        <v>164</v>
      </c>
      <c r="W1911" s="91" t="s">
        <v>180</v>
      </c>
    </row>
    <row r="1912" spans="1:23">
      <c r="A1912" s="93" t="str">
        <f>TEXT(tblProjectlist[[#This Row],[project-no]],"0")</f>
        <v>12413142</v>
      </c>
      <c r="H1912" s="91">
        <v>1241</v>
      </c>
      <c r="I1912" s="91">
        <v>31</v>
      </c>
      <c r="J1912" s="91">
        <v>4</v>
      </c>
      <c r="K1912" s="91" t="s">
        <v>283</v>
      </c>
      <c r="L1912" s="91" t="s">
        <v>58</v>
      </c>
      <c r="M1912" s="91" t="s">
        <v>1</v>
      </c>
      <c r="Q1912" s="91"/>
      <c r="S1912" s="91" t="s">
        <v>143</v>
      </c>
      <c r="T1912" s="91" t="s">
        <v>2271</v>
      </c>
      <c r="V1912" s="91" t="s">
        <v>163</v>
      </c>
      <c r="W1912" s="91" t="s">
        <v>180</v>
      </c>
    </row>
    <row r="1913" spans="1:23">
      <c r="A1913" s="93" t="str">
        <f>TEXT(tblProjectlist[[#This Row],[project-no]],"0")</f>
        <v>0</v>
      </c>
      <c r="H1913" s="91">
        <v>1241</v>
      </c>
      <c r="I1913" s="91">
        <v>32</v>
      </c>
      <c r="J1913" s="91">
        <v>4</v>
      </c>
      <c r="K1913" s="91"/>
      <c r="L1913" s="91" t="s">
        <v>58</v>
      </c>
      <c r="M1913" s="91" t="s">
        <v>1</v>
      </c>
      <c r="Q1913" s="91"/>
      <c r="S1913" s="91" t="s">
        <v>143</v>
      </c>
      <c r="T1913" s="91" t="s">
        <v>3644</v>
      </c>
      <c r="V1913" s="91" t="s">
        <v>164</v>
      </c>
      <c r="W1913" s="91" t="s">
        <v>180</v>
      </c>
    </row>
    <row r="1914" spans="1:23">
      <c r="A1914" s="93" t="str">
        <f>TEXT(tblProjectlist[[#This Row],[project-no]],"0")</f>
        <v>0</v>
      </c>
      <c r="H1914" s="91">
        <v>1241</v>
      </c>
      <c r="I1914" s="91">
        <v>33</v>
      </c>
      <c r="J1914" s="91">
        <v>4</v>
      </c>
      <c r="K1914" s="91"/>
      <c r="L1914" s="91" t="s">
        <v>58</v>
      </c>
      <c r="M1914" s="91" t="s">
        <v>1</v>
      </c>
      <c r="Q1914" s="91"/>
      <c r="S1914" s="91" t="s">
        <v>143</v>
      </c>
      <c r="T1914" s="91" t="s">
        <v>3832</v>
      </c>
      <c r="V1914" s="91" t="s">
        <v>164</v>
      </c>
      <c r="W1914" s="91" t="s">
        <v>180</v>
      </c>
    </row>
    <row r="1915" spans="1:23">
      <c r="A1915" s="93" t="str">
        <f>TEXT(tblProjectlist[[#This Row],[project-no]],"0")</f>
        <v>0</v>
      </c>
      <c r="H1915" s="91">
        <v>1241</v>
      </c>
      <c r="I1915" s="91">
        <v>34</v>
      </c>
      <c r="J1915" s="91">
        <v>2</v>
      </c>
      <c r="K1915" s="91"/>
      <c r="L1915" s="91" t="s">
        <v>2175</v>
      </c>
      <c r="M1915" s="91" t="s">
        <v>4</v>
      </c>
      <c r="Q1915" s="91"/>
      <c r="S1915" s="91" t="s">
        <v>143</v>
      </c>
      <c r="T1915" s="91" t="s">
        <v>3981</v>
      </c>
      <c r="V1915" s="91" t="s">
        <v>156</v>
      </c>
      <c r="W1915" s="91" t="s">
        <v>180</v>
      </c>
    </row>
    <row r="1916" spans="1:23">
      <c r="A1916" s="93" t="str">
        <f>TEXT(tblProjectlist[[#This Row],[project-no]],"0")</f>
        <v>0</v>
      </c>
      <c r="H1916" s="91">
        <v>1241</v>
      </c>
      <c r="I1916" s="91">
        <v>35</v>
      </c>
      <c r="J1916" s="91">
        <v>2</v>
      </c>
      <c r="K1916" s="91"/>
      <c r="L1916" s="91" t="s">
        <v>2175</v>
      </c>
      <c r="M1916" s="91" t="s">
        <v>4</v>
      </c>
      <c r="Q1916" s="91"/>
      <c r="S1916" s="91" t="s">
        <v>143</v>
      </c>
      <c r="T1916" s="91" t="s">
        <v>3982</v>
      </c>
      <c r="V1916" s="91" t="s">
        <v>156</v>
      </c>
      <c r="W1916" s="91" t="s">
        <v>180</v>
      </c>
    </row>
    <row r="1917" spans="1:23">
      <c r="A1917" s="93" t="str">
        <f>TEXT(tblProjectlist[[#This Row],[project-no]],"0")</f>
        <v>0</v>
      </c>
      <c r="H1917" s="91">
        <v>1241</v>
      </c>
      <c r="I1917" s="91">
        <v>36</v>
      </c>
      <c r="J1917" s="91">
        <v>2</v>
      </c>
      <c r="K1917" s="91"/>
      <c r="L1917" s="91" t="s">
        <v>2175</v>
      </c>
      <c r="M1917" s="91" t="s">
        <v>4</v>
      </c>
      <c r="Q1917" s="91"/>
      <c r="S1917" s="91" t="s">
        <v>143</v>
      </c>
      <c r="T1917" s="91" t="s">
        <v>3983</v>
      </c>
      <c r="V1917" s="91" t="s">
        <v>156</v>
      </c>
      <c r="W1917" s="91" t="s">
        <v>180</v>
      </c>
    </row>
    <row r="1918" spans="1:23">
      <c r="A1918" s="93" t="str">
        <f>TEXT(tblProjectlist[[#This Row],[project-no]],"0")</f>
        <v>0</v>
      </c>
      <c r="H1918" s="91">
        <v>1241</v>
      </c>
      <c r="I1918" s="91">
        <v>37</v>
      </c>
      <c r="J1918" s="91">
        <v>4</v>
      </c>
      <c r="K1918" s="91"/>
      <c r="L1918" s="91" t="s">
        <v>58</v>
      </c>
      <c r="M1918" s="91" t="s">
        <v>1</v>
      </c>
      <c r="Q1918" s="91"/>
      <c r="S1918" s="91" t="s">
        <v>143</v>
      </c>
      <c r="T1918" s="91" t="s">
        <v>3984</v>
      </c>
      <c r="V1918" s="91" t="s">
        <v>164</v>
      </c>
      <c r="W1918" s="91" t="s">
        <v>180</v>
      </c>
    </row>
    <row r="1919" spans="1:23">
      <c r="A1919" s="93" t="str">
        <f>TEXT(tblProjectlist[[#This Row],[project-no]],"0")</f>
        <v>0</v>
      </c>
      <c r="H1919" s="91">
        <v>1241</v>
      </c>
      <c r="I1919" s="91">
        <v>38</v>
      </c>
      <c r="J1919" s="91">
        <v>2</v>
      </c>
      <c r="K1919" s="91"/>
      <c r="L1919" s="91" t="s">
        <v>2175</v>
      </c>
      <c r="M1919" s="91" t="s">
        <v>4</v>
      </c>
      <c r="Q1919" s="91"/>
      <c r="S1919" s="91" t="s">
        <v>143</v>
      </c>
      <c r="T1919" s="91" t="s">
        <v>3985</v>
      </c>
      <c r="V1919" s="91" t="s">
        <v>156</v>
      </c>
      <c r="W1919" s="91" t="s">
        <v>180</v>
      </c>
    </row>
    <row r="1920" spans="1:23">
      <c r="A1920" s="93" t="str">
        <f>TEXT(tblProjectlist[[#This Row],[project-no]],"0")</f>
        <v>0</v>
      </c>
      <c r="H1920" s="91">
        <v>1241</v>
      </c>
      <c r="I1920" s="91">
        <v>38</v>
      </c>
      <c r="J1920" s="91">
        <v>4</v>
      </c>
      <c r="K1920" s="91"/>
      <c r="L1920" s="91" t="s">
        <v>58</v>
      </c>
      <c r="M1920" s="91" t="s">
        <v>1</v>
      </c>
      <c r="Q1920" s="91"/>
      <c r="S1920" s="91" t="s">
        <v>143</v>
      </c>
      <c r="T1920" s="91" t="s">
        <v>4036</v>
      </c>
      <c r="V1920" s="91" t="s">
        <v>160</v>
      </c>
      <c r="W1920" s="91" t="s">
        <v>180</v>
      </c>
    </row>
    <row r="1921" spans="1:23">
      <c r="A1921" s="93" t="str">
        <f>TEXT(tblProjectlist[[#This Row],[project-no]],"0")</f>
        <v>0</v>
      </c>
      <c r="H1921" s="91">
        <v>1241</v>
      </c>
      <c r="I1921" s="91">
        <v>39</v>
      </c>
      <c r="J1921" s="91">
        <v>4</v>
      </c>
      <c r="K1921" s="91"/>
      <c r="L1921" s="91" t="s">
        <v>58</v>
      </c>
      <c r="M1921" s="91" t="s">
        <v>1</v>
      </c>
      <c r="Q1921" s="91"/>
      <c r="S1921" s="91" t="s">
        <v>143</v>
      </c>
      <c r="T1921" s="91" t="s">
        <v>4064</v>
      </c>
      <c r="V1921" s="91" t="s">
        <v>162</v>
      </c>
      <c r="W1921" s="91" t="s">
        <v>180</v>
      </c>
    </row>
    <row r="1922" spans="1:23">
      <c r="A1922" s="93" t="str">
        <f>TEXT(tblProjectlist[[#This Row],[project-no]],"0")</f>
        <v>0</v>
      </c>
      <c r="H1922" s="91">
        <v>1241</v>
      </c>
      <c r="I1922" s="91">
        <v>40</v>
      </c>
      <c r="J1922" s="91">
        <v>4</v>
      </c>
      <c r="K1922" s="91"/>
      <c r="L1922" s="91" t="s">
        <v>58</v>
      </c>
      <c r="M1922" s="91" t="s">
        <v>1</v>
      </c>
      <c r="Q1922" s="91"/>
      <c r="S1922" s="91" t="s">
        <v>143</v>
      </c>
      <c r="T1922" s="91" t="s">
        <v>4065</v>
      </c>
      <c r="V1922" s="91" t="s">
        <v>164</v>
      </c>
      <c r="W1922" s="91" t="s">
        <v>180</v>
      </c>
    </row>
    <row r="1923" spans="1:23">
      <c r="A1923" s="93" t="str">
        <f>TEXT(tblProjectlist[[#This Row],[project-no]],"0")</f>
        <v>0</v>
      </c>
      <c r="H1923" s="91">
        <v>1241</v>
      </c>
      <c r="I1923" s="91">
        <v>41</v>
      </c>
      <c r="J1923" s="91">
        <v>2</v>
      </c>
      <c r="K1923" s="91"/>
      <c r="L1923" s="91" t="s">
        <v>2175</v>
      </c>
      <c r="M1923" s="91" t="s">
        <v>4</v>
      </c>
      <c r="Q1923" s="91"/>
      <c r="S1923" s="91" t="s">
        <v>143</v>
      </c>
      <c r="T1923" s="91" t="s">
        <v>4164</v>
      </c>
      <c r="V1923" s="91" t="s">
        <v>155</v>
      </c>
      <c r="W1923" s="91" t="s">
        <v>180</v>
      </c>
    </row>
    <row r="1924" spans="1:23">
      <c r="A1924" s="93" t="str">
        <f>TEXT(tblProjectlist[[#This Row],[project-no]],"0")</f>
        <v>0</v>
      </c>
      <c r="H1924" s="91">
        <v>1241</v>
      </c>
      <c r="I1924" s="91">
        <v>42</v>
      </c>
      <c r="J1924" s="91">
        <v>2</v>
      </c>
      <c r="K1924" s="91"/>
      <c r="L1924" s="91" t="s">
        <v>2175</v>
      </c>
      <c r="M1924" s="91" t="s">
        <v>4</v>
      </c>
      <c r="Q1924" s="91"/>
      <c r="S1924" s="91" t="s">
        <v>143</v>
      </c>
      <c r="T1924" s="91" t="s">
        <v>4180</v>
      </c>
      <c r="V1924" s="91" t="s">
        <v>156</v>
      </c>
      <c r="W1924" s="91" t="s">
        <v>180</v>
      </c>
    </row>
    <row r="1925" spans="1:23">
      <c r="A1925" s="93" t="str">
        <f>TEXT(tblProjectlist[[#This Row],[project-no]],"0")</f>
        <v>0</v>
      </c>
      <c r="H1925" s="91">
        <v>1241</v>
      </c>
      <c r="I1925" s="91">
        <v>43</v>
      </c>
      <c r="J1925" s="91">
        <v>2</v>
      </c>
      <c r="K1925" s="91"/>
      <c r="L1925" s="91" t="s">
        <v>2175</v>
      </c>
      <c r="M1925" s="91" t="s">
        <v>4</v>
      </c>
      <c r="Q1925" s="91"/>
      <c r="S1925" s="91" t="s">
        <v>143</v>
      </c>
      <c r="T1925" s="91" t="s">
        <v>4181</v>
      </c>
      <c r="V1925" s="91" t="s">
        <v>156</v>
      </c>
      <c r="W1925" s="91" t="s">
        <v>180</v>
      </c>
    </row>
    <row r="1926" spans="1:23">
      <c r="A1926" s="93" t="str">
        <f>TEXT(tblProjectlist[[#This Row],[project-no]],"0")</f>
        <v>12414442</v>
      </c>
      <c r="H1926" s="91">
        <v>1241</v>
      </c>
      <c r="I1926" s="91">
        <v>44</v>
      </c>
      <c r="J1926" s="91">
        <v>4</v>
      </c>
      <c r="K1926" s="91">
        <v>12414442</v>
      </c>
      <c r="L1926" s="91" t="s">
        <v>58</v>
      </c>
      <c r="M1926" s="91" t="s">
        <v>1</v>
      </c>
      <c r="Q1926" s="91"/>
      <c r="S1926" s="91" t="s">
        <v>143</v>
      </c>
      <c r="T1926" s="91" t="s">
        <v>4495</v>
      </c>
      <c r="V1926" s="112" t="s">
        <v>163</v>
      </c>
      <c r="W1926" s="91" t="s">
        <v>180</v>
      </c>
    </row>
    <row r="1927" spans="1:23">
      <c r="A1927" s="93" t="str">
        <f>TEXT(tblProjectlist[[#This Row],[project-no]],"0")</f>
        <v>12414542</v>
      </c>
      <c r="H1927" s="91">
        <v>1241</v>
      </c>
      <c r="I1927" s="91">
        <v>45</v>
      </c>
      <c r="J1927" s="91">
        <v>4</v>
      </c>
      <c r="K1927" s="91">
        <v>12414542</v>
      </c>
      <c r="L1927" s="91" t="s">
        <v>58</v>
      </c>
      <c r="M1927" s="91" t="s">
        <v>1</v>
      </c>
      <c r="Q1927" s="91"/>
      <c r="S1927" s="91" t="s">
        <v>143</v>
      </c>
      <c r="T1927" s="91" t="s">
        <v>4708</v>
      </c>
      <c r="V1927" s="91" t="s">
        <v>163</v>
      </c>
      <c r="W1927" s="91" t="s">
        <v>180</v>
      </c>
    </row>
    <row r="1928" spans="1:23">
      <c r="A1928" s="93" t="str">
        <f>TEXT(tblProjectlist[[#This Row],[project-no]],"0")</f>
        <v>0</v>
      </c>
      <c r="H1928" s="91">
        <v>1241</v>
      </c>
      <c r="I1928" s="91">
        <v>46</v>
      </c>
      <c r="J1928" s="91">
        <v>2</v>
      </c>
      <c r="K1928" s="91"/>
      <c r="L1928" s="91" t="s">
        <v>2175</v>
      </c>
      <c r="M1928" s="91" t="s">
        <v>4</v>
      </c>
      <c r="Q1928" s="91"/>
      <c r="S1928" s="91" t="s">
        <v>143</v>
      </c>
      <c r="T1928" s="91" t="s">
        <v>4730</v>
      </c>
      <c r="V1928" s="91" t="s">
        <v>155</v>
      </c>
      <c r="W1928" s="91" t="s">
        <v>180</v>
      </c>
    </row>
    <row r="1929" spans="1:23">
      <c r="A1929" s="93" t="str">
        <f>TEXT(tblProjectlist[[#This Row],[project-no]],"0")</f>
        <v>0</v>
      </c>
      <c r="H1929" s="91">
        <v>1366</v>
      </c>
      <c r="I1929" s="91">
        <v>3</v>
      </c>
      <c r="J1929" s="91">
        <v>2</v>
      </c>
      <c r="K1929" s="91"/>
      <c r="L1929" s="91" t="s">
        <v>197</v>
      </c>
      <c r="M1929" s="91" t="s">
        <v>4</v>
      </c>
      <c r="Q1929" s="91"/>
      <c r="S1929" s="91" t="s">
        <v>143</v>
      </c>
      <c r="T1929" s="91" t="s">
        <v>4101</v>
      </c>
      <c r="V1929" s="91" t="s">
        <v>155</v>
      </c>
      <c r="W1929" s="91" t="s">
        <v>180</v>
      </c>
    </row>
    <row r="1930" spans="1:23">
      <c r="A1930" s="93" t="str">
        <f>TEXT(tblProjectlist[[#This Row],[project-no]],"0")</f>
        <v>13660211</v>
      </c>
      <c r="H1930" s="91">
        <v>1366</v>
      </c>
      <c r="I1930" s="91">
        <v>2</v>
      </c>
      <c r="J1930" s="91">
        <v>1</v>
      </c>
      <c r="K1930" s="91" t="s">
        <v>307</v>
      </c>
      <c r="L1930" s="91" t="s">
        <v>197</v>
      </c>
      <c r="M1930" s="91" t="s">
        <v>0</v>
      </c>
      <c r="Q1930" s="91"/>
      <c r="S1930" s="91" t="s">
        <v>143</v>
      </c>
      <c r="T1930" s="91" t="s">
        <v>2295</v>
      </c>
      <c r="V1930" s="91" t="s">
        <v>169</v>
      </c>
      <c r="W1930" s="91" t="s">
        <v>180</v>
      </c>
    </row>
    <row r="1931" spans="1:23">
      <c r="A1931" s="93" t="str">
        <f>TEXT(tblProjectlist[[#This Row],[project-no]],"0")</f>
        <v>13660217</v>
      </c>
      <c r="H1931" s="91">
        <v>1366</v>
      </c>
      <c r="I1931" s="91">
        <v>2</v>
      </c>
      <c r="J1931" s="91">
        <v>1</v>
      </c>
      <c r="K1931" s="91" t="s">
        <v>308</v>
      </c>
      <c r="L1931" s="91" t="s">
        <v>197</v>
      </c>
      <c r="M1931" s="91" t="s">
        <v>0</v>
      </c>
      <c r="Q1931" s="91"/>
      <c r="S1931" s="91" t="s">
        <v>143</v>
      </c>
      <c r="T1931" s="91" t="s">
        <v>2295</v>
      </c>
      <c r="V1931" s="91" t="s">
        <v>168</v>
      </c>
      <c r="W1931" s="91" t="s">
        <v>180</v>
      </c>
    </row>
    <row r="1932" spans="1:23">
      <c r="A1932" s="93" t="str">
        <f>TEXT(tblProjectlist[[#This Row],[project-no]],"0")</f>
        <v>99846811</v>
      </c>
      <c r="H1932" s="91">
        <v>1366</v>
      </c>
      <c r="I1932" s="91">
        <v>2</v>
      </c>
      <c r="J1932" s="91">
        <v>1</v>
      </c>
      <c r="K1932" s="91" t="s">
        <v>1357</v>
      </c>
      <c r="L1932" s="91" t="s">
        <v>197</v>
      </c>
      <c r="M1932" s="91" t="s">
        <v>0</v>
      </c>
      <c r="Q1932" s="91"/>
      <c r="S1932" s="91" t="s">
        <v>143</v>
      </c>
      <c r="T1932" s="91" t="s">
        <v>2295</v>
      </c>
      <c r="V1932" s="91" t="s">
        <v>169</v>
      </c>
      <c r="W1932" s="91" t="s">
        <v>180</v>
      </c>
    </row>
    <row r="1933" spans="1:23">
      <c r="A1933" s="93" t="str">
        <f>TEXT(tblProjectlist[[#This Row],[project-no]],"0")</f>
        <v>99955311</v>
      </c>
      <c r="H1933" s="91">
        <v>9995</v>
      </c>
      <c r="I1933" s="91">
        <v>53</v>
      </c>
      <c r="J1933" s="91">
        <v>1</v>
      </c>
      <c r="K1933" s="91" t="s">
        <v>1668</v>
      </c>
      <c r="L1933" s="91" t="s">
        <v>2175</v>
      </c>
      <c r="M1933" s="91" t="s">
        <v>0</v>
      </c>
      <c r="Q1933" s="91"/>
      <c r="S1933" s="91" t="s">
        <v>143</v>
      </c>
      <c r="T1933" s="91" t="s">
        <v>3307</v>
      </c>
      <c r="V1933" s="91" t="s">
        <v>169</v>
      </c>
      <c r="W1933" s="91" t="s">
        <v>180</v>
      </c>
    </row>
    <row r="1934" spans="1:23">
      <c r="A1934" s="93" t="str">
        <f>TEXT(tblProjectlist[[#This Row],[project-no]],"0")</f>
        <v>99956413</v>
      </c>
      <c r="H1934" s="91">
        <v>9995</v>
      </c>
      <c r="I1934" s="91">
        <v>64</v>
      </c>
      <c r="J1934" s="91">
        <v>1</v>
      </c>
      <c r="K1934" s="91" t="s">
        <v>1680</v>
      </c>
      <c r="L1934" s="91" t="s">
        <v>2175</v>
      </c>
      <c r="M1934" s="91" t="s">
        <v>0</v>
      </c>
      <c r="Q1934" s="91"/>
      <c r="S1934" s="91" t="s">
        <v>143</v>
      </c>
      <c r="T1934" s="91" t="s">
        <v>3317</v>
      </c>
      <c r="V1934" s="91" t="s">
        <v>167</v>
      </c>
      <c r="W1934" s="91" t="s">
        <v>180</v>
      </c>
    </row>
    <row r="1935" spans="1:23">
      <c r="A1935" s="93" t="str">
        <f>TEXT(tblProjectlist[[#This Row],[project-no]],"0")</f>
        <v>99959228</v>
      </c>
      <c r="H1935" s="91">
        <v>9995</v>
      </c>
      <c r="I1935" s="91">
        <v>92</v>
      </c>
      <c r="J1935" s="91">
        <v>2</v>
      </c>
      <c r="K1935" s="91" t="s">
        <v>1716</v>
      </c>
      <c r="L1935" s="91" t="s">
        <v>58</v>
      </c>
      <c r="M1935" s="91" t="s">
        <v>4</v>
      </c>
      <c r="Q1935" s="91"/>
      <c r="S1935" s="91" t="s">
        <v>143</v>
      </c>
      <c r="T1935" s="91" t="s">
        <v>3343</v>
      </c>
      <c r="W1935" s="91" t="s">
        <v>180</v>
      </c>
    </row>
    <row r="1936" spans="1:23">
      <c r="A1936" s="93" t="str">
        <f>TEXT(tblProjectlist[[#This Row],[project-no]],"0")</f>
        <v>99959611</v>
      </c>
      <c r="H1936" s="91">
        <v>9995</v>
      </c>
      <c r="I1936" s="91">
        <v>96</v>
      </c>
      <c r="J1936" s="91">
        <v>1</v>
      </c>
      <c r="K1936" s="91" t="s">
        <v>1720</v>
      </c>
      <c r="L1936" s="91" t="s">
        <v>2175</v>
      </c>
      <c r="M1936" s="91" t="s">
        <v>0</v>
      </c>
      <c r="Q1936" s="91"/>
      <c r="S1936" s="91" t="s">
        <v>143</v>
      </c>
      <c r="T1936" s="91" t="s">
        <v>3347</v>
      </c>
      <c r="V1936" s="91" t="s">
        <v>169</v>
      </c>
      <c r="W1936" s="91" t="s">
        <v>180</v>
      </c>
    </row>
    <row r="1937" spans="1:23">
      <c r="A1937" s="93" t="str">
        <f>TEXT(tblProjectlist[[#This Row],[project-no]],"0")</f>
        <v>99959613</v>
      </c>
      <c r="H1937" s="91">
        <v>9995</v>
      </c>
      <c r="I1937" s="91">
        <v>96</v>
      </c>
      <c r="J1937" s="91">
        <v>1</v>
      </c>
      <c r="K1937" s="91" t="s">
        <v>1721</v>
      </c>
      <c r="L1937" s="91" t="s">
        <v>2175</v>
      </c>
      <c r="M1937" s="91" t="s">
        <v>0</v>
      </c>
      <c r="Q1937" s="91"/>
      <c r="S1937" s="91" t="s">
        <v>143</v>
      </c>
      <c r="T1937" s="91" t="s">
        <v>3347</v>
      </c>
      <c r="V1937" s="91" t="s">
        <v>167</v>
      </c>
      <c r="W1937" s="91" t="s">
        <v>180</v>
      </c>
    </row>
    <row r="1938" spans="1:23">
      <c r="A1938" s="93" t="str">
        <f>TEXT(tblProjectlist[[#This Row],[project-no]],"0")</f>
        <v>99959711</v>
      </c>
      <c r="H1938" s="91">
        <v>9995</v>
      </c>
      <c r="I1938" s="91">
        <v>97</v>
      </c>
      <c r="J1938" s="91">
        <v>1</v>
      </c>
      <c r="K1938" s="91" t="s">
        <v>1722</v>
      </c>
      <c r="L1938" s="91" t="s">
        <v>2175</v>
      </c>
      <c r="M1938" s="91" t="s">
        <v>0</v>
      </c>
      <c r="Q1938" s="91"/>
      <c r="S1938" s="91" t="s">
        <v>143</v>
      </c>
      <c r="T1938" s="91" t="s">
        <v>3348</v>
      </c>
      <c r="V1938" s="91" t="s">
        <v>169</v>
      </c>
      <c r="W1938" s="91" t="s">
        <v>180</v>
      </c>
    </row>
    <row r="1939" spans="1:23">
      <c r="A1939" s="93" t="str">
        <f>TEXT(tblProjectlist[[#This Row],[project-no]],"0")</f>
        <v>99959716</v>
      </c>
      <c r="H1939" s="91">
        <v>9995</v>
      </c>
      <c r="I1939" s="91">
        <v>97</v>
      </c>
      <c r="J1939" s="91">
        <v>1</v>
      </c>
      <c r="K1939" s="91" t="s">
        <v>1723</v>
      </c>
      <c r="L1939" s="91" t="s">
        <v>2175</v>
      </c>
      <c r="M1939" s="91" t="s">
        <v>0</v>
      </c>
      <c r="Q1939" s="91"/>
      <c r="S1939" s="91" t="s">
        <v>143</v>
      </c>
      <c r="T1939" s="91" t="s">
        <v>3348</v>
      </c>
      <c r="V1939" s="91" t="s">
        <v>168</v>
      </c>
      <c r="W1939" s="91" t="s">
        <v>180</v>
      </c>
    </row>
    <row r="1940" spans="1:23">
      <c r="A1940" s="93" t="str">
        <f>TEXT(tblProjectlist[[#This Row],[project-no]],"0")</f>
        <v>0</v>
      </c>
      <c r="H1940" s="91">
        <v>6020</v>
      </c>
      <c r="I1940" s="91">
        <v>10</v>
      </c>
      <c r="J1940" s="91">
        <v>2</v>
      </c>
      <c r="K1940" s="91"/>
      <c r="L1940" s="91" t="s">
        <v>197</v>
      </c>
      <c r="M1940" s="91" t="s">
        <v>4</v>
      </c>
      <c r="Q1940" s="91"/>
      <c r="S1940" s="91" t="s">
        <v>143</v>
      </c>
      <c r="T1940" s="91" t="s">
        <v>4573</v>
      </c>
      <c r="V1940" s="91" t="s">
        <v>155</v>
      </c>
      <c r="W1940" s="91" t="s">
        <v>180</v>
      </c>
    </row>
    <row r="1941" spans="1:23">
      <c r="A1941" s="93" t="str">
        <f>TEXT(tblProjectlist[[#This Row],[project-no]],"0")</f>
        <v>60200928</v>
      </c>
      <c r="H1941" s="91">
        <v>6020</v>
      </c>
      <c r="I1941" s="91">
        <v>9</v>
      </c>
      <c r="J1941" s="91">
        <v>2</v>
      </c>
      <c r="K1941" s="91" t="s">
        <v>775</v>
      </c>
      <c r="L1941" s="91" t="s">
        <v>197</v>
      </c>
      <c r="M1941" s="91" t="s">
        <v>4</v>
      </c>
      <c r="Q1941" s="91"/>
      <c r="S1941" s="91" t="s">
        <v>143</v>
      </c>
      <c r="T1941" s="91" t="s">
        <v>2671</v>
      </c>
      <c r="W1941" s="91" t="s">
        <v>180</v>
      </c>
    </row>
    <row r="1942" spans="1:23">
      <c r="A1942" s="93" t="str">
        <f>TEXT(tblProjectlist[[#This Row],[project-no]],"0")</f>
        <v>0</v>
      </c>
      <c r="H1942" s="91">
        <v>6112</v>
      </c>
      <c r="I1942" s="91">
        <v>2</v>
      </c>
      <c r="J1942" s="91">
        <v>2</v>
      </c>
      <c r="K1942" s="91"/>
      <c r="L1942" s="91" t="s">
        <v>2175</v>
      </c>
      <c r="M1942" s="91" t="s">
        <v>4</v>
      </c>
      <c r="Q1942" s="91"/>
      <c r="S1942" s="91" t="s">
        <v>143</v>
      </c>
      <c r="T1942" s="91" t="s">
        <v>3810</v>
      </c>
      <c r="V1942" s="91" t="s">
        <v>155</v>
      </c>
      <c r="W1942" s="91" t="s">
        <v>180</v>
      </c>
    </row>
    <row r="1943" spans="1:23">
      <c r="A1943" s="93" t="str">
        <f>TEXT(tblProjectlist[[#This Row],[project-no]],"0")</f>
        <v>20350228</v>
      </c>
      <c r="H1943" s="91">
        <v>2035</v>
      </c>
      <c r="I1943" s="91">
        <v>2</v>
      </c>
      <c r="J1943" s="91">
        <v>2</v>
      </c>
      <c r="K1943" s="91" t="s">
        <v>482</v>
      </c>
      <c r="L1943" s="91" t="s">
        <v>197</v>
      </c>
      <c r="M1943" s="91" t="s">
        <v>4</v>
      </c>
      <c r="Q1943" s="91"/>
      <c r="S1943" s="91" t="s">
        <v>143</v>
      </c>
      <c r="T1943" s="91" t="s">
        <v>2426</v>
      </c>
      <c r="W1943" s="91" t="s">
        <v>180</v>
      </c>
    </row>
    <row r="1944" spans="1:23">
      <c r="A1944" s="93" t="str">
        <f>TEXT(tblProjectlist[[#This Row],[project-no]],"0")</f>
        <v>0</v>
      </c>
      <c r="H1944" s="91">
        <v>7592</v>
      </c>
      <c r="I1944" s="91">
        <v>10</v>
      </c>
      <c r="J1944" s="91">
        <v>2</v>
      </c>
      <c r="K1944" s="91"/>
      <c r="L1944" s="91" t="s">
        <v>2175</v>
      </c>
      <c r="M1944" s="91" t="s">
        <v>4</v>
      </c>
      <c r="Q1944" s="91"/>
      <c r="S1944" s="91" t="s">
        <v>143</v>
      </c>
      <c r="T1944" s="91" t="s">
        <v>3866</v>
      </c>
      <c r="V1944" s="91" t="s">
        <v>155</v>
      </c>
      <c r="W1944" s="91" t="s">
        <v>180</v>
      </c>
    </row>
    <row r="1945" spans="1:23">
      <c r="A1945" s="93" t="str">
        <f>TEXT(tblProjectlist[[#This Row],[project-no]],"0")</f>
        <v>0</v>
      </c>
      <c r="H1945" s="91">
        <v>7592</v>
      </c>
      <c r="I1945" s="91">
        <v>11</v>
      </c>
      <c r="J1945" s="91">
        <v>2</v>
      </c>
      <c r="K1945" s="91"/>
      <c r="L1945" s="91" t="s">
        <v>2175</v>
      </c>
      <c r="M1945" s="91" t="s">
        <v>4</v>
      </c>
      <c r="Q1945" s="91"/>
      <c r="S1945" s="91" t="s">
        <v>143</v>
      </c>
      <c r="T1945" s="91" t="s">
        <v>4005</v>
      </c>
      <c r="V1945" s="91" t="s">
        <v>155</v>
      </c>
      <c r="W1945" s="91" t="s">
        <v>180</v>
      </c>
    </row>
    <row r="1946" spans="1:23">
      <c r="A1946" s="93" t="str">
        <f>TEXT(tblProjectlist[[#This Row],[project-no]],"0")</f>
        <v>0</v>
      </c>
      <c r="H1946" s="91">
        <v>7592</v>
      </c>
      <c r="I1946" s="91">
        <v>12</v>
      </c>
      <c r="J1946" s="91">
        <v>2</v>
      </c>
      <c r="K1946" s="91"/>
      <c r="L1946" s="91" t="s">
        <v>2175</v>
      </c>
      <c r="M1946" s="91" t="s">
        <v>4</v>
      </c>
      <c r="Q1946" s="91"/>
      <c r="S1946" s="91" t="s">
        <v>143</v>
      </c>
      <c r="T1946" s="91" t="s">
        <v>4574</v>
      </c>
      <c r="V1946" s="91" t="s">
        <v>155</v>
      </c>
      <c r="W1946" s="91" t="s">
        <v>180</v>
      </c>
    </row>
    <row r="1947" spans="1:23">
      <c r="A1947" s="93" t="str">
        <f>TEXT(tblProjectlist[[#This Row],[project-no]],"0")</f>
        <v>75960228</v>
      </c>
      <c r="H1947" s="91">
        <v>7596</v>
      </c>
      <c r="I1947" s="91">
        <v>2</v>
      </c>
      <c r="J1947" s="91">
        <v>2</v>
      </c>
      <c r="K1947" s="91" t="s">
        <v>1039</v>
      </c>
      <c r="L1947" s="91" t="s">
        <v>2175</v>
      </c>
      <c r="M1947" s="91" t="s">
        <v>4</v>
      </c>
      <c r="Q1947" s="91"/>
      <c r="S1947" s="91" t="s">
        <v>143</v>
      </c>
      <c r="T1947" s="91" t="s">
        <v>2906</v>
      </c>
      <c r="V1947" s="91" t="s">
        <v>155</v>
      </c>
      <c r="W1947" s="91" t="s">
        <v>180</v>
      </c>
    </row>
    <row r="1948" spans="1:23">
      <c r="A1948" s="93" t="str">
        <f>TEXT(tblProjectlist[[#This Row],[project-no]],"0")</f>
        <v>75920728</v>
      </c>
      <c r="H1948" s="91">
        <v>7592</v>
      </c>
      <c r="I1948" s="91">
        <v>7</v>
      </c>
      <c r="J1948" s="91">
        <v>2</v>
      </c>
      <c r="K1948" s="91" t="s">
        <v>1037</v>
      </c>
      <c r="L1948" s="91" t="s">
        <v>2175</v>
      </c>
      <c r="M1948" s="91" t="s">
        <v>4</v>
      </c>
      <c r="Q1948" s="91"/>
      <c r="S1948" s="91" t="s">
        <v>143</v>
      </c>
      <c r="T1948" s="91" t="s">
        <v>2904</v>
      </c>
      <c r="V1948" s="91" t="s">
        <v>155</v>
      </c>
      <c r="W1948" s="91" t="s">
        <v>180</v>
      </c>
    </row>
    <row r="1949" spans="1:23">
      <c r="A1949" s="93" t="str">
        <f>TEXT(tblProjectlist[[#This Row],[project-no]],"0")</f>
        <v>75920928</v>
      </c>
      <c r="H1949" s="91">
        <v>7592</v>
      </c>
      <c r="I1949" s="91">
        <v>9</v>
      </c>
      <c r="J1949" s="91">
        <v>2</v>
      </c>
      <c r="K1949" s="91" t="s">
        <v>1038</v>
      </c>
      <c r="L1949" s="91" t="s">
        <v>2175</v>
      </c>
      <c r="M1949" s="91" t="s">
        <v>4</v>
      </c>
      <c r="Q1949" s="91"/>
      <c r="S1949" s="91" t="s">
        <v>143</v>
      </c>
      <c r="T1949" s="91" t="s">
        <v>2905</v>
      </c>
      <c r="V1949" s="91" t="s">
        <v>155</v>
      </c>
      <c r="W1949" s="91" t="s">
        <v>180</v>
      </c>
    </row>
    <row r="1950" spans="1:23">
      <c r="A1950" s="93" t="str">
        <f>TEXT(tblProjectlist[[#This Row],[project-no]],"0")</f>
        <v>74900428</v>
      </c>
      <c r="H1950" s="91">
        <v>7490</v>
      </c>
      <c r="I1950" s="91">
        <v>4</v>
      </c>
      <c r="J1950" s="91">
        <v>2</v>
      </c>
      <c r="K1950" s="91" t="s">
        <v>977</v>
      </c>
      <c r="L1950" s="91" t="s">
        <v>2175</v>
      </c>
      <c r="M1950" s="91" t="s">
        <v>4</v>
      </c>
      <c r="Q1950" s="91"/>
      <c r="S1950" s="91" t="s">
        <v>143</v>
      </c>
      <c r="T1950" s="91" t="s">
        <v>2847</v>
      </c>
      <c r="V1950" s="91" t="s">
        <v>155</v>
      </c>
      <c r="W1950" s="91" t="s">
        <v>180</v>
      </c>
    </row>
    <row r="1951" spans="1:23">
      <c r="A1951" s="93" t="str">
        <f>TEXT(tblProjectlist[[#This Row],[project-no]],"0")</f>
        <v>0</v>
      </c>
      <c r="H1951" s="91">
        <v>7676</v>
      </c>
      <c r="I1951" s="91">
        <v>2</v>
      </c>
      <c r="J1951" s="91">
        <v>2</v>
      </c>
      <c r="K1951" s="91"/>
      <c r="L1951" s="91" t="s">
        <v>2175</v>
      </c>
      <c r="M1951" s="91" t="s">
        <v>4</v>
      </c>
      <c r="Q1951" s="91"/>
      <c r="S1951" s="91" t="s">
        <v>143</v>
      </c>
      <c r="T1951" s="91" t="s">
        <v>4149</v>
      </c>
      <c r="V1951" s="91" t="s">
        <v>155</v>
      </c>
      <c r="W1951" s="91" t="s">
        <v>180</v>
      </c>
    </row>
    <row r="1952" spans="1:23">
      <c r="A1952" s="93" t="str">
        <f>TEXT(tblProjectlist[[#This Row],[project-no]],"0")</f>
        <v>0</v>
      </c>
      <c r="H1952" s="91">
        <v>7676</v>
      </c>
      <c r="I1952" s="91">
        <v>3</v>
      </c>
      <c r="J1952" s="91">
        <v>2</v>
      </c>
      <c r="K1952" s="91"/>
      <c r="L1952" s="91" t="s">
        <v>2175</v>
      </c>
      <c r="M1952" s="91" t="s">
        <v>4</v>
      </c>
      <c r="Q1952" s="91"/>
      <c r="S1952" s="91" t="s">
        <v>143</v>
      </c>
      <c r="T1952" s="91" t="s">
        <v>4243</v>
      </c>
      <c r="V1952" s="91" t="s">
        <v>155</v>
      </c>
      <c r="W1952" s="91" t="s">
        <v>180</v>
      </c>
    </row>
    <row r="1953" spans="1:23">
      <c r="A1953" s="93" t="str">
        <f>TEXT(tblProjectlist[[#This Row],[project-no]],"0")</f>
        <v>0</v>
      </c>
      <c r="H1953" s="91">
        <v>3009</v>
      </c>
      <c r="I1953" s="91">
        <v>8</v>
      </c>
      <c r="J1953" s="91">
        <v>2</v>
      </c>
      <c r="K1953" s="91"/>
      <c r="L1953" s="91" t="s">
        <v>2175</v>
      </c>
      <c r="M1953" s="91" t="s">
        <v>4</v>
      </c>
      <c r="Q1953" s="91"/>
      <c r="S1953" s="91" t="s">
        <v>143</v>
      </c>
      <c r="T1953" s="91" t="s">
        <v>3666</v>
      </c>
      <c r="V1953" s="91" t="s">
        <v>155</v>
      </c>
      <c r="W1953" s="91" t="s">
        <v>180</v>
      </c>
    </row>
    <row r="1954" spans="1:23">
      <c r="A1954" s="93" t="str">
        <f>TEXT(tblProjectlist[[#This Row],[project-no]],"0")</f>
        <v>30090528</v>
      </c>
      <c r="H1954" s="91">
        <v>3009</v>
      </c>
      <c r="I1954" s="91">
        <v>5</v>
      </c>
      <c r="J1954" s="91">
        <v>2</v>
      </c>
      <c r="K1954" s="91" t="s">
        <v>617</v>
      </c>
      <c r="L1954" s="91" t="s">
        <v>2175</v>
      </c>
      <c r="M1954" s="91" t="s">
        <v>4</v>
      </c>
      <c r="Q1954" s="91"/>
      <c r="S1954" s="91" t="s">
        <v>143</v>
      </c>
      <c r="T1954" s="91" t="s">
        <v>2527</v>
      </c>
      <c r="V1954" s="91" t="s">
        <v>155</v>
      </c>
      <c r="W1954" s="91" t="s">
        <v>180</v>
      </c>
    </row>
    <row r="1955" spans="1:23">
      <c r="A1955" s="93" t="str">
        <f>TEXT(tblProjectlist[[#This Row],[project-no]],"0")</f>
        <v>30090628</v>
      </c>
      <c r="H1955" s="91">
        <v>3009</v>
      </c>
      <c r="I1955" s="91">
        <v>6</v>
      </c>
      <c r="J1955" s="91">
        <v>2</v>
      </c>
      <c r="K1955" s="91" t="s">
        <v>618</v>
      </c>
      <c r="L1955" s="91" t="s">
        <v>2175</v>
      </c>
      <c r="M1955" s="91" t="s">
        <v>4</v>
      </c>
      <c r="Q1955" s="91"/>
      <c r="S1955" s="91" t="s">
        <v>143</v>
      </c>
      <c r="T1955" s="91" t="s">
        <v>2528</v>
      </c>
      <c r="V1955" s="91" t="s">
        <v>155</v>
      </c>
      <c r="W1955" s="91" t="s">
        <v>180</v>
      </c>
    </row>
    <row r="1956" spans="1:23">
      <c r="A1956" s="93" t="str">
        <f>TEXT(tblProjectlist[[#This Row],[project-no]],"0")</f>
        <v>30090728</v>
      </c>
      <c r="H1956" s="91">
        <v>3009</v>
      </c>
      <c r="I1956" s="91">
        <v>7</v>
      </c>
      <c r="J1956" s="91">
        <v>2</v>
      </c>
      <c r="K1956" s="91" t="s">
        <v>619</v>
      </c>
      <c r="L1956" s="91" t="s">
        <v>2175</v>
      </c>
      <c r="M1956" s="91" t="s">
        <v>4</v>
      </c>
      <c r="Q1956" s="91"/>
      <c r="S1956" s="91" t="s">
        <v>143</v>
      </c>
      <c r="T1956" s="91" t="s">
        <v>2529</v>
      </c>
      <c r="V1956" s="91" t="s">
        <v>155</v>
      </c>
      <c r="W1956" s="91" t="s">
        <v>180</v>
      </c>
    </row>
    <row r="1957" spans="1:23">
      <c r="A1957" s="93" t="str">
        <f>TEXT(tblProjectlist[[#This Row],[project-no]],"0")</f>
        <v>0</v>
      </c>
      <c r="H1957" s="91">
        <v>3009</v>
      </c>
      <c r="I1957" s="91">
        <v>9</v>
      </c>
      <c r="J1957" s="91">
        <v>2</v>
      </c>
      <c r="K1957" s="91"/>
      <c r="L1957" s="91" t="s">
        <v>2175</v>
      </c>
      <c r="M1957" s="91" t="s">
        <v>4</v>
      </c>
      <c r="Q1957" s="91"/>
      <c r="S1957" s="91" t="s">
        <v>143</v>
      </c>
      <c r="T1957" s="91" t="s">
        <v>3915</v>
      </c>
      <c r="V1957" s="91" t="s">
        <v>155</v>
      </c>
      <c r="W1957" s="91" t="s">
        <v>180</v>
      </c>
    </row>
    <row r="1958" spans="1:23">
      <c r="A1958" s="93" t="str">
        <f>TEXT(tblProjectlist[[#This Row],[project-no]],"0")</f>
        <v>0</v>
      </c>
      <c r="H1958" s="91">
        <v>3009</v>
      </c>
      <c r="I1958" s="91">
        <v>10</v>
      </c>
      <c r="J1958" s="91">
        <v>2</v>
      </c>
      <c r="K1958" s="91"/>
      <c r="L1958" s="91" t="s">
        <v>2175</v>
      </c>
      <c r="M1958" s="91" t="s">
        <v>4</v>
      </c>
      <c r="Q1958" s="91"/>
      <c r="S1958" s="91" t="s">
        <v>143</v>
      </c>
      <c r="T1958" s="91" t="s">
        <v>4112</v>
      </c>
      <c r="V1958" s="91" t="s">
        <v>155</v>
      </c>
      <c r="W1958" s="91" t="s">
        <v>180</v>
      </c>
    </row>
    <row r="1959" spans="1:23">
      <c r="A1959" s="93" t="str">
        <f>TEXT(tblProjectlist[[#This Row],[project-no]],"0")</f>
        <v>30520228</v>
      </c>
      <c r="H1959" s="91">
        <v>3052</v>
      </c>
      <c r="I1959" s="91">
        <v>2</v>
      </c>
      <c r="J1959" s="91">
        <v>2</v>
      </c>
      <c r="K1959" s="91" t="s">
        <v>666</v>
      </c>
      <c r="L1959" s="91" t="s">
        <v>2175</v>
      </c>
      <c r="M1959" s="91" t="s">
        <v>4</v>
      </c>
      <c r="Q1959" s="91"/>
      <c r="S1959" s="91" t="s">
        <v>143</v>
      </c>
      <c r="T1959" s="91" t="s">
        <v>2568</v>
      </c>
      <c r="V1959" s="91" t="s">
        <v>155</v>
      </c>
      <c r="W1959" s="91" t="s">
        <v>180</v>
      </c>
    </row>
    <row r="1960" spans="1:23">
      <c r="A1960" s="93" t="str">
        <f>TEXT(tblProjectlist[[#This Row],[project-no]],"0")</f>
        <v>31460228</v>
      </c>
      <c r="H1960" s="91">
        <v>3146</v>
      </c>
      <c r="I1960" s="91">
        <v>2</v>
      </c>
      <c r="J1960" s="91">
        <v>2</v>
      </c>
      <c r="K1960" s="91" t="s">
        <v>744</v>
      </c>
      <c r="L1960" s="91" t="s">
        <v>2175</v>
      </c>
      <c r="M1960" s="91" t="s">
        <v>4</v>
      </c>
      <c r="Q1960" s="91"/>
      <c r="S1960" s="91" t="s">
        <v>143</v>
      </c>
      <c r="T1960" s="91" t="s">
        <v>2642</v>
      </c>
      <c r="V1960" s="91" t="s">
        <v>155</v>
      </c>
      <c r="W1960" s="91" t="s">
        <v>180</v>
      </c>
    </row>
    <row r="1961" spans="1:23">
      <c r="A1961" s="93" t="str">
        <f>TEXT(tblProjectlist[[#This Row],[project-no]],"0")</f>
        <v>88983228</v>
      </c>
      <c r="H1961" s="91">
        <v>8898</v>
      </c>
      <c r="I1961" s="91">
        <v>32</v>
      </c>
      <c r="J1961" s="91">
        <v>2</v>
      </c>
      <c r="K1961" s="91" t="s">
        <v>1264</v>
      </c>
      <c r="L1961" s="91" t="s">
        <v>2175</v>
      </c>
      <c r="M1961" s="91" t="s">
        <v>4</v>
      </c>
      <c r="Q1961" s="91"/>
      <c r="S1961" s="91" t="s">
        <v>143</v>
      </c>
      <c r="T1961" s="91" t="s">
        <v>3115</v>
      </c>
      <c r="V1961" s="91" t="s">
        <v>155</v>
      </c>
      <c r="W1961" s="91" t="s">
        <v>180</v>
      </c>
    </row>
    <row r="1962" spans="1:23">
      <c r="A1962" s="93" t="str">
        <f>TEXT(tblProjectlist[[#This Row],[project-no]],"0")</f>
        <v>88984328</v>
      </c>
      <c r="H1962" s="91">
        <v>8898</v>
      </c>
      <c r="I1962" s="91">
        <v>43</v>
      </c>
      <c r="J1962" s="91">
        <v>2</v>
      </c>
      <c r="K1962" s="91" t="s">
        <v>1265</v>
      </c>
      <c r="L1962" s="91" t="s">
        <v>2175</v>
      </c>
      <c r="M1962" s="91" t="s">
        <v>4</v>
      </c>
      <c r="Q1962" s="91"/>
      <c r="S1962" s="91" t="s">
        <v>143</v>
      </c>
      <c r="T1962" s="91" t="s">
        <v>3116</v>
      </c>
      <c r="V1962" s="91" t="s">
        <v>155</v>
      </c>
      <c r="W1962" s="91" t="s">
        <v>180</v>
      </c>
    </row>
    <row r="1963" spans="1:23">
      <c r="A1963" s="93" t="str">
        <f>TEXT(tblProjectlist[[#This Row],[project-no]],"0")</f>
        <v>89020528</v>
      </c>
      <c r="H1963" s="91">
        <v>8902</v>
      </c>
      <c r="I1963" s="91">
        <v>5</v>
      </c>
      <c r="J1963" s="91">
        <v>2</v>
      </c>
      <c r="K1963" s="91" t="s">
        <v>1268</v>
      </c>
      <c r="L1963" s="91" t="s">
        <v>2175</v>
      </c>
      <c r="M1963" s="91" t="s">
        <v>4</v>
      </c>
      <c r="Q1963" s="91"/>
      <c r="S1963" s="91" t="s">
        <v>143</v>
      </c>
      <c r="T1963" s="91" t="s">
        <v>3119</v>
      </c>
      <c r="V1963" s="91" t="s">
        <v>155</v>
      </c>
      <c r="W1963" s="91" t="s">
        <v>180</v>
      </c>
    </row>
    <row r="1964" spans="1:23">
      <c r="A1964" s="93" t="str">
        <f>TEXT(tblProjectlist[[#This Row],[project-no]],"0")</f>
        <v>89030628</v>
      </c>
      <c r="H1964" s="91">
        <v>8903</v>
      </c>
      <c r="I1964" s="91">
        <v>6</v>
      </c>
      <c r="J1964" s="91">
        <v>2</v>
      </c>
      <c r="K1964" s="91">
        <v>89030628</v>
      </c>
      <c r="L1964" s="91" t="s">
        <v>2175</v>
      </c>
      <c r="M1964" s="91" t="s">
        <v>4</v>
      </c>
      <c r="Q1964" s="91"/>
      <c r="S1964" s="91" t="s">
        <v>143</v>
      </c>
      <c r="T1964" s="91" t="s">
        <v>3954</v>
      </c>
      <c r="V1964" s="91" t="s">
        <v>155</v>
      </c>
      <c r="W1964" s="91" t="s">
        <v>180</v>
      </c>
    </row>
    <row r="1965" spans="1:23">
      <c r="A1965" s="93" t="str">
        <f>TEXT(tblProjectlist[[#This Row],[project-no]],"0")</f>
        <v>89030428</v>
      </c>
      <c r="H1965" s="91">
        <v>8903</v>
      </c>
      <c r="I1965" s="91">
        <v>4</v>
      </c>
      <c r="J1965" s="91">
        <v>2</v>
      </c>
      <c r="K1965" s="91" t="s">
        <v>1269</v>
      </c>
      <c r="L1965" s="91" t="s">
        <v>2175</v>
      </c>
      <c r="M1965" s="91" t="s">
        <v>4</v>
      </c>
      <c r="Q1965" s="91"/>
      <c r="S1965" s="91" t="s">
        <v>143</v>
      </c>
      <c r="T1965" s="91" t="s">
        <v>3120</v>
      </c>
      <c r="V1965" s="91" t="s">
        <v>155</v>
      </c>
      <c r="W1965" s="91" t="s">
        <v>180</v>
      </c>
    </row>
    <row r="1966" spans="1:23">
      <c r="A1966" s="93" t="str">
        <f>TEXT(tblProjectlist[[#This Row],[project-no]],"0")</f>
        <v>89030528</v>
      </c>
      <c r="H1966" s="91">
        <v>8903</v>
      </c>
      <c r="I1966" s="91">
        <v>5</v>
      </c>
      <c r="J1966" s="91">
        <v>2</v>
      </c>
      <c r="K1966" s="91" t="s">
        <v>1270</v>
      </c>
      <c r="L1966" s="91" t="s">
        <v>2175</v>
      </c>
      <c r="M1966" s="91" t="s">
        <v>4</v>
      </c>
      <c r="Q1966" s="91"/>
      <c r="S1966" s="91" t="s">
        <v>143</v>
      </c>
      <c r="T1966" s="91" t="s">
        <v>3121</v>
      </c>
      <c r="V1966" s="91" t="s">
        <v>155</v>
      </c>
      <c r="W1966" s="91" t="s">
        <v>180</v>
      </c>
    </row>
    <row r="1967" spans="1:23">
      <c r="A1967" s="93" t="str">
        <f>TEXT(tblProjectlist[[#This Row],[project-no]],"0")</f>
        <v>0</v>
      </c>
      <c r="H1967" s="91">
        <v>8903</v>
      </c>
      <c r="I1967" s="91">
        <v>7</v>
      </c>
      <c r="J1967" s="91">
        <v>2</v>
      </c>
      <c r="K1967" s="91"/>
      <c r="L1967" s="91" t="s">
        <v>2175</v>
      </c>
      <c r="M1967" s="91" t="s">
        <v>4</v>
      </c>
      <c r="Q1967" s="91"/>
      <c r="S1967" s="91" t="s">
        <v>143</v>
      </c>
      <c r="T1967" s="91" t="s">
        <v>4032</v>
      </c>
      <c r="V1967" s="91" t="s">
        <v>155</v>
      </c>
      <c r="W1967" s="91" t="s">
        <v>180</v>
      </c>
    </row>
    <row r="1968" spans="1:23">
      <c r="A1968" s="93" t="str">
        <f>TEXT(tblProjectlist[[#This Row],[project-no]],"0")</f>
        <v>0</v>
      </c>
      <c r="H1968" s="91">
        <v>8876</v>
      </c>
      <c r="I1968" s="91">
        <v>12</v>
      </c>
      <c r="J1968" s="91">
        <v>2</v>
      </c>
      <c r="K1968" s="91"/>
      <c r="L1968" s="91" t="s">
        <v>2175</v>
      </c>
      <c r="M1968" s="91" t="s">
        <v>4</v>
      </c>
      <c r="Q1968" s="91"/>
      <c r="S1968" s="91" t="s">
        <v>143</v>
      </c>
      <c r="T1968" s="91" t="s">
        <v>3713</v>
      </c>
      <c r="V1968" s="91" t="s">
        <v>155</v>
      </c>
      <c r="W1968" s="91" t="s">
        <v>180</v>
      </c>
    </row>
    <row r="1969" spans="1:23">
      <c r="A1969" s="93" t="str">
        <f>TEXT(tblProjectlist[[#This Row],[project-no]],"0")</f>
        <v>0</v>
      </c>
      <c r="H1969" s="91">
        <v>7666</v>
      </c>
      <c r="I1969" s="91">
        <v>2</v>
      </c>
      <c r="J1969" s="91">
        <v>2</v>
      </c>
      <c r="K1969" s="91"/>
      <c r="L1969" s="91" t="s">
        <v>2175</v>
      </c>
      <c r="M1969" s="91" t="s">
        <v>4</v>
      </c>
      <c r="Q1969" s="91"/>
      <c r="S1969" s="91" t="s">
        <v>143</v>
      </c>
      <c r="T1969" s="91" t="s">
        <v>3892</v>
      </c>
      <c r="V1969" s="91" t="s">
        <v>155</v>
      </c>
      <c r="W1969" s="91" t="s">
        <v>180</v>
      </c>
    </row>
    <row r="1970" spans="1:23">
      <c r="A1970" s="93" t="str">
        <f>TEXT(tblProjectlist[[#This Row],[project-no]],"0")</f>
        <v>0</v>
      </c>
      <c r="H1970" s="91">
        <v>7566</v>
      </c>
      <c r="I1970" s="91">
        <v>5</v>
      </c>
      <c r="J1970" s="91">
        <v>2</v>
      </c>
      <c r="K1970" s="91"/>
      <c r="L1970" s="91" t="s">
        <v>2175</v>
      </c>
      <c r="M1970" s="91" t="s">
        <v>4</v>
      </c>
      <c r="Q1970" s="91"/>
      <c r="S1970" s="91" t="s">
        <v>143</v>
      </c>
      <c r="T1970" s="91" t="s">
        <v>4547</v>
      </c>
      <c r="V1970" s="91" t="s">
        <v>155</v>
      </c>
      <c r="W1970" s="91" t="s">
        <v>180</v>
      </c>
    </row>
    <row r="1971" spans="1:23">
      <c r="A1971" s="93" t="str">
        <f>TEXT(tblProjectlist[[#This Row],[project-no]],"0")</f>
        <v>0</v>
      </c>
      <c r="H1971" s="91">
        <v>8066</v>
      </c>
      <c r="I1971" s="91">
        <v>2</v>
      </c>
      <c r="J1971" s="91">
        <v>2</v>
      </c>
      <c r="K1971" s="91"/>
      <c r="L1971" s="91" t="s">
        <v>197</v>
      </c>
      <c r="M1971" s="91" t="s">
        <v>4</v>
      </c>
      <c r="Q1971" s="91"/>
      <c r="S1971" s="91" t="s">
        <v>143</v>
      </c>
      <c r="T1971" s="91" t="s">
        <v>4455</v>
      </c>
      <c r="V1971" s="91" t="s">
        <v>155</v>
      </c>
      <c r="W1971" s="91" t="s">
        <v>180</v>
      </c>
    </row>
    <row r="1972" spans="1:23">
      <c r="A1972" s="93" t="str">
        <f>TEXT(tblProjectlist[[#This Row],[project-no]],"0")</f>
        <v>0</v>
      </c>
      <c r="H1972" s="91">
        <v>6001</v>
      </c>
      <c r="I1972" s="91">
        <v>2</v>
      </c>
      <c r="J1972" s="91">
        <v>2</v>
      </c>
      <c r="K1972" s="91"/>
      <c r="L1972" s="91" t="s">
        <v>62</v>
      </c>
      <c r="M1972" s="91" t="s">
        <v>4</v>
      </c>
      <c r="Q1972" s="91"/>
      <c r="S1972" s="91" t="s">
        <v>143</v>
      </c>
      <c r="T1972" s="91" t="s">
        <v>3925</v>
      </c>
      <c r="V1972" s="91" t="s">
        <v>155</v>
      </c>
      <c r="W1972" s="91" t="s">
        <v>180</v>
      </c>
    </row>
    <row r="1973" spans="1:23">
      <c r="A1973" s="93" t="str">
        <f>TEXT(tblProjectlist[[#This Row],[project-no]],"0")</f>
        <v>0</v>
      </c>
      <c r="H1973" s="91">
        <v>4009</v>
      </c>
      <c r="I1973" s="91">
        <v>3</v>
      </c>
      <c r="J1973" s="91">
        <v>2</v>
      </c>
      <c r="K1973" s="91"/>
      <c r="L1973" s="91" t="s">
        <v>1749</v>
      </c>
      <c r="M1973" s="91" t="s">
        <v>4</v>
      </c>
      <c r="Q1973" s="91"/>
      <c r="S1973" s="91" t="s">
        <v>143</v>
      </c>
      <c r="T1973" s="91" t="s">
        <v>4271</v>
      </c>
      <c r="V1973" s="91" t="s">
        <v>155</v>
      </c>
      <c r="W1973" s="91" t="s">
        <v>180</v>
      </c>
    </row>
    <row r="1974" spans="1:23">
      <c r="A1974" s="93" t="str">
        <f>TEXT(tblProjectlist[[#This Row],[project-no]],"0")</f>
        <v>0</v>
      </c>
      <c r="H1974" s="91">
        <v>4009</v>
      </c>
      <c r="I1974" s="91">
        <v>2</v>
      </c>
      <c r="J1974" s="91">
        <v>2</v>
      </c>
      <c r="K1974" s="91"/>
      <c r="L1974" s="91" t="s">
        <v>1749</v>
      </c>
      <c r="M1974" s="91" t="s">
        <v>4</v>
      </c>
      <c r="Q1974" s="91"/>
      <c r="S1974" s="91" t="s">
        <v>143</v>
      </c>
      <c r="T1974" s="91" t="s">
        <v>4122</v>
      </c>
      <c r="V1974" s="91" t="s">
        <v>155</v>
      </c>
      <c r="W1974" s="91" t="s">
        <v>180</v>
      </c>
    </row>
    <row r="1975" spans="1:23">
      <c r="A1975" s="93" t="str">
        <f>TEXT(tblProjectlist[[#This Row],[project-no]],"0")</f>
        <v>0</v>
      </c>
      <c r="H1975" s="91">
        <v>2041</v>
      </c>
      <c r="I1975" s="91">
        <v>2</v>
      </c>
      <c r="J1975" s="91">
        <v>2</v>
      </c>
      <c r="K1975" s="91"/>
      <c r="L1975" s="91" t="s">
        <v>62</v>
      </c>
      <c r="M1975" s="91" t="s">
        <v>4</v>
      </c>
      <c r="Q1975" s="91"/>
      <c r="S1975" s="91" t="s">
        <v>143</v>
      </c>
      <c r="T1975" s="91" t="s">
        <v>3655</v>
      </c>
      <c r="V1975" s="91" t="s">
        <v>155</v>
      </c>
      <c r="W1975" s="91" t="s">
        <v>180</v>
      </c>
    </row>
    <row r="1976" spans="1:23">
      <c r="A1976" s="93" t="str">
        <f>TEXT(tblProjectlist[[#This Row],[project-no]],"0")</f>
        <v>0</v>
      </c>
      <c r="H1976" s="91">
        <v>7573</v>
      </c>
      <c r="I1976" s="91">
        <v>5</v>
      </c>
      <c r="J1976" s="91">
        <v>2</v>
      </c>
      <c r="K1976" s="91"/>
      <c r="L1976" s="91" t="s">
        <v>2175</v>
      </c>
      <c r="M1976" s="91" t="s">
        <v>4</v>
      </c>
      <c r="Q1976" s="91"/>
      <c r="S1976" s="91" t="s">
        <v>143</v>
      </c>
      <c r="T1976" s="91" t="s">
        <v>4281</v>
      </c>
      <c r="V1976" s="91" t="s">
        <v>155</v>
      </c>
      <c r="W1976" s="91" t="s">
        <v>180</v>
      </c>
    </row>
    <row r="1977" spans="1:23">
      <c r="A1977" s="93" t="str">
        <f>TEXT(tblProjectlist[[#This Row],[project-no]],"0")</f>
        <v>75730428</v>
      </c>
      <c r="H1977" s="91">
        <v>7573</v>
      </c>
      <c r="I1977" s="91">
        <v>4</v>
      </c>
      <c r="J1977" s="91">
        <v>2</v>
      </c>
      <c r="K1977" s="91" t="s">
        <v>1031</v>
      </c>
      <c r="L1977" s="91" t="s">
        <v>2175</v>
      </c>
      <c r="M1977" s="91" t="s">
        <v>4</v>
      </c>
      <c r="Q1977" s="91"/>
      <c r="S1977" s="91" t="s">
        <v>143</v>
      </c>
      <c r="T1977" s="91" t="s">
        <v>2898</v>
      </c>
      <c r="V1977" s="91" t="s">
        <v>155</v>
      </c>
      <c r="W1977" s="91" t="s">
        <v>180</v>
      </c>
    </row>
    <row r="1978" spans="1:23">
      <c r="A1978" s="93" t="str">
        <f>TEXT(tblProjectlist[[#This Row],[project-no]],"0")</f>
        <v>99948328</v>
      </c>
      <c r="H1978" s="91">
        <v>7022</v>
      </c>
      <c r="I1978" s="91">
        <v>13</v>
      </c>
      <c r="J1978" s="91">
        <v>2</v>
      </c>
      <c r="K1978" s="91" t="s">
        <v>1607</v>
      </c>
      <c r="L1978" s="91" t="s">
        <v>2175</v>
      </c>
      <c r="M1978" s="91" t="s">
        <v>4</v>
      </c>
      <c r="Q1978" s="91"/>
      <c r="S1978" s="91" t="s">
        <v>143</v>
      </c>
      <c r="T1978" s="91" t="s">
        <v>2808</v>
      </c>
      <c r="V1978" s="91" t="s">
        <v>155</v>
      </c>
      <c r="W1978" s="91" t="s">
        <v>180</v>
      </c>
    </row>
    <row r="1979" spans="1:23">
      <c r="A1979" s="93" t="str">
        <f>TEXT(tblProjectlist[[#This Row],[project-no]],"0")</f>
        <v>99948428</v>
      </c>
      <c r="H1979" s="91">
        <v>7022</v>
      </c>
      <c r="I1979" s="91">
        <v>15</v>
      </c>
      <c r="J1979" s="91">
        <v>2</v>
      </c>
      <c r="K1979" s="91" t="s">
        <v>1608</v>
      </c>
      <c r="L1979" s="91" t="s">
        <v>2175</v>
      </c>
      <c r="M1979" s="91" t="s">
        <v>4</v>
      </c>
      <c r="Q1979" s="91"/>
      <c r="S1979" s="91" t="s">
        <v>143</v>
      </c>
      <c r="T1979" s="91" t="s">
        <v>2809</v>
      </c>
      <c r="V1979" s="91" t="s">
        <v>155</v>
      </c>
      <c r="W1979" s="91" t="s">
        <v>180</v>
      </c>
    </row>
    <row r="1980" spans="1:23">
      <c r="A1980" s="93" t="str">
        <f>TEXT(tblProjectlist[[#This Row],[project-no]],"0")</f>
        <v>99960228</v>
      </c>
      <c r="H1980" s="91">
        <v>7022</v>
      </c>
      <c r="I1980" s="91">
        <v>16</v>
      </c>
      <c r="J1980" s="91">
        <v>2</v>
      </c>
      <c r="K1980" s="91" t="s">
        <v>1726</v>
      </c>
      <c r="L1980" s="91" t="s">
        <v>265</v>
      </c>
      <c r="M1980" s="91" t="s">
        <v>4</v>
      </c>
      <c r="Q1980" s="91"/>
      <c r="S1980" s="91" t="s">
        <v>143</v>
      </c>
      <c r="T1980" s="91" t="s">
        <v>3350</v>
      </c>
      <c r="V1980" s="91" t="s">
        <v>155</v>
      </c>
      <c r="W1980" s="91" t="s">
        <v>180</v>
      </c>
    </row>
    <row r="1981" spans="1:23">
      <c r="A1981" s="93" t="str">
        <f>TEXT(tblProjectlist[[#This Row],[project-no]],"0")</f>
        <v>66460726</v>
      </c>
      <c r="H1981" s="91">
        <v>6646</v>
      </c>
      <c r="I1981" s="91">
        <v>7</v>
      </c>
      <c r="J1981" s="91">
        <v>2</v>
      </c>
      <c r="K1981" s="91" t="s">
        <v>904</v>
      </c>
      <c r="L1981" s="91" t="s">
        <v>197</v>
      </c>
      <c r="M1981" s="91" t="s">
        <v>4</v>
      </c>
      <c r="Q1981" s="91"/>
      <c r="S1981" s="91" t="s">
        <v>143</v>
      </c>
      <c r="T1981" s="91" t="s">
        <v>2779</v>
      </c>
      <c r="V1981" s="91" t="s">
        <v>155</v>
      </c>
      <c r="W1981" s="91" t="s">
        <v>180</v>
      </c>
    </row>
    <row r="1982" spans="1:23">
      <c r="A1982" s="93" t="str">
        <f>TEXT(tblProjectlist[[#This Row],[project-no]],"0")</f>
        <v>0</v>
      </c>
      <c r="H1982" s="91">
        <v>7533</v>
      </c>
      <c r="I1982" s="91">
        <v>3</v>
      </c>
      <c r="J1982" s="91">
        <v>2</v>
      </c>
      <c r="K1982" s="91"/>
      <c r="L1982" s="91" t="s">
        <v>2175</v>
      </c>
      <c r="M1982" s="91" t="s">
        <v>4</v>
      </c>
      <c r="Q1982" s="91"/>
      <c r="S1982" s="91" t="s">
        <v>143</v>
      </c>
      <c r="T1982" s="91" t="s">
        <v>4513</v>
      </c>
      <c r="V1982" s="91" t="s">
        <v>155</v>
      </c>
      <c r="W1982" s="91" t="s">
        <v>180</v>
      </c>
    </row>
    <row r="1983" spans="1:23">
      <c r="A1983" s="93" t="str">
        <f>TEXT(tblProjectlist[[#This Row],[project-no]],"0")</f>
        <v>75330128</v>
      </c>
      <c r="H1983" s="91">
        <v>7533</v>
      </c>
      <c r="I1983" s="91">
        <v>1</v>
      </c>
      <c r="J1983" s="91">
        <v>2</v>
      </c>
      <c r="K1983" s="91" t="s">
        <v>1008</v>
      </c>
      <c r="L1983" s="91" t="s">
        <v>2175</v>
      </c>
      <c r="M1983" s="91" t="s">
        <v>4</v>
      </c>
      <c r="Q1983" s="91"/>
      <c r="S1983" s="91" t="s">
        <v>143</v>
      </c>
      <c r="T1983" s="91" t="s">
        <v>2877</v>
      </c>
      <c r="V1983" s="91" t="s">
        <v>155</v>
      </c>
      <c r="W1983" s="91" t="s">
        <v>180</v>
      </c>
    </row>
    <row r="1984" spans="1:23">
      <c r="A1984" s="93" t="str">
        <f>TEXT(tblProjectlist[[#This Row],[project-no]],"0")</f>
        <v>75330228</v>
      </c>
      <c r="H1984" s="91">
        <v>7533</v>
      </c>
      <c r="I1984" s="91">
        <v>2</v>
      </c>
      <c r="J1984" s="91">
        <v>2</v>
      </c>
      <c r="K1984" s="91" t="s">
        <v>1009</v>
      </c>
      <c r="L1984" s="91" t="s">
        <v>2175</v>
      </c>
      <c r="M1984" s="91" t="s">
        <v>4</v>
      </c>
      <c r="Q1984" s="91"/>
      <c r="S1984" s="91" t="s">
        <v>143</v>
      </c>
      <c r="T1984" s="91" t="s">
        <v>2878</v>
      </c>
      <c r="V1984" s="91" t="s">
        <v>152</v>
      </c>
      <c r="W1984" s="91" t="s">
        <v>180</v>
      </c>
    </row>
    <row r="1985" spans="1:23">
      <c r="A1985" s="93" t="str">
        <f>TEXT(tblProjectlist[[#This Row],[project-no]],"0")</f>
        <v>99964728</v>
      </c>
      <c r="H1985" s="91">
        <v>7533</v>
      </c>
      <c r="I1985" s="91">
        <v>2</v>
      </c>
      <c r="J1985" s="91">
        <v>2</v>
      </c>
      <c r="K1985" s="91" t="s">
        <v>1765</v>
      </c>
      <c r="L1985" s="91" t="s">
        <v>2175</v>
      </c>
      <c r="M1985" s="91" t="s">
        <v>4</v>
      </c>
      <c r="Q1985" s="91"/>
      <c r="S1985" s="91" t="s">
        <v>143</v>
      </c>
      <c r="T1985" s="91" t="s">
        <v>2878</v>
      </c>
      <c r="V1985" s="91" t="s">
        <v>152</v>
      </c>
      <c r="W1985" s="91" t="s">
        <v>180</v>
      </c>
    </row>
    <row r="1986" spans="1:23">
      <c r="A1986" s="93" t="str">
        <f>TEXT(tblProjectlist[[#This Row],[project-no]],"0")</f>
        <v>76030243</v>
      </c>
      <c r="H1986" s="91">
        <v>7603</v>
      </c>
      <c r="I1986" s="91">
        <v>2</v>
      </c>
      <c r="J1986" s="91">
        <v>4</v>
      </c>
      <c r="K1986" s="91" t="s">
        <v>1042</v>
      </c>
      <c r="L1986" s="91" t="s">
        <v>58</v>
      </c>
      <c r="M1986" s="91" t="s">
        <v>1</v>
      </c>
      <c r="Q1986" s="91"/>
      <c r="S1986" s="91" t="s">
        <v>143</v>
      </c>
      <c r="T1986" s="91" t="s">
        <v>2909</v>
      </c>
      <c r="W1986" s="91" t="s">
        <v>180</v>
      </c>
    </row>
    <row r="1987" spans="1:23">
      <c r="A1987" s="93" t="str">
        <f>TEXT(tblProjectlist[[#This Row],[project-no]],"0")</f>
        <v>78110812</v>
      </c>
      <c r="H1987" s="91">
        <v>7811</v>
      </c>
      <c r="I1987" s="91">
        <v>8</v>
      </c>
      <c r="J1987" s="91">
        <v>1</v>
      </c>
      <c r="K1987" s="91" t="s">
        <v>1124</v>
      </c>
      <c r="L1987" s="91" t="s">
        <v>2175</v>
      </c>
      <c r="M1987" s="91" t="s">
        <v>0</v>
      </c>
      <c r="Q1987" s="91"/>
      <c r="S1987" s="91" t="s">
        <v>143</v>
      </c>
      <c r="T1987" s="91" t="s">
        <v>2989</v>
      </c>
      <c r="V1987" s="91" t="s">
        <v>169</v>
      </c>
      <c r="W1987" s="91" t="s">
        <v>180</v>
      </c>
    </row>
    <row r="1988" spans="1:23">
      <c r="A1988" s="93" t="str">
        <f>TEXT(tblProjectlist[[#This Row],[project-no]],"0")</f>
        <v>0</v>
      </c>
      <c r="H1988" s="91">
        <v>7683</v>
      </c>
      <c r="I1988" s="91">
        <v>2</v>
      </c>
      <c r="J1988" s="91">
        <v>2</v>
      </c>
      <c r="K1988" s="91"/>
      <c r="L1988" s="91" t="s">
        <v>197</v>
      </c>
      <c r="M1988" s="91" t="s">
        <v>4</v>
      </c>
      <c r="Q1988" s="91"/>
      <c r="S1988" s="91" t="s">
        <v>143</v>
      </c>
      <c r="T1988" s="91" t="s">
        <v>4150</v>
      </c>
      <c r="V1988" s="91" t="s">
        <v>155</v>
      </c>
      <c r="W1988" s="91" t="s">
        <v>180</v>
      </c>
    </row>
    <row r="1989" spans="1:23">
      <c r="A1989" s="93" t="str">
        <f>TEXT(tblProjectlist[[#This Row],[project-no]],"0")</f>
        <v>0</v>
      </c>
      <c r="H1989" s="91">
        <v>7683</v>
      </c>
      <c r="I1989" s="91">
        <v>3</v>
      </c>
      <c r="J1989" s="91">
        <v>2</v>
      </c>
      <c r="K1989" s="91"/>
      <c r="L1989" s="91" t="s">
        <v>197</v>
      </c>
      <c r="M1989" s="91" t="s">
        <v>4</v>
      </c>
      <c r="Q1989" s="91"/>
      <c r="S1989" s="91" t="s">
        <v>143</v>
      </c>
      <c r="T1989" s="91" t="s">
        <v>4204</v>
      </c>
      <c r="V1989" s="91" t="s">
        <v>155</v>
      </c>
      <c r="W1989" s="91" t="s">
        <v>180</v>
      </c>
    </row>
    <row r="1990" spans="1:23">
      <c r="A1990" s="93" t="str">
        <f>TEXT(tblProjectlist[[#This Row],[project-no]],"0")</f>
        <v>0</v>
      </c>
      <c r="H1990" s="91">
        <v>7683</v>
      </c>
      <c r="I1990" s="91">
        <v>4</v>
      </c>
      <c r="J1990" s="91">
        <v>2</v>
      </c>
      <c r="K1990" s="91"/>
      <c r="L1990" s="91" t="s">
        <v>197</v>
      </c>
      <c r="M1990" s="91" t="s">
        <v>4</v>
      </c>
      <c r="Q1990" s="91"/>
      <c r="S1990" s="91" t="s">
        <v>143</v>
      </c>
      <c r="T1990" s="91" t="s">
        <v>4205</v>
      </c>
      <c r="V1990" s="91" t="s">
        <v>155</v>
      </c>
      <c r="W1990" s="91" t="s">
        <v>180</v>
      </c>
    </row>
    <row r="1991" spans="1:23">
      <c r="A1991" s="93" t="str">
        <f>TEXT(tblProjectlist[[#This Row],[project-no]],"0")</f>
        <v>0</v>
      </c>
      <c r="H1991" s="91">
        <v>3178</v>
      </c>
      <c r="I1991" s="91">
        <v>2</v>
      </c>
      <c r="J1991" s="91">
        <v>2</v>
      </c>
      <c r="K1991" s="91"/>
      <c r="L1991" s="91" t="s">
        <v>197</v>
      </c>
      <c r="M1991" s="91" t="s">
        <v>4</v>
      </c>
      <c r="Q1991" s="91"/>
      <c r="S1991" s="91" t="s">
        <v>143</v>
      </c>
      <c r="T1991" s="91" t="s">
        <v>4344</v>
      </c>
      <c r="V1991" s="91" t="s">
        <v>155</v>
      </c>
      <c r="W1991" s="91" t="s">
        <v>180</v>
      </c>
    </row>
    <row r="1992" spans="1:23">
      <c r="A1992" s="93" t="str">
        <f>TEXT(tblProjectlist[[#This Row],[project-no]],"0")</f>
        <v>88660528</v>
      </c>
      <c r="H1992" s="91">
        <v>8866</v>
      </c>
      <c r="I1992" s="91">
        <v>5</v>
      </c>
      <c r="J1992" s="91">
        <v>2</v>
      </c>
      <c r="K1992" s="91" t="s">
        <v>1256</v>
      </c>
      <c r="L1992" s="91" t="s">
        <v>2175</v>
      </c>
      <c r="M1992" s="91" t="s">
        <v>4</v>
      </c>
      <c r="Q1992" s="91"/>
      <c r="S1992" s="91" t="s">
        <v>143</v>
      </c>
      <c r="T1992" s="91" t="s">
        <v>3107</v>
      </c>
      <c r="V1992" s="91" t="s">
        <v>155</v>
      </c>
      <c r="W1992" s="91" t="s">
        <v>180</v>
      </c>
    </row>
    <row r="1993" spans="1:23">
      <c r="A1993" s="93" t="str">
        <f>TEXT(tblProjectlist[[#This Row],[project-no]],"0")</f>
        <v>0</v>
      </c>
      <c r="H1993" s="91">
        <v>7662</v>
      </c>
      <c r="I1993" s="91">
        <v>4</v>
      </c>
      <c r="J1993" s="91">
        <v>2</v>
      </c>
      <c r="K1993" s="91"/>
      <c r="L1993" s="91" t="s">
        <v>2175</v>
      </c>
      <c r="M1993" s="91" t="s">
        <v>4</v>
      </c>
      <c r="Q1993" s="91"/>
      <c r="S1993" s="91" t="s">
        <v>143</v>
      </c>
      <c r="T1993" s="91" t="s">
        <v>4030</v>
      </c>
      <c r="V1993" s="91" t="s">
        <v>155</v>
      </c>
      <c r="W1993" s="91" t="s">
        <v>180</v>
      </c>
    </row>
    <row r="1994" spans="1:23">
      <c r="A1994" s="93" t="str">
        <f>TEXT(tblProjectlist[[#This Row],[project-no]],"0")</f>
        <v>0</v>
      </c>
      <c r="H1994" s="91">
        <v>7662</v>
      </c>
      <c r="I1994" s="91">
        <v>2</v>
      </c>
      <c r="J1994" s="91">
        <v>2</v>
      </c>
      <c r="K1994" s="91"/>
      <c r="L1994" s="91" t="s">
        <v>2175</v>
      </c>
      <c r="M1994" s="91" t="s">
        <v>4</v>
      </c>
      <c r="Q1994" s="91"/>
      <c r="S1994" s="91" t="s">
        <v>143</v>
      </c>
      <c r="T1994" s="91" t="s">
        <v>3792</v>
      </c>
      <c r="V1994" s="91" t="s">
        <v>155</v>
      </c>
      <c r="W1994" s="91" t="s">
        <v>180</v>
      </c>
    </row>
    <row r="1995" spans="1:23">
      <c r="A1995" s="93" t="str">
        <f>TEXT(tblProjectlist[[#This Row],[project-no]],"0")</f>
        <v>0</v>
      </c>
      <c r="H1995" s="91">
        <v>7662</v>
      </c>
      <c r="I1995" s="91">
        <v>3</v>
      </c>
      <c r="J1995" s="91">
        <v>2</v>
      </c>
      <c r="K1995" s="91"/>
      <c r="L1995" s="91" t="s">
        <v>2175</v>
      </c>
      <c r="M1995" s="91" t="s">
        <v>4</v>
      </c>
      <c r="Q1995" s="91"/>
      <c r="S1995" s="91" t="s">
        <v>143</v>
      </c>
      <c r="T1995" s="91" t="s">
        <v>3870</v>
      </c>
      <c r="V1995" s="91" t="s">
        <v>155</v>
      </c>
      <c r="W1995" s="91" t="s">
        <v>180</v>
      </c>
    </row>
    <row r="1996" spans="1:23">
      <c r="A1996" s="93" t="str">
        <f>TEXT(tblProjectlist[[#This Row],[project-no]],"0")</f>
        <v>70350228</v>
      </c>
      <c r="H1996" s="91">
        <v>7035</v>
      </c>
      <c r="I1996" s="91">
        <v>2</v>
      </c>
      <c r="J1996" s="91">
        <v>2</v>
      </c>
      <c r="K1996" s="91" t="s">
        <v>948</v>
      </c>
      <c r="L1996" s="91" t="s">
        <v>64</v>
      </c>
      <c r="M1996" s="91" t="s">
        <v>4</v>
      </c>
      <c r="Q1996" s="91"/>
      <c r="S1996" s="91" t="s">
        <v>143</v>
      </c>
      <c r="T1996" s="91" t="s">
        <v>2820</v>
      </c>
      <c r="V1996" s="91" t="s">
        <v>155</v>
      </c>
      <c r="W1996" s="91" t="s">
        <v>180</v>
      </c>
    </row>
    <row r="1997" spans="1:23">
      <c r="A1997" s="93" t="str">
        <f>TEXT(tblProjectlist[[#This Row],[project-no]],"0")</f>
        <v>70350328</v>
      </c>
      <c r="H1997" s="91">
        <v>7035</v>
      </c>
      <c r="I1997" s="91">
        <v>3</v>
      </c>
      <c r="J1997" s="91">
        <v>2</v>
      </c>
      <c r="K1997" s="91" t="s">
        <v>949</v>
      </c>
      <c r="L1997" s="91" t="s">
        <v>64</v>
      </c>
      <c r="M1997" s="91" t="s">
        <v>4</v>
      </c>
      <c r="Q1997" s="91"/>
      <c r="S1997" s="91" t="s">
        <v>143</v>
      </c>
      <c r="T1997" s="91" t="s">
        <v>2821</v>
      </c>
      <c r="V1997" s="91" t="s">
        <v>155</v>
      </c>
      <c r="W1997" s="91" t="s">
        <v>180</v>
      </c>
    </row>
    <row r="1998" spans="1:23">
      <c r="A1998" s="93" t="str">
        <f>TEXT(tblProjectlist[[#This Row],[project-no]],"0")</f>
        <v>0</v>
      </c>
      <c r="H1998" s="91">
        <v>6115</v>
      </c>
      <c r="I1998" s="91">
        <v>2</v>
      </c>
      <c r="J1998" s="91">
        <v>2</v>
      </c>
      <c r="K1998" s="91"/>
      <c r="L1998" s="91" t="s">
        <v>64</v>
      </c>
      <c r="M1998" s="91" t="s">
        <v>4</v>
      </c>
      <c r="Q1998" s="91"/>
      <c r="S1998" s="91" t="s">
        <v>143</v>
      </c>
      <c r="T1998" s="91" t="s">
        <v>3929</v>
      </c>
      <c r="V1998" s="91" t="s">
        <v>155</v>
      </c>
      <c r="W1998" s="91" t="s">
        <v>180</v>
      </c>
    </row>
    <row r="1999" spans="1:23">
      <c r="A1999" s="93" t="str">
        <f>TEXT(tblProjectlist[[#This Row],[project-no]],"0")</f>
        <v>0</v>
      </c>
      <c r="H1999" s="91">
        <v>6501</v>
      </c>
      <c r="I1999" s="91">
        <v>4</v>
      </c>
      <c r="J1999" s="91">
        <v>2</v>
      </c>
      <c r="K1999" s="91"/>
      <c r="L1999" s="91" t="s">
        <v>2175</v>
      </c>
      <c r="M1999" s="91" t="s">
        <v>4</v>
      </c>
      <c r="Q1999" s="91"/>
      <c r="S1999" s="91" t="s">
        <v>143</v>
      </c>
      <c r="T1999" s="91" t="s">
        <v>4511</v>
      </c>
      <c r="V1999" s="91" t="s">
        <v>155</v>
      </c>
      <c r="W1999" s="91" t="s">
        <v>180</v>
      </c>
    </row>
    <row r="2000" spans="1:23">
      <c r="A2000" s="93" t="str">
        <f>TEXT(tblProjectlist[[#This Row],[project-no]],"0")</f>
        <v>0</v>
      </c>
      <c r="H2000" s="91">
        <v>6501</v>
      </c>
      <c r="I2000" s="91">
        <v>5</v>
      </c>
      <c r="J2000" s="91">
        <v>2</v>
      </c>
      <c r="K2000" s="91"/>
      <c r="L2000" s="91" t="s">
        <v>2175</v>
      </c>
      <c r="M2000" s="91" t="s">
        <v>4</v>
      </c>
      <c r="Q2000" s="91"/>
      <c r="S2000" s="91" t="s">
        <v>143</v>
      </c>
      <c r="T2000" s="91" t="s">
        <v>4644</v>
      </c>
      <c r="V2000" s="91" t="s">
        <v>155</v>
      </c>
      <c r="W2000" s="91" t="s">
        <v>180</v>
      </c>
    </row>
    <row r="2001" spans="1:23">
      <c r="A2001" s="93" t="str">
        <f>TEXT(tblProjectlist[[#This Row],[project-no]],"0")</f>
        <v>0</v>
      </c>
      <c r="H2001" s="91">
        <v>6135</v>
      </c>
      <c r="I2001" s="91">
        <v>2</v>
      </c>
      <c r="J2001" s="91">
        <v>2</v>
      </c>
      <c r="K2001" s="91"/>
      <c r="L2001" s="91" t="s">
        <v>2175</v>
      </c>
      <c r="M2001" s="91" t="s">
        <v>4</v>
      </c>
      <c r="Q2001" s="91"/>
      <c r="S2001" s="91" t="s">
        <v>143</v>
      </c>
      <c r="T2001" s="91" t="s">
        <v>4357</v>
      </c>
      <c r="V2001" s="91" t="s">
        <v>155</v>
      </c>
      <c r="W2001" s="91" t="s">
        <v>180</v>
      </c>
    </row>
    <row r="2002" spans="1:23">
      <c r="A2002" s="93" t="str">
        <f>TEXT(tblProjectlist[[#This Row],[project-no]],"0")</f>
        <v>75830728</v>
      </c>
      <c r="H2002" s="91">
        <v>7583</v>
      </c>
      <c r="I2002" s="91">
        <v>7</v>
      </c>
      <c r="J2002" s="91">
        <v>2</v>
      </c>
      <c r="K2002" s="91" t="s">
        <v>1033</v>
      </c>
      <c r="L2002" s="91" t="s">
        <v>2175</v>
      </c>
      <c r="M2002" s="91" t="s">
        <v>4</v>
      </c>
      <c r="Q2002" s="91"/>
      <c r="S2002" s="91" t="s">
        <v>143</v>
      </c>
      <c r="T2002" s="91" t="s">
        <v>2900</v>
      </c>
      <c r="V2002" s="91" t="s">
        <v>155</v>
      </c>
      <c r="W2002" s="91" t="s">
        <v>180</v>
      </c>
    </row>
    <row r="2003" spans="1:23">
      <c r="A2003" s="93" t="str">
        <f>TEXT(tblProjectlist[[#This Row],[project-no]],"0")</f>
        <v>75830828</v>
      </c>
      <c r="H2003" s="91">
        <v>7583</v>
      </c>
      <c r="I2003" s="91">
        <v>8</v>
      </c>
      <c r="J2003" s="91">
        <v>2</v>
      </c>
      <c r="K2003" s="91" t="s">
        <v>1034</v>
      </c>
      <c r="L2003" s="91" t="s">
        <v>2175</v>
      </c>
      <c r="M2003" s="91" t="s">
        <v>4</v>
      </c>
      <c r="Q2003" s="91"/>
      <c r="S2003" s="91" t="s">
        <v>143</v>
      </c>
      <c r="T2003" s="91" t="s">
        <v>2901</v>
      </c>
      <c r="V2003" s="91" t="s">
        <v>155</v>
      </c>
      <c r="W2003" s="91" t="s">
        <v>180</v>
      </c>
    </row>
    <row r="2004" spans="1:23">
      <c r="A2004" s="93" t="str">
        <f>TEXT(tblProjectlist[[#This Row],[project-no]],"0")</f>
        <v>99963928</v>
      </c>
      <c r="H2004" s="91">
        <v>7583</v>
      </c>
      <c r="I2004" s="91">
        <v>8</v>
      </c>
      <c r="J2004" s="91">
        <v>2</v>
      </c>
      <c r="K2004" s="91" t="s">
        <v>1758</v>
      </c>
      <c r="L2004" s="91" t="s">
        <v>2175</v>
      </c>
      <c r="M2004" s="91" t="s">
        <v>4</v>
      </c>
      <c r="Q2004" s="91"/>
      <c r="S2004" s="91" t="s">
        <v>143</v>
      </c>
      <c r="T2004" s="91" t="s">
        <v>2901</v>
      </c>
      <c r="W2004" s="91" t="s">
        <v>180</v>
      </c>
    </row>
    <row r="2005" spans="1:23">
      <c r="A2005" s="93" t="str">
        <f>TEXT(tblProjectlist[[#This Row],[project-no]],"0")</f>
        <v>70150228</v>
      </c>
      <c r="H2005" s="91">
        <v>7015</v>
      </c>
      <c r="I2005" s="91">
        <v>2</v>
      </c>
      <c r="J2005" s="91">
        <v>2</v>
      </c>
      <c r="K2005" s="91" t="s">
        <v>934</v>
      </c>
      <c r="L2005" s="91" t="s">
        <v>265</v>
      </c>
      <c r="M2005" s="91" t="s">
        <v>4</v>
      </c>
      <c r="Q2005" s="91"/>
      <c r="S2005" s="91" t="s">
        <v>143</v>
      </c>
      <c r="T2005" s="91" t="s">
        <v>2807</v>
      </c>
      <c r="W2005" s="91" t="s">
        <v>180</v>
      </c>
    </row>
    <row r="2006" spans="1:23">
      <c r="A2006" s="93" t="str">
        <f>TEXT(tblProjectlist[[#This Row],[project-no]],"0")</f>
        <v>74351028</v>
      </c>
      <c r="H2006" s="91">
        <v>7435</v>
      </c>
      <c r="I2006" s="91">
        <v>10</v>
      </c>
      <c r="J2006" s="91">
        <v>2</v>
      </c>
      <c r="K2006" s="91" t="s">
        <v>974</v>
      </c>
      <c r="L2006" s="91" t="s">
        <v>265</v>
      </c>
      <c r="M2006" s="91" t="s">
        <v>4</v>
      </c>
      <c r="Q2006" s="91"/>
      <c r="S2006" s="91" t="s">
        <v>143</v>
      </c>
      <c r="T2006" s="91" t="s">
        <v>2844</v>
      </c>
      <c r="W2006" s="91" t="s">
        <v>180</v>
      </c>
    </row>
    <row r="2007" spans="1:23">
      <c r="A2007" s="93" t="str">
        <f>TEXT(tblProjectlist[[#This Row],[project-no]],"0")</f>
        <v>20310228</v>
      </c>
      <c r="H2007" s="91">
        <v>2031</v>
      </c>
      <c r="I2007" s="91">
        <v>2</v>
      </c>
      <c r="J2007" s="91">
        <v>2</v>
      </c>
      <c r="K2007" s="91" t="s">
        <v>475</v>
      </c>
      <c r="L2007" s="91" t="s">
        <v>265</v>
      </c>
      <c r="M2007" s="91" t="s">
        <v>4</v>
      </c>
      <c r="Q2007" s="91"/>
      <c r="S2007" s="91" t="s">
        <v>143</v>
      </c>
      <c r="T2007" s="91" t="s">
        <v>2419</v>
      </c>
      <c r="W2007" s="91" t="s">
        <v>180</v>
      </c>
    </row>
    <row r="2008" spans="1:23">
      <c r="A2008" s="93" t="str">
        <f>TEXT(tblProjectlist[[#This Row],[project-no]],"0")</f>
        <v>75720243</v>
      </c>
      <c r="H2008" s="91">
        <v>7572</v>
      </c>
      <c r="I2008" s="91">
        <v>2</v>
      </c>
      <c r="J2008" s="91">
        <v>4</v>
      </c>
      <c r="K2008" s="91" t="s">
        <v>1030</v>
      </c>
      <c r="L2008" s="91" t="s">
        <v>197</v>
      </c>
      <c r="M2008" s="91" t="s">
        <v>1</v>
      </c>
      <c r="Q2008" s="91"/>
      <c r="S2008" s="91" t="s">
        <v>143</v>
      </c>
      <c r="T2008" s="91" t="s">
        <v>2897</v>
      </c>
      <c r="W2008" s="91" t="s">
        <v>180</v>
      </c>
    </row>
    <row r="2009" spans="1:23">
      <c r="A2009" s="93" t="str">
        <f>TEXT(tblProjectlist[[#This Row],[project-no]],"0")</f>
        <v>99851411</v>
      </c>
      <c r="H2009" s="91">
        <v>9985</v>
      </c>
      <c r="I2009" s="91">
        <v>14</v>
      </c>
      <c r="J2009" s="91">
        <v>1</v>
      </c>
      <c r="K2009" s="91" t="s">
        <v>1366</v>
      </c>
      <c r="L2009" s="91" t="s">
        <v>197</v>
      </c>
      <c r="M2009" s="91" t="s">
        <v>0</v>
      </c>
      <c r="Q2009" s="91"/>
      <c r="S2009" s="91" t="s">
        <v>143</v>
      </c>
      <c r="T2009" s="91" t="s">
        <v>3196</v>
      </c>
      <c r="V2009" s="91" t="s">
        <v>169</v>
      </c>
      <c r="W2009" s="91" t="s">
        <v>180</v>
      </c>
    </row>
    <row r="2010" spans="1:23">
      <c r="A2010" s="93" t="str">
        <f>TEXT(tblProjectlist[[#This Row],[project-no]],"0")</f>
        <v>99851511</v>
      </c>
      <c r="H2010" s="91">
        <v>9985</v>
      </c>
      <c r="I2010" s="91">
        <v>15</v>
      </c>
      <c r="J2010" s="91">
        <v>1</v>
      </c>
      <c r="K2010" s="91" t="s">
        <v>1367</v>
      </c>
      <c r="L2010" s="91" t="s">
        <v>197</v>
      </c>
      <c r="M2010" s="91" t="s">
        <v>0</v>
      </c>
      <c r="Q2010" s="91"/>
      <c r="S2010" s="91" t="s">
        <v>143</v>
      </c>
      <c r="T2010" s="91" t="s">
        <v>3197</v>
      </c>
      <c r="V2010" s="91" t="s">
        <v>169</v>
      </c>
      <c r="W2010" s="91" t="s">
        <v>180</v>
      </c>
    </row>
    <row r="2011" spans="1:23">
      <c r="A2011" s="93" t="str">
        <f>TEXT(tblProjectlist[[#This Row],[project-no]],"0")</f>
        <v>0</v>
      </c>
      <c r="H2011" s="91">
        <v>6116</v>
      </c>
      <c r="I2011" s="91">
        <v>2</v>
      </c>
      <c r="J2011" s="91">
        <v>4</v>
      </c>
      <c r="K2011" s="91"/>
      <c r="L2011" s="91" t="s">
        <v>197</v>
      </c>
      <c r="M2011" s="91" t="s">
        <v>1</v>
      </c>
      <c r="Q2011" s="91"/>
      <c r="S2011" s="91" t="s">
        <v>143</v>
      </c>
      <c r="T2011" s="91" t="s">
        <v>3781</v>
      </c>
      <c r="V2011" s="91" t="s">
        <v>164</v>
      </c>
      <c r="W2011" s="91" t="s">
        <v>180</v>
      </c>
    </row>
    <row r="2012" spans="1:23">
      <c r="A2012" s="93" t="str">
        <f>TEXT(tblProjectlist[[#This Row],[project-no]],"0")</f>
        <v>66460928</v>
      </c>
      <c r="H2012" s="91">
        <v>6646</v>
      </c>
      <c r="I2012" s="91">
        <v>9</v>
      </c>
      <c r="J2012" s="91">
        <v>2</v>
      </c>
      <c r="K2012" s="91" t="s">
        <v>905</v>
      </c>
      <c r="L2012" s="91" t="s">
        <v>197</v>
      </c>
      <c r="M2012" s="91" t="s">
        <v>4</v>
      </c>
      <c r="Q2012" s="91"/>
      <c r="S2012" s="91" t="s">
        <v>143</v>
      </c>
      <c r="T2012" s="91" t="s">
        <v>2780</v>
      </c>
      <c r="V2012" s="91" t="s">
        <v>155</v>
      </c>
      <c r="W2012" s="91" t="s">
        <v>180</v>
      </c>
    </row>
    <row r="2013" spans="1:23">
      <c r="A2013" s="93" t="str">
        <f>TEXT(tblProjectlist[[#This Row],[project-no]],"0")</f>
        <v>0</v>
      </c>
      <c r="H2013" s="91">
        <v>2109</v>
      </c>
      <c r="I2013" s="91">
        <v>2</v>
      </c>
      <c r="J2013" s="91">
        <v>1</v>
      </c>
      <c r="K2013" s="91"/>
      <c r="L2013" s="91" t="s">
        <v>62</v>
      </c>
      <c r="M2013" s="91" t="s">
        <v>0</v>
      </c>
      <c r="Q2013" s="91"/>
      <c r="S2013" s="91" t="s">
        <v>143</v>
      </c>
      <c r="T2013" s="91" t="s">
        <v>4325</v>
      </c>
      <c r="V2013" s="91" t="s">
        <v>169</v>
      </c>
      <c r="W2013" s="91" t="s">
        <v>180</v>
      </c>
    </row>
    <row r="2014" spans="1:23">
      <c r="A2014" s="93" t="str">
        <f>TEXT(tblProjectlist[[#This Row],[project-no]],"0")</f>
        <v>0</v>
      </c>
      <c r="H2014" s="91">
        <v>2122</v>
      </c>
      <c r="I2014" s="91">
        <v>2</v>
      </c>
      <c r="J2014" s="91">
        <v>1</v>
      </c>
      <c r="K2014" s="91"/>
      <c r="L2014" s="91" t="s">
        <v>197</v>
      </c>
      <c r="M2014" s="91" t="s">
        <v>0</v>
      </c>
      <c r="Q2014" s="91"/>
      <c r="S2014" s="91" t="s">
        <v>143</v>
      </c>
      <c r="T2014" s="91" t="s">
        <v>4460</v>
      </c>
      <c r="V2014" s="91" t="s">
        <v>169</v>
      </c>
      <c r="W2014" s="91" t="s">
        <v>180</v>
      </c>
    </row>
    <row r="2015" spans="1:23">
      <c r="A2015" s="93" t="str">
        <f>TEXT(tblProjectlist[[#This Row],[project-no]],"0")</f>
        <v>10660228</v>
      </c>
      <c r="H2015" s="91">
        <v>1066</v>
      </c>
      <c r="I2015" s="91">
        <v>2</v>
      </c>
      <c r="J2015" s="91">
        <v>2</v>
      </c>
      <c r="K2015" s="91" t="s">
        <v>198</v>
      </c>
      <c r="L2015" s="91" t="s">
        <v>197</v>
      </c>
      <c r="M2015" s="91" t="s">
        <v>4</v>
      </c>
      <c r="Q2015" s="91"/>
      <c r="S2015" s="91" t="s">
        <v>143</v>
      </c>
      <c r="T2015" s="91" t="s">
        <v>2193</v>
      </c>
      <c r="V2015" s="91" t="s">
        <v>87</v>
      </c>
      <c r="W2015" s="91" t="s">
        <v>180</v>
      </c>
    </row>
    <row r="2016" spans="1:23">
      <c r="A2016" s="93" t="str">
        <f>TEXT(tblProjectlist[[#This Row],[project-no]],"0")</f>
        <v>0</v>
      </c>
      <c r="H2016" s="91">
        <v>2043</v>
      </c>
      <c r="I2016" s="91">
        <v>2</v>
      </c>
      <c r="J2016" s="91">
        <v>2</v>
      </c>
      <c r="K2016" s="91"/>
      <c r="L2016" s="91" t="s">
        <v>62</v>
      </c>
      <c r="M2016" s="91" t="s">
        <v>4</v>
      </c>
      <c r="Q2016" s="91"/>
      <c r="S2016" s="91" t="s">
        <v>143</v>
      </c>
      <c r="T2016" s="91" t="s">
        <v>3805</v>
      </c>
      <c r="V2016" s="91" t="s">
        <v>155</v>
      </c>
      <c r="W2016" s="91" t="s">
        <v>180</v>
      </c>
    </row>
    <row r="2017" spans="1:23">
      <c r="A2017" s="93" t="str">
        <f>TEXT(tblProjectlist[[#This Row],[project-no]],"0")</f>
        <v>0</v>
      </c>
      <c r="H2017" s="91">
        <v>2119</v>
      </c>
      <c r="I2017" s="91">
        <v>3</v>
      </c>
      <c r="J2017" s="91">
        <v>2</v>
      </c>
      <c r="K2017" s="91"/>
      <c r="L2017" s="91" t="s">
        <v>2175</v>
      </c>
      <c r="M2017" s="91" t="s">
        <v>4</v>
      </c>
      <c r="Q2017" s="91"/>
      <c r="S2017" s="91" t="s">
        <v>143</v>
      </c>
      <c r="T2017" s="91" t="s">
        <v>4440</v>
      </c>
      <c r="V2017" s="91" t="s">
        <v>155</v>
      </c>
      <c r="W2017" s="91" t="s">
        <v>180</v>
      </c>
    </row>
    <row r="2018" spans="1:23">
      <c r="A2018" s="93" t="str">
        <f>TEXT(tblProjectlist[[#This Row],[project-no]],"0")</f>
        <v>0</v>
      </c>
      <c r="H2018" s="91">
        <v>2119</v>
      </c>
      <c r="I2018" s="91">
        <v>2</v>
      </c>
      <c r="J2018" s="91">
        <v>2</v>
      </c>
      <c r="K2018" s="91"/>
      <c r="L2018" s="91" t="s">
        <v>2175</v>
      </c>
      <c r="M2018" s="91" t="s">
        <v>4</v>
      </c>
      <c r="Q2018" s="91"/>
      <c r="S2018" s="91" t="s">
        <v>143</v>
      </c>
      <c r="T2018" s="91" t="s">
        <v>4398</v>
      </c>
      <c r="V2018" s="91" t="s">
        <v>155</v>
      </c>
      <c r="W2018" s="91" t="s">
        <v>180</v>
      </c>
    </row>
    <row r="2019" spans="1:23">
      <c r="A2019" s="93" t="str">
        <f>TEXT(tblProjectlist[[#This Row],[project-no]],"0")</f>
        <v>66461328</v>
      </c>
      <c r="H2019" s="91">
        <v>6646</v>
      </c>
      <c r="I2019" s="91">
        <v>13</v>
      </c>
      <c r="J2019" s="91">
        <v>2</v>
      </c>
      <c r="K2019" s="91" t="s">
        <v>906</v>
      </c>
      <c r="L2019" s="91" t="s">
        <v>197</v>
      </c>
      <c r="M2019" s="91" t="s">
        <v>4</v>
      </c>
      <c r="Q2019" s="91"/>
      <c r="S2019" s="91" t="s">
        <v>143</v>
      </c>
      <c r="T2019" s="91" t="s">
        <v>2781</v>
      </c>
      <c r="V2019" s="91" t="s">
        <v>155</v>
      </c>
      <c r="W2019" s="91" t="s">
        <v>180</v>
      </c>
    </row>
    <row r="2020" spans="1:23">
      <c r="A2020" s="93" t="str">
        <f>TEXT(tblProjectlist[[#This Row],[project-no]],"0")</f>
        <v>66461428</v>
      </c>
      <c r="H2020" s="91">
        <v>6646</v>
      </c>
      <c r="I2020" s="91">
        <v>14</v>
      </c>
      <c r="J2020" s="91">
        <v>2</v>
      </c>
      <c r="K2020" s="91" t="s">
        <v>907</v>
      </c>
      <c r="L2020" s="91" t="s">
        <v>197</v>
      </c>
      <c r="M2020" s="91" t="s">
        <v>4</v>
      </c>
      <c r="Q2020" s="91"/>
      <c r="S2020" s="91" t="s">
        <v>143</v>
      </c>
      <c r="T2020" s="91" t="s">
        <v>2782</v>
      </c>
      <c r="W2020" s="91" t="s">
        <v>180</v>
      </c>
    </row>
    <row r="2021" spans="1:23">
      <c r="A2021" s="93" t="str">
        <f>TEXT(tblProjectlist[[#This Row],[project-no]],"0")</f>
        <v>66461528</v>
      </c>
      <c r="H2021" s="91">
        <v>6646</v>
      </c>
      <c r="I2021" s="91">
        <v>15</v>
      </c>
      <c r="J2021" s="91">
        <v>2</v>
      </c>
      <c r="K2021" s="91" t="s">
        <v>908</v>
      </c>
      <c r="L2021" s="91" t="s">
        <v>197</v>
      </c>
      <c r="M2021" s="91" t="s">
        <v>4</v>
      </c>
      <c r="Q2021" s="91"/>
      <c r="S2021" s="91" t="s">
        <v>143</v>
      </c>
      <c r="T2021" s="91" t="s">
        <v>2783</v>
      </c>
      <c r="W2021" s="91" t="s">
        <v>180</v>
      </c>
    </row>
    <row r="2022" spans="1:23">
      <c r="A2022" s="93" t="str">
        <f>TEXT(tblProjectlist[[#This Row],[project-no]],"0")</f>
        <v>0</v>
      </c>
      <c r="H2022" s="91">
        <v>9981</v>
      </c>
      <c r="I2022" s="91">
        <v>5</v>
      </c>
      <c r="J2022" s="91">
        <v>1</v>
      </c>
      <c r="K2022" s="91"/>
      <c r="L2022" s="91" t="s">
        <v>2175</v>
      </c>
      <c r="M2022" s="91" t="s">
        <v>0</v>
      </c>
      <c r="Q2022" s="91"/>
      <c r="S2022" s="91" t="s">
        <v>143</v>
      </c>
      <c r="T2022" s="91" t="s">
        <v>4731</v>
      </c>
      <c r="V2022" s="91" t="s">
        <v>168</v>
      </c>
      <c r="W2022" s="91" t="s">
        <v>180</v>
      </c>
    </row>
    <row r="2023" spans="1:23">
      <c r="A2023" s="93" t="str">
        <f>TEXT(tblProjectlist[[#This Row],[project-no]],"0")</f>
        <v>0</v>
      </c>
      <c r="H2023" s="91">
        <v>9963</v>
      </c>
      <c r="I2023" s="91">
        <v>84</v>
      </c>
      <c r="J2023" s="91">
        <v>1</v>
      </c>
      <c r="K2023" s="91"/>
      <c r="L2023" s="91" t="s">
        <v>2175</v>
      </c>
      <c r="M2023" s="91" t="s">
        <v>0</v>
      </c>
      <c r="Q2023" s="91"/>
      <c r="S2023" s="91" t="s">
        <v>143</v>
      </c>
      <c r="T2023" s="91" t="s">
        <v>4419</v>
      </c>
      <c r="V2023" s="91" t="s">
        <v>169</v>
      </c>
      <c r="W2023" s="91" t="s">
        <v>180</v>
      </c>
    </row>
    <row r="2024" spans="1:23">
      <c r="A2024" s="93" t="str">
        <f>TEXT(tblProjectlist[[#This Row],[project-no]],"0")</f>
        <v>30403226</v>
      </c>
      <c r="H2024" s="91">
        <v>3040</v>
      </c>
      <c r="I2024" s="91">
        <v>32</v>
      </c>
      <c r="J2024" s="91">
        <v>2</v>
      </c>
      <c r="K2024" s="91" t="s">
        <v>649</v>
      </c>
      <c r="L2024" s="91" t="s">
        <v>2175</v>
      </c>
      <c r="M2024" s="91" t="s">
        <v>4</v>
      </c>
      <c r="Q2024" s="91"/>
      <c r="S2024" s="91" t="s">
        <v>143</v>
      </c>
      <c r="T2024" s="91" t="s">
        <v>2553</v>
      </c>
      <c r="V2024" s="91" t="s">
        <v>155</v>
      </c>
      <c r="W2024" s="91" t="s">
        <v>180</v>
      </c>
    </row>
    <row r="2025" spans="1:23">
      <c r="A2025" s="93" t="str">
        <f>TEXT(tblProjectlist[[#This Row],[project-no]],"0")</f>
        <v>30403328</v>
      </c>
      <c r="H2025" s="91">
        <v>3040</v>
      </c>
      <c r="I2025" s="91">
        <v>33</v>
      </c>
      <c r="J2025" s="91">
        <v>2</v>
      </c>
      <c r="K2025" s="91" t="s">
        <v>650</v>
      </c>
      <c r="L2025" s="91" t="s">
        <v>2175</v>
      </c>
      <c r="M2025" s="91" t="s">
        <v>4</v>
      </c>
      <c r="Q2025" s="91"/>
      <c r="S2025" s="91" t="s">
        <v>143</v>
      </c>
      <c r="T2025" s="91" t="s">
        <v>2554</v>
      </c>
      <c r="V2025" s="91" t="s">
        <v>155</v>
      </c>
      <c r="W2025" s="91" t="s">
        <v>180</v>
      </c>
    </row>
    <row r="2026" spans="1:23">
      <c r="A2026" s="93" t="str">
        <f>TEXT(tblProjectlist[[#This Row],[project-no]],"0")</f>
        <v>30403428</v>
      </c>
      <c r="H2026" s="91">
        <v>3040</v>
      </c>
      <c r="I2026" s="91">
        <v>34</v>
      </c>
      <c r="J2026" s="91">
        <v>2</v>
      </c>
      <c r="K2026" s="91" t="s">
        <v>651</v>
      </c>
      <c r="L2026" s="91" t="s">
        <v>2175</v>
      </c>
      <c r="M2026" s="91" t="s">
        <v>4</v>
      </c>
      <c r="Q2026" s="91"/>
      <c r="S2026" s="91" t="s">
        <v>143</v>
      </c>
      <c r="T2026" s="91" t="s">
        <v>2555</v>
      </c>
      <c r="V2026" s="91" t="s">
        <v>155</v>
      </c>
      <c r="W2026" s="91" t="s">
        <v>180</v>
      </c>
    </row>
    <row r="2027" spans="1:23">
      <c r="A2027" s="93" t="str">
        <f>TEXT(tblProjectlist[[#This Row],[project-no]],"0")</f>
        <v>30403528</v>
      </c>
      <c r="H2027" s="91">
        <v>3040</v>
      </c>
      <c r="I2027" s="91">
        <v>35</v>
      </c>
      <c r="J2027" s="91">
        <v>2</v>
      </c>
      <c r="K2027" s="91" t="s">
        <v>652</v>
      </c>
      <c r="L2027" s="91" t="s">
        <v>2175</v>
      </c>
      <c r="M2027" s="91" t="s">
        <v>4</v>
      </c>
      <c r="Q2027" s="91"/>
      <c r="S2027" s="91" t="s">
        <v>143</v>
      </c>
      <c r="T2027" s="91" t="s">
        <v>2556</v>
      </c>
      <c r="V2027" s="91" t="s">
        <v>155</v>
      </c>
      <c r="W2027" s="91" t="s">
        <v>180</v>
      </c>
    </row>
    <row r="2028" spans="1:23">
      <c r="A2028" s="93" t="str">
        <f>TEXT(tblProjectlist[[#This Row],[project-no]],"0")</f>
        <v>78121116</v>
      </c>
      <c r="H2028" s="91">
        <v>7812</v>
      </c>
      <c r="I2028" s="91">
        <v>11</v>
      </c>
      <c r="J2028" s="91">
        <v>1</v>
      </c>
      <c r="K2028" s="91" t="s">
        <v>1138</v>
      </c>
      <c r="L2028" s="91" t="s">
        <v>2175</v>
      </c>
      <c r="M2028" s="91" t="s">
        <v>0</v>
      </c>
      <c r="Q2028" s="91"/>
      <c r="S2028" s="91" t="s">
        <v>143</v>
      </c>
      <c r="T2028" s="91" t="s">
        <v>3002</v>
      </c>
      <c r="V2028" s="91" t="s">
        <v>168</v>
      </c>
      <c r="W2028" s="91" t="s">
        <v>180</v>
      </c>
    </row>
    <row r="2029" spans="1:23">
      <c r="A2029" s="93" t="str">
        <f>TEXT(tblProjectlist[[#This Row],[project-no]],"0")</f>
        <v>76480328</v>
      </c>
      <c r="H2029" s="91">
        <v>7648</v>
      </c>
      <c r="I2029" s="91">
        <v>3</v>
      </c>
      <c r="J2029" s="91">
        <v>2</v>
      </c>
      <c r="K2029" s="91" t="s">
        <v>1078</v>
      </c>
      <c r="L2029" s="91" t="s">
        <v>2175</v>
      </c>
      <c r="M2029" s="91" t="s">
        <v>4</v>
      </c>
      <c r="Q2029" s="91"/>
      <c r="S2029" s="91" t="s">
        <v>143</v>
      </c>
      <c r="T2029" s="91" t="s">
        <v>2944</v>
      </c>
      <c r="V2029" s="91" t="s">
        <v>155</v>
      </c>
      <c r="W2029" s="91" t="s">
        <v>180</v>
      </c>
    </row>
    <row r="2030" spans="1:23">
      <c r="A2030" s="93" t="str">
        <f>TEXT(tblProjectlist[[#This Row],[project-no]],"0")</f>
        <v>66461628</v>
      </c>
      <c r="H2030" s="91">
        <v>6646</v>
      </c>
      <c r="I2030" s="91">
        <v>16</v>
      </c>
      <c r="J2030" s="91">
        <v>2</v>
      </c>
      <c r="K2030" s="91" t="s">
        <v>909</v>
      </c>
      <c r="L2030" s="91" t="s">
        <v>197</v>
      </c>
      <c r="M2030" s="91" t="s">
        <v>4</v>
      </c>
      <c r="Q2030" s="91"/>
      <c r="S2030" s="91" t="s">
        <v>143</v>
      </c>
      <c r="T2030" s="91" t="s">
        <v>2784</v>
      </c>
      <c r="W2030" s="91" t="s">
        <v>180</v>
      </c>
    </row>
    <row r="2031" spans="1:23">
      <c r="A2031" s="93" t="str">
        <f>TEXT(tblProjectlist[[#This Row],[project-no]],"0")</f>
        <v>0</v>
      </c>
      <c r="H2031" s="91">
        <v>3071</v>
      </c>
      <c r="I2031" s="91">
        <v>3</v>
      </c>
      <c r="J2031" s="91">
        <v>2</v>
      </c>
      <c r="K2031" s="91"/>
      <c r="L2031" s="91" t="s">
        <v>2175</v>
      </c>
      <c r="M2031" s="91" t="s">
        <v>4</v>
      </c>
      <c r="Q2031" s="91"/>
      <c r="S2031" s="91" t="s">
        <v>143</v>
      </c>
      <c r="T2031" s="91" t="s">
        <v>3995</v>
      </c>
      <c r="V2031" s="91" t="s">
        <v>155</v>
      </c>
      <c r="W2031" s="91" t="s">
        <v>180</v>
      </c>
    </row>
    <row r="2032" spans="1:23">
      <c r="A2032" s="93" t="str">
        <f>TEXT(tblProjectlist[[#This Row],[project-no]],"0")</f>
        <v>30710228</v>
      </c>
      <c r="H2032" s="91">
        <v>3071</v>
      </c>
      <c r="I2032" s="91">
        <v>2</v>
      </c>
      <c r="J2032" s="91">
        <v>2</v>
      </c>
      <c r="K2032" s="91" t="s">
        <v>690</v>
      </c>
      <c r="L2032" s="91" t="s">
        <v>2175</v>
      </c>
      <c r="M2032" s="91" t="s">
        <v>4</v>
      </c>
      <c r="Q2032" s="91"/>
      <c r="S2032" s="91" t="s">
        <v>143</v>
      </c>
      <c r="T2032" s="91" t="s">
        <v>2590</v>
      </c>
      <c r="V2032" s="91" t="s">
        <v>155</v>
      </c>
      <c r="W2032" s="91" t="s">
        <v>180</v>
      </c>
    </row>
    <row r="2033" spans="1:23">
      <c r="A2033" s="93" t="str">
        <f>TEXT(tblProjectlist[[#This Row],[project-no]],"0")</f>
        <v>0</v>
      </c>
      <c r="H2033" s="91">
        <v>3155</v>
      </c>
      <c r="I2033" s="91">
        <v>1</v>
      </c>
      <c r="J2033" s="91">
        <v>2</v>
      </c>
      <c r="K2033" s="91"/>
      <c r="L2033" s="91" t="s">
        <v>2175</v>
      </c>
      <c r="M2033" s="91" t="s">
        <v>4</v>
      </c>
      <c r="Q2033" s="91"/>
      <c r="S2033" s="91" t="s">
        <v>143</v>
      </c>
      <c r="T2033" s="91" t="s">
        <v>4732</v>
      </c>
      <c r="V2033" s="91" t="s">
        <v>155</v>
      </c>
      <c r="W2033" s="91" t="s">
        <v>180</v>
      </c>
    </row>
    <row r="2034" spans="1:23">
      <c r="A2034" s="93" t="str">
        <f>TEXT(tblProjectlist[[#This Row],[project-no]],"0")</f>
        <v>0</v>
      </c>
      <c r="H2034" s="91">
        <v>3155</v>
      </c>
      <c r="I2034" s="91">
        <v>2</v>
      </c>
      <c r="J2034" s="91">
        <v>2</v>
      </c>
      <c r="K2034" s="91"/>
      <c r="L2034" s="91" t="s">
        <v>2175</v>
      </c>
      <c r="M2034" s="91" t="s">
        <v>4</v>
      </c>
      <c r="Q2034" s="91"/>
      <c r="S2034" s="91" t="s">
        <v>143</v>
      </c>
      <c r="T2034" s="91" t="s">
        <v>3856</v>
      </c>
      <c r="V2034" s="91" t="s">
        <v>155</v>
      </c>
      <c r="W2034" s="91" t="s">
        <v>180</v>
      </c>
    </row>
    <row r="2035" spans="1:23">
      <c r="A2035" s="93" t="str">
        <f>TEXT(tblProjectlist[[#This Row],[project-no]],"0")</f>
        <v>31340128</v>
      </c>
      <c r="H2035" s="91">
        <v>3134</v>
      </c>
      <c r="I2035" s="91">
        <v>1</v>
      </c>
      <c r="J2035" s="91">
        <v>2</v>
      </c>
      <c r="K2035" s="91" t="s">
        <v>732</v>
      </c>
      <c r="L2035" s="91" t="s">
        <v>2175</v>
      </c>
      <c r="M2035" s="91" t="s">
        <v>4</v>
      </c>
      <c r="Q2035" s="91"/>
      <c r="S2035" s="91" t="s">
        <v>143</v>
      </c>
      <c r="T2035" s="91" t="s">
        <v>2630</v>
      </c>
      <c r="V2035" s="91" t="s">
        <v>155</v>
      </c>
      <c r="W2035" s="91" t="s">
        <v>180</v>
      </c>
    </row>
    <row r="2036" spans="1:23">
      <c r="A2036" s="93" t="str">
        <f>TEXT(tblProjectlist[[#This Row],[project-no]],"0")</f>
        <v>31340328</v>
      </c>
      <c r="H2036" s="91">
        <v>3134</v>
      </c>
      <c r="I2036" s="91">
        <v>3</v>
      </c>
      <c r="J2036" s="91">
        <v>2</v>
      </c>
      <c r="K2036" s="91" t="s">
        <v>733</v>
      </c>
      <c r="L2036" s="91" t="s">
        <v>2175</v>
      </c>
      <c r="M2036" s="91" t="s">
        <v>4</v>
      </c>
      <c r="Q2036" s="91"/>
      <c r="S2036" s="91" t="s">
        <v>143</v>
      </c>
      <c r="T2036" s="91" t="s">
        <v>2631</v>
      </c>
      <c r="V2036" s="91" t="s">
        <v>155</v>
      </c>
      <c r="W2036" s="91" t="s">
        <v>180</v>
      </c>
    </row>
    <row r="2037" spans="1:23">
      <c r="A2037" s="93" t="str">
        <f>TEXT(tblProjectlist[[#This Row],[project-no]],"0")</f>
        <v>0</v>
      </c>
      <c r="H2037" s="91">
        <v>6109</v>
      </c>
      <c r="I2037" s="91">
        <v>2</v>
      </c>
      <c r="J2037" s="91">
        <v>2</v>
      </c>
      <c r="K2037" s="91"/>
      <c r="L2037" s="91" t="s">
        <v>2175</v>
      </c>
      <c r="M2037" s="91" t="s">
        <v>4</v>
      </c>
      <c r="Q2037" s="91"/>
      <c r="S2037" s="91" t="s">
        <v>143</v>
      </c>
      <c r="T2037" s="91" t="s">
        <v>3682</v>
      </c>
      <c r="V2037" s="91" t="s">
        <v>155</v>
      </c>
    </row>
    <row r="2038" spans="1:23">
      <c r="A2038" s="93" t="str">
        <f>TEXT(tblProjectlist[[#This Row],[project-no]],"0")</f>
        <v>0</v>
      </c>
      <c r="H2038" s="91">
        <v>7691</v>
      </c>
      <c r="I2038" s="91">
        <v>2</v>
      </c>
      <c r="J2038" s="91">
        <v>2</v>
      </c>
      <c r="K2038" s="91"/>
      <c r="L2038" s="91" t="s">
        <v>2175</v>
      </c>
      <c r="M2038" s="91" t="s">
        <v>4</v>
      </c>
      <c r="Q2038" s="91"/>
      <c r="S2038" s="91" t="s">
        <v>143</v>
      </c>
      <c r="T2038" s="91" t="s">
        <v>4450</v>
      </c>
      <c r="V2038" s="91" t="s">
        <v>155</v>
      </c>
      <c r="W2038" s="91" t="s">
        <v>180</v>
      </c>
    </row>
    <row r="2039" spans="1:23">
      <c r="A2039" s="93" t="str">
        <f>TEXT(tblProjectlist[[#This Row],[project-no]],"0")</f>
        <v>0</v>
      </c>
      <c r="H2039" s="91">
        <v>6118</v>
      </c>
      <c r="I2039" s="91">
        <v>2</v>
      </c>
      <c r="J2039" s="91">
        <v>1</v>
      </c>
      <c r="K2039" s="91"/>
      <c r="L2039" s="91" t="s">
        <v>2175</v>
      </c>
      <c r="M2039" s="91" t="s">
        <v>0</v>
      </c>
      <c r="Q2039" s="91"/>
      <c r="S2039" s="91" t="s">
        <v>143</v>
      </c>
      <c r="T2039" s="91" t="s">
        <v>3931</v>
      </c>
      <c r="V2039" s="91" t="s">
        <v>169</v>
      </c>
      <c r="W2039" s="91" t="s">
        <v>180</v>
      </c>
    </row>
    <row r="2040" spans="1:23">
      <c r="A2040" s="93" t="str">
        <f>TEXT(tblProjectlist[[#This Row],[project-no]],"0")</f>
        <v>0</v>
      </c>
      <c r="H2040" s="91">
        <v>6118</v>
      </c>
      <c r="I2040" s="91">
        <v>2</v>
      </c>
      <c r="J2040" s="91">
        <v>1</v>
      </c>
      <c r="K2040" s="91"/>
      <c r="L2040" s="91" t="s">
        <v>2175</v>
      </c>
      <c r="M2040" s="91" t="s">
        <v>0</v>
      </c>
      <c r="Q2040" s="91"/>
      <c r="S2040" s="91" t="s">
        <v>143</v>
      </c>
      <c r="T2040" s="91" t="s">
        <v>3931</v>
      </c>
      <c r="V2040" s="91" t="s">
        <v>168</v>
      </c>
      <c r="W2040" s="91" t="s">
        <v>180</v>
      </c>
    </row>
    <row r="2041" spans="1:23">
      <c r="A2041" s="93" t="str">
        <f>TEXT(tblProjectlist[[#This Row],[project-no]],"0")</f>
        <v>0</v>
      </c>
      <c r="H2041" s="91">
        <v>8012</v>
      </c>
      <c r="I2041" s="91">
        <v>2</v>
      </c>
      <c r="J2041" s="91">
        <v>2</v>
      </c>
      <c r="K2041" s="91"/>
      <c r="L2041" s="91" t="s">
        <v>2175</v>
      </c>
      <c r="M2041" s="91" t="s">
        <v>4</v>
      </c>
      <c r="Q2041" s="91"/>
      <c r="S2041" s="91" t="s">
        <v>143</v>
      </c>
      <c r="T2041" s="91" t="s">
        <v>4374</v>
      </c>
      <c r="V2041" s="91" t="s">
        <v>155</v>
      </c>
      <c r="W2041" s="91" t="s">
        <v>180</v>
      </c>
    </row>
    <row r="2042" spans="1:23">
      <c r="A2042" s="93" t="str">
        <f>TEXT(tblProjectlist[[#This Row],[project-no]],"0")</f>
        <v>0</v>
      </c>
      <c r="H2042" s="91">
        <v>6138</v>
      </c>
      <c r="I2042" s="91">
        <v>2</v>
      </c>
      <c r="J2042" s="91">
        <v>2</v>
      </c>
      <c r="K2042" s="91"/>
      <c r="L2042" s="91" t="s">
        <v>2175</v>
      </c>
      <c r="M2042" s="91" t="s">
        <v>4</v>
      </c>
      <c r="Q2042" s="91"/>
      <c r="S2042" s="91" t="s">
        <v>143</v>
      </c>
      <c r="T2042" s="91" t="s">
        <v>4504</v>
      </c>
      <c r="V2042" s="91" t="s">
        <v>155</v>
      </c>
      <c r="W2042" s="91" t="s">
        <v>180</v>
      </c>
    </row>
    <row r="2043" spans="1:23">
      <c r="A2043" s="93" t="str">
        <f>TEXT(tblProjectlist[[#This Row],[project-no]],"0")</f>
        <v>66461726</v>
      </c>
      <c r="H2043" s="91">
        <v>6646</v>
      </c>
      <c r="I2043" s="91">
        <v>17</v>
      </c>
      <c r="J2043" s="91">
        <v>2</v>
      </c>
      <c r="K2043" s="93" t="s">
        <v>910</v>
      </c>
      <c r="L2043" s="91" t="s">
        <v>197</v>
      </c>
      <c r="M2043" s="91" t="s">
        <v>4</v>
      </c>
      <c r="Q2043" s="91"/>
      <c r="S2043" s="91" t="s">
        <v>143</v>
      </c>
      <c r="T2043" s="91" t="s">
        <v>2785</v>
      </c>
      <c r="W2043" s="91" t="s">
        <v>180</v>
      </c>
    </row>
    <row r="2044" spans="1:23">
      <c r="A2044" s="93" t="str">
        <f>TEXT(tblProjectlist[[#This Row],[project-no]],"0")</f>
        <v>0</v>
      </c>
      <c r="H2044" s="91">
        <v>6126</v>
      </c>
      <c r="I2044" s="91">
        <v>3</v>
      </c>
      <c r="J2044" s="91">
        <v>2</v>
      </c>
      <c r="K2044" s="91"/>
      <c r="L2044" s="91" t="s">
        <v>2175</v>
      </c>
      <c r="M2044" s="91" t="s">
        <v>4</v>
      </c>
      <c r="Q2044" s="91"/>
      <c r="S2044" s="91" t="s">
        <v>143</v>
      </c>
      <c r="T2044" s="91" t="s">
        <v>4575</v>
      </c>
      <c r="V2044" s="91" t="s">
        <v>155</v>
      </c>
      <c r="W2044" s="91" t="s">
        <v>180</v>
      </c>
    </row>
    <row r="2045" spans="1:23">
      <c r="A2045" s="93" t="str">
        <f>TEXT(tblProjectlist[[#This Row],[project-no]],"0")</f>
        <v>0</v>
      </c>
      <c r="H2045" s="91">
        <v>6126</v>
      </c>
      <c r="I2045" s="91">
        <v>2</v>
      </c>
      <c r="J2045" s="91">
        <v>2</v>
      </c>
      <c r="L2045" s="91" t="s">
        <v>2175</v>
      </c>
      <c r="M2045" s="91" t="s">
        <v>4</v>
      </c>
      <c r="Q2045" s="91"/>
      <c r="S2045" s="91" t="s">
        <v>143</v>
      </c>
      <c r="T2045" s="91" t="s">
        <v>4134</v>
      </c>
      <c r="V2045" s="91" t="s">
        <v>156</v>
      </c>
      <c r="W2045" s="91" t="s">
        <v>180</v>
      </c>
    </row>
    <row r="2046" spans="1:23">
      <c r="A2046" s="93" t="str">
        <f>TEXT(tblProjectlist[[#This Row],[project-no]],"0")</f>
        <v>0</v>
      </c>
      <c r="H2046" s="91">
        <v>6126</v>
      </c>
      <c r="I2046" s="91">
        <v>4</v>
      </c>
      <c r="J2046" s="91">
        <v>2</v>
      </c>
      <c r="K2046" s="91"/>
      <c r="L2046" s="91" t="s">
        <v>2175</v>
      </c>
      <c r="M2046" s="91" t="s">
        <v>4</v>
      </c>
      <c r="Q2046" s="91"/>
      <c r="S2046" s="91" t="s">
        <v>143</v>
      </c>
      <c r="T2046" s="91" t="s">
        <v>4709</v>
      </c>
      <c r="V2046" s="91" t="s">
        <v>156</v>
      </c>
      <c r="W2046" s="91" t="s">
        <v>180</v>
      </c>
    </row>
    <row r="2047" spans="1:23">
      <c r="A2047" s="93" t="str">
        <f>TEXT(tblProjectlist[[#This Row],[project-no]],"0")</f>
        <v>76100228</v>
      </c>
      <c r="H2047" s="91">
        <v>7610</v>
      </c>
      <c r="I2047" s="91">
        <v>2</v>
      </c>
      <c r="J2047" s="91">
        <v>2</v>
      </c>
      <c r="K2047" s="91" t="s">
        <v>1053</v>
      </c>
      <c r="L2047" s="91" t="s">
        <v>2175</v>
      </c>
      <c r="M2047" s="91" t="s">
        <v>4</v>
      </c>
      <c r="Q2047" s="91"/>
      <c r="S2047" s="91" t="s">
        <v>143</v>
      </c>
      <c r="T2047" s="91" t="s">
        <v>2920</v>
      </c>
      <c r="V2047" s="91" t="s">
        <v>155</v>
      </c>
      <c r="W2047" s="91" t="s">
        <v>180</v>
      </c>
    </row>
    <row r="2048" spans="1:23">
      <c r="A2048" s="93" t="str">
        <f>TEXT(tblProjectlist[[#This Row],[project-no]],"0")</f>
        <v>0</v>
      </c>
      <c r="H2048" s="91">
        <v>4123</v>
      </c>
      <c r="I2048" s="91">
        <v>2</v>
      </c>
      <c r="J2048" s="91">
        <v>1</v>
      </c>
      <c r="K2048" s="91"/>
      <c r="L2048" s="91" t="s">
        <v>2175</v>
      </c>
      <c r="M2048" s="91" t="s">
        <v>0</v>
      </c>
      <c r="Q2048" s="91"/>
      <c r="S2048" s="91" t="s">
        <v>143</v>
      </c>
      <c r="T2048" s="91" t="s">
        <v>4323</v>
      </c>
      <c r="V2048" s="91" t="s">
        <v>169</v>
      </c>
      <c r="W2048" s="91" t="s">
        <v>180</v>
      </c>
    </row>
    <row r="2049" spans="1:23">
      <c r="A2049" s="93" t="str">
        <f>TEXT(tblProjectlist[[#This Row],[project-no]],"0")</f>
        <v>0</v>
      </c>
      <c r="H2049" s="91">
        <v>4123</v>
      </c>
      <c r="I2049" s="91">
        <v>2</v>
      </c>
      <c r="J2049" s="91">
        <v>1</v>
      </c>
      <c r="K2049" s="91"/>
      <c r="L2049" s="91" t="s">
        <v>2175</v>
      </c>
      <c r="M2049" s="91" t="s">
        <v>0</v>
      </c>
      <c r="Q2049" s="91"/>
      <c r="S2049" s="91" t="s">
        <v>143</v>
      </c>
      <c r="T2049" s="91" t="s">
        <v>4323</v>
      </c>
      <c r="V2049" s="91" t="s">
        <v>168</v>
      </c>
      <c r="W2049" s="91" t="s">
        <v>180</v>
      </c>
    </row>
    <row r="2050" spans="1:23">
      <c r="A2050" s="93" t="str">
        <f>TEXT(tblProjectlist[[#This Row],[project-no]],"0")</f>
        <v>0</v>
      </c>
      <c r="H2050" s="91">
        <v>3163</v>
      </c>
      <c r="I2050" s="91">
        <v>2</v>
      </c>
      <c r="J2050" s="91">
        <v>2</v>
      </c>
      <c r="K2050" s="91"/>
      <c r="L2050" s="91" t="s">
        <v>62</v>
      </c>
      <c r="M2050" s="91" t="s">
        <v>4</v>
      </c>
      <c r="Q2050" s="91"/>
      <c r="S2050" s="91" t="s">
        <v>143</v>
      </c>
      <c r="T2050" s="91" t="s">
        <v>4117</v>
      </c>
      <c r="V2050" s="91" t="s">
        <v>155</v>
      </c>
      <c r="W2050" s="91" t="s">
        <v>180</v>
      </c>
    </row>
    <row r="2051" spans="1:23">
      <c r="A2051" s="93" t="str">
        <f>TEXT(tblProjectlist[[#This Row],[project-no]],"0")</f>
        <v>0</v>
      </c>
      <c r="H2051" s="91">
        <v>6104</v>
      </c>
      <c r="I2051" s="91">
        <v>2</v>
      </c>
      <c r="J2051" s="91">
        <v>4</v>
      </c>
      <c r="K2051" s="91"/>
      <c r="L2051" s="91" t="s">
        <v>58</v>
      </c>
      <c r="M2051" s="91" t="s">
        <v>1</v>
      </c>
      <c r="Q2051" s="91"/>
      <c r="S2051" s="91" t="s">
        <v>143</v>
      </c>
      <c r="T2051" s="91" t="s">
        <v>3675</v>
      </c>
      <c r="V2051" s="91" t="s">
        <v>163</v>
      </c>
      <c r="W2051" s="91" t="s">
        <v>180</v>
      </c>
    </row>
    <row r="2052" spans="1:23">
      <c r="A2052" s="93" t="str">
        <f>TEXT(tblProjectlist[[#This Row],[project-no]],"0")</f>
        <v>0</v>
      </c>
      <c r="H2052" s="91">
        <v>6104</v>
      </c>
      <c r="I2052" s="91">
        <v>3</v>
      </c>
      <c r="J2052" s="91">
        <v>2</v>
      </c>
      <c r="K2052" s="91"/>
      <c r="L2052" s="91" t="s">
        <v>2175</v>
      </c>
      <c r="M2052" s="91" t="s">
        <v>4</v>
      </c>
      <c r="Q2052" s="91"/>
      <c r="S2052" s="91" t="s">
        <v>143</v>
      </c>
      <c r="T2052" s="91" t="s">
        <v>4355</v>
      </c>
      <c r="V2052" s="91" t="s">
        <v>155</v>
      </c>
      <c r="W2052" s="91" t="s">
        <v>180</v>
      </c>
    </row>
    <row r="2053" spans="1:23">
      <c r="A2053" s="93" t="str">
        <f>TEXT(tblProjectlist[[#This Row],[project-no]],"0")</f>
        <v>0</v>
      </c>
      <c r="H2053" s="91">
        <v>6104</v>
      </c>
      <c r="I2053" s="91">
        <v>4</v>
      </c>
      <c r="J2053" s="91">
        <v>2</v>
      </c>
      <c r="K2053" s="91"/>
      <c r="L2053" s="91" t="s">
        <v>2175</v>
      </c>
      <c r="M2053" s="91" t="s">
        <v>4</v>
      </c>
      <c r="Q2053" s="91"/>
      <c r="S2053" s="91" t="s">
        <v>143</v>
      </c>
      <c r="T2053" s="91" t="s">
        <v>4576</v>
      </c>
      <c r="V2053" s="91" t="s">
        <v>155</v>
      </c>
      <c r="W2053" s="91" t="s">
        <v>180</v>
      </c>
    </row>
    <row r="2054" spans="1:23">
      <c r="A2054" s="93" t="str">
        <f>TEXT(tblProjectlist[[#This Row],[project-no]],"0")</f>
        <v>0</v>
      </c>
      <c r="H2054" s="91">
        <v>9963</v>
      </c>
      <c r="I2054" s="91">
        <v>84</v>
      </c>
      <c r="J2054" s="91">
        <v>1</v>
      </c>
      <c r="K2054" s="91"/>
      <c r="L2054" s="91" t="s">
        <v>2175</v>
      </c>
      <c r="M2054" s="91" t="s">
        <v>0</v>
      </c>
      <c r="Q2054" s="91"/>
      <c r="S2054" s="91" t="s">
        <v>143</v>
      </c>
      <c r="T2054" s="91" t="s">
        <v>4419</v>
      </c>
      <c r="V2054" s="91" t="s">
        <v>167</v>
      </c>
      <c r="W2054" s="91" t="s">
        <v>180</v>
      </c>
    </row>
    <row r="2055" spans="1:23">
      <c r="A2055" s="93" t="str">
        <f>TEXT(tblProjectlist[[#This Row],[project-no]],"0")</f>
        <v>41150428</v>
      </c>
      <c r="H2055" s="91">
        <v>4115</v>
      </c>
      <c r="I2055" s="91">
        <v>4</v>
      </c>
      <c r="J2055" s="91">
        <v>2</v>
      </c>
      <c r="K2055" s="91" t="s">
        <v>763</v>
      </c>
      <c r="L2055" s="91" t="s">
        <v>2175</v>
      </c>
      <c r="M2055" s="91" t="s">
        <v>4</v>
      </c>
      <c r="Q2055" s="91"/>
      <c r="S2055" s="91" t="s">
        <v>143</v>
      </c>
      <c r="T2055" s="91" t="s">
        <v>2659</v>
      </c>
      <c r="V2055" s="91" t="s">
        <v>155</v>
      </c>
      <c r="W2055" s="91" t="s">
        <v>180</v>
      </c>
    </row>
    <row r="2056" spans="1:23">
      <c r="A2056" s="93" t="str">
        <f>TEXT(tblProjectlist[[#This Row],[project-no]],"0")</f>
        <v>41150528</v>
      </c>
      <c r="H2056" s="91">
        <v>4115</v>
      </c>
      <c r="I2056" s="91">
        <v>5</v>
      </c>
      <c r="J2056" s="91">
        <v>2</v>
      </c>
      <c r="K2056" s="91" t="s">
        <v>764</v>
      </c>
      <c r="L2056" s="91" t="s">
        <v>2175</v>
      </c>
      <c r="M2056" s="91" t="s">
        <v>4</v>
      </c>
      <c r="Q2056" s="91"/>
      <c r="S2056" s="91" t="s">
        <v>143</v>
      </c>
      <c r="T2056" s="91" t="s">
        <v>2660</v>
      </c>
      <c r="V2056" s="91" t="s">
        <v>155</v>
      </c>
      <c r="W2056" s="91" t="s">
        <v>180</v>
      </c>
    </row>
    <row r="2057" spans="1:23">
      <c r="A2057" s="93" t="str">
        <f>TEXT(tblProjectlist[[#This Row],[project-no]],"0")</f>
        <v>0</v>
      </c>
      <c r="H2057" s="91">
        <v>2102</v>
      </c>
      <c r="I2057" s="91">
        <v>2</v>
      </c>
      <c r="J2057" s="91">
        <v>1</v>
      </c>
      <c r="K2057" s="91"/>
      <c r="L2057" s="91" t="s">
        <v>2175</v>
      </c>
      <c r="M2057" s="91" t="s">
        <v>0</v>
      </c>
      <c r="Q2057" s="91"/>
      <c r="S2057" s="91" t="s">
        <v>143</v>
      </c>
      <c r="T2057" s="91" t="s">
        <v>4299</v>
      </c>
      <c r="V2057" s="91" t="s">
        <v>168</v>
      </c>
      <c r="W2057" s="91" t="s">
        <v>180</v>
      </c>
    </row>
    <row r="2058" spans="1:23">
      <c r="A2058" s="93" t="str">
        <f>TEXT(tblProjectlist[[#This Row],[project-no]],"0")</f>
        <v>0</v>
      </c>
      <c r="H2058" s="91">
        <v>2102</v>
      </c>
      <c r="I2058" s="91">
        <v>3</v>
      </c>
      <c r="J2058" s="91">
        <v>1</v>
      </c>
      <c r="K2058" s="91"/>
      <c r="L2058" s="91" t="s">
        <v>2175</v>
      </c>
      <c r="M2058" s="91" t="s">
        <v>0</v>
      </c>
      <c r="Q2058" s="91"/>
      <c r="S2058" s="91" t="s">
        <v>143</v>
      </c>
      <c r="T2058" s="91" t="s">
        <v>4337</v>
      </c>
      <c r="V2058" s="91" t="s">
        <v>168</v>
      </c>
      <c r="W2058" s="91" t="s">
        <v>180</v>
      </c>
    </row>
    <row r="2059" spans="1:23">
      <c r="A2059" s="93" t="str">
        <f>TEXT(tblProjectlist[[#This Row],[project-no]],"0")</f>
        <v>0</v>
      </c>
      <c r="H2059" s="91">
        <v>2102</v>
      </c>
      <c r="I2059" s="91">
        <v>4</v>
      </c>
      <c r="J2059" s="91">
        <v>1</v>
      </c>
      <c r="K2059" s="91"/>
      <c r="L2059" s="91" t="s">
        <v>2175</v>
      </c>
      <c r="M2059" s="91" t="s">
        <v>0</v>
      </c>
      <c r="Q2059" s="91"/>
      <c r="S2059" s="91" t="s">
        <v>143</v>
      </c>
      <c r="T2059" s="91" t="s">
        <v>4338</v>
      </c>
      <c r="V2059" s="91" t="s">
        <v>168</v>
      </c>
      <c r="W2059" s="91" t="s">
        <v>180</v>
      </c>
    </row>
    <row r="2060" spans="1:23">
      <c r="A2060" s="93" t="str">
        <f>TEXT(tblProjectlist[[#This Row],[project-no]],"0")</f>
        <v>0</v>
      </c>
      <c r="H2060" s="91">
        <v>2102</v>
      </c>
      <c r="I2060" s="91">
        <v>4</v>
      </c>
      <c r="J2060" s="91">
        <v>1</v>
      </c>
      <c r="K2060" s="91"/>
      <c r="L2060" s="91" t="s">
        <v>2175</v>
      </c>
      <c r="M2060" s="91" t="s">
        <v>0</v>
      </c>
      <c r="Q2060" s="91"/>
      <c r="S2060" s="91" t="s">
        <v>143</v>
      </c>
      <c r="T2060" s="91" t="s">
        <v>4338</v>
      </c>
      <c r="V2060" s="91" t="s">
        <v>167</v>
      </c>
      <c r="W2060" s="91" t="s">
        <v>180</v>
      </c>
    </row>
    <row r="2061" spans="1:23">
      <c r="A2061" s="93" t="str">
        <f>TEXT(tblProjectlist[[#This Row],[project-no]],"0")</f>
        <v>0</v>
      </c>
      <c r="H2061" s="91">
        <v>2102</v>
      </c>
      <c r="I2061" s="91">
        <v>5</v>
      </c>
      <c r="J2061" s="91">
        <v>1</v>
      </c>
      <c r="K2061" s="91"/>
      <c r="L2061" s="91" t="s">
        <v>2175</v>
      </c>
      <c r="M2061" s="91" t="s">
        <v>0</v>
      </c>
      <c r="Q2061" s="91"/>
      <c r="S2061" s="91" t="s">
        <v>143</v>
      </c>
      <c r="T2061" s="91" t="s">
        <v>4339</v>
      </c>
      <c r="V2061" s="91" t="s">
        <v>168</v>
      </c>
      <c r="W2061" s="91" t="s">
        <v>180</v>
      </c>
    </row>
    <row r="2062" spans="1:23">
      <c r="A2062" s="93" t="str">
        <f>TEXT(tblProjectlist[[#This Row],[project-no]],"0")</f>
        <v>0</v>
      </c>
      <c r="H2062" s="91">
        <v>2102</v>
      </c>
      <c r="I2062" s="91">
        <v>5</v>
      </c>
      <c r="J2062" s="91">
        <v>1</v>
      </c>
      <c r="K2062" s="91"/>
      <c r="L2062" s="91" t="s">
        <v>2175</v>
      </c>
      <c r="M2062" s="91" t="s">
        <v>0</v>
      </c>
      <c r="Q2062" s="91"/>
      <c r="S2062" s="91" t="s">
        <v>143</v>
      </c>
      <c r="T2062" s="91" t="s">
        <v>4339</v>
      </c>
      <c r="V2062" s="91" t="s">
        <v>167</v>
      </c>
      <c r="W2062" s="91" t="s">
        <v>180</v>
      </c>
    </row>
    <row r="2063" spans="1:23">
      <c r="A2063" s="93" t="str">
        <f>TEXT(tblProjectlist[[#This Row],[project-no]],"0")</f>
        <v>0</v>
      </c>
      <c r="H2063" s="91">
        <v>2102</v>
      </c>
      <c r="I2063" s="91">
        <v>5</v>
      </c>
      <c r="J2063" s="91">
        <v>1</v>
      </c>
      <c r="K2063" s="91"/>
      <c r="L2063" s="91" t="s">
        <v>2175</v>
      </c>
      <c r="M2063" s="91" t="s">
        <v>0</v>
      </c>
      <c r="Q2063" s="91"/>
      <c r="S2063" s="91" t="s">
        <v>143</v>
      </c>
      <c r="T2063" s="91" t="s">
        <v>4339</v>
      </c>
      <c r="V2063" s="91" t="s">
        <v>169</v>
      </c>
      <c r="W2063" s="91" t="s">
        <v>180</v>
      </c>
    </row>
    <row r="2064" spans="1:23">
      <c r="A2064" s="93" t="str">
        <f>TEXT(tblProjectlist[[#This Row],[project-no]],"0")</f>
        <v>0</v>
      </c>
      <c r="H2064" s="91">
        <v>2102</v>
      </c>
      <c r="I2064" s="91">
        <v>6</v>
      </c>
      <c r="J2064" s="91">
        <v>1</v>
      </c>
      <c r="K2064" s="91"/>
      <c r="L2064" s="91" t="s">
        <v>2175</v>
      </c>
      <c r="M2064" s="91" t="s">
        <v>0</v>
      </c>
      <c r="Q2064" s="91"/>
      <c r="S2064" s="91" t="s">
        <v>143</v>
      </c>
      <c r="T2064" s="91" t="s">
        <v>4340</v>
      </c>
      <c r="V2064" s="91" t="s">
        <v>168</v>
      </c>
      <c r="W2064" s="91" t="s">
        <v>180</v>
      </c>
    </row>
    <row r="2065" spans="1:23">
      <c r="A2065" s="93" t="str">
        <f>TEXT(tblProjectlist[[#This Row],[project-no]],"0")</f>
        <v>0</v>
      </c>
      <c r="H2065" s="91">
        <v>2102</v>
      </c>
      <c r="I2065" s="91">
        <v>6</v>
      </c>
      <c r="J2065" s="91">
        <v>1</v>
      </c>
      <c r="K2065" s="91"/>
      <c r="L2065" s="91" t="s">
        <v>2175</v>
      </c>
      <c r="M2065" s="91" t="s">
        <v>0</v>
      </c>
      <c r="Q2065" s="91"/>
      <c r="S2065" s="91" t="s">
        <v>143</v>
      </c>
      <c r="T2065" s="91" t="s">
        <v>4340</v>
      </c>
      <c r="V2065" s="91" t="s">
        <v>169</v>
      </c>
      <c r="W2065" s="91" t="s">
        <v>180</v>
      </c>
    </row>
    <row r="2066" spans="1:23">
      <c r="A2066" s="93" t="str">
        <f>TEXT(tblProjectlist[[#This Row],[project-no]],"0")</f>
        <v>0</v>
      </c>
      <c r="H2066" s="91">
        <v>2102</v>
      </c>
      <c r="I2066" s="91">
        <v>7</v>
      </c>
      <c r="J2066" s="91">
        <v>1</v>
      </c>
      <c r="K2066" s="91"/>
      <c r="L2066" s="91" t="s">
        <v>2175</v>
      </c>
      <c r="M2066" s="91" t="s">
        <v>0</v>
      </c>
      <c r="Q2066" s="91"/>
      <c r="S2066" s="91" t="s">
        <v>143</v>
      </c>
      <c r="T2066" s="91" t="s">
        <v>4341</v>
      </c>
      <c r="V2066" s="91" t="s">
        <v>169</v>
      </c>
      <c r="W2066" s="91" t="s">
        <v>180</v>
      </c>
    </row>
    <row r="2067" spans="1:23">
      <c r="A2067" s="93" t="str">
        <f>TEXT(tblProjectlist[[#This Row],[project-no]],"0")</f>
        <v>0</v>
      </c>
      <c r="H2067" s="91">
        <v>9996</v>
      </c>
      <c r="I2067" s="91">
        <v>91</v>
      </c>
      <c r="J2067" s="91">
        <v>2</v>
      </c>
      <c r="K2067" s="91"/>
      <c r="L2067" s="91" t="s">
        <v>265</v>
      </c>
      <c r="M2067" s="91" t="s">
        <v>4</v>
      </c>
      <c r="Q2067" s="91"/>
      <c r="S2067" s="91" t="s">
        <v>143</v>
      </c>
      <c r="T2067" s="91" t="s">
        <v>4664</v>
      </c>
      <c r="V2067" s="91" t="s">
        <v>155</v>
      </c>
      <c r="W2067" s="91" t="s">
        <v>180</v>
      </c>
    </row>
    <row r="2068" spans="1:23">
      <c r="A2068" s="93" t="str">
        <f>TEXT(tblProjectlist[[#This Row],[project-no]],"0")</f>
        <v>0</v>
      </c>
      <c r="H2068" s="91">
        <v>2927</v>
      </c>
      <c r="I2068" s="91">
        <v>11</v>
      </c>
      <c r="J2068" s="91">
        <v>4</v>
      </c>
      <c r="K2068" s="91"/>
      <c r="L2068" s="91" t="s">
        <v>58</v>
      </c>
      <c r="M2068" s="91" t="s">
        <v>1</v>
      </c>
      <c r="Q2068" s="91"/>
      <c r="S2068" s="91" t="s">
        <v>143</v>
      </c>
      <c r="T2068" s="91" t="s">
        <v>4710</v>
      </c>
      <c r="W2068" s="91" t="s">
        <v>180</v>
      </c>
    </row>
    <row r="2069" spans="1:23">
      <c r="A2069" s="93" t="str">
        <f>TEXT(tblProjectlist[[#This Row],[project-no]],"0")</f>
        <v>0</v>
      </c>
      <c r="H2069" s="91">
        <v>8001</v>
      </c>
      <c r="I2069" s="91">
        <v>6</v>
      </c>
      <c r="J2069" s="91">
        <v>2</v>
      </c>
      <c r="K2069" s="91"/>
      <c r="L2069" s="91" t="s">
        <v>2175</v>
      </c>
      <c r="M2069" s="91" t="s">
        <v>4</v>
      </c>
      <c r="Q2069" s="91"/>
      <c r="S2069" s="91" t="s">
        <v>143</v>
      </c>
      <c r="T2069" s="91" t="s">
        <v>3796</v>
      </c>
      <c r="V2069" s="91" t="s">
        <v>155</v>
      </c>
      <c r="W2069" s="91" t="s">
        <v>180</v>
      </c>
    </row>
    <row r="2070" spans="1:23">
      <c r="A2070" s="93" t="str">
        <f>TEXT(tblProjectlist[[#This Row],[project-no]],"0")</f>
        <v>0</v>
      </c>
      <c r="H2070" s="91">
        <v>8001</v>
      </c>
      <c r="I2070" s="91">
        <v>7</v>
      </c>
      <c r="J2070" s="91">
        <v>2</v>
      </c>
      <c r="K2070" s="91"/>
      <c r="L2070" s="91" t="s">
        <v>2175</v>
      </c>
      <c r="M2070" s="91" t="s">
        <v>4</v>
      </c>
      <c r="Q2070" s="91"/>
      <c r="S2070" s="91" t="s">
        <v>143</v>
      </c>
      <c r="T2070" s="91" t="s">
        <v>4413</v>
      </c>
      <c r="V2070" s="91" t="s">
        <v>155</v>
      </c>
      <c r="W2070" s="91" t="s">
        <v>180</v>
      </c>
    </row>
    <row r="2071" spans="1:23">
      <c r="A2071" s="93" t="str">
        <f>TEXT(tblProjectlist[[#This Row],[project-no]],"0")</f>
        <v>0</v>
      </c>
      <c r="H2071" s="91">
        <v>8001</v>
      </c>
      <c r="I2071" s="91">
        <v>8</v>
      </c>
      <c r="J2071" s="91">
        <v>2</v>
      </c>
      <c r="K2071" s="91"/>
      <c r="L2071" s="91" t="s">
        <v>2175</v>
      </c>
      <c r="M2071" s="91" t="s">
        <v>4</v>
      </c>
      <c r="Q2071" s="91"/>
      <c r="S2071" s="91" t="s">
        <v>143</v>
      </c>
      <c r="T2071" s="91" t="s">
        <v>4733</v>
      </c>
      <c r="V2071" s="91" t="s">
        <v>155</v>
      </c>
      <c r="W2071" s="91" t="s">
        <v>180</v>
      </c>
    </row>
    <row r="2072" spans="1:23">
      <c r="A2072" s="93" t="str">
        <f>TEXT(tblProjectlist[[#This Row],[project-no]],"0")</f>
        <v>80010128</v>
      </c>
      <c r="H2072" s="91">
        <v>8001</v>
      </c>
      <c r="I2072" s="91">
        <v>1</v>
      </c>
      <c r="J2072" s="91">
        <v>2</v>
      </c>
      <c r="K2072" s="91" t="s">
        <v>1149</v>
      </c>
      <c r="L2072" s="91" t="s">
        <v>2175</v>
      </c>
      <c r="M2072" s="91" t="s">
        <v>4</v>
      </c>
      <c r="Q2072" s="91"/>
      <c r="S2072" s="91" t="s">
        <v>143</v>
      </c>
      <c r="T2072" s="91" t="s">
        <v>3013</v>
      </c>
      <c r="V2072" s="91" t="s">
        <v>155</v>
      </c>
      <c r="W2072" s="91" t="s">
        <v>180</v>
      </c>
    </row>
    <row r="2073" spans="1:23">
      <c r="A2073" s="93" t="str">
        <f>TEXT(tblProjectlist[[#This Row],[project-no]],"0")</f>
        <v>80010228</v>
      </c>
      <c r="H2073" s="91">
        <v>8001</v>
      </c>
      <c r="I2073" s="91">
        <v>2</v>
      </c>
      <c r="J2073" s="91">
        <v>2</v>
      </c>
      <c r="K2073" s="91" t="s">
        <v>1150</v>
      </c>
      <c r="L2073" s="91" t="s">
        <v>2175</v>
      </c>
      <c r="M2073" s="91" t="s">
        <v>4</v>
      </c>
      <c r="Q2073" s="91"/>
      <c r="S2073" s="91" t="s">
        <v>143</v>
      </c>
      <c r="T2073" s="91" t="s">
        <v>3014</v>
      </c>
      <c r="V2073" s="91" t="s">
        <v>155</v>
      </c>
      <c r="W2073" s="91" t="s">
        <v>180</v>
      </c>
    </row>
    <row r="2074" spans="1:23">
      <c r="A2074" s="93" t="str">
        <f>TEXT(tblProjectlist[[#This Row],[project-no]],"0")</f>
        <v>80010328</v>
      </c>
      <c r="H2074" s="91">
        <v>8001</v>
      </c>
      <c r="I2074" s="91">
        <v>3</v>
      </c>
      <c r="J2074" s="91">
        <v>2</v>
      </c>
      <c r="K2074" s="91" t="s">
        <v>1151</v>
      </c>
      <c r="L2074" s="91" t="s">
        <v>2175</v>
      </c>
      <c r="M2074" s="91" t="s">
        <v>4</v>
      </c>
      <c r="Q2074" s="91"/>
      <c r="S2074" s="91" t="s">
        <v>143</v>
      </c>
      <c r="T2074" s="91" t="s">
        <v>3015</v>
      </c>
      <c r="V2074" s="91" t="s">
        <v>155</v>
      </c>
      <c r="W2074" s="91" t="s">
        <v>180</v>
      </c>
    </row>
    <row r="2075" spans="1:23">
      <c r="A2075" s="93" t="str">
        <f>TEXT(tblProjectlist[[#This Row],[project-no]],"0")</f>
        <v>80010428</v>
      </c>
      <c r="H2075" s="91">
        <v>8001</v>
      </c>
      <c r="I2075" s="91">
        <v>4</v>
      </c>
      <c r="J2075" s="91">
        <v>2</v>
      </c>
      <c r="K2075" s="91" t="s">
        <v>1152</v>
      </c>
      <c r="L2075" s="91" t="s">
        <v>2175</v>
      </c>
      <c r="M2075" s="91" t="s">
        <v>4</v>
      </c>
      <c r="Q2075" s="91"/>
      <c r="S2075" s="91" t="s">
        <v>143</v>
      </c>
      <c r="T2075" s="91" t="s">
        <v>3016</v>
      </c>
      <c r="V2075" s="91" t="s">
        <v>155</v>
      </c>
      <c r="W2075" s="91" t="s">
        <v>180</v>
      </c>
    </row>
    <row r="2076" spans="1:23">
      <c r="A2076" s="93" t="str">
        <f>TEXT(tblProjectlist[[#This Row],[project-no]],"0")</f>
        <v>80010528</v>
      </c>
      <c r="H2076" s="91">
        <v>8001</v>
      </c>
      <c r="I2076" s="91">
        <v>5</v>
      </c>
      <c r="J2076" s="91">
        <v>2</v>
      </c>
      <c r="K2076" s="91" t="s">
        <v>1153</v>
      </c>
      <c r="L2076" s="91" t="s">
        <v>265</v>
      </c>
      <c r="M2076" s="91" t="s">
        <v>4</v>
      </c>
      <c r="Q2076" s="91"/>
      <c r="S2076" s="91" t="s">
        <v>143</v>
      </c>
      <c r="T2076" s="91" t="s">
        <v>3017</v>
      </c>
      <c r="W2076" s="91" t="s">
        <v>180</v>
      </c>
    </row>
    <row r="2077" spans="1:23">
      <c r="A2077" s="93" t="str">
        <f>TEXT(tblProjectlist[[#This Row],[project-no]],"0")</f>
        <v>99966728</v>
      </c>
      <c r="H2077" s="91">
        <v>8001</v>
      </c>
      <c r="I2077" s="91">
        <v>4</v>
      </c>
      <c r="J2077" s="91">
        <v>2</v>
      </c>
      <c r="K2077" s="91" t="s">
        <v>1784</v>
      </c>
      <c r="L2077" s="91" t="s">
        <v>2175</v>
      </c>
      <c r="M2077" s="91" t="s">
        <v>4</v>
      </c>
      <c r="Q2077" s="91"/>
      <c r="S2077" s="91" t="s">
        <v>143</v>
      </c>
      <c r="T2077" s="91" t="s">
        <v>3016</v>
      </c>
      <c r="V2077" s="91" t="s">
        <v>155</v>
      </c>
      <c r="W2077" s="91" t="s">
        <v>180</v>
      </c>
    </row>
    <row r="2078" spans="1:23">
      <c r="A2078" s="93" t="str">
        <f>TEXT(tblProjectlist[[#This Row],[project-no]],"0")</f>
        <v>70310211</v>
      </c>
      <c r="H2078" s="91">
        <v>7031</v>
      </c>
      <c r="I2078" s="91">
        <v>2</v>
      </c>
      <c r="J2078" s="91">
        <v>1</v>
      </c>
      <c r="K2078" s="91" t="s">
        <v>944</v>
      </c>
      <c r="L2078" s="91" t="s">
        <v>2175</v>
      </c>
      <c r="M2078" s="91" t="s">
        <v>0</v>
      </c>
      <c r="Q2078" s="91"/>
      <c r="S2078" s="91" t="s">
        <v>143</v>
      </c>
      <c r="T2078" s="91" t="s">
        <v>2817</v>
      </c>
      <c r="V2078" s="91" t="s">
        <v>169</v>
      </c>
      <c r="W2078" s="91" t="s">
        <v>180</v>
      </c>
    </row>
    <row r="2079" spans="1:23">
      <c r="A2079" s="93" t="str">
        <f>TEXT(tblProjectlist[[#This Row],[project-no]],"0")</f>
        <v>70310216</v>
      </c>
      <c r="H2079" s="91">
        <v>7031</v>
      </c>
      <c r="I2079" s="91">
        <v>2</v>
      </c>
      <c r="J2079" s="91">
        <v>1</v>
      </c>
      <c r="K2079" s="91" t="s">
        <v>945</v>
      </c>
      <c r="L2079" s="91" t="s">
        <v>2175</v>
      </c>
      <c r="M2079" s="91" t="s">
        <v>0</v>
      </c>
      <c r="Q2079" s="91"/>
      <c r="S2079" s="91" t="s">
        <v>143</v>
      </c>
      <c r="T2079" s="91" t="s">
        <v>2817</v>
      </c>
      <c r="V2079" s="91" t="s">
        <v>168</v>
      </c>
      <c r="W2079" s="91" t="s">
        <v>180</v>
      </c>
    </row>
    <row r="2080" spans="1:23">
      <c r="A2080" s="93" t="str">
        <f>TEXT(tblProjectlist[[#This Row],[project-no]],"0")</f>
        <v>70310326</v>
      </c>
      <c r="H2080" s="91">
        <v>7031</v>
      </c>
      <c r="I2080" s="91">
        <v>3</v>
      </c>
      <c r="J2080" s="91">
        <v>2</v>
      </c>
      <c r="K2080" s="91" t="s">
        <v>946</v>
      </c>
      <c r="L2080" s="91" t="s">
        <v>2175</v>
      </c>
      <c r="M2080" s="91" t="s">
        <v>4</v>
      </c>
      <c r="Q2080" s="91"/>
      <c r="S2080" s="91" t="s">
        <v>143</v>
      </c>
      <c r="T2080" s="91" t="s">
        <v>2818</v>
      </c>
      <c r="V2080" s="91" t="s">
        <v>155</v>
      </c>
      <c r="W2080" s="91" t="s">
        <v>180</v>
      </c>
    </row>
    <row r="2081" spans="1:23">
      <c r="A2081" s="93" t="str">
        <f>TEXT(tblProjectlist[[#This Row],[project-no]],"0")</f>
        <v>70310428</v>
      </c>
      <c r="H2081" s="91">
        <v>7031</v>
      </c>
      <c r="I2081" s="91">
        <v>4</v>
      </c>
      <c r="J2081" s="91">
        <v>2</v>
      </c>
      <c r="K2081" s="91" t="s">
        <v>947</v>
      </c>
      <c r="L2081" s="91" t="s">
        <v>2175</v>
      </c>
      <c r="M2081" s="91" t="s">
        <v>4</v>
      </c>
      <c r="Q2081" s="91"/>
      <c r="S2081" s="91" t="s">
        <v>143</v>
      </c>
      <c r="T2081" s="91" t="s">
        <v>2819</v>
      </c>
      <c r="V2081" s="91" t="s">
        <v>155</v>
      </c>
      <c r="W2081" s="91" t="s">
        <v>180</v>
      </c>
    </row>
    <row r="2082" spans="1:23">
      <c r="A2082" s="93" t="str">
        <f>TEXT(tblProjectlist[[#This Row],[project-no]],"0")</f>
        <v>66461826</v>
      </c>
      <c r="H2082" s="91">
        <v>6646</v>
      </c>
      <c r="I2082" s="91">
        <v>18</v>
      </c>
      <c r="J2082" s="91">
        <v>2</v>
      </c>
      <c r="K2082" s="91" t="s">
        <v>911</v>
      </c>
      <c r="L2082" s="91" t="s">
        <v>197</v>
      </c>
      <c r="M2082" s="91" t="s">
        <v>4</v>
      </c>
      <c r="Q2082" s="91"/>
      <c r="S2082" s="91" t="s">
        <v>143</v>
      </c>
      <c r="T2082" s="91" t="s">
        <v>2786</v>
      </c>
      <c r="V2082" s="91" t="s">
        <v>155</v>
      </c>
      <c r="W2082" s="91" t="s">
        <v>180</v>
      </c>
    </row>
    <row r="2083" spans="1:23">
      <c r="A2083" s="93" t="str">
        <f>TEXT(tblProjectlist[[#This Row],[project-no]],"0")</f>
        <v>31170326</v>
      </c>
      <c r="H2083" s="91">
        <v>3117</v>
      </c>
      <c r="I2083" s="91">
        <v>3</v>
      </c>
      <c r="J2083" s="91">
        <v>2</v>
      </c>
      <c r="K2083" s="91" t="s">
        <v>722</v>
      </c>
      <c r="L2083" s="91" t="s">
        <v>64</v>
      </c>
      <c r="M2083" s="91" t="s">
        <v>4</v>
      </c>
      <c r="Q2083" s="91"/>
      <c r="S2083" s="91" t="s">
        <v>143</v>
      </c>
      <c r="T2083" s="91" t="s">
        <v>2620</v>
      </c>
      <c r="W2083" s="91" t="s">
        <v>180</v>
      </c>
    </row>
    <row r="2084" spans="1:23">
      <c r="A2084" s="93" t="str">
        <f>TEXT(tblProjectlist[[#This Row],[project-no]],"0")</f>
        <v>0</v>
      </c>
      <c r="H2084" s="91">
        <v>7707</v>
      </c>
      <c r="I2084" s="91">
        <v>21</v>
      </c>
      <c r="J2084" s="91">
        <v>2</v>
      </c>
      <c r="K2084" s="91"/>
      <c r="L2084" s="91" t="s">
        <v>2175</v>
      </c>
      <c r="M2084" s="91" t="s">
        <v>4</v>
      </c>
      <c r="Q2084" s="91"/>
      <c r="S2084" s="91" t="s">
        <v>143</v>
      </c>
      <c r="T2084" s="91" t="s">
        <v>3794</v>
      </c>
      <c r="V2084" s="91" t="s">
        <v>155</v>
      </c>
      <c r="W2084" s="91" t="s">
        <v>180</v>
      </c>
    </row>
    <row r="2085" spans="1:23">
      <c r="A2085" s="93" t="str">
        <f>TEXT(tblProjectlist[[#This Row],[project-no]],"0")</f>
        <v>0</v>
      </c>
      <c r="H2085" s="91">
        <v>7707</v>
      </c>
      <c r="I2085" s="91">
        <v>23</v>
      </c>
      <c r="J2085" s="91">
        <v>2</v>
      </c>
      <c r="K2085" s="91"/>
      <c r="L2085" s="91" t="s">
        <v>2175</v>
      </c>
      <c r="M2085" s="91" t="s">
        <v>4</v>
      </c>
      <c r="Q2085" s="91"/>
      <c r="S2085" s="91" t="s">
        <v>143</v>
      </c>
      <c r="T2085" s="91" t="s">
        <v>4011</v>
      </c>
      <c r="V2085" s="91" t="s">
        <v>155</v>
      </c>
      <c r="W2085" s="91" t="s">
        <v>180</v>
      </c>
    </row>
    <row r="2086" spans="1:23">
      <c r="A2086" s="93" t="str">
        <f>TEXT(tblProjectlist[[#This Row],[project-no]],"0")</f>
        <v>0</v>
      </c>
      <c r="H2086" s="91">
        <v>7707</v>
      </c>
      <c r="I2086" s="91">
        <v>29</v>
      </c>
      <c r="J2086" s="91">
        <v>2</v>
      </c>
      <c r="K2086" s="91"/>
      <c r="L2086" s="91" t="s">
        <v>2175</v>
      </c>
      <c r="M2086" s="91" t="s">
        <v>4</v>
      </c>
      <c r="Q2086" s="91"/>
      <c r="S2086" s="91" t="s">
        <v>143</v>
      </c>
      <c r="T2086" s="91" t="s">
        <v>4711</v>
      </c>
      <c r="V2086" s="91" t="s">
        <v>155</v>
      </c>
      <c r="W2086" s="91" t="s">
        <v>180</v>
      </c>
    </row>
    <row r="2087" spans="1:23">
      <c r="A2087" s="93" t="str">
        <f>TEXT(tblProjectlist[[#This Row],[project-no]],"0")</f>
        <v>77071728</v>
      </c>
      <c r="H2087" s="91">
        <v>7707</v>
      </c>
      <c r="I2087" s="91">
        <v>17</v>
      </c>
      <c r="J2087" s="91">
        <v>2</v>
      </c>
      <c r="K2087" s="91" t="s">
        <v>1098</v>
      </c>
      <c r="L2087" s="91" t="s">
        <v>2175</v>
      </c>
      <c r="M2087" s="91" t="s">
        <v>4</v>
      </c>
      <c r="Q2087" s="91"/>
      <c r="S2087" s="91" t="s">
        <v>143</v>
      </c>
      <c r="T2087" s="91" t="s">
        <v>2964</v>
      </c>
      <c r="V2087" s="91" t="s">
        <v>155</v>
      </c>
      <c r="W2087" s="91" t="s">
        <v>180</v>
      </c>
    </row>
    <row r="2088" spans="1:23">
      <c r="A2088" s="93" t="str">
        <f>TEXT(tblProjectlist[[#This Row],[project-no]],"0")</f>
        <v>77071828</v>
      </c>
      <c r="H2088" s="91">
        <v>7707</v>
      </c>
      <c r="I2088" s="91">
        <v>18</v>
      </c>
      <c r="J2088" s="91">
        <v>2</v>
      </c>
      <c r="K2088" s="91" t="s">
        <v>1099</v>
      </c>
      <c r="L2088" s="91" t="s">
        <v>2175</v>
      </c>
      <c r="M2088" s="91" t="s">
        <v>4</v>
      </c>
      <c r="Q2088" s="91"/>
      <c r="S2088" s="91" t="s">
        <v>143</v>
      </c>
      <c r="T2088" s="91" t="s">
        <v>2965</v>
      </c>
      <c r="V2088" s="91" t="s">
        <v>155</v>
      </c>
      <c r="W2088" s="91" t="s">
        <v>180</v>
      </c>
    </row>
    <row r="2089" spans="1:23">
      <c r="A2089" s="93" t="str">
        <f>TEXT(tblProjectlist[[#This Row],[project-no]],"0")</f>
        <v>0</v>
      </c>
      <c r="H2089" s="91">
        <v>7707</v>
      </c>
      <c r="I2089" s="91">
        <v>19</v>
      </c>
      <c r="J2089" s="91">
        <v>2</v>
      </c>
      <c r="K2089" s="91"/>
      <c r="L2089" s="91" t="s">
        <v>2175</v>
      </c>
      <c r="M2089" s="91" t="s">
        <v>4</v>
      </c>
      <c r="Q2089" s="91"/>
      <c r="S2089" s="91" t="s">
        <v>143</v>
      </c>
      <c r="T2089" s="91" t="s">
        <v>3595</v>
      </c>
      <c r="V2089" s="91" t="s">
        <v>155</v>
      </c>
      <c r="W2089" s="91" t="s">
        <v>180</v>
      </c>
    </row>
    <row r="2090" spans="1:23">
      <c r="A2090" s="93" t="str">
        <f>TEXT(tblProjectlist[[#This Row],[project-no]],"0")</f>
        <v>0</v>
      </c>
      <c r="H2090" s="91">
        <v>7707</v>
      </c>
      <c r="I2090" s="91">
        <v>20</v>
      </c>
      <c r="J2090" s="91">
        <v>2</v>
      </c>
      <c r="K2090" s="91"/>
      <c r="L2090" s="91" t="s">
        <v>2175</v>
      </c>
      <c r="M2090" s="91" t="s">
        <v>4</v>
      </c>
      <c r="Q2090" s="91"/>
      <c r="S2090" s="91" t="s">
        <v>143</v>
      </c>
      <c r="T2090" s="91" t="s">
        <v>3700</v>
      </c>
      <c r="V2090" s="91" t="s">
        <v>155</v>
      </c>
      <c r="W2090" s="91" t="s">
        <v>180</v>
      </c>
    </row>
    <row r="2091" spans="1:23">
      <c r="A2091" s="93" t="str">
        <f>TEXT(tblProjectlist[[#This Row],[project-no]],"0")</f>
        <v>0</v>
      </c>
      <c r="H2091" s="91">
        <v>7707</v>
      </c>
      <c r="I2091" s="91">
        <v>22</v>
      </c>
      <c r="J2091" s="91">
        <v>2</v>
      </c>
      <c r="K2091" s="91"/>
      <c r="L2091" s="91" t="s">
        <v>2175</v>
      </c>
      <c r="M2091" s="91" t="s">
        <v>4</v>
      </c>
      <c r="Q2091" s="91"/>
      <c r="S2091" s="91" t="s">
        <v>143</v>
      </c>
      <c r="T2091" s="91" t="s">
        <v>3795</v>
      </c>
      <c r="V2091" s="91" t="s">
        <v>155</v>
      </c>
      <c r="W2091" s="91" t="s">
        <v>180</v>
      </c>
    </row>
    <row r="2092" spans="1:23">
      <c r="A2092" s="93" t="str">
        <f>TEXT(tblProjectlist[[#This Row],[project-no]],"0")</f>
        <v>0</v>
      </c>
      <c r="H2092" s="91">
        <v>7707</v>
      </c>
      <c r="I2092" s="91">
        <v>24</v>
      </c>
      <c r="J2092" s="91">
        <v>2</v>
      </c>
      <c r="K2092" s="91"/>
      <c r="L2092" s="91" t="s">
        <v>2175</v>
      </c>
      <c r="M2092" s="91" t="s">
        <v>4</v>
      </c>
      <c r="Q2092" s="91"/>
      <c r="S2092" s="91" t="s">
        <v>143</v>
      </c>
      <c r="T2092" s="91" t="s">
        <v>4031</v>
      </c>
      <c r="V2092" s="91" t="s">
        <v>155</v>
      </c>
      <c r="W2092" s="91" t="s">
        <v>180</v>
      </c>
    </row>
    <row r="2093" spans="1:23">
      <c r="A2093" s="93" t="str">
        <f>TEXT(tblProjectlist[[#This Row],[project-no]],"0")</f>
        <v>0</v>
      </c>
      <c r="H2093" s="91">
        <v>7707</v>
      </c>
      <c r="I2093" s="91">
        <v>25</v>
      </c>
      <c r="J2093" s="91">
        <v>2</v>
      </c>
      <c r="K2093" s="91"/>
      <c r="L2093" s="91" t="s">
        <v>2175</v>
      </c>
      <c r="M2093" s="91" t="s">
        <v>4</v>
      </c>
      <c r="Q2093" s="91"/>
      <c r="S2093" s="91" t="s">
        <v>143</v>
      </c>
      <c r="T2093" s="91" t="s">
        <v>4050</v>
      </c>
      <c r="V2093" s="91" t="s">
        <v>155</v>
      </c>
      <c r="W2093" s="91" t="s">
        <v>180</v>
      </c>
    </row>
    <row r="2094" spans="1:23">
      <c r="A2094" s="93" t="str">
        <f>TEXT(tblProjectlist[[#This Row],[project-no]],"0")</f>
        <v>0</v>
      </c>
      <c r="H2094" s="91">
        <v>7707</v>
      </c>
      <c r="I2094" s="91">
        <v>26</v>
      </c>
      <c r="J2094" s="91">
        <v>2</v>
      </c>
      <c r="K2094" s="91"/>
      <c r="L2094" s="91" t="s">
        <v>2175</v>
      </c>
      <c r="M2094" s="91" t="s">
        <v>4</v>
      </c>
      <c r="Q2094" s="91"/>
      <c r="S2094" s="91" t="s">
        <v>143</v>
      </c>
      <c r="T2094" s="91" t="s">
        <v>4207</v>
      </c>
      <c r="V2094" s="91" t="s">
        <v>155</v>
      </c>
      <c r="W2094" s="91" t="s">
        <v>180</v>
      </c>
    </row>
    <row r="2095" spans="1:23">
      <c r="A2095" s="93" t="str">
        <f>TEXT(tblProjectlist[[#This Row],[project-no]],"0")</f>
        <v>0</v>
      </c>
      <c r="H2095" s="91">
        <v>7707</v>
      </c>
      <c r="I2095" s="91">
        <v>27</v>
      </c>
      <c r="J2095" s="91">
        <v>2</v>
      </c>
      <c r="K2095" s="91"/>
      <c r="L2095" s="91" t="s">
        <v>2175</v>
      </c>
      <c r="M2095" s="91" t="s">
        <v>4</v>
      </c>
      <c r="Q2095" s="91"/>
      <c r="S2095" s="91" t="s">
        <v>143</v>
      </c>
      <c r="T2095" s="91" t="s">
        <v>4363</v>
      </c>
      <c r="V2095" s="91" t="s">
        <v>155</v>
      </c>
      <c r="W2095" s="91" t="s">
        <v>180</v>
      </c>
    </row>
    <row r="2096" spans="1:23">
      <c r="A2096" s="93" t="str">
        <f>TEXT(tblProjectlist[[#This Row],[project-no]],"0")</f>
        <v>0</v>
      </c>
      <c r="H2096" s="91">
        <v>7707</v>
      </c>
      <c r="I2096" s="91">
        <v>28</v>
      </c>
      <c r="J2096" s="91">
        <v>2</v>
      </c>
      <c r="K2096" s="91"/>
      <c r="L2096" s="91" t="s">
        <v>2175</v>
      </c>
      <c r="M2096" s="91" t="s">
        <v>4</v>
      </c>
      <c r="Q2096" s="91"/>
      <c r="S2096" s="91" t="s">
        <v>143</v>
      </c>
      <c r="T2096" s="91" t="s">
        <v>4364</v>
      </c>
      <c r="V2096" s="91" t="s">
        <v>155</v>
      </c>
      <c r="W2096" s="91" t="s">
        <v>180</v>
      </c>
    </row>
    <row r="2097" spans="1:23">
      <c r="A2097" s="93" t="str">
        <f>TEXT(tblProjectlist[[#This Row],[project-no]],"0")</f>
        <v>0</v>
      </c>
      <c r="H2097" s="91">
        <v>7707</v>
      </c>
      <c r="I2097" s="91">
        <v>30</v>
      </c>
      <c r="J2097" s="91">
        <v>2</v>
      </c>
      <c r="K2097" s="91"/>
      <c r="L2097" s="91" t="s">
        <v>2175</v>
      </c>
      <c r="M2097" s="91" t="s">
        <v>4</v>
      </c>
      <c r="Q2097" s="91"/>
      <c r="S2097" s="91" t="s">
        <v>143</v>
      </c>
      <c r="T2097" s="91" t="s">
        <v>4734</v>
      </c>
      <c r="V2097" s="91" t="s">
        <v>155</v>
      </c>
      <c r="W2097" s="91" t="s">
        <v>180</v>
      </c>
    </row>
    <row r="2098" spans="1:23">
      <c r="A2098" s="93" t="str">
        <f>TEXT(tblProjectlist[[#This Row],[project-no]],"0")</f>
        <v>0</v>
      </c>
      <c r="H2098" s="91">
        <v>7707</v>
      </c>
      <c r="I2098" s="91">
        <v>31</v>
      </c>
      <c r="J2098" s="91">
        <v>2</v>
      </c>
      <c r="K2098" s="91"/>
      <c r="L2098" s="91" t="s">
        <v>2175</v>
      </c>
      <c r="M2098" s="91" t="s">
        <v>4</v>
      </c>
      <c r="Q2098" s="91"/>
      <c r="S2098" s="91" t="s">
        <v>143</v>
      </c>
      <c r="T2098" s="91" t="s">
        <v>4735</v>
      </c>
      <c r="V2098" s="91" t="s">
        <v>155</v>
      </c>
      <c r="W2098" s="91" t="s">
        <v>180</v>
      </c>
    </row>
    <row r="2099" spans="1:23">
      <c r="A2099" s="93" t="str">
        <f>TEXT(tblProjectlist[[#This Row],[project-no]],"0")</f>
        <v>88270328</v>
      </c>
      <c r="H2099" s="91">
        <v>8827</v>
      </c>
      <c r="I2099" s="91">
        <v>3</v>
      </c>
      <c r="J2099" s="91">
        <v>2</v>
      </c>
      <c r="K2099" s="91" t="s">
        <v>1242</v>
      </c>
      <c r="L2099" s="91" t="s">
        <v>2175</v>
      </c>
      <c r="M2099" s="91" t="s">
        <v>4</v>
      </c>
      <c r="Q2099" s="91"/>
      <c r="S2099" s="91" t="s">
        <v>143</v>
      </c>
      <c r="T2099" s="91" t="s">
        <v>3093</v>
      </c>
      <c r="V2099" s="91" t="s">
        <v>155</v>
      </c>
      <c r="W2099" s="91" t="s">
        <v>180</v>
      </c>
    </row>
    <row r="2100" spans="1:23">
      <c r="A2100" s="93" t="str">
        <f>TEXT(tblProjectlist[[#This Row],[project-no]],"0")</f>
        <v>0</v>
      </c>
      <c r="H2100" s="91">
        <v>3151</v>
      </c>
      <c r="I2100" s="91">
        <v>2</v>
      </c>
      <c r="J2100" s="91">
        <v>2</v>
      </c>
      <c r="K2100" s="91"/>
      <c r="L2100" s="91" t="s">
        <v>62</v>
      </c>
      <c r="M2100" s="91" t="s">
        <v>4</v>
      </c>
      <c r="Q2100" s="91"/>
      <c r="S2100" s="91" t="s">
        <v>143</v>
      </c>
      <c r="T2100" s="91" t="s">
        <v>3669</v>
      </c>
      <c r="W2100" s="91" t="s">
        <v>180</v>
      </c>
    </row>
    <row r="2101" spans="1:23">
      <c r="A2101" s="93" t="str">
        <f>TEXT(tblProjectlist[[#This Row],[project-no]],"0")</f>
        <v>0</v>
      </c>
      <c r="H2101" s="91">
        <v>7686</v>
      </c>
      <c r="I2101" s="91">
        <v>2</v>
      </c>
      <c r="J2101" s="91">
        <v>2</v>
      </c>
      <c r="K2101" s="91"/>
      <c r="L2101" s="91" t="s">
        <v>197</v>
      </c>
      <c r="M2101" s="91" t="s">
        <v>4</v>
      </c>
      <c r="Q2101" s="91"/>
      <c r="S2101" s="91" t="s">
        <v>143</v>
      </c>
      <c r="T2101" s="91" t="s">
        <v>4298</v>
      </c>
      <c r="V2101" s="91" t="s">
        <v>155</v>
      </c>
      <c r="W2101" s="91" t="s">
        <v>180</v>
      </c>
    </row>
    <row r="2102" spans="1:23">
      <c r="A2102" s="93" t="str">
        <f>TEXT(tblProjectlist[[#This Row],[project-no]],"0")</f>
        <v>0</v>
      </c>
      <c r="H2102" s="91">
        <v>7686</v>
      </c>
      <c r="I2102" s="91">
        <v>3</v>
      </c>
      <c r="J2102" s="91">
        <v>2</v>
      </c>
      <c r="K2102" s="91"/>
      <c r="L2102" s="91" t="s">
        <v>197</v>
      </c>
      <c r="M2102" s="91" t="s">
        <v>4</v>
      </c>
      <c r="Q2102" s="91"/>
      <c r="S2102" s="91" t="s">
        <v>143</v>
      </c>
      <c r="T2102" s="91" t="s">
        <v>4712</v>
      </c>
      <c r="V2102" s="91" t="s">
        <v>155</v>
      </c>
      <c r="W2102" s="91" t="s">
        <v>180</v>
      </c>
    </row>
    <row r="2103" spans="1:23">
      <c r="A2103" s="93" t="str">
        <f>TEXT(tblProjectlist[[#This Row],[project-no]],"0")</f>
        <v>0</v>
      </c>
      <c r="H2103" s="91">
        <v>3003</v>
      </c>
      <c r="I2103" s="91">
        <v>3</v>
      </c>
      <c r="J2103" s="91">
        <v>2</v>
      </c>
      <c r="K2103" s="91"/>
      <c r="L2103" s="91" t="s">
        <v>64</v>
      </c>
      <c r="M2103" s="91" t="s">
        <v>4</v>
      </c>
      <c r="Q2103" s="91"/>
      <c r="S2103" s="91" t="s">
        <v>143</v>
      </c>
      <c r="T2103" s="91" t="s">
        <v>4501</v>
      </c>
      <c r="V2103" s="91" t="s">
        <v>155</v>
      </c>
      <c r="W2103" s="91" t="s">
        <v>180</v>
      </c>
    </row>
    <row r="2104" spans="1:23">
      <c r="A2104" s="93" t="str">
        <f>TEXT(tblProjectlist[[#This Row],[project-no]],"0")</f>
        <v>0</v>
      </c>
      <c r="H2104" s="91">
        <v>8027</v>
      </c>
      <c r="I2104" s="91">
        <v>4</v>
      </c>
      <c r="J2104" s="91">
        <v>2</v>
      </c>
      <c r="K2104" s="91"/>
      <c r="L2104" s="91" t="s">
        <v>2175</v>
      </c>
      <c r="M2104" s="91" t="s">
        <v>4</v>
      </c>
      <c r="Q2104" s="91"/>
      <c r="S2104" s="91" t="s">
        <v>143</v>
      </c>
      <c r="T2104" s="91" t="s">
        <v>4093</v>
      </c>
      <c r="V2104" s="91" t="s">
        <v>155</v>
      </c>
      <c r="W2104" s="91" t="s">
        <v>180</v>
      </c>
    </row>
    <row r="2105" spans="1:23">
      <c r="A2105" s="93" t="str">
        <f>TEXT(tblProjectlist[[#This Row],[project-no]],"0")</f>
        <v>0</v>
      </c>
      <c r="H2105" s="91">
        <v>7022</v>
      </c>
      <c r="I2105" s="91">
        <v>22</v>
      </c>
      <c r="J2105" s="91">
        <v>2</v>
      </c>
      <c r="K2105" s="91"/>
      <c r="L2105" s="91" t="s">
        <v>2175</v>
      </c>
      <c r="M2105" s="91" t="s">
        <v>4</v>
      </c>
      <c r="Q2105" s="91"/>
      <c r="S2105" s="91" t="s">
        <v>143</v>
      </c>
      <c r="T2105" s="91" t="s">
        <v>3579</v>
      </c>
      <c r="V2105" s="91" t="s">
        <v>155</v>
      </c>
      <c r="W2105" s="91" t="s">
        <v>180</v>
      </c>
    </row>
    <row r="2106" spans="1:23">
      <c r="A2106" s="93" t="str">
        <f>TEXT(tblProjectlist[[#This Row],[project-no]],"0")</f>
        <v>0</v>
      </c>
      <c r="H2106" s="91">
        <v>7022</v>
      </c>
      <c r="I2106" s="91">
        <v>23</v>
      </c>
      <c r="J2106" s="91">
        <v>2</v>
      </c>
      <c r="K2106" s="91"/>
      <c r="L2106" s="91" t="s">
        <v>2175</v>
      </c>
      <c r="M2106" s="91" t="s">
        <v>4</v>
      </c>
      <c r="Q2106" s="91"/>
      <c r="S2106" s="91" t="s">
        <v>143</v>
      </c>
      <c r="T2106" s="91" t="s">
        <v>3692</v>
      </c>
      <c r="V2106" s="91" t="s">
        <v>155</v>
      </c>
    </row>
    <row r="2107" spans="1:23">
      <c r="A2107" s="93" t="str">
        <f>TEXT(tblProjectlist[[#This Row],[project-no]],"0")</f>
        <v>70221328</v>
      </c>
      <c r="H2107" s="91">
        <v>7022</v>
      </c>
      <c r="I2107" s="91">
        <v>13</v>
      </c>
      <c r="J2107" s="91">
        <v>2</v>
      </c>
      <c r="K2107" s="91" t="s">
        <v>935</v>
      </c>
      <c r="L2107" s="91" t="s">
        <v>2175</v>
      </c>
      <c r="M2107" s="91" t="s">
        <v>4</v>
      </c>
      <c r="Q2107" s="91"/>
      <c r="S2107" s="91" t="s">
        <v>143</v>
      </c>
      <c r="T2107" s="91" t="s">
        <v>2808</v>
      </c>
      <c r="V2107" s="91" t="s">
        <v>155</v>
      </c>
      <c r="W2107" s="91" t="s">
        <v>180</v>
      </c>
    </row>
    <row r="2108" spans="1:23">
      <c r="A2108" s="93" t="str">
        <f>TEXT(tblProjectlist[[#This Row],[project-no]],"0")</f>
        <v>70221528</v>
      </c>
      <c r="H2108" s="91">
        <v>7022</v>
      </c>
      <c r="I2108" s="91">
        <v>15</v>
      </c>
      <c r="J2108" s="91">
        <v>2</v>
      </c>
      <c r="K2108" s="91" t="s">
        <v>936</v>
      </c>
      <c r="L2108" s="91" t="s">
        <v>2175</v>
      </c>
      <c r="M2108" s="91" t="s">
        <v>4</v>
      </c>
      <c r="Q2108" s="91"/>
      <c r="S2108" s="91" t="s">
        <v>143</v>
      </c>
      <c r="T2108" s="91" t="s">
        <v>2809</v>
      </c>
      <c r="V2108" s="91" t="s">
        <v>155</v>
      </c>
      <c r="W2108" s="91" t="s">
        <v>180</v>
      </c>
    </row>
    <row r="2109" spans="1:23">
      <c r="A2109" s="93" t="str">
        <f>TEXT(tblProjectlist[[#This Row],[project-no]],"0")</f>
        <v>70221828</v>
      </c>
      <c r="H2109" s="91">
        <v>7022</v>
      </c>
      <c r="I2109" s="91">
        <v>18</v>
      </c>
      <c r="J2109" s="91">
        <v>2</v>
      </c>
      <c r="K2109" s="91" t="s">
        <v>937</v>
      </c>
      <c r="L2109" s="91" t="s">
        <v>2175</v>
      </c>
      <c r="M2109" s="91" t="s">
        <v>4</v>
      </c>
      <c r="Q2109" s="91"/>
      <c r="S2109" s="91" t="s">
        <v>143</v>
      </c>
      <c r="T2109" s="91" t="s">
        <v>2810</v>
      </c>
      <c r="V2109" s="91" t="s">
        <v>155</v>
      </c>
      <c r="W2109" s="91" t="s">
        <v>180</v>
      </c>
    </row>
    <row r="2110" spans="1:23">
      <c r="A2110" s="93" t="str">
        <f>TEXT(tblProjectlist[[#This Row],[project-no]],"0")</f>
        <v>70221928</v>
      </c>
      <c r="H2110" s="91">
        <v>7022</v>
      </c>
      <c r="I2110" s="91">
        <v>19</v>
      </c>
      <c r="J2110" s="91">
        <v>2</v>
      </c>
      <c r="K2110" s="91" t="s">
        <v>938</v>
      </c>
      <c r="L2110" s="91" t="s">
        <v>2175</v>
      </c>
      <c r="M2110" s="91" t="s">
        <v>4</v>
      </c>
      <c r="Q2110" s="91"/>
      <c r="S2110" s="91" t="s">
        <v>143</v>
      </c>
      <c r="T2110" s="91" t="s">
        <v>2811</v>
      </c>
      <c r="V2110" s="91" t="s">
        <v>155</v>
      </c>
      <c r="W2110" s="91" t="s">
        <v>180</v>
      </c>
    </row>
    <row r="2111" spans="1:23">
      <c r="A2111" s="93" t="str">
        <f>TEXT(tblProjectlist[[#This Row],[project-no]],"0")</f>
        <v>70222028</v>
      </c>
      <c r="H2111" s="91">
        <v>7022</v>
      </c>
      <c r="I2111" s="91">
        <v>20</v>
      </c>
      <c r="J2111" s="91">
        <v>2</v>
      </c>
      <c r="K2111" s="91" t="s">
        <v>939</v>
      </c>
      <c r="L2111" s="91" t="s">
        <v>2175</v>
      </c>
      <c r="M2111" s="91" t="s">
        <v>4</v>
      </c>
      <c r="Q2111" s="91"/>
      <c r="S2111" s="91" t="s">
        <v>143</v>
      </c>
      <c r="T2111" s="91" t="s">
        <v>2812</v>
      </c>
      <c r="V2111" s="91" t="s">
        <v>155</v>
      </c>
      <c r="W2111" s="91" t="s">
        <v>180</v>
      </c>
    </row>
    <row r="2112" spans="1:23">
      <c r="A2112" s="93" t="str">
        <f>TEXT(tblProjectlist[[#This Row],[project-no]],"0")</f>
        <v>70222128</v>
      </c>
      <c r="H2112" s="91">
        <v>7022</v>
      </c>
      <c r="I2112" s="91">
        <v>21</v>
      </c>
      <c r="J2112" s="91">
        <v>2</v>
      </c>
      <c r="K2112" s="91" t="s">
        <v>940</v>
      </c>
      <c r="L2112" s="91" t="s">
        <v>2175</v>
      </c>
      <c r="M2112" s="91" t="s">
        <v>4</v>
      </c>
      <c r="Q2112" s="91"/>
      <c r="S2112" s="91" t="s">
        <v>143</v>
      </c>
      <c r="T2112" s="91" t="s">
        <v>2813</v>
      </c>
      <c r="V2112" s="91" t="s">
        <v>155</v>
      </c>
      <c r="W2112" s="91" t="s">
        <v>180</v>
      </c>
    </row>
    <row r="2113" spans="1:23">
      <c r="A2113" s="93" t="str">
        <f>TEXT(tblProjectlist[[#This Row],[project-no]],"0")</f>
        <v>99962028</v>
      </c>
      <c r="H2113" s="91">
        <v>7022</v>
      </c>
      <c r="I2113" s="91">
        <v>18</v>
      </c>
      <c r="J2113" s="91">
        <v>2</v>
      </c>
      <c r="K2113" s="91" t="s">
        <v>1741</v>
      </c>
      <c r="L2113" s="91" t="s">
        <v>2175</v>
      </c>
      <c r="M2113" s="91" t="s">
        <v>4</v>
      </c>
      <c r="Q2113" s="91"/>
      <c r="S2113" s="91" t="s">
        <v>143</v>
      </c>
      <c r="T2113" s="91" t="s">
        <v>2810</v>
      </c>
      <c r="V2113" s="91" t="s">
        <v>155</v>
      </c>
      <c r="W2113" s="91" t="s">
        <v>180</v>
      </c>
    </row>
    <row r="2114" spans="1:23">
      <c r="A2114" s="93" t="str">
        <f>TEXT(tblProjectlist[[#This Row],[project-no]],"0")</f>
        <v>70360228</v>
      </c>
      <c r="H2114" s="91">
        <v>7036</v>
      </c>
      <c r="I2114" s="91">
        <v>2</v>
      </c>
      <c r="J2114" s="91">
        <v>2</v>
      </c>
      <c r="K2114" s="91" t="s">
        <v>950</v>
      </c>
      <c r="L2114" s="91" t="s">
        <v>2175</v>
      </c>
      <c r="M2114" s="91" t="s">
        <v>4</v>
      </c>
      <c r="Q2114" s="91"/>
      <c r="S2114" s="91" t="s">
        <v>143</v>
      </c>
      <c r="T2114" s="91" t="s">
        <v>2822</v>
      </c>
      <c r="V2114" s="91" t="s">
        <v>155</v>
      </c>
      <c r="W2114" s="91" t="s">
        <v>180</v>
      </c>
    </row>
    <row r="2115" spans="1:23">
      <c r="A2115" s="93" t="str">
        <f>TEXT(tblProjectlist[[#This Row],[project-no]],"0")</f>
        <v>75100216</v>
      </c>
      <c r="H2115" s="91">
        <v>7510</v>
      </c>
      <c r="I2115" s="91">
        <v>2</v>
      </c>
      <c r="J2115" s="91">
        <v>1</v>
      </c>
      <c r="K2115" s="91" t="s">
        <v>990</v>
      </c>
      <c r="L2115" s="91" t="s">
        <v>62</v>
      </c>
      <c r="M2115" s="91" t="s">
        <v>0</v>
      </c>
      <c r="Q2115" s="91"/>
      <c r="S2115" s="91" t="s">
        <v>143</v>
      </c>
      <c r="T2115" s="91" t="s">
        <v>2859</v>
      </c>
      <c r="V2115" s="91" t="s">
        <v>168</v>
      </c>
      <c r="W2115" s="91" t="s">
        <v>180</v>
      </c>
    </row>
    <row r="2116" spans="1:23">
      <c r="A2116" s="93" t="str">
        <f>TEXT(tblProjectlist[[#This Row],[project-no]],"0")</f>
        <v>99867516</v>
      </c>
      <c r="H2116" s="91">
        <v>7510</v>
      </c>
      <c r="I2116" s="91">
        <v>2</v>
      </c>
      <c r="J2116" s="91">
        <v>1</v>
      </c>
      <c r="K2116" s="91" t="s">
        <v>1401</v>
      </c>
      <c r="L2116" s="91" t="s">
        <v>62</v>
      </c>
      <c r="M2116" s="91" t="s">
        <v>0</v>
      </c>
      <c r="Q2116" s="91"/>
      <c r="S2116" s="91" t="s">
        <v>143</v>
      </c>
      <c r="T2116" s="91" t="s">
        <v>2859</v>
      </c>
      <c r="V2116" s="91" t="s">
        <v>168</v>
      </c>
      <c r="W2116" s="91" t="s">
        <v>180</v>
      </c>
    </row>
    <row r="2117" spans="1:23">
      <c r="A2117" s="93" t="str">
        <f>TEXT(tblProjectlist[[#This Row],[project-no]],"0")</f>
        <v>78023011</v>
      </c>
      <c r="H2117" s="91">
        <v>7802</v>
      </c>
      <c r="I2117" s="91">
        <v>30</v>
      </c>
      <c r="J2117" s="91">
        <v>1</v>
      </c>
      <c r="K2117" s="91" t="s">
        <v>1110</v>
      </c>
      <c r="L2117" s="91" t="s">
        <v>2175</v>
      </c>
      <c r="M2117" s="91" t="s">
        <v>0</v>
      </c>
      <c r="Q2117" s="91"/>
      <c r="S2117" s="91" t="s">
        <v>143</v>
      </c>
      <c r="T2117" s="91" t="s">
        <v>2976</v>
      </c>
      <c r="V2117" s="91" t="s">
        <v>169</v>
      </c>
      <c r="W2117" s="91" t="s">
        <v>180</v>
      </c>
    </row>
    <row r="2118" spans="1:23">
      <c r="A2118" s="93" t="str">
        <f>TEXT(tblProjectlist[[#This Row],[project-no]],"0")</f>
        <v>99949911</v>
      </c>
      <c r="H2118" s="91">
        <v>7802</v>
      </c>
      <c r="I2118" s="91">
        <v>30</v>
      </c>
      <c r="J2118" s="91">
        <v>1</v>
      </c>
      <c r="K2118" s="91" t="s">
        <v>1613</v>
      </c>
      <c r="L2118" s="91" t="s">
        <v>2175</v>
      </c>
      <c r="M2118" s="91" t="s">
        <v>0</v>
      </c>
      <c r="Q2118" s="91"/>
      <c r="S2118" s="91" t="s">
        <v>143</v>
      </c>
      <c r="T2118" s="91" t="s">
        <v>2976</v>
      </c>
      <c r="V2118" s="91" t="s">
        <v>169</v>
      </c>
      <c r="W2118" s="91" t="s">
        <v>180</v>
      </c>
    </row>
    <row r="2119" spans="1:23">
      <c r="A2119" s="93" t="str">
        <f>TEXT(tblProjectlist[[#This Row],[project-no]],"0")</f>
        <v>0</v>
      </c>
      <c r="H2119" s="91">
        <v>6646</v>
      </c>
      <c r="I2119" s="91">
        <v>23</v>
      </c>
      <c r="J2119" s="91">
        <v>2</v>
      </c>
      <c r="K2119" s="91"/>
      <c r="L2119" s="91" t="s">
        <v>2175</v>
      </c>
      <c r="M2119" s="91" t="s">
        <v>4</v>
      </c>
      <c r="Q2119" s="91"/>
      <c r="S2119" s="91" t="s">
        <v>143</v>
      </c>
      <c r="T2119" s="91" t="s">
        <v>4238</v>
      </c>
      <c r="V2119" s="91" t="s">
        <v>155</v>
      </c>
      <c r="W2119" s="91" t="s">
        <v>180</v>
      </c>
    </row>
    <row r="2120" spans="1:23">
      <c r="A2120" s="93" t="str">
        <f>TEXT(tblProjectlist[[#This Row],[project-no]],"0")</f>
        <v>0</v>
      </c>
      <c r="H2120" s="91">
        <v>6120</v>
      </c>
      <c r="I2120" s="91">
        <v>2</v>
      </c>
      <c r="J2120" s="91">
        <v>2</v>
      </c>
      <c r="K2120" s="91"/>
      <c r="L2120" s="91" t="s">
        <v>62</v>
      </c>
      <c r="M2120" s="91" t="s">
        <v>4</v>
      </c>
      <c r="Q2120" s="91"/>
      <c r="S2120" s="91" t="s">
        <v>143</v>
      </c>
      <c r="T2120" s="91" t="s">
        <v>4128</v>
      </c>
      <c r="V2120" s="91" t="s">
        <v>155</v>
      </c>
      <c r="W2120" s="91" t="s">
        <v>180</v>
      </c>
    </row>
    <row r="2121" spans="1:23">
      <c r="A2121" s="93" t="str">
        <f>TEXT(tblProjectlist[[#This Row],[project-no]],"0")</f>
        <v>0</v>
      </c>
      <c r="H2121" s="91">
        <v>8000</v>
      </c>
      <c r="I2121" s="91">
        <v>2</v>
      </c>
      <c r="J2121" s="91">
        <v>1</v>
      </c>
      <c r="K2121" s="91"/>
      <c r="L2121" s="91" t="s">
        <v>2175</v>
      </c>
      <c r="M2121" s="91" t="s">
        <v>0</v>
      </c>
      <c r="Q2121" s="91"/>
      <c r="S2121" s="91" t="s">
        <v>143</v>
      </c>
      <c r="T2121" s="91" t="s">
        <v>3706</v>
      </c>
      <c r="V2121" s="91" t="s">
        <v>169</v>
      </c>
      <c r="W2121" s="91" t="s">
        <v>180</v>
      </c>
    </row>
    <row r="2122" spans="1:23">
      <c r="A2122" s="93" t="str">
        <f>TEXT(tblProjectlist[[#This Row],[project-no]],"0")</f>
        <v>21150242</v>
      </c>
      <c r="H2122" s="91">
        <v>2115</v>
      </c>
      <c r="I2122" s="91">
        <v>2</v>
      </c>
      <c r="J2122" s="91">
        <v>4</v>
      </c>
      <c r="K2122" s="91" t="s">
        <v>529</v>
      </c>
      <c r="L2122" s="91" t="s">
        <v>58</v>
      </c>
      <c r="M2122" s="91" t="s">
        <v>1</v>
      </c>
      <c r="Q2122" s="91"/>
      <c r="S2122" s="91" t="s">
        <v>143</v>
      </c>
      <c r="T2122" s="91" t="s">
        <v>2462</v>
      </c>
      <c r="V2122" s="91" t="s">
        <v>163</v>
      </c>
      <c r="W2122" s="91" t="s">
        <v>180</v>
      </c>
    </row>
    <row r="2123" spans="1:23">
      <c r="A2123" s="93" t="str">
        <f>TEXT(tblProjectlist[[#This Row],[project-no]],"0")</f>
        <v>21150243</v>
      </c>
      <c r="H2123" s="91">
        <v>2115</v>
      </c>
      <c r="I2123" s="91">
        <v>2</v>
      </c>
      <c r="J2123" s="91">
        <v>4</v>
      </c>
      <c r="K2123" s="91" t="s">
        <v>530</v>
      </c>
      <c r="L2123" s="91" t="s">
        <v>58</v>
      </c>
      <c r="M2123" s="91" t="s">
        <v>1</v>
      </c>
      <c r="Q2123" s="91"/>
      <c r="S2123" s="91" t="s">
        <v>143</v>
      </c>
      <c r="T2123" s="91" t="s">
        <v>2462</v>
      </c>
      <c r="V2123" s="91" t="s">
        <v>164</v>
      </c>
      <c r="W2123" s="91" t="s">
        <v>180</v>
      </c>
    </row>
    <row r="2124" spans="1:23">
      <c r="A2124" s="93" t="str">
        <f>TEXT(tblProjectlist[[#This Row],[project-no]],"0")</f>
        <v>21150244</v>
      </c>
      <c r="H2124" s="91">
        <v>2115</v>
      </c>
      <c r="I2124" s="91">
        <v>2</v>
      </c>
      <c r="J2124" s="91">
        <v>4</v>
      </c>
      <c r="K2124" s="91" t="s">
        <v>531</v>
      </c>
      <c r="L2124" s="91" t="s">
        <v>58</v>
      </c>
      <c r="M2124" s="91" t="s">
        <v>1</v>
      </c>
      <c r="Q2124" s="91"/>
      <c r="S2124" s="91" t="s">
        <v>143</v>
      </c>
      <c r="T2124" s="91" t="s">
        <v>2462</v>
      </c>
      <c r="V2124" s="91" t="s">
        <v>160</v>
      </c>
      <c r="W2124" s="91" t="s">
        <v>180</v>
      </c>
    </row>
    <row r="2125" spans="1:23">
      <c r="A2125" s="93" t="str">
        <f>TEXT(tblProjectlist[[#This Row],[project-no]],"0")</f>
        <v>21150247</v>
      </c>
      <c r="H2125" s="91">
        <v>2115</v>
      </c>
      <c r="I2125" s="91">
        <v>2</v>
      </c>
      <c r="J2125" s="91">
        <v>4</v>
      </c>
      <c r="K2125" s="91" t="s">
        <v>532</v>
      </c>
      <c r="L2125" s="91" t="s">
        <v>58</v>
      </c>
      <c r="M2125" s="91" t="s">
        <v>1</v>
      </c>
      <c r="Q2125" s="91"/>
      <c r="S2125" s="91" t="s">
        <v>143</v>
      </c>
      <c r="T2125" s="91" t="s">
        <v>2462</v>
      </c>
      <c r="V2125" s="91" t="s">
        <v>162</v>
      </c>
      <c r="W2125" s="91" t="s">
        <v>180</v>
      </c>
    </row>
    <row r="2126" spans="1:23">
      <c r="A2126" s="93" t="str">
        <f>TEXT(tblProjectlist[[#This Row],[project-no]],"0")</f>
        <v>21150343</v>
      </c>
      <c r="H2126" s="91">
        <v>2115</v>
      </c>
      <c r="I2126" s="91">
        <v>3</v>
      </c>
      <c r="J2126" s="91">
        <v>4</v>
      </c>
      <c r="K2126" s="91" t="s">
        <v>533</v>
      </c>
      <c r="L2126" s="91" t="s">
        <v>58</v>
      </c>
      <c r="M2126" s="91" t="s">
        <v>1</v>
      </c>
      <c r="Q2126" s="91"/>
      <c r="S2126" s="91" t="s">
        <v>143</v>
      </c>
      <c r="T2126" s="91" t="s">
        <v>2463</v>
      </c>
      <c r="W2126" s="91" t="s">
        <v>180</v>
      </c>
    </row>
    <row r="2127" spans="1:23">
      <c r="A2127" s="93" t="str">
        <f>TEXT(tblProjectlist[[#This Row],[project-no]],"0")</f>
        <v>21150344</v>
      </c>
      <c r="H2127" s="91">
        <v>2115</v>
      </c>
      <c r="I2127" s="91">
        <v>3</v>
      </c>
      <c r="J2127" s="91">
        <v>4</v>
      </c>
      <c r="K2127" s="91" t="s">
        <v>534</v>
      </c>
      <c r="L2127" s="91" t="s">
        <v>58</v>
      </c>
      <c r="M2127" s="91" t="s">
        <v>1</v>
      </c>
      <c r="Q2127" s="91"/>
      <c r="S2127" s="91" t="s">
        <v>143</v>
      </c>
      <c r="T2127" s="91" t="s">
        <v>2463</v>
      </c>
      <c r="W2127" s="91" t="s">
        <v>180</v>
      </c>
    </row>
    <row r="2128" spans="1:23">
      <c r="A2128" s="93" t="str">
        <f>TEXT(tblProjectlist[[#This Row],[project-no]],"0")</f>
        <v>21150444</v>
      </c>
      <c r="H2128" s="91">
        <v>2115</v>
      </c>
      <c r="I2128" s="91">
        <v>4</v>
      </c>
      <c r="J2128" s="91">
        <v>4</v>
      </c>
      <c r="K2128" s="91" t="s">
        <v>535</v>
      </c>
      <c r="L2128" s="91" t="s">
        <v>58</v>
      </c>
      <c r="M2128" s="91" t="s">
        <v>1</v>
      </c>
      <c r="Q2128" s="91"/>
      <c r="S2128" s="91" t="s">
        <v>143</v>
      </c>
      <c r="T2128" s="91" t="s">
        <v>2464</v>
      </c>
      <c r="W2128" s="91" t="s">
        <v>180</v>
      </c>
    </row>
    <row r="2129" spans="1:23">
      <c r="A2129" s="93" t="str">
        <f>TEXT(tblProjectlist[[#This Row],[project-no]],"0")</f>
        <v>21150544</v>
      </c>
      <c r="H2129" s="91">
        <v>2115</v>
      </c>
      <c r="I2129" s="91">
        <v>5</v>
      </c>
      <c r="J2129" s="91">
        <v>4</v>
      </c>
      <c r="K2129" s="91">
        <v>21150544</v>
      </c>
      <c r="L2129" s="91" t="s">
        <v>58</v>
      </c>
      <c r="M2129" s="91" t="s">
        <v>1</v>
      </c>
      <c r="Q2129" s="91"/>
      <c r="S2129" s="91" t="s">
        <v>143</v>
      </c>
      <c r="T2129" s="91" t="s">
        <v>4577</v>
      </c>
      <c r="V2129" s="91" t="s">
        <v>164</v>
      </c>
      <c r="W2129" s="91" t="s">
        <v>180</v>
      </c>
    </row>
    <row r="2130" spans="1:23">
      <c r="A2130" s="93" t="str">
        <f>TEXT(tblProjectlist[[#This Row],[project-no]],"0")</f>
        <v>99952743</v>
      </c>
      <c r="H2130" s="91">
        <v>2115</v>
      </c>
      <c r="I2130" s="91">
        <v>2</v>
      </c>
      <c r="J2130" s="91">
        <v>4</v>
      </c>
      <c r="K2130" s="91" t="s">
        <v>1640</v>
      </c>
      <c r="L2130" s="91" t="s">
        <v>58</v>
      </c>
      <c r="M2130" s="91" t="s">
        <v>1</v>
      </c>
      <c r="Q2130" s="91"/>
      <c r="S2130" s="91" t="s">
        <v>143</v>
      </c>
      <c r="T2130" s="91" t="s">
        <v>2462</v>
      </c>
      <c r="V2130" s="91" t="s">
        <v>164</v>
      </c>
      <c r="W2130" s="91" t="s">
        <v>180</v>
      </c>
    </row>
    <row r="2131" spans="1:23">
      <c r="A2131" s="93" t="str">
        <f>TEXT(tblProjectlist[[#This Row],[project-no]],"0")</f>
        <v>99952744</v>
      </c>
      <c r="H2131" s="91">
        <v>2115</v>
      </c>
      <c r="I2131" s="91">
        <v>2</v>
      </c>
      <c r="J2131" s="91">
        <v>4</v>
      </c>
      <c r="K2131" s="91" t="s">
        <v>1641</v>
      </c>
      <c r="L2131" s="91" t="s">
        <v>58</v>
      </c>
      <c r="M2131" s="91" t="s">
        <v>1</v>
      </c>
      <c r="Q2131" s="91"/>
      <c r="S2131" s="91" t="s">
        <v>143</v>
      </c>
      <c r="T2131" s="91" t="s">
        <v>2462</v>
      </c>
      <c r="V2131" s="91" t="s">
        <v>160</v>
      </c>
      <c r="W2131" s="91" t="s">
        <v>180</v>
      </c>
    </row>
    <row r="2132" spans="1:23">
      <c r="A2132" s="93" t="str">
        <f>TEXT(tblProjectlist[[#This Row],[project-no]],"0")</f>
        <v>99952711</v>
      </c>
      <c r="H2132" s="91">
        <v>9995</v>
      </c>
      <c r="I2132" s="91">
        <v>27</v>
      </c>
      <c r="J2132" s="91">
        <v>1</v>
      </c>
      <c r="K2132" s="91" t="s">
        <v>1639</v>
      </c>
      <c r="L2132" s="91" t="s">
        <v>2175</v>
      </c>
      <c r="M2132" s="91" t="s">
        <v>0</v>
      </c>
      <c r="Q2132" s="91"/>
      <c r="S2132" s="91" t="s">
        <v>143</v>
      </c>
      <c r="T2132" s="91" t="s">
        <v>3287</v>
      </c>
      <c r="V2132" s="91" t="s">
        <v>169</v>
      </c>
      <c r="W2132" s="91" t="s">
        <v>180</v>
      </c>
    </row>
    <row r="2133" spans="1:23">
      <c r="A2133" s="93" t="str">
        <f>TEXT(tblProjectlist[[#This Row],[project-no]],"0")</f>
        <v>99953111</v>
      </c>
      <c r="H2133" s="91">
        <v>9995</v>
      </c>
      <c r="I2133" s="91">
        <v>31</v>
      </c>
      <c r="J2133" s="91">
        <v>1</v>
      </c>
      <c r="K2133" s="91" t="s">
        <v>1644</v>
      </c>
      <c r="L2133" s="91" t="s">
        <v>2175</v>
      </c>
      <c r="M2133" s="91" t="s">
        <v>0</v>
      </c>
      <c r="Q2133" s="91"/>
      <c r="S2133" s="91" t="s">
        <v>143</v>
      </c>
      <c r="T2133" s="91" t="s">
        <v>3290</v>
      </c>
      <c r="V2133" s="91" t="s">
        <v>169</v>
      </c>
      <c r="W2133" s="91" t="s">
        <v>180</v>
      </c>
    </row>
    <row r="2134" spans="1:23">
      <c r="A2134" s="93" t="str">
        <f>TEXT(tblProjectlist[[#This Row],[project-no]],"0")</f>
        <v>21031028</v>
      </c>
      <c r="H2134" s="91">
        <v>2103</v>
      </c>
      <c r="I2134" s="91">
        <v>10</v>
      </c>
      <c r="J2134" s="91">
        <v>2</v>
      </c>
      <c r="K2134" s="91" t="s">
        <v>526</v>
      </c>
      <c r="L2134" s="91" t="s">
        <v>2175</v>
      </c>
      <c r="M2134" s="91" t="s">
        <v>4</v>
      </c>
      <c r="Q2134" s="91"/>
      <c r="S2134" s="91" t="s">
        <v>143</v>
      </c>
      <c r="T2134" s="91" t="s">
        <v>2459</v>
      </c>
      <c r="V2134" s="91" t="s">
        <v>155</v>
      </c>
      <c r="W2134" s="91" t="s">
        <v>180</v>
      </c>
    </row>
    <row r="2135" spans="1:23">
      <c r="A2135" s="93" t="str">
        <f>TEXT(tblProjectlist[[#This Row],[project-no]],"0")</f>
        <v>21031428</v>
      </c>
      <c r="H2135" s="91">
        <v>2103</v>
      </c>
      <c r="I2135" s="91">
        <v>14</v>
      </c>
      <c r="J2135" s="91">
        <v>2</v>
      </c>
      <c r="K2135" s="91" t="s">
        <v>527</v>
      </c>
      <c r="L2135" s="91" t="s">
        <v>2175</v>
      </c>
      <c r="M2135" s="91" t="s">
        <v>4</v>
      </c>
      <c r="Q2135" s="91"/>
      <c r="S2135" s="91" t="s">
        <v>143</v>
      </c>
      <c r="T2135" s="91" t="s">
        <v>2460</v>
      </c>
      <c r="V2135" s="91" t="s">
        <v>155</v>
      </c>
      <c r="W2135" s="91" t="s">
        <v>180</v>
      </c>
    </row>
    <row r="2136" spans="1:23">
      <c r="A2136" s="93" t="str">
        <f>TEXT(tblProjectlist[[#This Row],[project-no]],"0")</f>
        <v>0</v>
      </c>
      <c r="H2136" s="91">
        <v>2127</v>
      </c>
      <c r="I2136" s="91">
        <v>2</v>
      </c>
      <c r="J2136" s="91">
        <v>2</v>
      </c>
      <c r="K2136" s="91"/>
      <c r="L2136" s="91" t="s">
        <v>2175</v>
      </c>
      <c r="M2136" s="91" t="s">
        <v>4</v>
      </c>
      <c r="Q2136" s="91"/>
      <c r="S2136" s="91" t="s">
        <v>143</v>
      </c>
      <c r="T2136" s="91" t="s">
        <v>4623</v>
      </c>
      <c r="V2136" s="91" t="s">
        <v>155</v>
      </c>
      <c r="W2136" s="91" t="s">
        <v>180</v>
      </c>
    </row>
    <row r="2137" spans="1:23">
      <c r="A2137" s="93" t="str">
        <f>TEXT(tblProjectlist[[#This Row],[project-no]],"0")</f>
        <v>0</v>
      </c>
      <c r="H2137" s="91">
        <v>6063</v>
      </c>
      <c r="I2137" s="91">
        <v>5</v>
      </c>
      <c r="J2137" s="91">
        <v>2</v>
      </c>
      <c r="K2137" s="91"/>
      <c r="L2137" s="91" t="s">
        <v>2175</v>
      </c>
      <c r="M2137" s="91" t="s">
        <v>4</v>
      </c>
      <c r="Q2137" s="91"/>
      <c r="S2137" s="91" t="s">
        <v>143</v>
      </c>
      <c r="T2137" s="91" t="s">
        <v>3964</v>
      </c>
      <c r="V2137" s="91" t="s">
        <v>155</v>
      </c>
      <c r="W2137" s="91" t="s">
        <v>180</v>
      </c>
    </row>
    <row r="2138" spans="1:23">
      <c r="A2138" s="93" t="str">
        <f>TEXT(tblProjectlist[[#This Row],[project-no]],"0")</f>
        <v>76200228</v>
      </c>
      <c r="H2138" s="91">
        <v>7620</v>
      </c>
      <c r="I2138" s="91">
        <v>2</v>
      </c>
      <c r="J2138" s="91">
        <v>2</v>
      </c>
      <c r="K2138" s="91" t="s">
        <v>1064</v>
      </c>
      <c r="L2138" s="91" t="s">
        <v>2175</v>
      </c>
      <c r="M2138" s="91" t="s">
        <v>4</v>
      </c>
      <c r="Q2138" s="91"/>
      <c r="S2138" s="91" t="s">
        <v>143</v>
      </c>
      <c r="T2138" s="91" t="s">
        <v>2930</v>
      </c>
      <c r="V2138" s="91" t="s">
        <v>155</v>
      </c>
      <c r="W2138" s="91" t="s">
        <v>180</v>
      </c>
    </row>
    <row r="2139" spans="1:23">
      <c r="A2139" s="93" t="str">
        <f>TEXT(tblProjectlist[[#This Row],[project-no]],"0")</f>
        <v>0</v>
      </c>
      <c r="H2139" s="91">
        <v>7620</v>
      </c>
      <c r="I2139" s="91">
        <v>3</v>
      </c>
      <c r="J2139" s="91">
        <v>2</v>
      </c>
      <c r="K2139" s="91"/>
      <c r="L2139" s="91" t="s">
        <v>2175</v>
      </c>
      <c r="M2139" s="91" t="s">
        <v>4</v>
      </c>
      <c r="Q2139" s="91"/>
      <c r="S2139" s="91" t="s">
        <v>143</v>
      </c>
      <c r="T2139" s="91" t="s">
        <v>3943</v>
      </c>
      <c r="V2139" s="91" t="s">
        <v>155</v>
      </c>
      <c r="W2139" s="91" t="s">
        <v>180</v>
      </c>
    </row>
    <row r="2140" spans="1:23">
      <c r="A2140" s="93" t="str">
        <f>TEXT(tblProjectlist[[#This Row],[project-no]],"0")</f>
        <v>0</v>
      </c>
      <c r="H2140" s="91">
        <v>3184</v>
      </c>
      <c r="I2140" s="91">
        <v>2</v>
      </c>
      <c r="J2140" s="91">
        <v>2</v>
      </c>
      <c r="K2140" s="91"/>
      <c r="L2140" s="91" t="s">
        <v>2175</v>
      </c>
      <c r="M2140" s="91" t="s">
        <v>4</v>
      </c>
      <c r="Q2140" s="91"/>
      <c r="S2140" s="91" t="s">
        <v>143</v>
      </c>
      <c r="T2140" s="91" t="s">
        <v>4633</v>
      </c>
      <c r="V2140" s="91" t="s">
        <v>155</v>
      </c>
      <c r="W2140" s="91" t="s">
        <v>180</v>
      </c>
    </row>
    <row r="2141" spans="1:23">
      <c r="A2141" s="93" t="str">
        <f>TEXT(tblProjectlist[[#This Row],[project-no]],"0")</f>
        <v>0</v>
      </c>
      <c r="H2141" s="91">
        <v>1282</v>
      </c>
      <c r="I2141" s="91">
        <v>12</v>
      </c>
      <c r="J2141" s="91">
        <v>2</v>
      </c>
      <c r="K2141" s="91"/>
      <c r="L2141" s="91" t="s">
        <v>2175</v>
      </c>
      <c r="M2141" s="91" t="s">
        <v>4</v>
      </c>
      <c r="Q2141" s="91"/>
      <c r="S2141" s="91" t="s">
        <v>143</v>
      </c>
      <c r="T2141" s="91" t="s">
        <v>4066</v>
      </c>
      <c r="V2141" s="91" t="s">
        <v>155</v>
      </c>
      <c r="W2141" s="91" t="s">
        <v>180</v>
      </c>
    </row>
    <row r="2142" spans="1:23">
      <c r="A2142" s="93" t="str">
        <f>TEXT(tblProjectlist[[#This Row],[project-no]],"0")</f>
        <v>0</v>
      </c>
      <c r="H2142" s="91">
        <v>3171</v>
      </c>
      <c r="I2142" s="91">
        <v>2</v>
      </c>
      <c r="J2142" s="91">
        <v>2</v>
      </c>
      <c r="K2142" s="91"/>
      <c r="L2142" s="91" t="s">
        <v>2175</v>
      </c>
      <c r="M2142" s="91" t="s">
        <v>4</v>
      </c>
      <c r="Q2142" s="91"/>
      <c r="S2142" s="91" t="s">
        <v>143</v>
      </c>
      <c r="T2142" s="91" t="s">
        <v>4343</v>
      </c>
      <c r="V2142" s="91" t="s">
        <v>155</v>
      </c>
      <c r="W2142" s="91" t="s">
        <v>180</v>
      </c>
    </row>
    <row r="2143" spans="1:23">
      <c r="A2143" s="93" t="str">
        <f>TEXT(tblProjectlist[[#This Row],[project-no]],"0")</f>
        <v>0</v>
      </c>
      <c r="H2143" s="91">
        <v>3048</v>
      </c>
      <c r="I2143" s="91">
        <v>7</v>
      </c>
      <c r="J2143" s="91">
        <v>2</v>
      </c>
      <c r="K2143" s="91"/>
      <c r="L2143" s="91" t="s">
        <v>2175</v>
      </c>
      <c r="M2143" s="91" t="s">
        <v>4</v>
      </c>
      <c r="Q2143" s="91"/>
      <c r="S2143" s="91" t="s">
        <v>143</v>
      </c>
      <c r="T2143" s="91" t="s">
        <v>4399</v>
      </c>
      <c r="V2143" s="91" t="s">
        <v>155</v>
      </c>
      <c r="W2143" s="91" t="s">
        <v>180</v>
      </c>
    </row>
    <row r="2144" spans="1:23">
      <c r="A2144" s="93" t="str">
        <f>TEXT(tblProjectlist[[#This Row],[project-no]],"0")</f>
        <v>0</v>
      </c>
      <c r="H2144" s="91">
        <v>3048</v>
      </c>
      <c r="I2144" s="91">
        <v>8</v>
      </c>
      <c r="J2144" s="91">
        <v>2</v>
      </c>
      <c r="K2144" s="91"/>
      <c r="L2144" s="91" t="s">
        <v>2175</v>
      </c>
      <c r="M2144" s="91" t="s">
        <v>4</v>
      </c>
      <c r="Q2144" s="91"/>
      <c r="S2144" s="91" t="s">
        <v>143</v>
      </c>
      <c r="T2144" s="91" t="s">
        <v>4736</v>
      </c>
      <c r="V2144" s="91" t="s">
        <v>155</v>
      </c>
      <c r="W2144" s="91" t="s">
        <v>180</v>
      </c>
    </row>
    <row r="2145" spans="1:23">
      <c r="A2145" s="93" t="str">
        <f>TEXT(tblProjectlist[[#This Row],[project-no]],"0")</f>
        <v>29270928</v>
      </c>
      <c r="H2145" s="91">
        <v>2927</v>
      </c>
      <c r="I2145" s="91">
        <v>9</v>
      </c>
      <c r="J2145" s="91">
        <v>2</v>
      </c>
      <c r="K2145" s="91" t="s">
        <v>615</v>
      </c>
      <c r="L2145" s="91" t="s">
        <v>2175</v>
      </c>
      <c r="M2145" s="91" t="s">
        <v>4</v>
      </c>
      <c r="Q2145" s="91"/>
      <c r="S2145" s="91" t="s">
        <v>143</v>
      </c>
      <c r="T2145" s="91" t="s">
        <v>2525</v>
      </c>
      <c r="V2145" s="91" t="s">
        <v>155</v>
      </c>
      <c r="W2145" s="91" t="s">
        <v>180</v>
      </c>
    </row>
    <row r="2146" spans="1:23">
      <c r="A2146" s="93" t="str">
        <f>TEXT(tblProjectlist[[#This Row],[project-no]],"0")</f>
        <v>0</v>
      </c>
      <c r="H2146" s="91">
        <v>2927</v>
      </c>
      <c r="I2146" s="91">
        <v>10</v>
      </c>
      <c r="J2146" s="91">
        <v>1</v>
      </c>
      <c r="K2146" s="91"/>
      <c r="L2146" s="91" t="s">
        <v>2175</v>
      </c>
      <c r="M2146" s="91" t="s">
        <v>0</v>
      </c>
      <c r="Q2146" s="91"/>
      <c r="S2146" s="91" t="s">
        <v>143</v>
      </c>
      <c r="T2146" s="91" t="s">
        <v>4060</v>
      </c>
      <c r="V2146" s="91" t="s">
        <v>169</v>
      </c>
      <c r="W2146" s="91" t="s">
        <v>180</v>
      </c>
    </row>
    <row r="2147" spans="1:23">
      <c r="A2147" s="93" t="str">
        <f>TEXT(tblProjectlist[[#This Row],[project-no]],"0")</f>
        <v>0</v>
      </c>
      <c r="H2147" s="91">
        <v>2927</v>
      </c>
      <c r="I2147" s="91">
        <v>10</v>
      </c>
      <c r="J2147" s="91">
        <v>1</v>
      </c>
      <c r="K2147" s="91"/>
      <c r="L2147" s="91" t="s">
        <v>2175</v>
      </c>
      <c r="M2147" s="91" t="s">
        <v>0</v>
      </c>
      <c r="Q2147" s="91"/>
      <c r="S2147" s="91" t="s">
        <v>143</v>
      </c>
      <c r="T2147" s="91" t="s">
        <v>4060</v>
      </c>
      <c r="V2147" s="91" t="s">
        <v>168</v>
      </c>
      <c r="W2147" s="91" t="s">
        <v>180</v>
      </c>
    </row>
    <row r="2148" spans="1:23">
      <c r="A2148" s="93" t="str">
        <f>TEXT(tblProjectlist[[#This Row],[project-no]],"0")</f>
        <v>0</v>
      </c>
      <c r="H2148" s="91">
        <v>2927</v>
      </c>
      <c r="I2148" s="91">
        <v>10</v>
      </c>
      <c r="J2148" s="91">
        <v>1</v>
      </c>
      <c r="K2148" s="91"/>
      <c r="L2148" s="91" t="s">
        <v>2175</v>
      </c>
      <c r="M2148" s="91" t="s">
        <v>0</v>
      </c>
      <c r="Q2148" s="91"/>
      <c r="S2148" s="91" t="s">
        <v>143</v>
      </c>
      <c r="T2148" s="91" t="s">
        <v>4060</v>
      </c>
      <c r="V2148" s="91" t="s">
        <v>167</v>
      </c>
      <c r="W2148" s="91" t="s">
        <v>180</v>
      </c>
    </row>
    <row r="2149" spans="1:23">
      <c r="A2149" s="93" t="str">
        <f>TEXT(tblProjectlist[[#This Row],[project-no]],"0")</f>
        <v>13710628</v>
      </c>
      <c r="H2149" s="91">
        <v>1371</v>
      </c>
      <c r="I2149" s="91">
        <v>6</v>
      </c>
      <c r="J2149" s="91">
        <v>2</v>
      </c>
      <c r="K2149" s="91" t="s">
        <v>309</v>
      </c>
      <c r="L2149" s="91" t="s">
        <v>197</v>
      </c>
      <c r="M2149" s="91" t="s">
        <v>4</v>
      </c>
      <c r="Q2149" s="91"/>
      <c r="S2149" s="91" t="s">
        <v>143</v>
      </c>
      <c r="T2149" s="91" t="s">
        <v>2296</v>
      </c>
      <c r="V2149" s="91" t="s">
        <v>155</v>
      </c>
      <c r="W2149" s="91" t="s">
        <v>180</v>
      </c>
    </row>
    <row r="2150" spans="1:23">
      <c r="A2150" s="93" t="str">
        <f>TEXT(tblProjectlist[[#This Row],[project-no]],"0")</f>
        <v>13710928</v>
      </c>
      <c r="H2150" s="91">
        <v>1371</v>
      </c>
      <c r="I2150" s="91">
        <v>9</v>
      </c>
      <c r="J2150" s="91">
        <v>2</v>
      </c>
      <c r="K2150" s="91" t="s">
        <v>310</v>
      </c>
      <c r="L2150" s="91" t="s">
        <v>197</v>
      </c>
      <c r="M2150" s="91" t="s">
        <v>4</v>
      </c>
      <c r="Q2150" s="91"/>
      <c r="S2150" s="91" t="s">
        <v>143</v>
      </c>
      <c r="T2150" s="91" t="s">
        <v>2297</v>
      </c>
      <c r="V2150" s="91" t="s">
        <v>155</v>
      </c>
      <c r="W2150" s="91" t="s">
        <v>180</v>
      </c>
    </row>
    <row r="2151" spans="1:23">
      <c r="A2151" s="93" t="str">
        <f>TEXT(tblProjectlist[[#This Row],[project-no]],"0")</f>
        <v>30800226</v>
      </c>
      <c r="H2151" s="91">
        <v>3080</v>
      </c>
      <c r="I2151" s="91">
        <v>2</v>
      </c>
      <c r="J2151" s="91">
        <v>2</v>
      </c>
      <c r="K2151" s="91" t="s">
        <v>695</v>
      </c>
      <c r="L2151" s="91" t="s">
        <v>197</v>
      </c>
      <c r="M2151" s="91" t="s">
        <v>4</v>
      </c>
      <c r="Q2151" s="91"/>
      <c r="S2151" s="91" t="s">
        <v>143</v>
      </c>
      <c r="T2151" s="91" t="s">
        <v>2595</v>
      </c>
      <c r="W2151" s="91" t="s">
        <v>180</v>
      </c>
    </row>
    <row r="2152" spans="1:23">
      <c r="A2152" s="93" t="str">
        <f>TEXT(tblProjectlist[[#This Row],[project-no]],"0")</f>
        <v>70410228</v>
      </c>
      <c r="H2152" s="91">
        <v>7041</v>
      </c>
      <c r="I2152" s="91">
        <v>2</v>
      </c>
      <c r="J2152" s="91">
        <v>2</v>
      </c>
      <c r="K2152" s="91" t="s">
        <v>953</v>
      </c>
      <c r="L2152" s="91" t="s">
        <v>2175</v>
      </c>
      <c r="M2152" s="91" t="s">
        <v>4</v>
      </c>
      <c r="Q2152" s="91"/>
      <c r="S2152" s="91" t="s">
        <v>143</v>
      </c>
      <c r="T2152" s="91" t="s">
        <v>2825</v>
      </c>
      <c r="V2152" s="91" t="s">
        <v>155</v>
      </c>
      <c r="W2152" s="91" t="s">
        <v>180</v>
      </c>
    </row>
    <row r="2153" spans="1:23">
      <c r="A2153" s="93" t="str">
        <f>TEXT(tblProjectlist[[#This Row],[project-no]],"0")</f>
        <v>0</v>
      </c>
      <c r="H2153" s="91">
        <v>8808</v>
      </c>
      <c r="I2153" s="91">
        <v>2</v>
      </c>
      <c r="J2153" s="91">
        <v>4</v>
      </c>
      <c r="K2153" s="91"/>
      <c r="L2153" s="91" t="s">
        <v>58</v>
      </c>
      <c r="M2153" s="91" t="s">
        <v>1</v>
      </c>
      <c r="Q2153" s="91"/>
      <c r="S2153" s="91" t="s">
        <v>143</v>
      </c>
      <c r="T2153" s="91" t="s">
        <v>3879</v>
      </c>
      <c r="W2153" s="91" t="s">
        <v>180</v>
      </c>
    </row>
    <row r="2154" spans="1:23">
      <c r="A2154" s="93" t="str">
        <f>TEXT(tblProjectlist[[#This Row],[project-no]],"0")</f>
        <v>0</v>
      </c>
      <c r="H2154" s="91">
        <v>3153</v>
      </c>
      <c r="I2154" s="91">
        <v>2</v>
      </c>
      <c r="J2154" s="91">
        <v>2</v>
      </c>
      <c r="K2154" s="91"/>
      <c r="L2154" s="91" t="s">
        <v>2175</v>
      </c>
      <c r="M2154" s="91" t="s">
        <v>4</v>
      </c>
      <c r="Q2154" s="91"/>
      <c r="S2154" s="91" t="s">
        <v>143</v>
      </c>
      <c r="T2154" s="91" t="s">
        <v>3854</v>
      </c>
      <c r="V2154" s="91" t="s">
        <v>155</v>
      </c>
      <c r="W2154" s="91" t="s">
        <v>180</v>
      </c>
    </row>
    <row r="2155" spans="1:23">
      <c r="A2155" s="93" t="str">
        <f>TEXT(tblProjectlist[[#This Row],[project-no]],"0")</f>
        <v>0</v>
      </c>
      <c r="H2155" s="91">
        <v>3170</v>
      </c>
      <c r="I2155" s="91">
        <v>2</v>
      </c>
      <c r="J2155" s="91">
        <v>2</v>
      </c>
      <c r="K2155" s="91"/>
      <c r="L2155" s="91" t="s">
        <v>2175</v>
      </c>
      <c r="M2155" s="91" t="s">
        <v>4</v>
      </c>
      <c r="Q2155" s="91"/>
      <c r="S2155" s="91" t="s">
        <v>143</v>
      </c>
      <c r="T2155" s="91" t="s">
        <v>4230</v>
      </c>
      <c r="V2155" s="91" t="s">
        <v>155</v>
      </c>
      <c r="W2155" s="91" t="s">
        <v>180</v>
      </c>
    </row>
    <row r="2156" spans="1:23">
      <c r="A2156" s="93" t="str">
        <f>TEXT(tblProjectlist[[#This Row],[project-no]],"0")</f>
        <v>0</v>
      </c>
      <c r="H2156" s="91">
        <v>7664</v>
      </c>
      <c r="I2156" s="91">
        <v>2</v>
      </c>
      <c r="J2156" s="91">
        <v>2</v>
      </c>
      <c r="K2156" s="91"/>
      <c r="L2156" s="91" t="s">
        <v>2175</v>
      </c>
      <c r="M2156" s="91" t="s">
        <v>4</v>
      </c>
      <c r="Q2156" s="91"/>
      <c r="S2156" s="91" t="s">
        <v>143</v>
      </c>
      <c r="T2156" s="91" t="s">
        <v>3891</v>
      </c>
      <c r="V2156" s="91" t="s">
        <v>155</v>
      </c>
      <c r="W2156" s="91" t="s">
        <v>180</v>
      </c>
    </row>
    <row r="2157" spans="1:23">
      <c r="A2157" s="93" t="str">
        <f>TEXT(tblProjectlist[[#This Row],[project-no]],"0")</f>
        <v>0</v>
      </c>
      <c r="H2157" s="91">
        <v>7631</v>
      </c>
      <c r="I2157" s="91">
        <v>6</v>
      </c>
      <c r="J2157" s="91">
        <v>2</v>
      </c>
      <c r="K2157" s="91"/>
      <c r="L2157" s="91" t="s">
        <v>2175</v>
      </c>
      <c r="M2157" s="91" t="s">
        <v>4</v>
      </c>
      <c r="Q2157" s="91"/>
      <c r="S2157" s="91" t="s">
        <v>143</v>
      </c>
      <c r="T2157" s="91" t="s">
        <v>4652</v>
      </c>
      <c r="V2157" s="91" t="s">
        <v>155</v>
      </c>
      <c r="W2157" s="91" t="s">
        <v>180</v>
      </c>
    </row>
    <row r="2158" spans="1:23">
      <c r="A2158" s="93" t="str">
        <f>TEXT(tblProjectlist[[#This Row],[project-no]],"0")</f>
        <v>61020226</v>
      </c>
      <c r="H2158" s="91">
        <v>6102</v>
      </c>
      <c r="I2158" s="91">
        <v>2</v>
      </c>
      <c r="J2158" s="91">
        <v>2</v>
      </c>
      <c r="K2158" s="91" t="s">
        <v>835</v>
      </c>
      <c r="L2158" s="91" t="s">
        <v>197</v>
      </c>
      <c r="M2158" s="91" t="s">
        <v>4</v>
      </c>
      <c r="Q2158" s="91"/>
      <c r="S2158" s="91" t="s">
        <v>143</v>
      </c>
      <c r="T2158" s="91" t="s">
        <v>2718</v>
      </c>
      <c r="W2158" s="91" t="s">
        <v>180</v>
      </c>
    </row>
    <row r="2159" spans="1:23">
      <c r="A2159" s="93" t="str">
        <f>TEXT(tblProjectlist[[#This Row],[project-no]],"0")</f>
        <v>20320228</v>
      </c>
      <c r="H2159" s="91">
        <v>2032</v>
      </c>
      <c r="I2159" s="91">
        <v>2</v>
      </c>
      <c r="J2159" s="91">
        <v>2</v>
      </c>
      <c r="K2159" s="91" t="s">
        <v>479</v>
      </c>
      <c r="L2159" s="91" t="s">
        <v>2175</v>
      </c>
      <c r="M2159" s="91" t="s">
        <v>4</v>
      </c>
      <c r="Q2159" s="91"/>
      <c r="S2159" s="91" t="s">
        <v>143</v>
      </c>
      <c r="T2159" s="91" t="s">
        <v>2423</v>
      </c>
      <c r="V2159" s="91" t="s">
        <v>155</v>
      </c>
      <c r="W2159" s="91" t="s">
        <v>180</v>
      </c>
    </row>
    <row r="2160" spans="1:23">
      <c r="A2160" s="93" t="str">
        <f>TEXT(tblProjectlist[[#This Row],[project-no]],"0")</f>
        <v>99966628</v>
      </c>
      <c r="H2160" s="91">
        <v>2032</v>
      </c>
      <c r="I2160" s="91">
        <v>2</v>
      </c>
      <c r="J2160" s="91">
        <v>2</v>
      </c>
      <c r="K2160" s="91" t="s">
        <v>1783</v>
      </c>
      <c r="L2160" s="91" t="s">
        <v>2175</v>
      </c>
      <c r="M2160" s="91" t="s">
        <v>4</v>
      </c>
      <c r="Q2160" s="91"/>
      <c r="S2160" s="91" t="s">
        <v>143</v>
      </c>
      <c r="T2160" s="91" t="s">
        <v>2423</v>
      </c>
      <c r="W2160" s="91" t="s">
        <v>180</v>
      </c>
    </row>
    <row r="2161" spans="1:23">
      <c r="A2161" s="93" t="str">
        <f>TEXT(tblProjectlist[[#This Row],[project-no]],"0")</f>
        <v>0</v>
      </c>
      <c r="H2161" s="91">
        <v>3043</v>
      </c>
      <c r="I2161" s="91">
        <v>3</v>
      </c>
      <c r="J2161" s="91">
        <v>2</v>
      </c>
      <c r="K2161" s="91"/>
      <c r="L2161" s="91" t="s">
        <v>2175</v>
      </c>
      <c r="M2161" s="91" t="s">
        <v>4</v>
      </c>
      <c r="Q2161" s="91"/>
      <c r="S2161" s="91" t="s">
        <v>143</v>
      </c>
      <c r="T2161" s="91" t="s">
        <v>3852</v>
      </c>
      <c r="V2161" s="91" t="s">
        <v>155</v>
      </c>
      <c r="W2161" s="91" t="s">
        <v>180</v>
      </c>
    </row>
    <row r="2162" spans="1:23">
      <c r="A2162" s="93" t="str">
        <f>TEXT(tblProjectlist[[#This Row],[project-no]],"0")</f>
        <v>30430228</v>
      </c>
      <c r="H2162" s="91">
        <v>3043</v>
      </c>
      <c r="I2162" s="91">
        <v>2</v>
      </c>
      <c r="J2162" s="91">
        <v>2</v>
      </c>
      <c r="K2162" s="91" t="s">
        <v>654</v>
      </c>
      <c r="L2162" s="91" t="s">
        <v>2175</v>
      </c>
      <c r="M2162" s="91" t="s">
        <v>4</v>
      </c>
      <c r="Q2162" s="91"/>
      <c r="S2162" s="91" t="s">
        <v>143</v>
      </c>
      <c r="T2162" s="91" t="s">
        <v>2558</v>
      </c>
      <c r="V2162" s="91" t="s">
        <v>155</v>
      </c>
      <c r="W2162" s="91" t="s">
        <v>180</v>
      </c>
    </row>
    <row r="2163" spans="1:23">
      <c r="A2163" s="93" t="str">
        <f>TEXT(tblProjectlist[[#This Row],[project-no]],"0")</f>
        <v>70440228</v>
      </c>
      <c r="H2163" s="91">
        <v>7044</v>
      </c>
      <c r="I2163" s="91">
        <v>2</v>
      </c>
      <c r="J2163" s="91">
        <v>2</v>
      </c>
      <c r="K2163" s="91" t="s">
        <v>957</v>
      </c>
      <c r="L2163" s="91" t="s">
        <v>2175</v>
      </c>
      <c r="M2163" s="91" t="s">
        <v>4</v>
      </c>
      <c r="Q2163" s="91"/>
      <c r="S2163" s="91" t="s">
        <v>143</v>
      </c>
      <c r="T2163" s="91" t="s">
        <v>2829</v>
      </c>
      <c r="V2163" s="91" t="s">
        <v>155</v>
      </c>
      <c r="W2163" s="91" t="s">
        <v>180</v>
      </c>
    </row>
    <row r="2164" spans="1:23">
      <c r="A2164" s="93" t="str">
        <f>TEXT(tblProjectlist[[#This Row],[project-no]],"0")</f>
        <v>0</v>
      </c>
      <c r="H2164" s="91">
        <v>6139</v>
      </c>
      <c r="I2164" s="91">
        <v>2</v>
      </c>
      <c r="J2164" s="91">
        <v>2</v>
      </c>
      <c r="K2164" s="91"/>
      <c r="L2164" s="91" t="s">
        <v>64</v>
      </c>
      <c r="M2164" s="91" t="s">
        <v>4</v>
      </c>
      <c r="Q2164" s="91"/>
      <c r="S2164" s="91" t="s">
        <v>143</v>
      </c>
      <c r="T2164" s="91" t="s">
        <v>4481</v>
      </c>
      <c r="V2164" s="91" t="s">
        <v>155</v>
      </c>
      <c r="W2164" s="91" t="s">
        <v>180</v>
      </c>
    </row>
    <row r="2165" spans="1:23">
      <c r="A2165" s="93" t="str">
        <f>TEXT(tblProjectlist[[#This Row],[project-no]],"0")</f>
        <v>76450216</v>
      </c>
      <c r="H2165" s="91">
        <v>7645</v>
      </c>
      <c r="I2165" s="91">
        <v>2</v>
      </c>
      <c r="J2165" s="91">
        <v>1</v>
      </c>
      <c r="K2165" s="91" t="s">
        <v>1077</v>
      </c>
      <c r="L2165" s="91" t="s">
        <v>62</v>
      </c>
      <c r="M2165" s="91" t="s">
        <v>0</v>
      </c>
      <c r="Q2165" s="91"/>
      <c r="S2165" s="91" t="s">
        <v>143</v>
      </c>
      <c r="T2165" s="91" t="s">
        <v>2943</v>
      </c>
      <c r="V2165" s="91" t="s">
        <v>168</v>
      </c>
      <c r="W2165" s="91" t="s">
        <v>180</v>
      </c>
    </row>
    <row r="2166" spans="1:23">
      <c r="A2166" s="93" t="str">
        <f>TEXT(tblProjectlist[[#This Row],[project-no]],"0")</f>
        <v>0</v>
      </c>
      <c r="H2166" s="91">
        <v>7657</v>
      </c>
      <c r="I2166" s="91">
        <v>2</v>
      </c>
      <c r="J2166" s="91">
        <v>2</v>
      </c>
      <c r="K2166" s="91"/>
      <c r="L2166" s="91" t="s">
        <v>2175</v>
      </c>
      <c r="M2166" s="91" t="s">
        <v>4</v>
      </c>
      <c r="Q2166" s="91"/>
      <c r="S2166" s="91" t="s">
        <v>143</v>
      </c>
      <c r="T2166" s="91" t="s">
        <v>4349</v>
      </c>
      <c r="V2166" s="91" t="s">
        <v>155</v>
      </c>
      <c r="W2166" s="91" t="s">
        <v>180</v>
      </c>
    </row>
    <row r="2167" spans="1:23">
      <c r="A2167" s="93" t="str">
        <f>TEXT(tblProjectlist[[#This Row],[project-no]],"0")</f>
        <v>0</v>
      </c>
      <c r="H2167" s="91">
        <v>7569</v>
      </c>
      <c r="I2167" s="91">
        <v>4</v>
      </c>
      <c r="J2167" s="91">
        <v>2</v>
      </c>
      <c r="K2167" s="91"/>
      <c r="L2167" s="91" t="s">
        <v>2175</v>
      </c>
      <c r="M2167" s="91" t="s">
        <v>4</v>
      </c>
      <c r="Q2167" s="91"/>
      <c r="S2167" s="91" t="s">
        <v>143</v>
      </c>
      <c r="T2167" s="91" t="s">
        <v>3817</v>
      </c>
      <c r="V2167" s="91" t="s">
        <v>155</v>
      </c>
      <c r="W2167" s="91" t="s">
        <v>180</v>
      </c>
    </row>
    <row r="2168" spans="1:23">
      <c r="A2168" s="93" t="str">
        <f>TEXT(tblProjectlist[[#This Row],[project-no]],"0")</f>
        <v>64240428</v>
      </c>
      <c r="H2168" s="91">
        <v>6424</v>
      </c>
      <c r="I2168" s="91">
        <v>4</v>
      </c>
      <c r="J2168" s="91">
        <v>2</v>
      </c>
      <c r="K2168" s="91" t="s">
        <v>855</v>
      </c>
      <c r="L2168" s="91" t="s">
        <v>2175</v>
      </c>
      <c r="M2168" s="91" t="s">
        <v>4</v>
      </c>
      <c r="Q2168" s="91"/>
      <c r="S2168" s="91" t="s">
        <v>143</v>
      </c>
      <c r="T2168" s="91" t="s">
        <v>2737</v>
      </c>
      <c r="V2168" s="91" t="s">
        <v>155</v>
      </c>
      <c r="W2168" s="91" t="s">
        <v>180</v>
      </c>
    </row>
    <row r="2169" spans="1:23">
      <c r="A2169" s="93" t="str">
        <f>TEXT(tblProjectlist[[#This Row],[project-no]],"0")</f>
        <v>0</v>
      </c>
      <c r="H2169" s="91">
        <v>6127</v>
      </c>
      <c r="I2169" s="91">
        <v>2</v>
      </c>
      <c r="J2169" s="91">
        <v>2</v>
      </c>
      <c r="K2169" s="91"/>
      <c r="L2169" s="91" t="s">
        <v>64</v>
      </c>
      <c r="M2169" s="91" t="s">
        <v>4</v>
      </c>
      <c r="Q2169" s="91"/>
      <c r="S2169" s="91" t="s">
        <v>143</v>
      </c>
      <c r="T2169" s="91" t="s">
        <v>4135</v>
      </c>
      <c r="V2169" s="91" t="s">
        <v>155</v>
      </c>
      <c r="W2169" s="91" t="s">
        <v>180</v>
      </c>
    </row>
    <row r="2170" spans="1:23">
      <c r="A2170" s="93" t="str">
        <f>TEXT(tblProjectlist[[#This Row],[project-no]],"0")</f>
        <v>0</v>
      </c>
      <c r="H2170" s="91">
        <v>6127</v>
      </c>
      <c r="I2170" s="91">
        <v>3</v>
      </c>
      <c r="J2170" s="91">
        <v>2</v>
      </c>
      <c r="K2170" s="91"/>
      <c r="L2170" s="91" t="s">
        <v>197</v>
      </c>
      <c r="M2170" s="91" t="s">
        <v>4</v>
      </c>
      <c r="Q2170" s="91"/>
      <c r="S2170" s="91" t="s">
        <v>143</v>
      </c>
      <c r="T2170" s="91" t="s">
        <v>4640</v>
      </c>
      <c r="V2170" s="91" t="s">
        <v>155</v>
      </c>
      <c r="W2170" s="91" t="s">
        <v>180</v>
      </c>
    </row>
    <row r="2171" spans="1:23">
      <c r="A2171" s="93" t="str">
        <f>TEXT(tblProjectlist[[#This Row],[project-no]],"0")</f>
        <v>70140228</v>
      </c>
      <c r="H2171" s="91">
        <v>7014</v>
      </c>
      <c r="I2171" s="91">
        <v>2</v>
      </c>
      <c r="J2171" s="91">
        <v>2</v>
      </c>
      <c r="K2171" s="91" t="s">
        <v>933</v>
      </c>
      <c r="L2171" s="91" t="s">
        <v>2175</v>
      </c>
      <c r="M2171" s="91" t="s">
        <v>4</v>
      </c>
      <c r="Q2171" s="91"/>
      <c r="S2171" s="91" t="s">
        <v>143</v>
      </c>
      <c r="T2171" s="91" t="s">
        <v>2806</v>
      </c>
      <c r="V2171" s="91" t="s">
        <v>155</v>
      </c>
      <c r="W2171" s="91" t="s">
        <v>180</v>
      </c>
    </row>
    <row r="2172" spans="1:23">
      <c r="A2172" s="93" t="str">
        <f>TEXT(tblProjectlist[[#This Row],[project-no]],"0")</f>
        <v>99965028</v>
      </c>
      <c r="H2172" s="91">
        <v>7014</v>
      </c>
      <c r="I2172" s="91">
        <v>2</v>
      </c>
      <c r="J2172" s="91">
        <v>2</v>
      </c>
      <c r="K2172" s="91" t="s">
        <v>1768</v>
      </c>
      <c r="L2172" s="91" t="s">
        <v>2175</v>
      </c>
      <c r="M2172" s="91" t="s">
        <v>4</v>
      </c>
      <c r="Q2172" s="91"/>
      <c r="S2172" s="91" t="s">
        <v>143</v>
      </c>
      <c r="T2172" s="91" t="s">
        <v>2806</v>
      </c>
      <c r="W2172" s="91" t="s">
        <v>180</v>
      </c>
    </row>
    <row r="2173" spans="1:23">
      <c r="A2173" s="93" t="str">
        <f>TEXT(tblProjectlist[[#This Row],[project-no]],"0")</f>
        <v>0</v>
      </c>
      <c r="H2173" s="91">
        <v>6312</v>
      </c>
      <c r="I2173" s="91">
        <v>2</v>
      </c>
      <c r="J2173" s="91">
        <v>2</v>
      </c>
      <c r="K2173" s="91"/>
      <c r="L2173" s="91" t="s">
        <v>2175</v>
      </c>
      <c r="M2173" s="91" t="s">
        <v>4</v>
      </c>
      <c r="Q2173" s="91"/>
      <c r="S2173" s="91" t="s">
        <v>143</v>
      </c>
      <c r="T2173" s="91" t="s">
        <v>4580</v>
      </c>
      <c r="V2173" s="91" t="s">
        <v>155</v>
      </c>
      <c r="W2173" s="91" t="s">
        <v>180</v>
      </c>
    </row>
    <row r="2174" spans="1:23">
      <c r="A2174" s="93" t="str">
        <f>TEXT(tblProjectlist[[#This Row],[project-no]],"0")</f>
        <v>0</v>
      </c>
      <c r="H2174" s="91">
        <v>6312</v>
      </c>
      <c r="I2174" s="91">
        <v>3</v>
      </c>
      <c r="J2174" s="91">
        <v>2</v>
      </c>
      <c r="K2174" s="91"/>
      <c r="L2174" s="91" t="s">
        <v>2175</v>
      </c>
      <c r="M2174" s="91" t="s">
        <v>4</v>
      </c>
      <c r="Q2174" s="91"/>
      <c r="S2174" s="91" t="s">
        <v>143</v>
      </c>
      <c r="T2174" s="91" t="s">
        <v>4581</v>
      </c>
      <c r="V2174" s="91" t="s">
        <v>155</v>
      </c>
      <c r="W2174" s="91" t="s">
        <v>180</v>
      </c>
    </row>
    <row r="2175" spans="1:23">
      <c r="A2175" s="93" t="str">
        <f>TEXT(tblProjectlist[[#This Row],[project-no]],"0")</f>
        <v>0</v>
      </c>
      <c r="H2175" s="91">
        <v>6312</v>
      </c>
      <c r="I2175" s="91">
        <v>4</v>
      </c>
      <c r="J2175" s="91">
        <v>2</v>
      </c>
      <c r="K2175" s="91"/>
      <c r="L2175" s="91" t="s">
        <v>2175</v>
      </c>
      <c r="M2175" s="91" t="s">
        <v>4</v>
      </c>
      <c r="Q2175" s="91"/>
      <c r="S2175" s="91" t="s">
        <v>143</v>
      </c>
      <c r="T2175" s="91" t="s">
        <v>4582</v>
      </c>
      <c r="V2175" s="91" t="s">
        <v>155</v>
      </c>
      <c r="W2175" s="91" t="s">
        <v>180</v>
      </c>
    </row>
    <row r="2176" spans="1:23">
      <c r="A2176" s="93" t="str">
        <f>TEXT(tblProjectlist[[#This Row],[project-no]],"0")</f>
        <v>75180328</v>
      </c>
      <c r="H2176" s="91">
        <v>7518</v>
      </c>
      <c r="I2176" s="91">
        <v>3</v>
      </c>
      <c r="J2176" s="91">
        <v>2</v>
      </c>
      <c r="K2176" s="91" t="s">
        <v>999</v>
      </c>
      <c r="L2176" s="91" t="s">
        <v>2175</v>
      </c>
      <c r="M2176" s="91" t="s">
        <v>4</v>
      </c>
      <c r="Q2176" s="91"/>
      <c r="S2176" s="91" t="s">
        <v>143</v>
      </c>
      <c r="T2176" s="91" t="s">
        <v>2868</v>
      </c>
      <c r="V2176" s="91" t="s">
        <v>155</v>
      </c>
      <c r="W2176" s="91" t="s">
        <v>180</v>
      </c>
    </row>
    <row r="2177" spans="1:23">
      <c r="A2177" s="93" t="str">
        <f>TEXT(tblProjectlist[[#This Row],[project-no]],"0")</f>
        <v>0</v>
      </c>
      <c r="H2177" s="91">
        <v>1995</v>
      </c>
      <c r="I2177" s="91">
        <v>13</v>
      </c>
      <c r="J2177" s="91">
        <v>2</v>
      </c>
      <c r="K2177" s="91"/>
      <c r="L2177" s="91" t="s">
        <v>2175</v>
      </c>
      <c r="M2177" s="91" t="s">
        <v>4</v>
      </c>
      <c r="Q2177" s="91"/>
      <c r="S2177" s="91" t="s">
        <v>143</v>
      </c>
      <c r="T2177" s="91" t="s">
        <v>4261</v>
      </c>
      <c r="V2177" s="91" t="s">
        <v>155</v>
      </c>
      <c r="W2177" s="91" t="s">
        <v>180</v>
      </c>
    </row>
    <row r="2178" spans="1:23">
      <c r="A2178" s="93" t="str">
        <f>TEXT(tblProjectlist[[#This Row],[project-no]],"0")</f>
        <v>0</v>
      </c>
      <c r="H2178" s="91">
        <v>1995</v>
      </c>
      <c r="I2178" s="91">
        <v>14</v>
      </c>
      <c r="J2178" s="91">
        <v>2</v>
      </c>
      <c r="K2178" s="91"/>
      <c r="L2178" s="91" t="s">
        <v>2175</v>
      </c>
      <c r="M2178" s="91" t="s">
        <v>4</v>
      </c>
      <c r="Q2178" s="91"/>
      <c r="S2178" s="91" t="s">
        <v>143</v>
      </c>
      <c r="T2178" s="91" t="s">
        <v>4464</v>
      </c>
      <c r="V2178" s="91" t="s">
        <v>155</v>
      </c>
      <c r="W2178" s="91" t="s">
        <v>180</v>
      </c>
    </row>
    <row r="2179" spans="1:23">
      <c r="A2179" s="93" t="str">
        <f>TEXT(tblProjectlist[[#This Row],[project-no]],"0")</f>
        <v>19950944</v>
      </c>
      <c r="H2179" s="91">
        <v>1995</v>
      </c>
      <c r="I2179" s="91">
        <v>9</v>
      </c>
      <c r="J2179" s="91">
        <v>4</v>
      </c>
      <c r="K2179" s="91" t="s">
        <v>442</v>
      </c>
      <c r="L2179" s="91" t="s">
        <v>58</v>
      </c>
      <c r="M2179" s="91" t="s">
        <v>1</v>
      </c>
      <c r="Q2179" s="91"/>
      <c r="S2179" s="91" t="s">
        <v>143</v>
      </c>
      <c r="T2179" s="91" t="s">
        <v>2391</v>
      </c>
      <c r="W2179" s="91" t="s">
        <v>180</v>
      </c>
    </row>
    <row r="2180" spans="1:23">
      <c r="A2180" s="93" t="str">
        <f>TEXT(tblProjectlist[[#This Row],[project-no]],"0")</f>
        <v>19951011</v>
      </c>
      <c r="H2180" s="91">
        <v>1995</v>
      </c>
      <c r="I2180" s="91">
        <v>10</v>
      </c>
      <c r="J2180" s="91">
        <v>1</v>
      </c>
      <c r="K2180" s="91" t="s">
        <v>443</v>
      </c>
      <c r="L2180" s="91" t="s">
        <v>2175</v>
      </c>
      <c r="M2180" s="91" t="s">
        <v>0</v>
      </c>
      <c r="Q2180" s="91"/>
      <c r="S2180" s="91" t="s">
        <v>143</v>
      </c>
      <c r="T2180" s="91" t="s">
        <v>2392</v>
      </c>
      <c r="V2180" s="91" t="s">
        <v>169</v>
      </c>
      <c r="W2180" s="91" t="s">
        <v>180</v>
      </c>
    </row>
    <row r="2181" spans="1:23">
      <c r="A2181" s="93" t="str">
        <f>TEXT(tblProjectlist[[#This Row],[project-no]],"0")</f>
        <v>19951126</v>
      </c>
      <c r="H2181" s="91">
        <v>1995</v>
      </c>
      <c r="I2181" s="91">
        <v>11</v>
      </c>
      <c r="J2181" s="91">
        <v>2</v>
      </c>
      <c r="K2181" s="91" t="s">
        <v>444</v>
      </c>
      <c r="L2181" s="91" t="s">
        <v>2175</v>
      </c>
      <c r="M2181" s="91" t="s">
        <v>4</v>
      </c>
      <c r="Q2181" s="91"/>
      <c r="S2181" s="91" t="s">
        <v>143</v>
      </c>
      <c r="T2181" s="91" t="s">
        <v>2393</v>
      </c>
      <c r="V2181" s="91" t="s">
        <v>155</v>
      </c>
      <c r="W2181" s="91" t="s">
        <v>180</v>
      </c>
    </row>
    <row r="2182" spans="1:23">
      <c r="A2182" s="93" t="str">
        <f>TEXT(tblProjectlist[[#This Row],[project-no]],"0")</f>
        <v>19951228</v>
      </c>
      <c r="H2182" s="91">
        <v>1995</v>
      </c>
      <c r="I2182" s="91">
        <v>12</v>
      </c>
      <c r="J2182" s="91">
        <v>2</v>
      </c>
      <c r="K2182" s="91" t="s">
        <v>445</v>
      </c>
      <c r="L2182" s="91" t="s">
        <v>2175</v>
      </c>
      <c r="M2182" s="91" t="s">
        <v>4</v>
      </c>
      <c r="Q2182" s="91"/>
      <c r="S2182" s="91" t="s">
        <v>143</v>
      </c>
      <c r="T2182" s="91" t="s">
        <v>2394</v>
      </c>
      <c r="V2182" s="91" t="s">
        <v>155</v>
      </c>
      <c r="W2182" s="91" t="s">
        <v>180</v>
      </c>
    </row>
    <row r="2183" spans="1:23">
      <c r="A2183" s="93" t="str">
        <f>TEXT(tblProjectlist[[#This Row],[project-no]],"0")</f>
        <v>0</v>
      </c>
      <c r="H2183" s="91">
        <v>1995</v>
      </c>
      <c r="I2183" s="91">
        <v>1</v>
      </c>
      <c r="J2183" s="91">
        <v>2</v>
      </c>
      <c r="K2183" s="91"/>
      <c r="L2183" s="91" t="s">
        <v>2175</v>
      </c>
      <c r="M2183" s="91" t="s">
        <v>4</v>
      </c>
      <c r="Q2183" s="91"/>
      <c r="S2183" s="91" t="s">
        <v>143</v>
      </c>
      <c r="T2183" s="91" t="s">
        <v>4548</v>
      </c>
      <c r="V2183" s="91" t="s">
        <v>155</v>
      </c>
      <c r="W2183" s="91" t="s">
        <v>180</v>
      </c>
    </row>
    <row r="2184" spans="1:23">
      <c r="A2184" s="93" t="str">
        <f>TEXT(tblProjectlist[[#This Row],[project-no]],"0")</f>
        <v>0</v>
      </c>
      <c r="H2184" s="91">
        <v>3029</v>
      </c>
      <c r="I2184" s="91">
        <v>5</v>
      </c>
      <c r="J2184" s="91">
        <v>2</v>
      </c>
      <c r="K2184" s="91"/>
      <c r="L2184" s="91" t="s">
        <v>2175</v>
      </c>
      <c r="M2184" s="91" t="s">
        <v>4</v>
      </c>
      <c r="Q2184" s="91"/>
      <c r="S2184" s="91" t="s">
        <v>143</v>
      </c>
      <c r="T2184" s="91" t="s">
        <v>3917</v>
      </c>
      <c r="V2184" s="91" t="s">
        <v>155</v>
      </c>
      <c r="W2184" s="91" t="s">
        <v>180</v>
      </c>
    </row>
    <row r="2185" spans="1:23">
      <c r="A2185" s="93" t="str">
        <f>TEXT(tblProjectlist[[#This Row],[project-no]],"0")</f>
        <v>30250241</v>
      </c>
      <c r="H2185" s="91">
        <v>3025</v>
      </c>
      <c r="I2185" s="91">
        <v>2</v>
      </c>
      <c r="J2185" s="91">
        <v>4</v>
      </c>
      <c r="K2185" s="91" t="s">
        <v>629</v>
      </c>
      <c r="L2185" s="91" t="s">
        <v>58</v>
      </c>
      <c r="M2185" s="91" t="s">
        <v>1</v>
      </c>
      <c r="Q2185" s="91"/>
      <c r="S2185" s="91" t="s">
        <v>143</v>
      </c>
      <c r="T2185" s="91" t="s">
        <v>2539</v>
      </c>
      <c r="V2185" s="91" t="s">
        <v>159</v>
      </c>
      <c r="W2185" s="91" t="s">
        <v>180</v>
      </c>
    </row>
    <row r="2186" spans="1:23">
      <c r="A2186" s="93" t="str">
        <f>TEXT(tblProjectlist[[#This Row],[project-no]],"0")</f>
        <v>30250244</v>
      </c>
      <c r="H2186" s="91">
        <v>3025</v>
      </c>
      <c r="I2186" s="91">
        <v>2</v>
      </c>
      <c r="J2186" s="91">
        <v>4</v>
      </c>
      <c r="K2186" s="91" t="s">
        <v>630</v>
      </c>
      <c r="L2186" s="91" t="s">
        <v>58</v>
      </c>
      <c r="M2186" s="91" t="s">
        <v>1</v>
      </c>
      <c r="Q2186" s="91"/>
      <c r="S2186" s="91" t="s">
        <v>143</v>
      </c>
      <c r="T2186" s="91" t="s">
        <v>2539</v>
      </c>
      <c r="V2186" s="91" t="s">
        <v>160</v>
      </c>
      <c r="W2186" s="91" t="s">
        <v>180</v>
      </c>
    </row>
    <row r="2187" spans="1:23">
      <c r="A2187" s="93" t="str">
        <f>TEXT(tblProjectlist[[#This Row],[project-no]],"0")</f>
        <v>30250247</v>
      </c>
      <c r="H2187" s="91">
        <v>3025</v>
      </c>
      <c r="I2187" s="91">
        <v>2</v>
      </c>
      <c r="J2187" s="91">
        <v>4</v>
      </c>
      <c r="K2187" s="91" t="s">
        <v>631</v>
      </c>
      <c r="L2187" s="91" t="s">
        <v>58</v>
      </c>
      <c r="M2187" s="91" t="s">
        <v>1</v>
      </c>
      <c r="Q2187" s="91"/>
      <c r="S2187" s="91" t="s">
        <v>143</v>
      </c>
      <c r="T2187" s="91" t="s">
        <v>2539</v>
      </c>
      <c r="V2187" s="91" t="s">
        <v>162</v>
      </c>
      <c r="W2187" s="91" t="s">
        <v>180</v>
      </c>
    </row>
    <row r="2188" spans="1:23">
      <c r="A2188" s="93" t="str">
        <f>TEXT(tblProjectlist[[#This Row],[project-no]],"0")</f>
        <v>99912541</v>
      </c>
      <c r="H2188" s="91">
        <v>3025</v>
      </c>
      <c r="I2188" s="91">
        <v>2</v>
      </c>
      <c r="J2188" s="91">
        <v>4</v>
      </c>
      <c r="K2188" s="91" t="s">
        <v>1512</v>
      </c>
      <c r="L2188" s="91" t="s">
        <v>58</v>
      </c>
      <c r="M2188" s="91" t="s">
        <v>1</v>
      </c>
      <c r="Q2188" s="91"/>
      <c r="S2188" s="91" t="s">
        <v>143</v>
      </c>
      <c r="T2188" s="91" t="s">
        <v>2539</v>
      </c>
      <c r="V2188" s="91" t="s">
        <v>159</v>
      </c>
      <c r="W2188" s="91" t="s">
        <v>180</v>
      </c>
    </row>
    <row r="2189" spans="1:23">
      <c r="A2189" s="93" t="str">
        <f>TEXT(tblProjectlist[[#This Row],[project-no]],"0")</f>
        <v>99912544</v>
      </c>
      <c r="H2189" s="91">
        <v>3025</v>
      </c>
      <c r="I2189" s="91">
        <v>2</v>
      </c>
      <c r="J2189" s="91">
        <v>4</v>
      </c>
      <c r="K2189" s="91" t="s">
        <v>1513</v>
      </c>
      <c r="L2189" s="91" t="s">
        <v>58</v>
      </c>
      <c r="M2189" s="91" t="s">
        <v>1</v>
      </c>
      <c r="Q2189" s="91"/>
      <c r="S2189" s="91" t="s">
        <v>143</v>
      </c>
      <c r="T2189" s="91" t="s">
        <v>2539</v>
      </c>
      <c r="V2189" s="91" t="s">
        <v>160</v>
      </c>
      <c r="W2189" s="91" t="s">
        <v>180</v>
      </c>
    </row>
    <row r="2190" spans="1:23">
      <c r="A2190" s="93" t="str">
        <f>TEXT(tblProjectlist[[#This Row],[project-no]],"0")</f>
        <v>30250744</v>
      </c>
      <c r="H2190" s="91">
        <v>3025</v>
      </c>
      <c r="I2190" s="91">
        <v>7</v>
      </c>
      <c r="J2190" s="91">
        <v>4</v>
      </c>
      <c r="K2190" s="91" t="s">
        <v>632</v>
      </c>
      <c r="L2190" s="91" t="s">
        <v>58</v>
      </c>
      <c r="M2190" s="91" t="s">
        <v>1</v>
      </c>
      <c r="Q2190" s="91"/>
      <c r="S2190" s="91" t="s">
        <v>143</v>
      </c>
      <c r="T2190" s="91" t="s">
        <v>2540</v>
      </c>
      <c r="V2190" s="91" t="s">
        <v>160</v>
      </c>
      <c r="W2190" s="91" t="s">
        <v>180</v>
      </c>
    </row>
    <row r="2191" spans="1:23">
      <c r="A2191" s="93" t="str">
        <f>TEXT(tblProjectlist[[#This Row],[project-no]],"0")</f>
        <v>30251042</v>
      </c>
      <c r="H2191" s="91">
        <v>3025</v>
      </c>
      <c r="I2191" s="91">
        <v>10</v>
      </c>
      <c r="J2191" s="91">
        <v>4</v>
      </c>
      <c r="K2191" s="91">
        <v>30251042</v>
      </c>
      <c r="L2191" s="91" t="s">
        <v>58</v>
      </c>
      <c r="M2191" s="91" t="s">
        <v>1</v>
      </c>
      <c r="Q2191" s="91"/>
      <c r="S2191" s="91" t="s">
        <v>143</v>
      </c>
      <c r="T2191" s="91" t="s">
        <v>4628</v>
      </c>
      <c r="V2191" s="91" t="s">
        <v>163</v>
      </c>
      <c r="W2191" s="91" t="s">
        <v>180</v>
      </c>
    </row>
    <row r="2192" spans="1:23">
      <c r="A2192" s="93" t="str">
        <f>TEXT(tblProjectlist[[#This Row],[project-no]],"0")</f>
        <v>0</v>
      </c>
      <c r="H2192" s="91">
        <v>3025</v>
      </c>
      <c r="I2192" s="91">
        <v>9</v>
      </c>
      <c r="J2192" s="91">
        <v>2</v>
      </c>
      <c r="K2192" s="91"/>
      <c r="L2192" s="91" t="s">
        <v>2175</v>
      </c>
      <c r="M2192" s="91" t="s">
        <v>4</v>
      </c>
      <c r="Q2192" s="91"/>
      <c r="S2192" s="91" t="s">
        <v>143</v>
      </c>
      <c r="T2192" s="91" t="s">
        <v>3570</v>
      </c>
      <c r="V2192" s="91" t="s">
        <v>155</v>
      </c>
      <c r="W2192" s="91" t="s">
        <v>180</v>
      </c>
    </row>
    <row r="2193" spans="1:23">
      <c r="A2193" s="93" t="str">
        <f>TEXT(tblProjectlist[[#This Row],[project-no]],"0")</f>
        <v>99956316</v>
      </c>
      <c r="H2193" s="91">
        <v>9995</v>
      </c>
      <c r="I2193" s="91">
        <v>63</v>
      </c>
      <c r="J2193" s="91">
        <v>1</v>
      </c>
      <c r="K2193" s="91" t="s">
        <v>1679</v>
      </c>
      <c r="L2193" s="91" t="s">
        <v>2175</v>
      </c>
      <c r="M2193" s="91" t="s">
        <v>0</v>
      </c>
      <c r="Q2193" s="91"/>
      <c r="S2193" s="91" t="s">
        <v>143</v>
      </c>
      <c r="T2193" s="91" t="s">
        <v>3316</v>
      </c>
      <c r="V2193" s="91" t="s">
        <v>168</v>
      </c>
      <c r="W2193" s="91" t="s">
        <v>180</v>
      </c>
    </row>
    <row r="2194" spans="1:23">
      <c r="A2194" s="93" t="str">
        <f>TEXT(tblProjectlist[[#This Row],[project-no]],"0")</f>
        <v>0</v>
      </c>
      <c r="H2194" s="91">
        <v>7669</v>
      </c>
      <c r="I2194" s="91">
        <v>4</v>
      </c>
      <c r="J2194" s="91">
        <v>2</v>
      </c>
      <c r="K2194" s="91"/>
      <c r="L2194" s="91" t="s">
        <v>2175</v>
      </c>
      <c r="M2194" s="91" t="s">
        <v>4</v>
      </c>
      <c r="Q2194" s="91"/>
      <c r="S2194" s="91" t="s">
        <v>143</v>
      </c>
      <c r="T2194" s="91" t="s">
        <v>4449</v>
      </c>
      <c r="V2194" s="91" t="s">
        <v>155</v>
      </c>
      <c r="W2194" s="91" t="s">
        <v>180</v>
      </c>
    </row>
    <row r="2195" spans="1:23">
      <c r="A2195" s="93" t="str">
        <f>TEXT(tblProjectlist[[#This Row],[project-no]],"0")</f>
        <v>76690211</v>
      </c>
      <c r="H2195" s="91">
        <v>7669</v>
      </c>
      <c r="I2195" s="91">
        <v>2</v>
      </c>
      <c r="J2195" s="91">
        <v>1</v>
      </c>
      <c r="K2195" s="91">
        <v>76690211</v>
      </c>
      <c r="L2195" s="91" t="s">
        <v>2175</v>
      </c>
      <c r="M2195" s="91" t="s">
        <v>0</v>
      </c>
      <c r="Q2195" s="91"/>
      <c r="S2195" s="91" t="s">
        <v>143</v>
      </c>
      <c r="T2195" s="91" t="s">
        <v>3944</v>
      </c>
      <c r="V2195" s="91" t="s">
        <v>169</v>
      </c>
      <c r="W2195" s="91" t="s">
        <v>180</v>
      </c>
    </row>
    <row r="2196" spans="1:23">
      <c r="A2196" s="93" t="str">
        <f>TEXT(tblProjectlist[[#This Row],[project-no]],"0")</f>
        <v>76690216</v>
      </c>
      <c r="H2196" s="91">
        <v>7669</v>
      </c>
      <c r="I2196" s="91">
        <v>2</v>
      </c>
      <c r="J2196" s="91">
        <v>1</v>
      </c>
      <c r="K2196" s="91">
        <v>76690216</v>
      </c>
      <c r="L2196" s="91" t="s">
        <v>2175</v>
      </c>
      <c r="M2196" s="91" t="s">
        <v>0</v>
      </c>
      <c r="Q2196" s="91"/>
      <c r="S2196" s="91" t="s">
        <v>143</v>
      </c>
      <c r="T2196" s="91" t="s">
        <v>3944</v>
      </c>
      <c r="V2196" s="91" t="s">
        <v>168</v>
      </c>
      <c r="W2196" s="91" t="s">
        <v>180</v>
      </c>
    </row>
    <row r="2197" spans="1:23">
      <c r="A2197" s="93" t="str">
        <f>TEXT(tblProjectlist[[#This Row],[project-no]],"0")</f>
        <v>76690311</v>
      </c>
      <c r="H2197" s="91">
        <v>7669</v>
      </c>
      <c r="I2197" s="91">
        <v>3</v>
      </c>
      <c r="J2197" s="91">
        <v>1</v>
      </c>
      <c r="K2197" s="91">
        <v>76690311</v>
      </c>
      <c r="L2197" s="91" t="s">
        <v>2175</v>
      </c>
      <c r="M2197" s="91" t="s">
        <v>0</v>
      </c>
      <c r="Q2197" s="91"/>
      <c r="S2197" s="91" t="s">
        <v>143</v>
      </c>
      <c r="T2197" s="91" t="s">
        <v>4007</v>
      </c>
      <c r="V2197" s="91" t="s">
        <v>169</v>
      </c>
      <c r="W2197" s="91" t="s">
        <v>180</v>
      </c>
    </row>
    <row r="2198" spans="1:23">
      <c r="A2198" s="93" t="str">
        <f>TEXT(tblProjectlist[[#This Row],[project-no]],"0")</f>
        <v>76690316</v>
      </c>
      <c r="H2198" s="91">
        <v>7669</v>
      </c>
      <c r="I2198" s="91">
        <v>3</v>
      </c>
      <c r="J2198" s="91">
        <v>1</v>
      </c>
      <c r="K2198" s="91">
        <v>76690316</v>
      </c>
      <c r="L2198" s="91" t="s">
        <v>2175</v>
      </c>
      <c r="M2198" s="91" t="s">
        <v>0</v>
      </c>
      <c r="Q2198" s="91"/>
      <c r="S2198" s="91" t="s">
        <v>143</v>
      </c>
      <c r="T2198" s="91" t="s">
        <v>4007</v>
      </c>
      <c r="V2198" s="91" t="s">
        <v>168</v>
      </c>
      <c r="W2198" s="91" t="s">
        <v>180</v>
      </c>
    </row>
    <row r="2199" spans="1:23">
      <c r="A2199" s="93" t="str">
        <f>TEXT(tblProjectlist[[#This Row],[project-no]],"0")</f>
        <v>0</v>
      </c>
      <c r="H2199" s="91">
        <v>7699</v>
      </c>
      <c r="I2199" s="91">
        <v>3</v>
      </c>
      <c r="J2199" s="91">
        <v>2</v>
      </c>
      <c r="K2199" s="91"/>
      <c r="L2199" s="91" t="s">
        <v>2175</v>
      </c>
      <c r="M2199" s="91" t="s">
        <v>4</v>
      </c>
      <c r="Q2199" s="91"/>
      <c r="S2199" s="91" t="s">
        <v>143</v>
      </c>
      <c r="T2199" s="91" t="s">
        <v>3969</v>
      </c>
      <c r="V2199" s="91" t="s">
        <v>155</v>
      </c>
      <c r="W2199" s="91" t="s">
        <v>180</v>
      </c>
    </row>
    <row r="2200" spans="1:23">
      <c r="A2200" s="93" t="str">
        <f>TEXT(tblProjectlist[[#This Row],[project-no]],"0")</f>
        <v>0</v>
      </c>
      <c r="H2200" s="91">
        <v>3176</v>
      </c>
      <c r="I2200" s="91">
        <v>2</v>
      </c>
      <c r="J2200" s="91">
        <v>2</v>
      </c>
      <c r="K2200" s="91"/>
      <c r="L2200" s="91" t="s">
        <v>2175</v>
      </c>
      <c r="M2200" s="91" t="s">
        <v>4</v>
      </c>
      <c r="Q2200" s="91"/>
      <c r="S2200" s="91" t="s">
        <v>143</v>
      </c>
      <c r="T2200" s="91" t="s">
        <v>4443</v>
      </c>
      <c r="V2200" s="91" t="s">
        <v>155</v>
      </c>
      <c r="W2200" s="91" t="s">
        <v>180</v>
      </c>
    </row>
    <row r="2201" spans="1:23">
      <c r="A2201" s="93" t="str">
        <f>TEXT(tblProjectlist[[#This Row],[project-no]],"0")</f>
        <v>0</v>
      </c>
      <c r="H2201" s="91">
        <v>3176</v>
      </c>
      <c r="I2201" s="91">
        <v>3</v>
      </c>
      <c r="J2201" s="91">
        <v>2</v>
      </c>
      <c r="K2201" s="91"/>
      <c r="L2201" s="91" t="s">
        <v>2175</v>
      </c>
      <c r="M2201" s="91" t="s">
        <v>4</v>
      </c>
      <c r="Q2201" s="91"/>
      <c r="S2201" s="91" t="s">
        <v>143</v>
      </c>
      <c r="T2201" s="91" t="s">
        <v>4737</v>
      </c>
      <c r="V2201" s="91" t="s">
        <v>155</v>
      </c>
      <c r="W2201" s="91" t="s">
        <v>180</v>
      </c>
    </row>
    <row r="2202" spans="1:23">
      <c r="A2202" s="93" t="str">
        <f>TEXT(tblProjectlist[[#This Row],[project-no]],"0")</f>
        <v>0</v>
      </c>
      <c r="H2202" s="91">
        <v>4124</v>
      </c>
      <c r="I2202" s="91">
        <v>1</v>
      </c>
      <c r="J2202" s="91">
        <v>2</v>
      </c>
      <c r="K2202" s="91"/>
      <c r="L2202" s="91" t="s">
        <v>2175</v>
      </c>
      <c r="M2202" s="91" t="s">
        <v>4</v>
      </c>
      <c r="Q2202" s="91"/>
      <c r="S2202" s="91" t="s">
        <v>143</v>
      </c>
      <c r="T2202" s="91" t="s">
        <v>4324</v>
      </c>
      <c r="V2202" s="91" t="s">
        <v>155</v>
      </c>
      <c r="W2202" s="91" t="s">
        <v>180</v>
      </c>
    </row>
    <row r="2203" spans="1:23">
      <c r="A2203" s="93" t="str">
        <f>TEXT(tblProjectlist[[#This Row],[project-no]],"0")</f>
        <v>0</v>
      </c>
      <c r="H2203" s="91">
        <v>4124</v>
      </c>
      <c r="I2203" s="91">
        <v>2</v>
      </c>
      <c r="J2203" s="91">
        <v>2</v>
      </c>
      <c r="K2203" s="91"/>
      <c r="L2203" s="91" t="s">
        <v>2175</v>
      </c>
      <c r="M2203" s="91" t="s">
        <v>4</v>
      </c>
      <c r="Q2203" s="91"/>
      <c r="S2203" s="91" t="s">
        <v>143</v>
      </c>
      <c r="T2203" s="91" t="s">
        <v>4634</v>
      </c>
      <c r="V2203" s="91" t="s">
        <v>155</v>
      </c>
      <c r="W2203" s="91" t="s">
        <v>180</v>
      </c>
    </row>
    <row r="2204" spans="1:23">
      <c r="A2204" s="93" t="str">
        <f>TEXT(tblProjectlist[[#This Row],[project-no]],"0")</f>
        <v>0</v>
      </c>
      <c r="H2204" s="91">
        <v>1976</v>
      </c>
      <c r="I2204" s="91">
        <v>2</v>
      </c>
      <c r="J2204" s="91">
        <v>1</v>
      </c>
      <c r="K2204" s="91"/>
      <c r="L2204" s="91" t="s">
        <v>2175</v>
      </c>
      <c r="M2204" s="91" t="s">
        <v>0</v>
      </c>
      <c r="Q2204" s="91"/>
      <c r="S2204" s="91" t="s">
        <v>143</v>
      </c>
      <c r="T2204" s="91" t="s">
        <v>3907</v>
      </c>
      <c r="V2204" s="91" t="s">
        <v>169</v>
      </c>
      <c r="W2204" s="91" t="s">
        <v>180</v>
      </c>
    </row>
    <row r="2205" spans="1:23">
      <c r="A2205" s="93" t="str">
        <f>TEXT(tblProjectlist[[#This Row],[project-no]],"0")</f>
        <v>0</v>
      </c>
      <c r="H2205" s="91">
        <v>1976</v>
      </c>
      <c r="I2205" s="91">
        <v>2</v>
      </c>
      <c r="J2205" s="91">
        <v>1</v>
      </c>
      <c r="K2205" s="91"/>
      <c r="L2205" s="91" t="s">
        <v>2175</v>
      </c>
      <c r="M2205" s="91" t="s">
        <v>0</v>
      </c>
      <c r="Q2205" s="91"/>
      <c r="S2205" s="91" t="s">
        <v>143</v>
      </c>
      <c r="T2205" s="91" t="s">
        <v>3907</v>
      </c>
      <c r="V2205" s="91" t="s">
        <v>168</v>
      </c>
      <c r="W2205" s="91" t="s">
        <v>180</v>
      </c>
    </row>
    <row r="2206" spans="1:23">
      <c r="A2206" s="93" t="str">
        <f>TEXT(tblProjectlist[[#This Row],[project-no]],"0")</f>
        <v>0</v>
      </c>
      <c r="H2206" s="91">
        <v>1977</v>
      </c>
      <c r="I2206" s="91">
        <v>2</v>
      </c>
      <c r="J2206" s="91">
        <v>2</v>
      </c>
      <c r="K2206" s="91"/>
      <c r="L2206" s="91" t="s">
        <v>197</v>
      </c>
      <c r="M2206" s="91" t="s">
        <v>4</v>
      </c>
      <c r="Q2206" s="91"/>
      <c r="S2206" s="91" t="s">
        <v>143</v>
      </c>
      <c r="T2206" s="91" t="s">
        <v>4310</v>
      </c>
      <c r="V2206" s="91" t="s">
        <v>155</v>
      </c>
      <c r="W2206" s="91" t="s">
        <v>180</v>
      </c>
    </row>
    <row r="2207" spans="1:23">
      <c r="A2207" s="93" t="str">
        <f>TEXT(tblProjectlist[[#This Row],[project-no]],"0")</f>
        <v>73980226</v>
      </c>
      <c r="H2207" s="91">
        <v>7398</v>
      </c>
      <c r="I2207" s="91">
        <v>2</v>
      </c>
      <c r="J2207" s="91">
        <v>2</v>
      </c>
      <c r="K2207" s="91" t="s">
        <v>968</v>
      </c>
      <c r="L2207" s="91" t="s">
        <v>2175</v>
      </c>
      <c r="M2207" s="91" t="s">
        <v>4</v>
      </c>
      <c r="Q2207" s="91"/>
      <c r="S2207" s="91" t="s">
        <v>143</v>
      </c>
      <c r="T2207" s="91" t="s">
        <v>2838</v>
      </c>
      <c r="V2207" s="91" t="s">
        <v>155</v>
      </c>
      <c r="W2207" s="91" t="s">
        <v>180</v>
      </c>
    </row>
    <row r="2208" spans="1:23">
      <c r="A2208" s="93" t="str">
        <f>TEXT(tblProjectlist[[#This Row],[project-no]],"0")</f>
        <v>73990626</v>
      </c>
      <c r="H2208" s="91">
        <v>7399</v>
      </c>
      <c r="I2208" s="91">
        <v>6</v>
      </c>
      <c r="J2208" s="91">
        <v>2</v>
      </c>
      <c r="K2208" s="91" t="s">
        <v>969</v>
      </c>
      <c r="L2208" s="91" t="s">
        <v>2175</v>
      </c>
      <c r="M2208" s="91" t="s">
        <v>4</v>
      </c>
      <c r="Q2208" s="91"/>
      <c r="S2208" s="91" t="s">
        <v>143</v>
      </c>
      <c r="T2208" s="91" t="s">
        <v>2839</v>
      </c>
      <c r="V2208" s="91" t="s">
        <v>155</v>
      </c>
      <c r="W2208" s="91" t="s">
        <v>180</v>
      </c>
    </row>
    <row r="2209" spans="1:23">
      <c r="A2209" s="93" t="str">
        <f>TEXT(tblProjectlist[[#This Row],[project-no]],"0")</f>
        <v>74000212</v>
      </c>
      <c r="H2209" s="91">
        <v>7400</v>
      </c>
      <c r="I2209" s="91">
        <v>2</v>
      </c>
      <c r="J2209" s="91">
        <v>1</v>
      </c>
      <c r="K2209" s="91" t="s">
        <v>970</v>
      </c>
      <c r="L2209" s="91" t="s">
        <v>2175</v>
      </c>
      <c r="M2209" s="91" t="s">
        <v>0</v>
      </c>
      <c r="Q2209" s="91"/>
      <c r="S2209" s="91" t="s">
        <v>143</v>
      </c>
      <c r="T2209" s="91" t="s">
        <v>2840</v>
      </c>
      <c r="V2209" s="91" t="s">
        <v>169</v>
      </c>
      <c r="W2209" s="91" t="s">
        <v>180</v>
      </c>
    </row>
    <row r="2210" spans="1:23">
      <c r="A2210" s="93" t="str">
        <f>TEXT(tblProjectlist[[#This Row],[project-no]],"0")</f>
        <v>0</v>
      </c>
      <c r="H2210" s="91">
        <v>7628</v>
      </c>
      <c r="I2210" s="91">
        <v>3</v>
      </c>
      <c r="J2210" s="91">
        <v>2</v>
      </c>
      <c r="K2210" s="91"/>
      <c r="L2210" s="91" t="s">
        <v>197</v>
      </c>
      <c r="M2210" s="91" t="s">
        <v>4</v>
      </c>
      <c r="Q2210" s="91"/>
      <c r="S2210" s="91" t="s">
        <v>143</v>
      </c>
      <c r="T2210" s="91" t="s">
        <v>4412</v>
      </c>
      <c r="V2210" s="91" t="s">
        <v>155</v>
      </c>
      <c r="W2210" s="91" t="s">
        <v>180</v>
      </c>
    </row>
    <row r="2211" spans="1:23">
      <c r="A2211" s="93" t="str">
        <f>TEXT(tblProjectlist[[#This Row],[project-no]],"0")</f>
        <v>76280228</v>
      </c>
      <c r="H2211" s="91">
        <v>7628</v>
      </c>
      <c r="I2211" s="91">
        <v>2</v>
      </c>
      <c r="J2211" s="91">
        <v>2</v>
      </c>
      <c r="K2211" s="91" t="s">
        <v>1067</v>
      </c>
      <c r="L2211" s="91" t="s">
        <v>197</v>
      </c>
      <c r="M2211" s="91" t="s">
        <v>4</v>
      </c>
      <c r="Q2211" s="91"/>
      <c r="S2211" s="91" t="s">
        <v>143</v>
      </c>
      <c r="T2211" s="91" t="s">
        <v>2933</v>
      </c>
      <c r="V2211" s="91" t="s">
        <v>155</v>
      </c>
      <c r="W2211" s="91" t="s">
        <v>180</v>
      </c>
    </row>
    <row r="2212" spans="1:23">
      <c r="A2212" s="93" t="str">
        <f>TEXT(tblProjectlist[[#This Row],[project-no]],"0")</f>
        <v>0</v>
      </c>
      <c r="H2212" s="91">
        <v>8809</v>
      </c>
      <c r="I2212" s="91">
        <v>1</v>
      </c>
      <c r="J2212" s="91">
        <v>2</v>
      </c>
      <c r="K2212" s="91"/>
      <c r="L2212" s="91" t="s">
        <v>1455</v>
      </c>
      <c r="M2212" s="91" t="s">
        <v>4</v>
      </c>
      <c r="Q2212" s="91"/>
      <c r="S2212" s="91" t="s">
        <v>143</v>
      </c>
      <c r="T2212" s="91" t="s">
        <v>4713</v>
      </c>
      <c r="V2212" s="91" t="s">
        <v>155</v>
      </c>
      <c r="W2212" s="91" t="s">
        <v>180</v>
      </c>
    </row>
    <row r="2213" spans="1:23">
      <c r="A2213" s="93" t="str">
        <f>TEXT(tblProjectlist[[#This Row],[project-no]],"0")</f>
        <v>0</v>
      </c>
      <c r="H2213" s="91">
        <v>8809</v>
      </c>
      <c r="I2213" s="91">
        <v>2</v>
      </c>
      <c r="J2213" s="91">
        <v>2</v>
      </c>
      <c r="K2213" s="91"/>
      <c r="L2213" s="91" t="s">
        <v>2175</v>
      </c>
      <c r="M2213" s="91" t="s">
        <v>4</v>
      </c>
      <c r="Q2213" s="91"/>
      <c r="S2213" s="91" t="s">
        <v>143</v>
      </c>
      <c r="T2213" s="91" t="s">
        <v>4014</v>
      </c>
      <c r="V2213" s="91" t="s">
        <v>155</v>
      </c>
      <c r="W2213" s="91" t="s">
        <v>180</v>
      </c>
    </row>
    <row r="2214" spans="1:23">
      <c r="A2214" s="93" t="str">
        <f>TEXT(tblProjectlist[[#This Row],[project-no]],"0")</f>
        <v>0</v>
      </c>
      <c r="H2214" s="91">
        <v>8809</v>
      </c>
      <c r="I2214" s="91">
        <v>3</v>
      </c>
      <c r="J2214" s="91">
        <v>2</v>
      </c>
      <c r="K2214" s="91"/>
      <c r="L2214" s="91" t="s">
        <v>2175</v>
      </c>
      <c r="M2214" s="91" t="s">
        <v>4</v>
      </c>
      <c r="Q2214" s="91"/>
      <c r="S2214" s="91" t="s">
        <v>143</v>
      </c>
      <c r="T2214" s="91" t="s">
        <v>4015</v>
      </c>
      <c r="V2214" s="91" t="s">
        <v>155</v>
      </c>
      <c r="W2214" s="91" t="s">
        <v>180</v>
      </c>
    </row>
    <row r="2215" spans="1:23">
      <c r="A2215" s="93" t="str">
        <f>TEXT(tblProjectlist[[#This Row],[project-no]],"0")</f>
        <v>30860328</v>
      </c>
      <c r="H2215" s="91">
        <v>3086</v>
      </c>
      <c r="I2215" s="91">
        <v>3</v>
      </c>
      <c r="J2215" s="91">
        <v>2</v>
      </c>
      <c r="K2215" s="91" t="s">
        <v>708</v>
      </c>
      <c r="L2215" s="91" t="s">
        <v>197</v>
      </c>
      <c r="M2215" s="91" t="s">
        <v>4</v>
      </c>
      <c r="Q2215" s="91"/>
      <c r="S2215" s="91" t="s">
        <v>143</v>
      </c>
      <c r="T2215" s="91" t="s">
        <v>2608</v>
      </c>
      <c r="V2215" s="91" t="s">
        <v>155</v>
      </c>
      <c r="W2215" s="91" t="s">
        <v>180</v>
      </c>
    </row>
    <row r="2216" spans="1:23">
      <c r="A2216" s="93" t="str">
        <f>TEXT(tblProjectlist[[#This Row],[project-no]],"0")</f>
        <v>30861149</v>
      </c>
      <c r="H2216" s="91">
        <v>3086</v>
      </c>
      <c r="I2216" s="91">
        <v>11</v>
      </c>
      <c r="J2216" s="91">
        <v>4</v>
      </c>
      <c r="K2216" s="91" t="s">
        <v>709</v>
      </c>
      <c r="L2216" s="91" t="s">
        <v>58</v>
      </c>
      <c r="M2216" s="91" t="s">
        <v>1</v>
      </c>
      <c r="Q2216" s="91"/>
      <c r="S2216" s="91" t="s">
        <v>143</v>
      </c>
      <c r="T2216" s="91" t="s">
        <v>2609</v>
      </c>
      <c r="W2216" s="91" t="s">
        <v>180</v>
      </c>
    </row>
    <row r="2217" spans="1:23">
      <c r="A2217" s="93" t="str">
        <f>TEXT(tblProjectlist[[#This Row],[project-no]],"0")</f>
        <v>30861228</v>
      </c>
      <c r="H2217" s="91">
        <v>3086</v>
      </c>
      <c r="I2217" s="91">
        <v>12</v>
      </c>
      <c r="J2217" s="91">
        <v>2</v>
      </c>
      <c r="K2217" s="91" t="s">
        <v>710</v>
      </c>
      <c r="L2217" s="91" t="s">
        <v>197</v>
      </c>
      <c r="M2217" s="91" t="s">
        <v>4</v>
      </c>
      <c r="Q2217" s="91"/>
      <c r="S2217" s="91" t="s">
        <v>143</v>
      </c>
      <c r="T2217" s="91" t="s">
        <v>2610</v>
      </c>
      <c r="W2217" s="91" t="s">
        <v>180</v>
      </c>
    </row>
    <row r="2218" spans="1:23">
      <c r="A2218" s="93" t="str">
        <f>TEXT(tblProjectlist[[#This Row],[project-no]],"0")</f>
        <v>30861328</v>
      </c>
      <c r="H2218" s="91">
        <v>3086</v>
      </c>
      <c r="I2218" s="91">
        <v>13</v>
      </c>
      <c r="J2218" s="91">
        <v>2</v>
      </c>
      <c r="K2218" s="91" t="s">
        <v>711</v>
      </c>
      <c r="L2218" s="91" t="s">
        <v>197</v>
      </c>
      <c r="M2218" s="91" t="s">
        <v>4</v>
      </c>
      <c r="Q2218" s="91"/>
      <c r="S2218" s="91" t="s">
        <v>143</v>
      </c>
      <c r="T2218" s="91" t="s">
        <v>2611</v>
      </c>
      <c r="W2218" s="91" t="s">
        <v>180</v>
      </c>
    </row>
    <row r="2219" spans="1:23">
      <c r="A2219" s="93" t="str">
        <f>TEXT(tblProjectlist[[#This Row],[project-no]],"0")</f>
        <v>30861428</v>
      </c>
      <c r="H2219" s="91">
        <v>3086</v>
      </c>
      <c r="I2219" s="91">
        <v>14</v>
      </c>
      <c r="J2219" s="91">
        <v>2</v>
      </c>
      <c r="K2219" s="91">
        <v>30861428</v>
      </c>
      <c r="L2219" s="91" t="s">
        <v>197</v>
      </c>
      <c r="M2219" s="91" t="s">
        <v>4</v>
      </c>
      <c r="Q2219" s="91"/>
      <c r="S2219" s="91" t="s">
        <v>143</v>
      </c>
      <c r="T2219" s="91" t="s">
        <v>3996</v>
      </c>
      <c r="W2219" s="91" t="s">
        <v>180</v>
      </c>
    </row>
    <row r="2220" spans="1:23">
      <c r="A2220" s="93" t="str">
        <f>TEXT(tblProjectlist[[#This Row],[project-no]],"0")</f>
        <v>0</v>
      </c>
      <c r="H2220" s="91">
        <v>1016</v>
      </c>
      <c r="I2220" s="91">
        <v>17</v>
      </c>
      <c r="J2220" s="91">
        <v>2</v>
      </c>
      <c r="K2220" s="91"/>
      <c r="L2220" s="91" t="s">
        <v>62</v>
      </c>
      <c r="M2220" s="91" t="s">
        <v>4</v>
      </c>
      <c r="Q2220" s="91"/>
      <c r="S2220" s="91" t="s">
        <v>143</v>
      </c>
      <c r="T2220" s="91" t="s">
        <v>3803</v>
      </c>
      <c r="V2220" s="91" t="s">
        <v>156</v>
      </c>
      <c r="W2220" s="91" t="s">
        <v>180</v>
      </c>
    </row>
    <row r="2221" spans="1:23">
      <c r="A2221" s="93" t="str">
        <f>TEXT(tblProjectlist[[#This Row],[project-no]],"0")</f>
        <v>10161628</v>
      </c>
      <c r="H2221" s="91">
        <v>1016</v>
      </c>
      <c r="I2221" s="91">
        <v>17</v>
      </c>
      <c r="J2221" s="91">
        <v>2</v>
      </c>
      <c r="K2221" s="91" t="s">
        <v>195</v>
      </c>
      <c r="L2221" s="91" t="s">
        <v>62</v>
      </c>
      <c r="M2221" s="91" t="s">
        <v>4</v>
      </c>
      <c r="Q2221" s="91"/>
      <c r="S2221" s="91" t="s">
        <v>143</v>
      </c>
      <c r="T2221" s="91" t="s">
        <v>3803</v>
      </c>
      <c r="V2221" s="91" t="s">
        <v>156</v>
      </c>
      <c r="W2221" s="91" t="s">
        <v>180</v>
      </c>
    </row>
    <row r="2222" spans="1:23">
      <c r="A2222" s="93" t="str">
        <f>TEXT(tblProjectlist[[#This Row],[project-no]],"0")</f>
        <v>0</v>
      </c>
      <c r="H2222" s="91">
        <v>1016</v>
      </c>
      <c r="I2222" s="91">
        <v>18</v>
      </c>
      <c r="J2222" s="91">
        <v>2</v>
      </c>
      <c r="K2222" s="91"/>
      <c r="L2222" s="91" t="s">
        <v>62</v>
      </c>
      <c r="M2222" s="91" t="s">
        <v>4</v>
      </c>
      <c r="Q2222" s="91"/>
      <c r="S2222" s="91" t="s">
        <v>143</v>
      </c>
      <c r="T2222" s="91" t="s">
        <v>3830</v>
      </c>
      <c r="V2222" s="91" t="s">
        <v>155</v>
      </c>
      <c r="W2222" s="91" t="s">
        <v>180</v>
      </c>
    </row>
    <row r="2223" spans="1:23">
      <c r="A2223" s="93" t="str">
        <f>TEXT(tblProjectlist[[#This Row],[project-no]],"0")</f>
        <v>0</v>
      </c>
      <c r="H2223" s="91">
        <v>1016</v>
      </c>
      <c r="I2223" s="91">
        <v>19</v>
      </c>
      <c r="J2223" s="91">
        <v>2</v>
      </c>
      <c r="K2223" s="91"/>
      <c r="L2223" s="91" t="s">
        <v>62</v>
      </c>
      <c r="M2223" s="91" t="s">
        <v>4</v>
      </c>
      <c r="Q2223" s="91"/>
      <c r="S2223" s="91" t="s">
        <v>143</v>
      </c>
      <c r="T2223" s="91" t="s">
        <v>4098</v>
      </c>
      <c r="V2223" s="91" t="s">
        <v>155</v>
      </c>
      <c r="W2223" s="91" t="s">
        <v>180</v>
      </c>
    </row>
    <row r="2224" spans="1:23">
      <c r="A2224" s="93" t="str">
        <f>TEXT(tblProjectlist[[#This Row],[project-no]],"0")</f>
        <v>0</v>
      </c>
      <c r="H2224" s="91">
        <v>1016</v>
      </c>
      <c r="I2224" s="91">
        <v>20</v>
      </c>
      <c r="J2224" s="91">
        <v>2</v>
      </c>
      <c r="K2224" s="91"/>
      <c r="L2224" s="91" t="s">
        <v>62</v>
      </c>
      <c r="M2224" s="91" t="s">
        <v>4</v>
      </c>
      <c r="Q2224" s="91"/>
      <c r="S2224" s="91" t="s">
        <v>143</v>
      </c>
      <c r="T2224" s="91" t="s">
        <v>4215</v>
      </c>
      <c r="V2224" s="91" t="s">
        <v>155</v>
      </c>
      <c r="W2224" s="91" t="s">
        <v>180</v>
      </c>
    </row>
    <row r="2225" spans="1:23">
      <c r="A2225" s="93" t="str">
        <f>TEXT(tblProjectlist[[#This Row],[project-no]],"0")</f>
        <v>10160428</v>
      </c>
      <c r="H2225" s="91">
        <v>1016</v>
      </c>
      <c r="I2225" s="91">
        <v>4</v>
      </c>
      <c r="J2225" s="91">
        <v>2</v>
      </c>
      <c r="K2225" s="91" t="s">
        <v>188</v>
      </c>
      <c r="L2225" s="91" t="s">
        <v>62</v>
      </c>
      <c r="M2225" s="91" t="s">
        <v>4</v>
      </c>
      <c r="Q2225" s="91"/>
      <c r="S2225" s="91" t="s">
        <v>143</v>
      </c>
      <c r="T2225" s="91" t="s">
        <v>2184</v>
      </c>
      <c r="V2225" s="91" t="s">
        <v>155</v>
      </c>
      <c r="W2225" s="91" t="s">
        <v>180</v>
      </c>
    </row>
    <row r="2226" spans="1:23">
      <c r="A2226" s="93" t="str">
        <f>TEXT(tblProjectlist[[#This Row],[project-no]],"0")</f>
        <v>10160628</v>
      </c>
      <c r="H2226" s="91">
        <v>1016</v>
      </c>
      <c r="I2226" s="91">
        <v>6</v>
      </c>
      <c r="J2226" s="91">
        <v>2</v>
      </c>
      <c r="K2226" s="91" t="s">
        <v>189</v>
      </c>
      <c r="L2226" s="91" t="s">
        <v>62</v>
      </c>
      <c r="M2226" s="91" t="s">
        <v>4</v>
      </c>
      <c r="Q2226" s="91"/>
      <c r="S2226" s="91" t="s">
        <v>143</v>
      </c>
      <c r="T2226" s="91" t="s">
        <v>2185</v>
      </c>
      <c r="V2226" s="91" t="s">
        <v>155</v>
      </c>
      <c r="W2226" s="91" t="s">
        <v>180</v>
      </c>
    </row>
    <row r="2227" spans="1:23">
      <c r="A2227" s="93" t="str">
        <f>TEXT(tblProjectlist[[#This Row],[project-no]],"0")</f>
        <v>10160728</v>
      </c>
      <c r="H2227" s="91">
        <v>1016</v>
      </c>
      <c r="I2227" s="91">
        <v>7</v>
      </c>
      <c r="J2227" s="91">
        <v>2</v>
      </c>
      <c r="K2227" s="91" t="s">
        <v>190</v>
      </c>
      <c r="L2227" s="91" t="s">
        <v>62</v>
      </c>
      <c r="M2227" s="91" t="s">
        <v>4</v>
      </c>
      <c r="Q2227" s="91"/>
      <c r="S2227" s="91" t="s">
        <v>143</v>
      </c>
      <c r="T2227" s="91" t="s">
        <v>2186</v>
      </c>
      <c r="V2227" s="91" t="s">
        <v>155</v>
      </c>
      <c r="W2227" s="91" t="s">
        <v>180</v>
      </c>
    </row>
    <row r="2228" spans="1:23">
      <c r="A2228" s="93" t="str">
        <f>TEXT(tblProjectlist[[#This Row],[project-no]],"0")</f>
        <v>10161128</v>
      </c>
      <c r="H2228" s="91">
        <v>1016</v>
      </c>
      <c r="I2228" s="91">
        <v>11</v>
      </c>
      <c r="J2228" s="91">
        <v>2</v>
      </c>
      <c r="K2228" s="91" t="s">
        <v>191</v>
      </c>
      <c r="L2228" s="91" t="s">
        <v>62</v>
      </c>
      <c r="M2228" s="91" t="s">
        <v>4</v>
      </c>
      <c r="Q2228" s="91"/>
      <c r="S2228" s="91" t="s">
        <v>143</v>
      </c>
      <c r="T2228" s="91" t="s">
        <v>2187</v>
      </c>
      <c r="V2228" s="91" t="s">
        <v>155</v>
      </c>
      <c r="W2228" s="91" t="s">
        <v>180</v>
      </c>
    </row>
    <row r="2229" spans="1:23">
      <c r="A2229" s="93" t="str">
        <f>TEXT(tblProjectlist[[#This Row],[project-no]],"0")</f>
        <v>10161328</v>
      </c>
      <c r="H2229" s="91">
        <v>1016</v>
      </c>
      <c r="I2229" s="91">
        <v>13</v>
      </c>
      <c r="J2229" s="91">
        <v>2</v>
      </c>
      <c r="K2229" s="91" t="s">
        <v>192</v>
      </c>
      <c r="L2229" s="91" t="s">
        <v>62</v>
      </c>
      <c r="M2229" s="91" t="s">
        <v>4</v>
      </c>
      <c r="Q2229" s="91"/>
      <c r="S2229" s="91" t="s">
        <v>143</v>
      </c>
      <c r="T2229" s="91" t="s">
        <v>2188</v>
      </c>
      <c r="V2229" s="91" t="s">
        <v>155</v>
      </c>
      <c r="W2229" s="91" t="s">
        <v>180</v>
      </c>
    </row>
    <row r="2230" spans="1:23">
      <c r="A2230" s="93" t="str">
        <f>TEXT(tblProjectlist[[#This Row],[project-no]],"0")</f>
        <v>10161428</v>
      </c>
      <c r="H2230" s="91">
        <v>1016</v>
      </c>
      <c r="I2230" s="91">
        <v>14</v>
      </c>
      <c r="J2230" s="91">
        <v>2</v>
      </c>
      <c r="K2230" s="91" t="s">
        <v>193</v>
      </c>
      <c r="L2230" s="91" t="s">
        <v>62</v>
      </c>
      <c r="M2230" s="91" t="s">
        <v>4</v>
      </c>
      <c r="Q2230" s="91"/>
      <c r="S2230" s="91" t="s">
        <v>143</v>
      </c>
      <c r="T2230" s="91" t="s">
        <v>2189</v>
      </c>
      <c r="V2230" s="91" t="s">
        <v>87</v>
      </c>
      <c r="W2230" s="91" t="s">
        <v>180</v>
      </c>
    </row>
    <row r="2231" spans="1:23">
      <c r="A2231" s="93" t="str">
        <f>TEXT(tblProjectlist[[#This Row],[project-no]],"0")</f>
        <v>10161528</v>
      </c>
      <c r="H2231" s="91">
        <v>1016</v>
      </c>
      <c r="I2231" s="91">
        <v>15</v>
      </c>
      <c r="J2231" s="91">
        <v>2</v>
      </c>
      <c r="K2231" s="91" t="s">
        <v>194</v>
      </c>
      <c r="L2231" s="91" t="s">
        <v>62</v>
      </c>
      <c r="M2231" s="91" t="s">
        <v>4</v>
      </c>
      <c r="Q2231" s="91"/>
      <c r="S2231" s="91" t="s">
        <v>143</v>
      </c>
      <c r="T2231" s="91" t="s">
        <v>2190</v>
      </c>
      <c r="V2231" s="91" t="s">
        <v>87</v>
      </c>
      <c r="W2231" s="91" t="s">
        <v>180</v>
      </c>
    </row>
    <row r="2232" spans="1:23">
      <c r="A2232" s="93" t="str">
        <f>TEXT(tblProjectlist[[#This Row],[project-no]],"0")</f>
        <v>10161628</v>
      </c>
      <c r="H2232" s="91">
        <v>1016</v>
      </c>
      <c r="I2232" s="91">
        <v>16</v>
      </c>
      <c r="J2232" s="91">
        <v>2</v>
      </c>
      <c r="K2232" s="91" t="s">
        <v>195</v>
      </c>
      <c r="L2232" s="91" t="s">
        <v>62</v>
      </c>
      <c r="M2232" s="91" t="s">
        <v>4</v>
      </c>
      <c r="Q2232" s="91"/>
      <c r="S2232" s="91" t="s">
        <v>143</v>
      </c>
      <c r="T2232" s="91" t="s">
        <v>2191</v>
      </c>
      <c r="V2232" s="91" t="s">
        <v>87</v>
      </c>
      <c r="W2232" s="91" t="s">
        <v>180</v>
      </c>
    </row>
    <row r="2233" spans="1:23">
      <c r="A2233" s="93" t="str">
        <f>TEXT(tblProjectlist[[#This Row],[project-no]],"0")</f>
        <v>99860928</v>
      </c>
      <c r="H2233" s="91">
        <v>1016</v>
      </c>
      <c r="I2233" s="91">
        <v>6</v>
      </c>
      <c r="J2233" s="91">
        <v>2</v>
      </c>
      <c r="K2233" s="91" t="s">
        <v>1384</v>
      </c>
      <c r="L2233" s="91" t="s">
        <v>62</v>
      </c>
      <c r="M2233" s="91" t="s">
        <v>4</v>
      </c>
      <c r="Q2233" s="91"/>
      <c r="S2233" s="91" t="s">
        <v>143</v>
      </c>
      <c r="T2233" s="91" t="s">
        <v>2185</v>
      </c>
      <c r="V2233" s="91" t="s">
        <v>155</v>
      </c>
      <c r="W2233" s="91" t="s">
        <v>180</v>
      </c>
    </row>
    <row r="2234" spans="1:23">
      <c r="A2234" s="93" t="str">
        <f>TEXT(tblProjectlist[[#This Row],[project-no]],"0")</f>
        <v>99867328</v>
      </c>
      <c r="H2234" s="91">
        <v>1016</v>
      </c>
      <c r="I2234" s="91">
        <v>11</v>
      </c>
      <c r="J2234" s="91">
        <v>2</v>
      </c>
      <c r="K2234" s="91" t="s">
        <v>1400</v>
      </c>
      <c r="L2234" s="91" t="s">
        <v>62</v>
      </c>
      <c r="M2234" s="91" t="s">
        <v>4</v>
      </c>
      <c r="Q2234" s="91"/>
      <c r="S2234" s="91" t="s">
        <v>143</v>
      </c>
      <c r="T2234" s="91" t="s">
        <v>2187</v>
      </c>
      <c r="V2234" s="91" t="s">
        <v>155</v>
      </c>
      <c r="W2234" s="91" t="s">
        <v>180</v>
      </c>
    </row>
    <row r="2235" spans="1:23">
      <c r="A2235" s="93" t="str">
        <f>TEXT(tblProjectlist[[#This Row],[project-no]],"0")</f>
        <v>99868028</v>
      </c>
      <c r="H2235" s="91">
        <v>1016</v>
      </c>
      <c r="I2235" s="91">
        <v>13</v>
      </c>
      <c r="J2235" s="91">
        <v>2</v>
      </c>
      <c r="K2235" s="91" t="s">
        <v>1408</v>
      </c>
      <c r="L2235" s="91" t="s">
        <v>62</v>
      </c>
      <c r="M2235" s="91" t="s">
        <v>4</v>
      </c>
      <c r="Q2235" s="91"/>
      <c r="S2235" s="91" t="s">
        <v>143</v>
      </c>
      <c r="T2235" s="91" t="s">
        <v>2188</v>
      </c>
      <c r="V2235" s="91" t="s">
        <v>155</v>
      </c>
      <c r="W2235" s="91" t="s">
        <v>180</v>
      </c>
    </row>
    <row r="2236" spans="1:23">
      <c r="A2236" s="93" t="str">
        <f>TEXT(tblProjectlist[[#This Row],[project-no]],"0")</f>
        <v>99868228</v>
      </c>
      <c r="H2236" s="91">
        <v>1016</v>
      </c>
      <c r="I2236" s="91">
        <v>13</v>
      </c>
      <c r="J2236" s="91">
        <v>2</v>
      </c>
      <c r="K2236" s="91" t="s">
        <v>1410</v>
      </c>
      <c r="L2236" s="91" t="s">
        <v>62</v>
      </c>
      <c r="M2236" s="91" t="s">
        <v>4</v>
      </c>
      <c r="Q2236" s="91"/>
      <c r="S2236" s="91" t="s">
        <v>143</v>
      </c>
      <c r="T2236" s="91" t="s">
        <v>2188</v>
      </c>
      <c r="V2236" s="91" t="s">
        <v>155</v>
      </c>
      <c r="W2236" s="91" t="s">
        <v>180</v>
      </c>
    </row>
    <row r="2237" spans="1:23">
      <c r="A2237" s="93" t="str">
        <f>TEXT(tblProjectlist[[#This Row],[project-no]],"0")</f>
        <v>99868828</v>
      </c>
      <c r="H2237" s="91">
        <v>1016</v>
      </c>
      <c r="I2237" s="91">
        <v>14</v>
      </c>
      <c r="J2237" s="91">
        <v>2</v>
      </c>
      <c r="K2237" s="91" t="s">
        <v>1417</v>
      </c>
      <c r="L2237" s="91" t="s">
        <v>62</v>
      </c>
      <c r="M2237" s="91" t="s">
        <v>4</v>
      </c>
      <c r="Q2237" s="91"/>
      <c r="S2237" s="91" t="s">
        <v>143</v>
      </c>
      <c r="T2237" s="91" t="s">
        <v>2189</v>
      </c>
      <c r="V2237" s="91" t="s">
        <v>155</v>
      </c>
      <c r="W2237" s="91" t="s">
        <v>180</v>
      </c>
    </row>
    <row r="2238" spans="1:23">
      <c r="A2238" s="93" t="str">
        <f>TEXT(tblProjectlist[[#This Row],[project-no]],"0")</f>
        <v>0</v>
      </c>
      <c r="H2238" s="91">
        <v>7057</v>
      </c>
      <c r="I2238" s="91">
        <v>2</v>
      </c>
      <c r="J2238" s="91">
        <v>2</v>
      </c>
      <c r="K2238" s="91"/>
      <c r="L2238" s="91" t="s">
        <v>62</v>
      </c>
      <c r="M2238" s="91" t="s">
        <v>4</v>
      </c>
      <c r="Q2238" s="91"/>
      <c r="S2238" s="91" t="s">
        <v>143</v>
      </c>
      <c r="T2238" s="91" t="s">
        <v>4714</v>
      </c>
      <c r="V2238" s="91" t="s">
        <v>155</v>
      </c>
      <c r="W2238" s="91" t="s">
        <v>180</v>
      </c>
    </row>
    <row r="2239" spans="1:23">
      <c r="A2239" s="93" t="str">
        <f>TEXT(tblProjectlist[[#This Row],[project-no]],"0")</f>
        <v>88210243</v>
      </c>
      <c r="H2239" s="91">
        <v>8821</v>
      </c>
      <c r="I2239" s="91">
        <v>2</v>
      </c>
      <c r="J2239" s="91">
        <v>4</v>
      </c>
      <c r="K2239" s="91">
        <v>88210243</v>
      </c>
      <c r="L2239" s="91" t="s">
        <v>197</v>
      </c>
      <c r="M2239" s="91" t="s">
        <v>1</v>
      </c>
      <c r="Q2239" s="91"/>
      <c r="S2239" s="91" t="s">
        <v>143</v>
      </c>
      <c r="T2239" s="91" t="s">
        <v>4016</v>
      </c>
      <c r="V2239" s="91" t="s">
        <v>164</v>
      </c>
      <c r="W2239" s="91" t="s">
        <v>180</v>
      </c>
    </row>
    <row r="2240" spans="1:23">
      <c r="A2240" s="93" t="str">
        <f>TEXT(tblProjectlist[[#This Row],[project-no]],"0")</f>
        <v>31350228</v>
      </c>
      <c r="H2240" s="91">
        <v>3135</v>
      </c>
      <c r="I2240" s="91">
        <v>2</v>
      </c>
      <c r="J2240" s="91">
        <v>2</v>
      </c>
      <c r="K2240" s="91" t="s">
        <v>734</v>
      </c>
      <c r="L2240" s="91" t="s">
        <v>2175</v>
      </c>
      <c r="M2240" s="91" t="s">
        <v>4</v>
      </c>
      <c r="Q2240" s="91"/>
      <c r="S2240" s="91" t="s">
        <v>143</v>
      </c>
      <c r="T2240" s="91" t="s">
        <v>2632</v>
      </c>
      <c r="V2240" s="91" t="s">
        <v>155</v>
      </c>
      <c r="W2240" s="91" t="s">
        <v>180</v>
      </c>
    </row>
    <row r="2241" spans="1:23">
      <c r="A2241" s="93" t="str">
        <f>TEXT(tblProjectlist[[#This Row],[project-no]],"0")</f>
        <v>99947528</v>
      </c>
      <c r="H2241" s="91">
        <v>3135</v>
      </c>
      <c r="I2241" s="91">
        <v>2</v>
      </c>
      <c r="J2241" s="91">
        <v>2</v>
      </c>
      <c r="K2241" s="91" t="s">
        <v>1604</v>
      </c>
      <c r="L2241" s="91" t="s">
        <v>2175</v>
      </c>
      <c r="M2241" s="91" t="s">
        <v>4</v>
      </c>
      <c r="Q2241" s="91"/>
      <c r="S2241" s="91" t="s">
        <v>143</v>
      </c>
      <c r="T2241" s="91" t="s">
        <v>2632</v>
      </c>
      <c r="V2241" s="91" t="s">
        <v>155</v>
      </c>
      <c r="W2241" s="91" t="s">
        <v>180</v>
      </c>
    </row>
    <row r="2242" spans="1:23">
      <c r="A2242" s="93" t="str">
        <f>TEXT(tblProjectlist[[#This Row],[project-no]],"0")</f>
        <v>20690544</v>
      </c>
      <c r="H2242" s="91">
        <v>2069</v>
      </c>
      <c r="I2242" s="91">
        <v>5</v>
      </c>
      <c r="J2242" s="91">
        <v>4</v>
      </c>
      <c r="K2242" s="91" t="s">
        <v>508</v>
      </c>
      <c r="L2242" s="91" t="s">
        <v>58</v>
      </c>
      <c r="M2242" s="91" t="s">
        <v>1</v>
      </c>
      <c r="Q2242" s="91"/>
      <c r="S2242" s="91" t="s">
        <v>143</v>
      </c>
      <c r="T2242" s="91" t="s">
        <v>2444</v>
      </c>
      <c r="W2242" s="91" t="s">
        <v>180</v>
      </c>
    </row>
    <row r="2243" spans="1:23">
      <c r="A2243" s="93" t="str">
        <f>TEXT(tblProjectlist[[#This Row],[project-no]],"0")</f>
        <v>20706543</v>
      </c>
      <c r="H2243" s="91">
        <v>2070</v>
      </c>
      <c r="I2243" s="91">
        <v>65</v>
      </c>
      <c r="J2243" s="91">
        <v>4</v>
      </c>
      <c r="K2243" s="91" t="s">
        <v>509</v>
      </c>
      <c r="L2243" s="91" t="s">
        <v>58</v>
      </c>
      <c r="M2243" s="91" t="s">
        <v>1</v>
      </c>
      <c r="Q2243" s="91"/>
      <c r="S2243" s="91" t="s">
        <v>143</v>
      </c>
      <c r="T2243" s="91" t="s">
        <v>2445</v>
      </c>
      <c r="W2243" s="91" t="s">
        <v>180</v>
      </c>
    </row>
    <row r="2244" spans="1:23">
      <c r="A2244" s="93" t="str">
        <f>TEXT(tblProjectlist[[#This Row],[project-no]],"0")</f>
        <v>20733211</v>
      </c>
      <c r="H2244" s="91">
        <v>2073</v>
      </c>
      <c r="I2244" s="91">
        <v>32</v>
      </c>
      <c r="J2244" s="91">
        <v>1</v>
      </c>
      <c r="K2244" s="91" t="s">
        <v>510</v>
      </c>
      <c r="L2244" s="91" t="s">
        <v>58</v>
      </c>
      <c r="M2244" s="91" t="s">
        <v>0</v>
      </c>
      <c r="Q2244" s="91"/>
      <c r="S2244" s="91" t="s">
        <v>143</v>
      </c>
      <c r="T2244" s="91" t="s">
        <v>2446</v>
      </c>
      <c r="V2244" s="91" t="s">
        <v>169</v>
      </c>
      <c r="W2244" s="91" t="s">
        <v>180</v>
      </c>
    </row>
    <row r="2245" spans="1:23">
      <c r="A2245" s="93" t="str">
        <f>TEXT(tblProjectlist[[#This Row],[project-no]],"0")</f>
        <v>20733311</v>
      </c>
      <c r="H2245" s="91">
        <v>2073</v>
      </c>
      <c r="I2245" s="91">
        <v>33</v>
      </c>
      <c r="J2245" s="91">
        <v>1</v>
      </c>
      <c r="K2245" s="91" t="s">
        <v>511</v>
      </c>
      <c r="L2245" s="91" t="s">
        <v>58</v>
      </c>
      <c r="M2245" s="91" t="s">
        <v>0</v>
      </c>
      <c r="Q2245" s="91"/>
      <c r="S2245" s="91" t="s">
        <v>143</v>
      </c>
      <c r="T2245" s="91" t="s">
        <v>2447</v>
      </c>
      <c r="V2245" s="91" t="s">
        <v>169</v>
      </c>
      <c r="W2245" s="91" t="s">
        <v>180</v>
      </c>
    </row>
    <row r="2246" spans="1:23">
      <c r="A2246" s="93" t="str">
        <f>TEXT(tblProjectlist[[#This Row],[project-no]],"0")</f>
        <v>20733716</v>
      </c>
      <c r="H2246" s="91">
        <v>2073</v>
      </c>
      <c r="I2246" s="91">
        <v>37</v>
      </c>
      <c r="J2246" s="91">
        <v>1</v>
      </c>
      <c r="K2246" s="91" t="s">
        <v>512</v>
      </c>
      <c r="L2246" s="91" t="s">
        <v>2175</v>
      </c>
      <c r="M2246" s="91" t="s">
        <v>0</v>
      </c>
      <c r="Q2246" s="91"/>
      <c r="S2246" s="91" t="s">
        <v>143</v>
      </c>
      <c r="T2246" s="91" t="s">
        <v>2448</v>
      </c>
      <c r="V2246" s="91" t="s">
        <v>168</v>
      </c>
      <c r="W2246" s="91" t="s">
        <v>180</v>
      </c>
    </row>
    <row r="2247" spans="1:23">
      <c r="A2247" s="93" t="str">
        <f>TEXT(tblProjectlist[[#This Row],[project-no]],"0")</f>
        <v>0</v>
      </c>
      <c r="H2247" s="91">
        <v>2073</v>
      </c>
      <c r="I2247" s="91">
        <v>38</v>
      </c>
      <c r="J2247" s="91">
        <v>1</v>
      </c>
      <c r="K2247" s="91"/>
      <c r="L2247" s="91" t="s">
        <v>2175</v>
      </c>
      <c r="M2247" s="91" t="s">
        <v>0</v>
      </c>
      <c r="Q2247" s="91"/>
      <c r="S2247" s="91" t="s">
        <v>143</v>
      </c>
      <c r="T2247" s="91" t="s">
        <v>3842</v>
      </c>
      <c r="V2247" s="91" t="s">
        <v>168</v>
      </c>
      <c r="W2247" s="91" t="s">
        <v>180</v>
      </c>
    </row>
    <row r="2248" spans="1:23">
      <c r="A2248" s="93" t="str">
        <f>TEXT(tblProjectlist[[#This Row],[project-no]],"0")</f>
        <v>0</v>
      </c>
      <c r="H2248" s="91">
        <v>2073</v>
      </c>
      <c r="I2248" s="91">
        <v>39</v>
      </c>
      <c r="J2248" s="91">
        <v>1</v>
      </c>
      <c r="K2248" s="91"/>
      <c r="L2248" s="91" t="s">
        <v>58</v>
      </c>
      <c r="M2248" s="91" t="s">
        <v>0</v>
      </c>
      <c r="Q2248" s="91"/>
      <c r="S2248" s="91" t="s">
        <v>143</v>
      </c>
      <c r="T2248" s="91" t="s">
        <v>4264</v>
      </c>
      <c r="V2248" s="91" t="s">
        <v>168</v>
      </c>
      <c r="W2248" s="91" t="s">
        <v>180</v>
      </c>
    </row>
    <row r="2249" spans="1:23">
      <c r="A2249" s="93" t="str">
        <f>TEXT(tblProjectlist[[#This Row],[project-no]],"0")</f>
        <v>99918216</v>
      </c>
      <c r="H2249" s="91">
        <v>2073</v>
      </c>
      <c r="I2249" s="91">
        <v>28</v>
      </c>
      <c r="J2249" s="91">
        <v>1</v>
      </c>
      <c r="K2249" s="91" t="s">
        <v>1533</v>
      </c>
      <c r="L2249" s="91" t="s">
        <v>2175</v>
      </c>
      <c r="M2249" s="91" t="s">
        <v>0</v>
      </c>
      <c r="Q2249" s="91"/>
      <c r="S2249" s="91" t="s">
        <v>143</v>
      </c>
      <c r="T2249" s="91" t="s">
        <v>3258</v>
      </c>
      <c r="V2249" s="91" t="s">
        <v>168</v>
      </c>
      <c r="W2249" s="91" t="s">
        <v>180</v>
      </c>
    </row>
    <row r="2250" spans="1:23">
      <c r="A2250" s="93" t="str">
        <f>TEXT(tblProjectlist[[#This Row],[project-no]],"0")</f>
        <v>99919511</v>
      </c>
      <c r="H2250" s="91">
        <v>2073</v>
      </c>
      <c r="I2250" s="91">
        <v>32</v>
      </c>
      <c r="J2250" s="91">
        <v>1</v>
      </c>
      <c r="K2250" s="91" t="s">
        <v>1540</v>
      </c>
      <c r="L2250" s="91" t="s">
        <v>58</v>
      </c>
      <c r="M2250" s="91" t="s">
        <v>0</v>
      </c>
      <c r="Q2250" s="91"/>
      <c r="S2250" s="91" t="s">
        <v>143</v>
      </c>
      <c r="T2250" s="91" t="s">
        <v>2446</v>
      </c>
      <c r="V2250" s="91" t="s">
        <v>169</v>
      </c>
      <c r="W2250" s="91" t="s">
        <v>180</v>
      </c>
    </row>
    <row r="2251" spans="1:23">
      <c r="A2251" s="93" t="str">
        <f>TEXT(tblProjectlist[[#This Row],[project-no]],"0")</f>
        <v>99919611</v>
      </c>
      <c r="H2251" s="91">
        <v>2073</v>
      </c>
      <c r="I2251" s="91">
        <v>33</v>
      </c>
      <c r="J2251" s="91">
        <v>1</v>
      </c>
      <c r="K2251" s="91" t="s">
        <v>1541</v>
      </c>
      <c r="L2251" s="91" t="s">
        <v>58</v>
      </c>
      <c r="M2251" s="91" t="s">
        <v>0</v>
      </c>
      <c r="Q2251" s="91"/>
      <c r="S2251" s="91" t="s">
        <v>143</v>
      </c>
      <c r="T2251" s="91" t="s">
        <v>2447</v>
      </c>
      <c r="V2251" s="91" t="s">
        <v>169</v>
      </c>
      <c r="W2251" s="91" t="s">
        <v>180</v>
      </c>
    </row>
    <row r="2252" spans="1:23">
      <c r="A2252" s="93" t="str">
        <f>TEXT(tblProjectlist[[#This Row],[project-no]],"0")</f>
        <v>99919911</v>
      </c>
      <c r="H2252" s="91">
        <v>2073</v>
      </c>
      <c r="I2252" s="91">
        <v>35</v>
      </c>
      <c r="J2252" s="91">
        <v>1</v>
      </c>
      <c r="K2252" s="91" t="s">
        <v>1543</v>
      </c>
      <c r="L2252" s="91" t="s">
        <v>2175</v>
      </c>
      <c r="M2252" s="91" t="s">
        <v>0</v>
      </c>
      <c r="Q2252" s="91"/>
      <c r="S2252" s="91" t="s">
        <v>143</v>
      </c>
      <c r="T2252" s="91" t="s">
        <v>3261</v>
      </c>
      <c r="V2252" s="91" t="s">
        <v>169</v>
      </c>
      <c r="W2252" s="91" t="s">
        <v>180</v>
      </c>
    </row>
    <row r="2253" spans="1:23">
      <c r="A2253" s="93" t="str">
        <f>TEXT(tblProjectlist[[#This Row],[project-no]],"0")</f>
        <v>99931511</v>
      </c>
      <c r="H2253" s="91">
        <v>2073</v>
      </c>
      <c r="I2253" s="91">
        <v>32</v>
      </c>
      <c r="J2253" s="91">
        <v>1</v>
      </c>
      <c r="K2253" s="91" t="s">
        <v>1573</v>
      </c>
      <c r="L2253" s="91" t="s">
        <v>58</v>
      </c>
      <c r="M2253" s="91" t="s">
        <v>0</v>
      </c>
      <c r="Q2253" s="91"/>
      <c r="S2253" s="91" t="s">
        <v>143</v>
      </c>
      <c r="T2253" s="91" t="s">
        <v>2446</v>
      </c>
      <c r="V2253" s="91" t="s">
        <v>169</v>
      </c>
      <c r="W2253" s="91" t="s">
        <v>180</v>
      </c>
    </row>
    <row r="2254" spans="1:23">
      <c r="A2254" s="93" t="str">
        <f>TEXT(tblProjectlist[[#This Row],[project-no]],"0")</f>
        <v>99960811</v>
      </c>
      <c r="H2254" s="91">
        <v>2073</v>
      </c>
      <c r="I2254" s="91">
        <v>32</v>
      </c>
      <c r="J2254" s="91">
        <v>1</v>
      </c>
      <c r="K2254" s="91" t="s">
        <v>1730</v>
      </c>
      <c r="L2254" s="91" t="s">
        <v>58</v>
      </c>
      <c r="M2254" s="91" t="s">
        <v>0</v>
      </c>
      <c r="Q2254" s="91"/>
      <c r="S2254" s="91" t="s">
        <v>143</v>
      </c>
      <c r="T2254" s="91" t="s">
        <v>2446</v>
      </c>
      <c r="V2254" s="91" t="s">
        <v>169</v>
      </c>
      <c r="W2254" s="91" t="s">
        <v>180</v>
      </c>
    </row>
    <row r="2255" spans="1:23">
      <c r="A2255" s="93" t="str">
        <f>TEXT(tblProjectlist[[#This Row],[project-no]],"0")</f>
        <v>99919711</v>
      </c>
      <c r="H2255" s="91">
        <v>2077</v>
      </c>
      <c r="I2255" s="91">
        <v>13</v>
      </c>
      <c r="J2255" s="91">
        <v>1</v>
      </c>
      <c r="K2255" s="91" t="s">
        <v>1542</v>
      </c>
      <c r="L2255" s="91" t="s">
        <v>2175</v>
      </c>
      <c r="M2255" s="91" t="s">
        <v>0</v>
      </c>
      <c r="Q2255" s="91"/>
      <c r="S2255" s="91" t="s">
        <v>143</v>
      </c>
      <c r="T2255" s="91" t="s">
        <v>3260</v>
      </c>
      <c r="V2255" s="91" t="s">
        <v>169</v>
      </c>
      <c r="W2255" s="91" t="s">
        <v>180</v>
      </c>
    </row>
    <row r="2256" spans="1:23">
      <c r="A2256" s="93" t="str">
        <f>TEXT(tblProjectlist[[#This Row],[project-no]],"0")</f>
        <v>99941528</v>
      </c>
      <c r="H2256" s="91">
        <v>7802</v>
      </c>
      <c r="I2256" s="91">
        <v>18</v>
      </c>
      <c r="J2256" s="91">
        <v>2</v>
      </c>
      <c r="K2256" s="91" t="s">
        <v>1592</v>
      </c>
      <c r="L2256" s="91" t="s">
        <v>2175</v>
      </c>
      <c r="M2256" s="91" t="s">
        <v>4</v>
      </c>
      <c r="Q2256" s="91"/>
      <c r="S2256" s="91" t="s">
        <v>143</v>
      </c>
      <c r="T2256" s="91" t="s">
        <v>2971</v>
      </c>
      <c r="V2256" s="91" t="s">
        <v>155</v>
      </c>
      <c r="W2256" s="91" t="s">
        <v>180</v>
      </c>
    </row>
    <row r="2257" spans="1:23">
      <c r="A2257" s="93" t="str">
        <f>TEXT(tblProjectlist[[#This Row],[project-no]],"0")</f>
        <v>0</v>
      </c>
      <c r="H2257" s="91">
        <v>7802</v>
      </c>
      <c r="I2257" s="91">
        <v>43</v>
      </c>
      <c r="J2257" s="91">
        <v>2</v>
      </c>
      <c r="K2257" s="91"/>
      <c r="L2257" s="91" t="s">
        <v>2175</v>
      </c>
      <c r="M2257" s="91" t="s">
        <v>4</v>
      </c>
      <c r="Q2257" s="91"/>
      <c r="S2257" s="91" t="s">
        <v>143</v>
      </c>
      <c r="T2257" s="91" t="s">
        <v>3583</v>
      </c>
      <c r="V2257" s="91" t="s">
        <v>155</v>
      </c>
      <c r="W2257" s="91" t="s">
        <v>180</v>
      </c>
    </row>
    <row r="2258" spans="1:23">
      <c r="A2258" s="93" t="str">
        <f>TEXT(tblProjectlist[[#This Row],[project-no]],"0")</f>
        <v>0</v>
      </c>
      <c r="H2258" s="91">
        <v>7802</v>
      </c>
      <c r="I2258" s="91">
        <v>54</v>
      </c>
      <c r="J2258" s="91">
        <v>2</v>
      </c>
      <c r="K2258" s="91"/>
      <c r="L2258" s="91" t="s">
        <v>2175</v>
      </c>
      <c r="M2258" s="91" t="s">
        <v>4</v>
      </c>
      <c r="Q2258" s="91"/>
      <c r="S2258" s="91" t="s">
        <v>143</v>
      </c>
      <c r="T2258" s="91" t="s">
        <v>3970</v>
      </c>
      <c r="V2258" s="91" t="s">
        <v>156</v>
      </c>
      <c r="W2258" s="91" t="s">
        <v>180</v>
      </c>
    </row>
    <row r="2259" spans="1:23">
      <c r="A2259" s="93" t="str">
        <f>TEXT(tblProjectlist[[#This Row],[project-no]],"0")</f>
        <v>0</v>
      </c>
      <c r="H2259" s="91">
        <v>7802</v>
      </c>
      <c r="I2259" s="91">
        <v>55</v>
      </c>
      <c r="J2259" s="91">
        <v>2</v>
      </c>
      <c r="K2259" s="91"/>
      <c r="L2259" s="91" t="s">
        <v>2175</v>
      </c>
      <c r="M2259" s="91" t="s">
        <v>4</v>
      </c>
      <c r="Q2259" s="91"/>
      <c r="S2259" s="91" t="s">
        <v>143</v>
      </c>
      <c r="T2259" s="91" t="s">
        <v>3971</v>
      </c>
      <c r="V2259" s="91" t="s">
        <v>156</v>
      </c>
      <c r="W2259" s="91" t="s">
        <v>180</v>
      </c>
    </row>
    <row r="2260" spans="1:23">
      <c r="A2260" s="93" t="str">
        <f>TEXT(tblProjectlist[[#This Row],[project-no]],"0")</f>
        <v>78021628</v>
      </c>
      <c r="H2260" s="91">
        <v>7802</v>
      </c>
      <c r="I2260" s="91">
        <v>16</v>
      </c>
      <c r="J2260" s="91">
        <v>2</v>
      </c>
      <c r="K2260" s="91" t="s">
        <v>1103</v>
      </c>
      <c r="L2260" s="91" t="s">
        <v>2175</v>
      </c>
      <c r="M2260" s="91" t="s">
        <v>4</v>
      </c>
      <c r="Q2260" s="91"/>
      <c r="S2260" s="91" t="s">
        <v>143</v>
      </c>
      <c r="T2260" s="91" t="s">
        <v>2969</v>
      </c>
      <c r="V2260" s="91" t="s">
        <v>155</v>
      </c>
      <c r="W2260" s="91" t="s">
        <v>180</v>
      </c>
    </row>
    <row r="2261" spans="1:23">
      <c r="A2261" s="93" t="str">
        <f>TEXT(tblProjectlist[[#This Row],[project-no]],"0")</f>
        <v>78021728</v>
      </c>
      <c r="H2261" s="91">
        <v>7802</v>
      </c>
      <c r="I2261" s="91">
        <v>17</v>
      </c>
      <c r="J2261" s="91">
        <v>2</v>
      </c>
      <c r="K2261" s="91" t="s">
        <v>1104</v>
      </c>
      <c r="L2261" s="91" t="s">
        <v>2175</v>
      </c>
      <c r="M2261" s="91" t="s">
        <v>4</v>
      </c>
      <c r="Q2261" s="91"/>
      <c r="S2261" s="91" t="s">
        <v>143</v>
      </c>
      <c r="T2261" s="91" t="s">
        <v>2970</v>
      </c>
      <c r="V2261" s="91" t="s">
        <v>155</v>
      </c>
      <c r="W2261" s="91" t="s">
        <v>180</v>
      </c>
    </row>
    <row r="2262" spans="1:23">
      <c r="A2262" s="93" t="str">
        <f>TEXT(tblProjectlist[[#This Row],[project-no]],"0")</f>
        <v>78021828</v>
      </c>
      <c r="H2262" s="91">
        <v>7802</v>
      </c>
      <c r="I2262" s="91">
        <v>18</v>
      </c>
      <c r="J2262" s="91">
        <v>2</v>
      </c>
      <c r="K2262" s="91" t="s">
        <v>1105</v>
      </c>
      <c r="L2262" s="91" t="s">
        <v>2175</v>
      </c>
      <c r="M2262" s="91" t="s">
        <v>4</v>
      </c>
      <c r="Q2262" s="91"/>
      <c r="S2262" s="91" t="s">
        <v>143</v>
      </c>
      <c r="T2262" s="91" t="s">
        <v>2971</v>
      </c>
      <c r="V2262" s="91" t="s">
        <v>155</v>
      </c>
      <c r="W2262" s="91" t="s">
        <v>180</v>
      </c>
    </row>
    <row r="2263" spans="1:23">
      <c r="A2263" s="93" t="str">
        <f>TEXT(tblProjectlist[[#This Row],[project-no]],"0")</f>
        <v>78023211</v>
      </c>
      <c r="H2263" s="91">
        <v>7802</v>
      </c>
      <c r="I2263" s="91">
        <v>32</v>
      </c>
      <c r="J2263" s="91">
        <v>1</v>
      </c>
      <c r="K2263" s="91" t="s">
        <v>1112</v>
      </c>
      <c r="L2263" s="91" t="s">
        <v>2175</v>
      </c>
      <c r="M2263" s="91" t="s">
        <v>0</v>
      </c>
      <c r="Q2263" s="91"/>
      <c r="S2263" s="91" t="s">
        <v>143</v>
      </c>
      <c r="T2263" s="91" t="s">
        <v>2978</v>
      </c>
      <c r="V2263" s="91" t="s">
        <v>169</v>
      </c>
      <c r="W2263" s="91" t="s">
        <v>180</v>
      </c>
    </row>
    <row r="2264" spans="1:23">
      <c r="A2264" s="93" t="str">
        <f>TEXT(tblProjectlist[[#This Row],[project-no]],"0")</f>
        <v>78023328</v>
      </c>
      <c r="H2264" s="91">
        <v>7802</v>
      </c>
      <c r="I2264" s="91">
        <v>33</v>
      </c>
      <c r="J2264" s="91">
        <v>2</v>
      </c>
      <c r="K2264" s="91" t="s">
        <v>1113</v>
      </c>
      <c r="L2264" s="91" t="s">
        <v>2175</v>
      </c>
      <c r="M2264" s="91" t="s">
        <v>4</v>
      </c>
      <c r="Q2264" s="91"/>
      <c r="S2264" s="91" t="s">
        <v>143</v>
      </c>
      <c r="T2264" s="91" t="s">
        <v>2979</v>
      </c>
      <c r="V2264" s="91" t="s">
        <v>155</v>
      </c>
      <c r="W2264" s="91" t="s">
        <v>180</v>
      </c>
    </row>
    <row r="2265" spans="1:23">
      <c r="A2265" s="93" t="str">
        <f>TEXT(tblProjectlist[[#This Row],[project-no]],"0")</f>
        <v>0</v>
      </c>
      <c r="H2265" s="91">
        <v>7802</v>
      </c>
      <c r="I2265" s="91">
        <v>44</v>
      </c>
      <c r="J2265" s="91">
        <v>2</v>
      </c>
      <c r="K2265" s="91"/>
      <c r="L2265" s="91" t="s">
        <v>2175</v>
      </c>
      <c r="M2265" s="91" t="s">
        <v>4</v>
      </c>
      <c r="Q2265" s="91"/>
      <c r="S2265" s="91" t="s">
        <v>143</v>
      </c>
      <c r="T2265" s="91" t="s">
        <v>3704</v>
      </c>
      <c r="V2265" s="91" t="s">
        <v>155</v>
      </c>
      <c r="W2265" s="91" t="s">
        <v>180</v>
      </c>
    </row>
    <row r="2266" spans="1:23">
      <c r="A2266" s="93" t="str">
        <f>TEXT(tblProjectlist[[#This Row],[project-no]],"0")</f>
        <v>99963211</v>
      </c>
      <c r="H2266" s="91">
        <v>7802</v>
      </c>
      <c r="I2266" s="91">
        <v>32</v>
      </c>
      <c r="J2266" s="91">
        <v>1</v>
      </c>
      <c r="K2266" s="91" t="s">
        <v>1753</v>
      </c>
      <c r="L2266" s="91" t="s">
        <v>2175</v>
      </c>
      <c r="M2266" s="91" t="s">
        <v>0</v>
      </c>
      <c r="Q2266" s="91"/>
      <c r="S2266" s="91" t="s">
        <v>143</v>
      </c>
      <c r="T2266" s="91" t="s">
        <v>2978</v>
      </c>
      <c r="V2266" s="91" t="s">
        <v>169</v>
      </c>
      <c r="W2266" s="91" t="s">
        <v>180</v>
      </c>
    </row>
    <row r="2267" spans="1:23">
      <c r="A2267" s="93" t="str">
        <f>TEXT(tblProjectlist[[#This Row],[project-no]],"0")</f>
        <v>99900411</v>
      </c>
      <c r="H2267" s="91">
        <v>9991</v>
      </c>
      <c r="I2267" s="91">
        <v>99</v>
      </c>
      <c r="J2267" s="91">
        <v>1</v>
      </c>
      <c r="K2267" s="91" t="s">
        <v>1490</v>
      </c>
      <c r="L2267" s="91" t="s">
        <v>197</v>
      </c>
      <c r="M2267" s="91" t="s">
        <v>0</v>
      </c>
      <c r="Q2267" s="91"/>
      <c r="S2267" s="91" t="s">
        <v>143</v>
      </c>
      <c r="T2267" s="91" t="s">
        <v>3241</v>
      </c>
      <c r="V2267" s="91" t="s">
        <v>169</v>
      </c>
      <c r="W2267" s="91" t="s">
        <v>180</v>
      </c>
    </row>
    <row r="2268" spans="1:23">
      <c r="A2268" s="93" t="str">
        <f>TEXT(tblProjectlist[[#This Row],[project-no]],"0")</f>
        <v>99941628</v>
      </c>
      <c r="H2268" s="91">
        <v>9994</v>
      </c>
      <c r="I2268" s="91">
        <v>16</v>
      </c>
      <c r="J2268" s="91">
        <v>2</v>
      </c>
      <c r="K2268" s="91" t="s">
        <v>1593</v>
      </c>
      <c r="L2268" s="91" t="s">
        <v>1455</v>
      </c>
      <c r="M2268" s="91" t="s">
        <v>4</v>
      </c>
      <c r="Q2268" s="91"/>
      <c r="S2268" s="91" t="s">
        <v>143</v>
      </c>
      <c r="T2268" s="91" t="s">
        <v>3269</v>
      </c>
      <c r="W2268" s="91" t="s">
        <v>180</v>
      </c>
    </row>
    <row r="2269" spans="1:23">
      <c r="A2269" s="93" t="str">
        <f>TEXT(tblProjectlist[[#This Row],[project-no]],"0")</f>
        <v>0</v>
      </c>
      <c r="H2269" s="91">
        <v>1190</v>
      </c>
      <c r="I2269" s="91">
        <v>5</v>
      </c>
      <c r="J2269" s="91">
        <v>2</v>
      </c>
      <c r="K2269" s="91"/>
      <c r="L2269" s="91" t="s">
        <v>2175</v>
      </c>
      <c r="M2269" s="91" t="s">
        <v>4</v>
      </c>
      <c r="Q2269" s="91"/>
      <c r="S2269" s="91" t="s">
        <v>143</v>
      </c>
      <c r="T2269" s="91" t="s">
        <v>3642</v>
      </c>
      <c r="V2269" s="91" t="s">
        <v>155</v>
      </c>
      <c r="W2269" s="91" t="s">
        <v>180</v>
      </c>
    </row>
    <row r="2270" spans="1:23">
      <c r="A2270" s="93" t="str">
        <f>TEXT(tblProjectlist[[#This Row],[project-no]],"0")</f>
        <v>0</v>
      </c>
      <c r="H2270" s="91">
        <v>1190</v>
      </c>
      <c r="I2270" s="91">
        <v>6</v>
      </c>
      <c r="J2270" s="91">
        <v>2</v>
      </c>
      <c r="K2270" s="91"/>
      <c r="L2270" s="91" t="s">
        <v>2175</v>
      </c>
      <c r="M2270" s="91" t="s">
        <v>4</v>
      </c>
      <c r="Q2270" s="91"/>
      <c r="S2270" s="91" t="s">
        <v>143</v>
      </c>
      <c r="T2270" s="91" t="s">
        <v>3759</v>
      </c>
      <c r="V2270" s="91" t="s">
        <v>156</v>
      </c>
      <c r="W2270" s="91" t="s">
        <v>180</v>
      </c>
    </row>
    <row r="2271" spans="1:23">
      <c r="A2271" s="93" t="str">
        <f>TEXT(tblProjectlist[[#This Row],[project-no]],"0")</f>
        <v>0</v>
      </c>
      <c r="H2271" s="91">
        <v>1190</v>
      </c>
      <c r="I2271" s="91">
        <v>9</v>
      </c>
      <c r="J2271" s="91">
        <v>2</v>
      </c>
      <c r="K2271" s="91"/>
      <c r="L2271" s="91" t="s">
        <v>2175</v>
      </c>
      <c r="M2271" s="91" t="s">
        <v>4</v>
      </c>
      <c r="Q2271" s="91"/>
      <c r="S2271" s="91" t="s">
        <v>143</v>
      </c>
      <c r="T2271" s="91" t="s">
        <v>4308</v>
      </c>
      <c r="V2271" s="91" t="s">
        <v>155</v>
      </c>
      <c r="W2271" s="91" t="s">
        <v>180</v>
      </c>
    </row>
    <row r="2272" spans="1:23">
      <c r="A2272" s="93" t="str">
        <f>TEXT(tblProjectlist[[#This Row],[project-no]],"0")</f>
        <v>0</v>
      </c>
      <c r="H2272" s="91">
        <v>1190</v>
      </c>
      <c r="I2272" s="91">
        <v>7</v>
      </c>
      <c r="J2272" s="91">
        <v>2</v>
      </c>
      <c r="K2272" s="91"/>
      <c r="L2272" s="91" t="s">
        <v>2175</v>
      </c>
      <c r="M2272" s="91" t="s">
        <v>4</v>
      </c>
      <c r="Q2272" s="91"/>
      <c r="S2272" s="91" t="s">
        <v>143</v>
      </c>
      <c r="T2272" s="91" t="s">
        <v>4062</v>
      </c>
      <c r="V2272" s="91" t="s">
        <v>155</v>
      </c>
      <c r="W2272" s="91" t="s">
        <v>180</v>
      </c>
    </row>
    <row r="2273" spans="1:23">
      <c r="A2273" s="93" t="str">
        <f>TEXT(tblProjectlist[[#This Row],[project-no]],"0")</f>
        <v>0</v>
      </c>
      <c r="H2273" s="91">
        <v>1190</v>
      </c>
      <c r="I2273" s="91">
        <v>8</v>
      </c>
      <c r="J2273" s="91">
        <v>2</v>
      </c>
      <c r="K2273" s="91"/>
      <c r="L2273" s="91" t="s">
        <v>2175</v>
      </c>
      <c r="M2273" s="91" t="s">
        <v>4</v>
      </c>
      <c r="Q2273" s="91"/>
      <c r="S2273" s="91" t="s">
        <v>143</v>
      </c>
      <c r="T2273" s="91" t="s">
        <v>4100</v>
      </c>
      <c r="V2273" s="91" t="s">
        <v>155</v>
      </c>
      <c r="W2273" s="91" t="s">
        <v>180</v>
      </c>
    </row>
    <row r="2274" spans="1:23">
      <c r="A2274" s="93" t="str">
        <f>TEXT(tblProjectlist[[#This Row],[project-no]],"0")</f>
        <v>76180228</v>
      </c>
      <c r="H2274" s="91">
        <v>7618</v>
      </c>
      <c r="I2274" s="91">
        <v>2</v>
      </c>
      <c r="J2274" s="91">
        <v>2</v>
      </c>
      <c r="K2274" s="91" t="s">
        <v>1062</v>
      </c>
      <c r="L2274" s="91" t="s">
        <v>64</v>
      </c>
      <c r="M2274" s="91" t="s">
        <v>4</v>
      </c>
      <c r="Q2274" s="91"/>
      <c r="S2274" s="91" t="s">
        <v>143</v>
      </c>
      <c r="T2274" s="91" t="s">
        <v>2928</v>
      </c>
      <c r="W2274" s="91" t="s">
        <v>180</v>
      </c>
    </row>
    <row r="2275" spans="1:23">
      <c r="A2275" s="93" t="str">
        <f>TEXT(tblProjectlist[[#This Row],[project-no]],"0")</f>
        <v>76130228</v>
      </c>
      <c r="H2275" s="91">
        <v>7613</v>
      </c>
      <c r="I2275" s="91">
        <v>2</v>
      </c>
      <c r="J2275" s="91">
        <v>2</v>
      </c>
      <c r="K2275" s="91" t="s">
        <v>1057</v>
      </c>
      <c r="L2275" s="91" t="s">
        <v>2175</v>
      </c>
      <c r="M2275" s="91" t="s">
        <v>4</v>
      </c>
      <c r="Q2275" s="91"/>
      <c r="S2275" s="91" t="s">
        <v>143</v>
      </c>
      <c r="T2275" s="91" t="s">
        <v>2923</v>
      </c>
      <c r="V2275" s="91" t="s">
        <v>155</v>
      </c>
      <c r="W2275" s="91" t="s">
        <v>180</v>
      </c>
    </row>
    <row r="2276" spans="1:23">
      <c r="A2276" s="93" t="str">
        <f>TEXT(tblProjectlist[[#This Row],[project-no]],"0")</f>
        <v>0</v>
      </c>
      <c r="H2276" s="91">
        <v>6414</v>
      </c>
      <c r="I2276" s="91">
        <v>2</v>
      </c>
      <c r="J2276" s="91">
        <v>2</v>
      </c>
      <c r="K2276" s="91"/>
      <c r="L2276" s="91" t="s">
        <v>2175</v>
      </c>
      <c r="M2276" s="91" t="s">
        <v>4</v>
      </c>
      <c r="Q2276" s="91"/>
      <c r="S2276" s="91" t="s">
        <v>143</v>
      </c>
      <c r="T2276" s="91" t="s">
        <v>4508</v>
      </c>
      <c r="V2276" s="91" t="s">
        <v>155</v>
      </c>
      <c r="W2276" s="91" t="s">
        <v>180</v>
      </c>
    </row>
    <row r="2277" spans="1:23">
      <c r="A2277" s="93" t="str">
        <f>TEXT(tblProjectlist[[#This Row],[project-no]],"0")</f>
        <v>0</v>
      </c>
      <c r="H2277" s="91">
        <v>8848</v>
      </c>
      <c r="I2277" s="91">
        <v>6</v>
      </c>
      <c r="J2277" s="91">
        <v>2</v>
      </c>
      <c r="K2277" s="91"/>
      <c r="L2277" s="91" t="s">
        <v>2175</v>
      </c>
      <c r="M2277" s="91" t="s">
        <v>4</v>
      </c>
      <c r="Q2277" s="91"/>
      <c r="S2277" s="91" t="s">
        <v>143</v>
      </c>
      <c r="T2277" s="91" t="s">
        <v>3709</v>
      </c>
      <c r="V2277" s="91" t="s">
        <v>155</v>
      </c>
      <c r="W2277" s="91" t="s">
        <v>180</v>
      </c>
    </row>
    <row r="2278" spans="1:23">
      <c r="A2278" s="93" t="str">
        <f>TEXT(tblProjectlist[[#This Row],[project-no]],"0")</f>
        <v>0</v>
      </c>
      <c r="H2278" s="91">
        <v>8848</v>
      </c>
      <c r="I2278" s="91">
        <v>7</v>
      </c>
      <c r="J2278" s="91">
        <v>2</v>
      </c>
      <c r="K2278" s="91"/>
      <c r="L2278" s="91" t="s">
        <v>2175</v>
      </c>
      <c r="M2278" s="91" t="s">
        <v>4</v>
      </c>
      <c r="Q2278" s="91"/>
      <c r="S2278" s="91" t="s">
        <v>143</v>
      </c>
      <c r="T2278" s="91" t="s">
        <v>3710</v>
      </c>
      <c r="V2278" s="91" t="s">
        <v>155</v>
      </c>
      <c r="W2278" s="91" t="s">
        <v>180</v>
      </c>
    </row>
    <row r="2279" spans="1:23">
      <c r="A2279" s="93" t="str">
        <f>TEXT(tblProjectlist[[#This Row],[project-no]],"0")</f>
        <v>0</v>
      </c>
      <c r="H2279" s="91">
        <v>8848</v>
      </c>
      <c r="I2279" s="91">
        <v>8</v>
      </c>
      <c r="J2279" s="91">
        <v>2</v>
      </c>
      <c r="K2279" s="91"/>
      <c r="L2279" s="91" t="s">
        <v>2175</v>
      </c>
      <c r="M2279" s="91" t="s">
        <v>4</v>
      </c>
      <c r="Q2279" s="91"/>
      <c r="S2279" s="91" t="s">
        <v>143</v>
      </c>
      <c r="T2279" s="91" t="s">
        <v>3711</v>
      </c>
      <c r="V2279" s="91" t="s">
        <v>155</v>
      </c>
    </row>
    <row r="2280" spans="1:23">
      <c r="A2280" s="93" t="str">
        <f>TEXT(tblProjectlist[[#This Row],[project-no]],"0")</f>
        <v>88480528</v>
      </c>
      <c r="H2280" s="91">
        <v>8848</v>
      </c>
      <c r="I2280" s="91">
        <v>5</v>
      </c>
      <c r="J2280" s="91">
        <v>2</v>
      </c>
      <c r="K2280" s="91" t="s">
        <v>1246</v>
      </c>
      <c r="L2280" s="91" t="s">
        <v>2175</v>
      </c>
      <c r="M2280" s="91" t="s">
        <v>4</v>
      </c>
      <c r="Q2280" s="91"/>
      <c r="S2280" s="91" t="s">
        <v>143</v>
      </c>
      <c r="T2280" s="91" t="s">
        <v>3097</v>
      </c>
      <c r="V2280" s="91" t="s">
        <v>155</v>
      </c>
      <c r="W2280" s="91" t="s">
        <v>180</v>
      </c>
    </row>
    <row r="2281" spans="1:23">
      <c r="A2281" s="93" t="str">
        <f>TEXT(tblProjectlist[[#This Row],[project-no]],"0")</f>
        <v>60430228</v>
      </c>
      <c r="H2281" s="91">
        <v>6043</v>
      </c>
      <c r="I2281" s="91">
        <v>2</v>
      </c>
      <c r="J2281" s="91">
        <v>2</v>
      </c>
      <c r="K2281" s="91" t="s">
        <v>796</v>
      </c>
      <c r="L2281" s="91" t="s">
        <v>2175</v>
      </c>
      <c r="M2281" s="91" t="s">
        <v>4</v>
      </c>
      <c r="Q2281" s="91"/>
      <c r="S2281" s="91" t="s">
        <v>143</v>
      </c>
      <c r="T2281" s="91" t="s">
        <v>2692</v>
      </c>
      <c r="V2281" s="91" t="s">
        <v>155</v>
      </c>
      <c r="W2281" s="91" t="s">
        <v>180</v>
      </c>
    </row>
    <row r="2282" spans="1:23">
      <c r="A2282" s="93" t="str">
        <f>TEXT(tblProjectlist[[#This Row],[project-no]],"0")</f>
        <v>30960211</v>
      </c>
      <c r="H2282" s="91">
        <v>3096</v>
      </c>
      <c r="I2282" s="91">
        <v>2</v>
      </c>
      <c r="J2282" s="91">
        <v>1</v>
      </c>
      <c r="K2282" s="91" t="s">
        <v>715</v>
      </c>
      <c r="L2282" s="91" t="s">
        <v>197</v>
      </c>
      <c r="M2282" s="91" t="s">
        <v>0</v>
      </c>
      <c r="Q2282" s="91"/>
      <c r="S2282" s="91" t="s">
        <v>143</v>
      </c>
      <c r="T2282" s="91" t="s">
        <v>2615</v>
      </c>
      <c r="V2282" s="91" t="s">
        <v>169</v>
      </c>
      <c r="W2282" s="91" t="s">
        <v>180</v>
      </c>
    </row>
    <row r="2283" spans="1:23">
      <c r="A2283" s="93" t="str">
        <f>TEXT(tblProjectlist[[#This Row],[project-no]],"0")</f>
        <v>30960216</v>
      </c>
      <c r="H2283" s="91">
        <v>3096</v>
      </c>
      <c r="I2283" s="91">
        <v>2</v>
      </c>
      <c r="J2283" s="91">
        <v>1</v>
      </c>
      <c r="K2283" s="91" t="s">
        <v>716</v>
      </c>
      <c r="L2283" s="91" t="s">
        <v>197</v>
      </c>
      <c r="M2283" s="91" t="s">
        <v>0</v>
      </c>
      <c r="Q2283" s="91"/>
      <c r="S2283" s="91" t="s">
        <v>143</v>
      </c>
      <c r="T2283" s="91" t="s">
        <v>2615</v>
      </c>
      <c r="V2283" s="91" t="s">
        <v>168</v>
      </c>
      <c r="W2283" s="91" t="s">
        <v>180</v>
      </c>
    </row>
    <row r="2284" spans="1:23">
      <c r="A2284" s="93" t="str">
        <f>TEXT(tblProjectlist[[#This Row],[project-no]],"0")</f>
        <v>30960328</v>
      </c>
      <c r="H2284" s="91">
        <v>3096</v>
      </c>
      <c r="I2284" s="91">
        <v>3</v>
      </c>
      <c r="J2284" s="91">
        <v>2</v>
      </c>
      <c r="K2284" s="91" t="s">
        <v>717</v>
      </c>
      <c r="L2284" s="91" t="s">
        <v>197</v>
      </c>
      <c r="M2284" s="91" t="s">
        <v>4</v>
      </c>
      <c r="Q2284" s="91"/>
      <c r="S2284" s="91" t="s">
        <v>143</v>
      </c>
      <c r="T2284" s="91" t="s">
        <v>2616</v>
      </c>
      <c r="W2284" s="91" t="s">
        <v>180</v>
      </c>
    </row>
    <row r="2285" spans="1:23">
      <c r="A2285" s="93" t="str">
        <f>TEXT(tblProjectlist[[#This Row],[project-no]],"0")</f>
        <v>0</v>
      </c>
      <c r="H2285" s="91">
        <v>6085</v>
      </c>
      <c r="I2285" s="91">
        <v>3</v>
      </c>
      <c r="J2285" s="91">
        <v>4</v>
      </c>
      <c r="K2285" s="91"/>
      <c r="L2285" s="91" t="s">
        <v>58</v>
      </c>
      <c r="M2285" s="91" t="s">
        <v>1</v>
      </c>
      <c r="Q2285" s="91"/>
      <c r="S2285" s="91" t="s">
        <v>143</v>
      </c>
      <c r="T2285" s="91" t="s">
        <v>4273</v>
      </c>
      <c r="W2285" s="91" t="s">
        <v>180</v>
      </c>
    </row>
    <row r="2286" spans="1:23">
      <c r="A2286" s="93" t="str">
        <f>TEXT(tblProjectlist[[#This Row],[project-no]],"0")</f>
        <v>60850228</v>
      </c>
      <c r="H2286" s="91">
        <v>6085</v>
      </c>
      <c r="I2286" s="91">
        <v>2</v>
      </c>
      <c r="J2286" s="91">
        <v>2</v>
      </c>
      <c r="K2286" s="91" t="s">
        <v>820</v>
      </c>
      <c r="L2286" s="91" t="s">
        <v>2175</v>
      </c>
      <c r="M2286" s="91" t="s">
        <v>4</v>
      </c>
      <c r="Q2286" s="91"/>
      <c r="S2286" s="91" t="s">
        <v>143</v>
      </c>
      <c r="T2286" s="91" t="s">
        <v>2706</v>
      </c>
      <c r="V2286" s="91" t="s">
        <v>155</v>
      </c>
      <c r="W2286" s="91" t="s">
        <v>180</v>
      </c>
    </row>
    <row r="2287" spans="1:23">
      <c r="A2287" s="93" t="str">
        <f>TEXT(tblProjectlist[[#This Row],[project-no]],"0")</f>
        <v>29030443</v>
      </c>
      <c r="H2287" s="91">
        <v>2903</v>
      </c>
      <c r="I2287" s="91">
        <v>4</v>
      </c>
      <c r="J2287" s="91">
        <v>4</v>
      </c>
      <c r="K2287" s="91" t="s">
        <v>577</v>
      </c>
      <c r="L2287" s="91" t="s">
        <v>62</v>
      </c>
      <c r="M2287" s="91" t="s">
        <v>1</v>
      </c>
      <c r="Q2287" s="91"/>
      <c r="S2287" s="91" t="s">
        <v>143</v>
      </c>
      <c r="T2287" s="91" t="s">
        <v>2494</v>
      </c>
      <c r="W2287" s="91" t="s">
        <v>180</v>
      </c>
    </row>
    <row r="2288" spans="1:23">
      <c r="A2288" s="93" t="str">
        <f>TEXT(tblProjectlist[[#This Row],[project-no]],"0")</f>
        <v>31400228</v>
      </c>
      <c r="H2288" s="91">
        <v>3140</v>
      </c>
      <c r="I2288" s="91">
        <v>2</v>
      </c>
      <c r="J2288" s="91">
        <v>2</v>
      </c>
      <c r="K2288" s="91" t="s">
        <v>738</v>
      </c>
      <c r="L2288" s="91" t="s">
        <v>2175</v>
      </c>
      <c r="M2288" s="91" t="s">
        <v>4</v>
      </c>
      <c r="Q2288" s="91"/>
      <c r="S2288" s="91" t="s">
        <v>143</v>
      </c>
      <c r="T2288" s="91" t="s">
        <v>2636</v>
      </c>
      <c r="V2288" s="91" t="s">
        <v>155</v>
      </c>
      <c r="W2288" s="91" t="s">
        <v>180</v>
      </c>
    </row>
    <row r="2289" spans="1:23">
      <c r="A2289" s="93" t="str">
        <f>TEXT(tblProjectlist[[#This Row],[project-no]],"0")</f>
        <v>78022511</v>
      </c>
      <c r="H2289" s="91">
        <v>7802</v>
      </c>
      <c r="I2289" s="91">
        <v>25</v>
      </c>
      <c r="J2289" s="91">
        <v>1</v>
      </c>
      <c r="K2289" s="91" t="s">
        <v>1107</v>
      </c>
      <c r="L2289" s="91" t="s">
        <v>2175</v>
      </c>
      <c r="M2289" s="91" t="s">
        <v>0</v>
      </c>
      <c r="Q2289" s="91"/>
      <c r="S2289" s="91" t="s">
        <v>143</v>
      </c>
      <c r="T2289" s="91" t="s">
        <v>2973</v>
      </c>
      <c r="V2289" s="91" t="s">
        <v>169</v>
      </c>
      <c r="W2289" s="91" t="s">
        <v>180</v>
      </c>
    </row>
    <row r="2290" spans="1:23">
      <c r="A2290" s="93" t="str">
        <f>TEXT(tblProjectlist[[#This Row],[project-no]],"0")</f>
        <v>99945011</v>
      </c>
      <c r="H2290" s="91">
        <v>7802</v>
      </c>
      <c r="I2290" s="91">
        <v>25</v>
      </c>
      <c r="J2290" s="91">
        <v>1</v>
      </c>
      <c r="K2290" s="91" t="s">
        <v>1599</v>
      </c>
      <c r="L2290" s="91" t="s">
        <v>2175</v>
      </c>
      <c r="M2290" s="91" t="s">
        <v>0</v>
      </c>
      <c r="Q2290" s="91"/>
      <c r="S2290" s="91" t="s">
        <v>143</v>
      </c>
      <c r="T2290" s="91" t="s">
        <v>2973</v>
      </c>
      <c r="V2290" s="91" t="s">
        <v>169</v>
      </c>
      <c r="W2290" s="91" t="s">
        <v>180</v>
      </c>
    </row>
    <row r="2291" spans="1:23">
      <c r="A2291" s="93" t="str">
        <f>TEXT(tblProjectlist[[#This Row],[project-no]],"0")</f>
        <v>0</v>
      </c>
      <c r="H2291" s="91">
        <v>2890</v>
      </c>
      <c r="I2291" s="91">
        <v>11</v>
      </c>
      <c r="J2291" s="91">
        <v>2</v>
      </c>
      <c r="K2291" s="91"/>
      <c r="L2291" s="91" t="s">
        <v>197</v>
      </c>
      <c r="M2291" s="91" t="s">
        <v>4</v>
      </c>
      <c r="Q2291" s="91"/>
      <c r="S2291" s="91" t="s">
        <v>143</v>
      </c>
      <c r="T2291" s="91" t="s">
        <v>3773</v>
      </c>
      <c r="V2291" s="91" t="s">
        <v>155</v>
      </c>
      <c r="W2291" s="91" t="s">
        <v>180</v>
      </c>
    </row>
    <row r="2292" spans="1:23">
      <c r="A2292" s="93" t="str">
        <f>TEXT(tblProjectlist[[#This Row],[project-no]],"0")</f>
        <v>0</v>
      </c>
      <c r="H2292" s="91">
        <v>2890</v>
      </c>
      <c r="I2292" s="91">
        <v>12</v>
      </c>
      <c r="J2292" s="91">
        <v>2</v>
      </c>
      <c r="K2292" s="91"/>
      <c r="L2292" s="91" t="s">
        <v>197</v>
      </c>
      <c r="M2292" s="91" t="s">
        <v>4</v>
      </c>
      <c r="Q2292" s="91"/>
      <c r="S2292" s="91" t="s">
        <v>143</v>
      </c>
      <c r="T2292" s="91" t="s">
        <v>4549</v>
      </c>
      <c r="V2292" s="91" t="s">
        <v>155</v>
      </c>
      <c r="W2292" s="91" t="s">
        <v>180</v>
      </c>
    </row>
    <row r="2293" spans="1:23">
      <c r="A2293" s="93" t="str">
        <f>TEXT(tblProjectlist[[#This Row],[project-no]],"0")</f>
        <v>28900811</v>
      </c>
      <c r="H2293" s="91">
        <v>2890</v>
      </c>
      <c r="I2293" s="91">
        <v>8</v>
      </c>
      <c r="J2293" s="91">
        <v>1</v>
      </c>
      <c r="K2293" s="91" t="s">
        <v>3735</v>
      </c>
      <c r="L2293" s="91" t="s">
        <v>197</v>
      </c>
      <c r="M2293" s="91" t="s">
        <v>0</v>
      </c>
      <c r="Q2293" s="91"/>
      <c r="S2293" s="91" t="s">
        <v>143</v>
      </c>
      <c r="T2293" s="91" t="s">
        <v>3772</v>
      </c>
      <c r="V2293" s="91" t="s">
        <v>169</v>
      </c>
      <c r="W2293" s="91" t="s">
        <v>180</v>
      </c>
    </row>
    <row r="2294" spans="1:23">
      <c r="A2294" s="93" t="str">
        <f>TEXT(tblProjectlist[[#This Row],[project-no]],"0")</f>
        <v>28900817</v>
      </c>
      <c r="H2294" s="91">
        <v>2890</v>
      </c>
      <c r="I2294" s="91">
        <v>8</v>
      </c>
      <c r="J2294" s="91">
        <v>1</v>
      </c>
      <c r="K2294" s="91" t="s">
        <v>3736</v>
      </c>
      <c r="L2294" s="91" t="s">
        <v>197</v>
      </c>
      <c r="M2294" s="91" t="s">
        <v>0</v>
      </c>
      <c r="Q2294" s="91"/>
      <c r="S2294" s="91" t="s">
        <v>143</v>
      </c>
      <c r="T2294" s="91" t="s">
        <v>3772</v>
      </c>
      <c r="V2294" s="91" t="s">
        <v>168</v>
      </c>
      <c r="W2294" s="91" t="s">
        <v>180</v>
      </c>
    </row>
    <row r="2295" spans="1:23">
      <c r="A2295" s="93" t="str">
        <f>TEXT(tblProjectlist[[#This Row],[project-no]],"0")</f>
        <v>0</v>
      </c>
      <c r="H2295" s="91">
        <v>2891</v>
      </c>
      <c r="I2295" s="91">
        <v>4</v>
      </c>
      <c r="J2295" s="91">
        <v>1</v>
      </c>
      <c r="K2295" s="91"/>
      <c r="L2295" s="91" t="s">
        <v>2175</v>
      </c>
      <c r="M2295" s="91" t="s">
        <v>0</v>
      </c>
      <c r="Q2295" s="91"/>
      <c r="S2295" s="91" t="s">
        <v>143</v>
      </c>
      <c r="T2295" s="91" t="s">
        <v>3660</v>
      </c>
      <c r="V2295" s="91" t="s">
        <v>168</v>
      </c>
      <c r="W2295" s="91" t="s">
        <v>180</v>
      </c>
    </row>
    <row r="2296" spans="1:23">
      <c r="A2296" s="93" t="str">
        <f>TEXT(tblProjectlist[[#This Row],[project-no]],"0")</f>
        <v>28910211</v>
      </c>
      <c r="H2296" s="91">
        <v>2891</v>
      </c>
      <c r="I2296" s="91">
        <v>2</v>
      </c>
      <c r="J2296" s="91">
        <v>1</v>
      </c>
      <c r="K2296" s="91" t="s">
        <v>571</v>
      </c>
      <c r="L2296" s="91" t="s">
        <v>2175</v>
      </c>
      <c r="M2296" s="91" t="s">
        <v>0</v>
      </c>
      <c r="Q2296" s="91"/>
      <c r="S2296" s="91" t="s">
        <v>143</v>
      </c>
      <c r="T2296" s="91" t="s">
        <v>2489</v>
      </c>
      <c r="V2296" s="91" t="s">
        <v>169</v>
      </c>
      <c r="W2296" s="91" t="s">
        <v>180</v>
      </c>
    </row>
    <row r="2297" spans="1:23">
      <c r="A2297" s="93" t="str">
        <f>TEXT(tblProjectlist[[#This Row],[project-no]],"0")</f>
        <v>28910311</v>
      </c>
      <c r="H2297" s="91">
        <v>2891</v>
      </c>
      <c r="I2297" s="91">
        <v>3</v>
      </c>
      <c r="J2297" s="91">
        <v>1</v>
      </c>
      <c r="K2297" s="91" t="s">
        <v>572</v>
      </c>
      <c r="L2297" s="91" t="s">
        <v>2175</v>
      </c>
      <c r="M2297" s="91" t="s">
        <v>0</v>
      </c>
      <c r="Q2297" s="91"/>
      <c r="S2297" s="91" t="s">
        <v>143</v>
      </c>
      <c r="T2297" s="91" t="s">
        <v>2490</v>
      </c>
      <c r="V2297" s="91" t="s">
        <v>169</v>
      </c>
      <c r="W2297" s="91" t="s">
        <v>180</v>
      </c>
    </row>
    <row r="2298" spans="1:23">
      <c r="A2298" s="93" t="str">
        <f>TEXT(tblProjectlist[[#This Row],[project-no]],"0")</f>
        <v>28910316</v>
      </c>
      <c r="H2298" s="91">
        <v>2891</v>
      </c>
      <c r="I2298" s="91">
        <v>3</v>
      </c>
      <c r="J2298" s="91">
        <v>1</v>
      </c>
      <c r="K2298" s="91" t="s">
        <v>573</v>
      </c>
      <c r="L2298" s="91" t="s">
        <v>2175</v>
      </c>
      <c r="M2298" s="91" t="s">
        <v>0</v>
      </c>
      <c r="Q2298" s="91"/>
      <c r="S2298" s="91" t="s">
        <v>143</v>
      </c>
      <c r="T2298" s="91" t="s">
        <v>2490</v>
      </c>
      <c r="V2298" s="91" t="s">
        <v>168</v>
      </c>
      <c r="W2298" s="91" t="s">
        <v>180</v>
      </c>
    </row>
    <row r="2299" spans="1:23">
      <c r="A2299" s="93" t="str">
        <f>TEXT(tblProjectlist[[#This Row],[project-no]],"0")</f>
        <v>0</v>
      </c>
      <c r="H2299" s="91">
        <v>8029</v>
      </c>
      <c r="I2299" s="91">
        <v>6</v>
      </c>
      <c r="J2299" s="91">
        <v>2</v>
      </c>
      <c r="K2299" s="91"/>
      <c r="L2299" s="91" t="s">
        <v>2175</v>
      </c>
      <c r="M2299" s="91" t="s">
        <v>4</v>
      </c>
      <c r="Q2299" s="91"/>
      <c r="S2299" s="91" t="s">
        <v>143</v>
      </c>
      <c r="T2299" s="91" t="s">
        <v>3724</v>
      </c>
      <c r="V2299" s="91" t="s">
        <v>155</v>
      </c>
      <c r="W2299" s="91" t="s">
        <v>180</v>
      </c>
    </row>
    <row r="2300" spans="1:23">
      <c r="A2300" s="93" t="str">
        <f>TEXT(tblProjectlist[[#This Row],[project-no]],"0")</f>
        <v>0</v>
      </c>
      <c r="H2300" s="91">
        <v>8029</v>
      </c>
      <c r="I2300" s="91">
        <v>7</v>
      </c>
      <c r="J2300" s="91">
        <v>2</v>
      </c>
      <c r="K2300" s="91"/>
      <c r="L2300" s="91" t="s">
        <v>2175</v>
      </c>
      <c r="M2300" s="91" t="s">
        <v>4</v>
      </c>
      <c r="Q2300" s="91"/>
      <c r="S2300" s="91" t="s">
        <v>143</v>
      </c>
      <c r="T2300" s="91" t="s">
        <v>3725</v>
      </c>
      <c r="V2300" s="91" t="s">
        <v>155</v>
      </c>
      <c r="W2300" s="91" t="s">
        <v>180</v>
      </c>
    </row>
    <row r="2301" spans="1:23">
      <c r="A2301" s="93" t="str">
        <f>TEXT(tblProjectlist[[#This Row],[project-no]],"0")</f>
        <v>0</v>
      </c>
      <c r="H2301" s="91">
        <v>8029</v>
      </c>
      <c r="I2301" s="91">
        <v>8</v>
      </c>
      <c r="J2301" s="91">
        <v>2</v>
      </c>
      <c r="K2301" s="91"/>
      <c r="L2301" s="91" t="s">
        <v>2175</v>
      </c>
      <c r="M2301" s="91" t="s">
        <v>4</v>
      </c>
      <c r="Q2301" s="91"/>
      <c r="S2301" s="91" t="s">
        <v>143</v>
      </c>
      <c r="T2301" s="91" t="s">
        <v>4556</v>
      </c>
      <c r="V2301" s="91" t="s">
        <v>155</v>
      </c>
      <c r="W2301" s="91" t="s">
        <v>180</v>
      </c>
    </row>
    <row r="2302" spans="1:23">
      <c r="A2302" s="93" t="str">
        <f>TEXT(tblProjectlist[[#This Row],[project-no]],"0")</f>
        <v>0</v>
      </c>
      <c r="H2302" s="91">
        <v>8029</v>
      </c>
      <c r="I2302" s="91">
        <v>9</v>
      </c>
      <c r="J2302" s="91">
        <v>1</v>
      </c>
      <c r="K2302" s="91"/>
      <c r="L2302" s="91" t="s">
        <v>2175</v>
      </c>
      <c r="M2302" s="91" t="s">
        <v>0</v>
      </c>
      <c r="Q2302" s="91"/>
      <c r="S2302" s="91" t="s">
        <v>143</v>
      </c>
      <c r="T2302" s="91" t="s">
        <v>4674</v>
      </c>
      <c r="V2302" s="91" t="s">
        <v>168</v>
      </c>
      <c r="W2302" s="91" t="s">
        <v>180</v>
      </c>
    </row>
    <row r="2303" spans="1:23">
      <c r="A2303" s="93" t="str">
        <f>TEXT(tblProjectlist[[#This Row],[project-no]],"0")</f>
        <v>31110743</v>
      </c>
      <c r="H2303" s="91">
        <v>3111</v>
      </c>
      <c r="I2303" s="91">
        <v>7</v>
      </c>
      <c r="J2303" s="91">
        <v>4</v>
      </c>
      <c r="K2303" s="91">
        <v>31110743</v>
      </c>
      <c r="L2303" s="91" t="s">
        <v>58</v>
      </c>
      <c r="M2303" s="91" t="s">
        <v>1</v>
      </c>
      <c r="Q2303" s="91"/>
      <c r="S2303" s="91" t="s">
        <v>143</v>
      </c>
      <c r="T2303" s="91" t="s">
        <v>4115</v>
      </c>
      <c r="V2303" s="91" t="s">
        <v>164</v>
      </c>
      <c r="W2303" s="91" t="s">
        <v>180</v>
      </c>
    </row>
    <row r="2304" spans="1:23">
      <c r="A2304" s="93" t="str">
        <f>TEXT(tblProjectlist[[#This Row],[project-no]],"0")</f>
        <v>0</v>
      </c>
      <c r="H2304" s="91">
        <v>3167</v>
      </c>
      <c r="I2304" s="91">
        <v>2</v>
      </c>
      <c r="J2304" s="91">
        <v>2</v>
      </c>
      <c r="K2304" s="91"/>
      <c r="L2304" s="91" t="s">
        <v>62</v>
      </c>
      <c r="M2304" s="91" t="s">
        <v>4</v>
      </c>
      <c r="Q2304" s="91"/>
      <c r="S2304" s="91" t="s">
        <v>143</v>
      </c>
      <c r="T2304" s="91" t="s">
        <v>4120</v>
      </c>
      <c r="V2304" s="91" t="s">
        <v>155</v>
      </c>
      <c r="W2304" s="91" t="s">
        <v>180</v>
      </c>
    </row>
    <row r="2305" spans="1:23">
      <c r="A2305" s="93" t="str">
        <f>TEXT(tblProjectlist[[#This Row],[project-no]],"0")</f>
        <v>30560128</v>
      </c>
      <c r="H2305" s="91">
        <v>3056</v>
      </c>
      <c r="I2305" s="91">
        <v>1</v>
      </c>
      <c r="J2305" s="91">
        <v>2</v>
      </c>
      <c r="K2305" s="91" t="s">
        <v>669</v>
      </c>
      <c r="L2305" s="91" t="s">
        <v>2175</v>
      </c>
      <c r="M2305" s="91" t="s">
        <v>4</v>
      </c>
      <c r="Q2305" s="91"/>
      <c r="S2305" s="91" t="s">
        <v>143</v>
      </c>
      <c r="T2305" s="91" t="s">
        <v>2571</v>
      </c>
      <c r="V2305" s="91" t="s">
        <v>155</v>
      </c>
      <c r="W2305" s="91" t="s">
        <v>180</v>
      </c>
    </row>
    <row r="2306" spans="1:23">
      <c r="A2306" s="93" t="str">
        <f>TEXT(tblProjectlist[[#This Row],[project-no]],"0")</f>
        <v>30560228</v>
      </c>
      <c r="H2306" s="91">
        <v>3056</v>
      </c>
      <c r="I2306" s="91">
        <v>2</v>
      </c>
      <c r="J2306" s="91">
        <v>2</v>
      </c>
      <c r="K2306" s="91" t="s">
        <v>670</v>
      </c>
      <c r="L2306" s="91" t="s">
        <v>2175</v>
      </c>
      <c r="M2306" s="91" t="s">
        <v>4</v>
      </c>
      <c r="Q2306" s="91"/>
      <c r="S2306" s="91" t="s">
        <v>143</v>
      </c>
      <c r="T2306" s="91" t="s">
        <v>2572</v>
      </c>
      <c r="V2306" s="91" t="s">
        <v>155</v>
      </c>
      <c r="W2306" s="91" t="s">
        <v>180</v>
      </c>
    </row>
    <row r="2307" spans="1:23">
      <c r="A2307" s="93" t="str">
        <f>TEXT(tblProjectlist[[#This Row],[project-no]],"0")</f>
        <v>0</v>
      </c>
      <c r="H2307" s="91">
        <v>6143</v>
      </c>
      <c r="I2307" s="91">
        <v>2</v>
      </c>
      <c r="J2307" s="91">
        <v>2</v>
      </c>
      <c r="K2307" s="91"/>
      <c r="L2307" s="91" t="s">
        <v>2175</v>
      </c>
      <c r="M2307" s="91" t="s">
        <v>4</v>
      </c>
      <c r="Q2307" s="91"/>
      <c r="S2307" s="91" t="s">
        <v>143</v>
      </c>
      <c r="T2307" s="91" t="s">
        <v>4507</v>
      </c>
      <c r="V2307" s="91" t="s">
        <v>155</v>
      </c>
      <c r="W2307" s="91" t="s">
        <v>180</v>
      </c>
    </row>
    <row r="2308" spans="1:23">
      <c r="A2308" s="93" t="str">
        <f>TEXT(tblProjectlist[[#This Row],[project-no]],"0")</f>
        <v>75060211</v>
      </c>
      <c r="H2308" s="91">
        <v>7506</v>
      </c>
      <c r="I2308" s="91">
        <v>2</v>
      </c>
      <c r="J2308" s="91">
        <v>1</v>
      </c>
      <c r="K2308" s="91" t="s">
        <v>987</v>
      </c>
      <c r="L2308" s="91" t="s">
        <v>2175</v>
      </c>
      <c r="M2308" s="91" t="s">
        <v>0</v>
      </c>
      <c r="Q2308" s="91"/>
      <c r="S2308" s="91" t="s">
        <v>143</v>
      </c>
      <c r="T2308" s="91" t="s">
        <v>2856</v>
      </c>
      <c r="V2308" s="91" t="s">
        <v>169</v>
      </c>
      <c r="W2308" s="91" t="s">
        <v>180</v>
      </c>
    </row>
    <row r="2309" spans="1:23">
      <c r="A2309" s="93" t="str">
        <f>TEXT(tblProjectlist[[#This Row],[project-no]],"0")</f>
        <v>75060328</v>
      </c>
      <c r="H2309" s="91">
        <v>7506</v>
      </c>
      <c r="I2309" s="91">
        <v>3</v>
      </c>
      <c r="J2309" s="91">
        <v>2</v>
      </c>
      <c r="K2309" s="91" t="s">
        <v>988</v>
      </c>
      <c r="L2309" s="91" t="s">
        <v>2175</v>
      </c>
      <c r="M2309" s="91" t="s">
        <v>4</v>
      </c>
      <c r="Q2309" s="91"/>
      <c r="S2309" s="91" t="s">
        <v>143</v>
      </c>
      <c r="T2309" s="91" t="s">
        <v>2857</v>
      </c>
      <c r="V2309" s="91" t="s">
        <v>155</v>
      </c>
      <c r="W2309" s="91" t="s">
        <v>180</v>
      </c>
    </row>
    <row r="2310" spans="1:23">
      <c r="A2310" s="93" t="str">
        <f>TEXT(tblProjectlist[[#This Row],[project-no]],"0")</f>
        <v>78020411</v>
      </c>
      <c r="H2310" s="91">
        <v>7802</v>
      </c>
      <c r="I2310" s="91">
        <v>4</v>
      </c>
      <c r="J2310" s="91">
        <v>1</v>
      </c>
      <c r="K2310" s="91" t="s">
        <v>1100</v>
      </c>
      <c r="L2310" s="91" t="s">
        <v>2175</v>
      </c>
      <c r="M2310" s="91" t="s">
        <v>0</v>
      </c>
      <c r="Q2310" s="91"/>
      <c r="S2310" s="91" t="s">
        <v>143</v>
      </c>
      <c r="T2310" s="91" t="s">
        <v>2966</v>
      </c>
      <c r="V2310" s="91" t="s">
        <v>169</v>
      </c>
      <c r="W2310" s="91" t="s">
        <v>180</v>
      </c>
    </row>
    <row r="2311" spans="1:23">
      <c r="A2311" s="93" t="str">
        <f>TEXT(tblProjectlist[[#This Row],[project-no]],"0")</f>
        <v>99933011</v>
      </c>
      <c r="H2311" s="91">
        <v>7802</v>
      </c>
      <c r="I2311" s="91">
        <v>4</v>
      </c>
      <c r="J2311" s="91">
        <v>1</v>
      </c>
      <c r="K2311" s="91" t="s">
        <v>1583</v>
      </c>
      <c r="L2311" s="91" t="s">
        <v>2175</v>
      </c>
      <c r="M2311" s="91" t="s">
        <v>0</v>
      </c>
      <c r="Q2311" s="91"/>
      <c r="S2311" s="91" t="s">
        <v>143</v>
      </c>
      <c r="T2311" s="91" t="s">
        <v>2966</v>
      </c>
      <c r="V2311" s="91" t="s">
        <v>169</v>
      </c>
      <c r="W2311" s="91" t="s">
        <v>180</v>
      </c>
    </row>
    <row r="2312" spans="1:23">
      <c r="A2312" s="93" t="str">
        <f>TEXT(tblProjectlist[[#This Row],[project-no]],"0")</f>
        <v>0</v>
      </c>
      <c r="H2312" s="91">
        <v>8014</v>
      </c>
      <c r="I2312" s="91">
        <v>2</v>
      </c>
      <c r="J2312" s="91">
        <v>2</v>
      </c>
      <c r="K2312" s="91"/>
      <c r="L2312" s="91" t="s">
        <v>2175</v>
      </c>
      <c r="M2312" s="91" t="s">
        <v>4</v>
      </c>
      <c r="Q2312" s="91"/>
      <c r="S2312" s="91" t="s">
        <v>143</v>
      </c>
      <c r="T2312" s="91" t="s">
        <v>4656</v>
      </c>
      <c r="V2312" s="91" t="s">
        <v>155</v>
      </c>
      <c r="W2312" s="91" t="s">
        <v>180</v>
      </c>
    </row>
    <row r="2313" spans="1:23">
      <c r="A2313" s="93" t="str">
        <f>TEXT(tblProjectlist[[#This Row],[project-no]],"0")</f>
        <v>0</v>
      </c>
      <c r="H2313" s="91">
        <v>7054</v>
      </c>
      <c r="I2313" s="91">
        <v>4</v>
      </c>
      <c r="J2313" s="91">
        <v>2</v>
      </c>
      <c r="K2313" s="91"/>
      <c r="L2313" s="91" t="s">
        <v>2175</v>
      </c>
      <c r="M2313" s="91" t="s">
        <v>4</v>
      </c>
      <c r="Q2313" s="91"/>
      <c r="S2313" s="91" t="s">
        <v>143</v>
      </c>
      <c r="T2313" s="91" t="s">
        <v>4144</v>
      </c>
      <c r="V2313" s="91" t="s">
        <v>155</v>
      </c>
      <c r="W2313" s="91" t="s">
        <v>180</v>
      </c>
    </row>
    <row r="2314" spans="1:23">
      <c r="A2314" s="93" t="str">
        <f>TEXT(tblProjectlist[[#This Row],[project-no]],"0")</f>
        <v>0</v>
      </c>
      <c r="H2314" s="91">
        <v>7054</v>
      </c>
      <c r="I2314" s="91">
        <v>5</v>
      </c>
      <c r="J2314" s="91">
        <v>2</v>
      </c>
      <c r="K2314" s="91"/>
      <c r="L2314" s="91" t="s">
        <v>2175</v>
      </c>
      <c r="M2314" s="91" t="s">
        <v>4</v>
      </c>
      <c r="Q2314" s="91"/>
      <c r="S2314" s="91" t="s">
        <v>143</v>
      </c>
      <c r="T2314" s="91" t="s">
        <v>4169</v>
      </c>
      <c r="V2314" s="91" t="s">
        <v>155</v>
      </c>
      <c r="W2314" s="91" t="s">
        <v>180</v>
      </c>
    </row>
    <row r="2315" spans="1:23">
      <c r="A2315" s="93" t="str">
        <f>TEXT(tblProjectlist[[#This Row],[project-no]],"0")</f>
        <v>0</v>
      </c>
      <c r="H2315" s="91">
        <v>7054</v>
      </c>
      <c r="I2315" s="91">
        <v>6</v>
      </c>
      <c r="J2315" s="91">
        <v>2</v>
      </c>
      <c r="K2315" s="91"/>
      <c r="L2315" s="91" t="s">
        <v>2175</v>
      </c>
      <c r="M2315" s="91" t="s">
        <v>4</v>
      </c>
      <c r="Q2315" s="91"/>
      <c r="S2315" s="91" t="s">
        <v>143</v>
      </c>
      <c r="T2315" s="91" t="s">
        <v>4199</v>
      </c>
      <c r="V2315" s="91" t="s">
        <v>155</v>
      </c>
      <c r="W2315" s="91" t="s">
        <v>180</v>
      </c>
    </row>
    <row r="2316" spans="1:23">
      <c r="A2316" s="93" t="str">
        <f>TEXT(tblProjectlist[[#This Row],[project-no]],"0")</f>
        <v>0</v>
      </c>
      <c r="H2316" s="91">
        <v>7054</v>
      </c>
      <c r="I2316" s="91">
        <v>8</v>
      </c>
      <c r="J2316" s="91">
        <v>2</v>
      </c>
      <c r="K2316" s="91"/>
      <c r="L2316" s="91" t="s">
        <v>2175</v>
      </c>
      <c r="M2316" s="91" t="s">
        <v>4</v>
      </c>
      <c r="Q2316" s="91"/>
      <c r="S2316" s="91" t="s">
        <v>143</v>
      </c>
      <c r="T2316" s="91" t="s">
        <v>4278</v>
      </c>
      <c r="V2316" s="91" t="s">
        <v>155</v>
      </c>
      <c r="W2316" s="91" t="s">
        <v>180</v>
      </c>
    </row>
    <row r="2317" spans="1:23">
      <c r="A2317" s="93" t="str">
        <f>TEXT(tblProjectlist[[#This Row],[project-no]],"0")</f>
        <v>0</v>
      </c>
      <c r="H2317" s="91">
        <v>7054</v>
      </c>
      <c r="I2317" s="91">
        <v>2</v>
      </c>
      <c r="J2317" s="91">
        <v>2</v>
      </c>
      <c r="K2317" s="91"/>
      <c r="L2317" s="91" t="s">
        <v>2175</v>
      </c>
      <c r="M2317" s="91" t="s">
        <v>4</v>
      </c>
      <c r="Q2317" s="91"/>
      <c r="S2317" s="91" t="s">
        <v>143</v>
      </c>
      <c r="T2317" s="91" t="s">
        <v>4046</v>
      </c>
      <c r="V2317" s="91" t="s">
        <v>155</v>
      </c>
      <c r="W2317" s="91" t="s">
        <v>180</v>
      </c>
    </row>
    <row r="2318" spans="1:23">
      <c r="A2318" s="93" t="str">
        <f>TEXT(tblProjectlist[[#This Row],[project-no]],"0")</f>
        <v>0</v>
      </c>
      <c r="H2318" s="91">
        <v>7054</v>
      </c>
      <c r="I2318" s="91">
        <v>3</v>
      </c>
      <c r="J2318" s="91">
        <v>2</v>
      </c>
      <c r="K2318" s="91"/>
      <c r="L2318" s="91" t="s">
        <v>2175</v>
      </c>
      <c r="M2318" s="91" t="s">
        <v>4</v>
      </c>
      <c r="Q2318" s="91"/>
      <c r="S2318" s="91" t="s">
        <v>143</v>
      </c>
      <c r="T2318" s="91" t="s">
        <v>4606</v>
      </c>
      <c r="V2318" s="91" t="s">
        <v>155</v>
      </c>
      <c r="W2318" s="91" t="s">
        <v>180</v>
      </c>
    </row>
    <row r="2319" spans="1:23">
      <c r="A2319" s="93" t="str">
        <f>TEXT(tblProjectlist[[#This Row],[project-no]],"0")</f>
        <v>0</v>
      </c>
      <c r="H2319" s="91">
        <v>7054</v>
      </c>
      <c r="I2319" s="91">
        <v>7</v>
      </c>
      <c r="J2319" s="91">
        <v>2</v>
      </c>
      <c r="K2319" s="91"/>
      <c r="L2319" s="91" t="s">
        <v>2175</v>
      </c>
      <c r="M2319" s="91" t="s">
        <v>4</v>
      </c>
      <c r="Q2319" s="91"/>
      <c r="S2319" s="91" t="s">
        <v>143</v>
      </c>
      <c r="T2319" s="91" t="s">
        <v>4240</v>
      </c>
      <c r="V2319" s="91" t="s">
        <v>155</v>
      </c>
      <c r="W2319" s="91" t="s">
        <v>180</v>
      </c>
    </row>
    <row r="2320" spans="1:23">
      <c r="A2320" s="93" t="str">
        <f>TEXT(tblProjectlist[[#This Row],[project-no]],"0")</f>
        <v>0</v>
      </c>
      <c r="H2320" s="91">
        <v>6144</v>
      </c>
      <c r="I2320" s="91">
        <v>2</v>
      </c>
      <c r="J2320" s="91">
        <v>2</v>
      </c>
      <c r="K2320" s="91"/>
      <c r="L2320" s="91" t="s">
        <v>2175</v>
      </c>
      <c r="M2320" s="91" t="s">
        <v>4</v>
      </c>
      <c r="Q2320" s="91"/>
      <c r="S2320" s="91" t="s">
        <v>143</v>
      </c>
      <c r="T2320" s="91" t="s">
        <v>4600</v>
      </c>
      <c r="V2320" s="91" t="s">
        <v>155</v>
      </c>
      <c r="W2320" s="91" t="s">
        <v>180</v>
      </c>
    </row>
    <row r="2321" spans="1:23">
      <c r="A2321" s="93" t="str">
        <f>TEXT(tblProjectlist[[#This Row],[project-no]],"0")</f>
        <v>31380228</v>
      </c>
      <c r="H2321" s="91">
        <v>3138</v>
      </c>
      <c r="I2321" s="91">
        <v>2</v>
      </c>
      <c r="J2321" s="91">
        <v>2</v>
      </c>
      <c r="K2321" s="91" t="s">
        <v>736</v>
      </c>
      <c r="L2321" s="91" t="s">
        <v>2175</v>
      </c>
      <c r="M2321" s="91" t="s">
        <v>4</v>
      </c>
      <c r="Q2321" s="91"/>
      <c r="S2321" s="91" t="s">
        <v>143</v>
      </c>
      <c r="T2321" s="91" t="s">
        <v>2634</v>
      </c>
      <c r="V2321" s="91" t="s">
        <v>155</v>
      </c>
      <c r="W2321" s="91" t="s">
        <v>180</v>
      </c>
    </row>
    <row r="2322" spans="1:23">
      <c r="A2322" s="93" t="str">
        <f>TEXT(tblProjectlist[[#This Row],[project-no]],"0")</f>
        <v>0</v>
      </c>
      <c r="H2322" s="91">
        <v>7598</v>
      </c>
      <c r="I2322" s="91">
        <v>3</v>
      </c>
      <c r="J2322" s="91">
        <v>2</v>
      </c>
      <c r="K2322" s="91"/>
      <c r="L2322" s="91" t="s">
        <v>197</v>
      </c>
      <c r="M2322" s="91" t="s">
        <v>4</v>
      </c>
      <c r="Q2322" s="91"/>
      <c r="S2322" s="91" t="s">
        <v>143</v>
      </c>
      <c r="T2322" s="91" t="s">
        <v>3867</v>
      </c>
      <c r="V2322" s="91" t="s">
        <v>155</v>
      </c>
      <c r="W2322" s="91" t="s">
        <v>180</v>
      </c>
    </row>
    <row r="2323" spans="1:23">
      <c r="A2323" s="93" t="str">
        <f>TEXT(tblProjectlist[[#This Row],[project-no]],"0")</f>
        <v>0</v>
      </c>
      <c r="H2323" s="91">
        <v>7062</v>
      </c>
      <c r="I2323" s="91">
        <v>2</v>
      </c>
      <c r="J2323" s="91">
        <v>1</v>
      </c>
      <c r="K2323" s="91"/>
      <c r="L2323" s="91" t="s">
        <v>197</v>
      </c>
      <c r="M2323" s="91" t="s">
        <v>0</v>
      </c>
      <c r="Q2323" s="91"/>
      <c r="S2323" s="91" t="s">
        <v>143</v>
      </c>
      <c r="T2323" s="91" t="s">
        <v>4434</v>
      </c>
      <c r="V2323" s="91" t="s">
        <v>169</v>
      </c>
      <c r="W2323" s="91" t="s">
        <v>180</v>
      </c>
    </row>
    <row r="2324" spans="1:23">
      <c r="A2324" s="93" t="str">
        <f>TEXT(tblProjectlist[[#This Row],[project-no]],"0")</f>
        <v>79100226</v>
      </c>
      <c r="H2324" s="91">
        <v>7910</v>
      </c>
      <c r="I2324" s="91">
        <v>2</v>
      </c>
      <c r="J2324" s="91">
        <v>2</v>
      </c>
      <c r="K2324" s="91" t="s">
        <v>1142</v>
      </c>
      <c r="L2324" s="91" t="s">
        <v>197</v>
      </c>
      <c r="M2324" s="91" t="s">
        <v>4</v>
      </c>
      <c r="Q2324" s="91"/>
      <c r="S2324" s="91" t="s">
        <v>143</v>
      </c>
      <c r="T2324" s="91" t="s">
        <v>3006</v>
      </c>
      <c r="W2324" s="91" t="s">
        <v>180</v>
      </c>
    </row>
    <row r="2325" spans="1:23">
      <c r="A2325" s="93" t="str">
        <f>TEXT(tblProjectlist[[#This Row],[project-no]],"0")</f>
        <v>0</v>
      </c>
      <c r="H2325" s="91">
        <v>7802</v>
      </c>
      <c r="I2325" s="91">
        <v>52</v>
      </c>
      <c r="J2325" s="91">
        <v>2</v>
      </c>
      <c r="K2325" s="91"/>
      <c r="L2325" s="91" t="s">
        <v>2175</v>
      </c>
      <c r="M2325" s="91" t="s">
        <v>4</v>
      </c>
      <c r="Q2325" s="91"/>
      <c r="S2325" s="91" t="s">
        <v>143</v>
      </c>
      <c r="T2325" s="91" t="s">
        <v>3947</v>
      </c>
      <c r="V2325" s="91" t="s">
        <v>156</v>
      </c>
      <c r="W2325" s="91" t="s">
        <v>180</v>
      </c>
    </row>
    <row r="2326" spans="1:23">
      <c r="A2326" s="93" t="str">
        <f>TEXT(tblProjectlist[[#This Row],[project-no]],"0")</f>
        <v>0</v>
      </c>
      <c r="H2326" s="91">
        <v>7802</v>
      </c>
      <c r="I2326" s="91">
        <v>51</v>
      </c>
      <c r="J2326" s="91">
        <v>2</v>
      </c>
      <c r="K2326" s="91"/>
      <c r="L2326" s="91" t="s">
        <v>62</v>
      </c>
      <c r="M2326" s="91" t="s">
        <v>4</v>
      </c>
      <c r="Q2326" s="91"/>
      <c r="S2326" s="91" t="s">
        <v>143</v>
      </c>
      <c r="T2326" s="91" t="s">
        <v>3946</v>
      </c>
      <c r="V2326" s="91" t="s">
        <v>156</v>
      </c>
      <c r="W2326" s="91" t="s">
        <v>180</v>
      </c>
    </row>
    <row r="2327" spans="1:23">
      <c r="A2327" s="93" t="str">
        <f>TEXT(tblProjectlist[[#This Row],[project-no]],"0")</f>
        <v>88260243</v>
      </c>
      <c r="H2327" s="91">
        <v>8826</v>
      </c>
      <c r="I2327" s="91">
        <v>2</v>
      </c>
      <c r="J2327" s="91">
        <v>4</v>
      </c>
      <c r="K2327" s="91">
        <v>88260243</v>
      </c>
      <c r="L2327" s="91" t="s">
        <v>58</v>
      </c>
      <c r="M2327" s="91" t="s">
        <v>1</v>
      </c>
      <c r="Q2327" s="91"/>
      <c r="S2327" s="91" t="s">
        <v>143</v>
      </c>
      <c r="T2327" s="91" t="s">
        <v>4738</v>
      </c>
      <c r="V2327" s="91" t="s">
        <v>164</v>
      </c>
      <c r="W2327" s="91" t="s">
        <v>180</v>
      </c>
    </row>
    <row r="2328" spans="1:23">
      <c r="A2328" s="93" t="str">
        <f>TEXT(tblProjectlist[[#This Row],[project-no]],"0")</f>
        <v>78023528</v>
      </c>
      <c r="H2328" s="91">
        <v>7802</v>
      </c>
      <c r="I2328" s="91">
        <v>35</v>
      </c>
      <c r="J2328" s="91">
        <v>2</v>
      </c>
      <c r="K2328" s="91" t="s">
        <v>1115</v>
      </c>
      <c r="L2328" s="91" t="s">
        <v>2175</v>
      </c>
      <c r="M2328" s="91" t="s">
        <v>4</v>
      </c>
      <c r="Q2328" s="91"/>
      <c r="S2328" s="91" t="s">
        <v>143</v>
      </c>
      <c r="T2328" s="91" t="s">
        <v>2981</v>
      </c>
      <c r="V2328" s="91" t="s">
        <v>155</v>
      </c>
      <c r="W2328" s="91" t="s">
        <v>180</v>
      </c>
    </row>
    <row r="2329" spans="1:23">
      <c r="A2329" s="93" t="str">
        <f>TEXT(tblProjectlist[[#This Row],[project-no]],"0")</f>
        <v>99964928</v>
      </c>
      <c r="H2329" s="91">
        <v>7802</v>
      </c>
      <c r="I2329" s="91">
        <v>35</v>
      </c>
      <c r="J2329" s="91">
        <v>2</v>
      </c>
      <c r="K2329" s="91" t="s">
        <v>1767</v>
      </c>
      <c r="L2329" s="91" t="s">
        <v>2175</v>
      </c>
      <c r="M2329" s="91" t="s">
        <v>4</v>
      </c>
      <c r="Q2329" s="91"/>
      <c r="S2329" s="91" t="s">
        <v>143</v>
      </c>
      <c r="T2329" s="91" t="s">
        <v>2981</v>
      </c>
      <c r="W2329" s="91" t="s">
        <v>180</v>
      </c>
    </row>
    <row r="2330" spans="1:23">
      <c r="A2330" s="93" t="str">
        <f>TEXT(tblProjectlist[[#This Row],[project-no]],"0")</f>
        <v>0</v>
      </c>
      <c r="H2330" s="91">
        <v>7802</v>
      </c>
      <c r="I2330" s="91">
        <v>48</v>
      </c>
      <c r="J2330" s="91">
        <v>2</v>
      </c>
      <c r="K2330" s="91"/>
      <c r="L2330" s="91" t="s">
        <v>2175</v>
      </c>
      <c r="M2330" s="91" t="s">
        <v>4</v>
      </c>
      <c r="Q2330" s="91"/>
      <c r="S2330" s="91" t="s">
        <v>143</v>
      </c>
      <c r="T2330" s="91" t="s">
        <v>3874</v>
      </c>
      <c r="V2330" s="91" t="s">
        <v>156</v>
      </c>
      <c r="W2330" s="91" t="s">
        <v>180</v>
      </c>
    </row>
    <row r="2331" spans="1:23">
      <c r="A2331" s="93" t="str">
        <f>TEXT(tblProjectlist[[#This Row],[project-no]],"0")</f>
        <v>0</v>
      </c>
      <c r="H2331" s="91">
        <v>7802</v>
      </c>
      <c r="I2331" s="91">
        <v>50</v>
      </c>
      <c r="J2331" s="91">
        <v>2</v>
      </c>
      <c r="K2331" s="91"/>
      <c r="L2331" s="91" t="s">
        <v>2175</v>
      </c>
      <c r="M2331" s="91" t="s">
        <v>4</v>
      </c>
      <c r="Q2331" s="91"/>
      <c r="S2331" s="91" t="s">
        <v>143</v>
      </c>
      <c r="T2331" s="91" t="s">
        <v>3876</v>
      </c>
      <c r="V2331" s="91" t="s">
        <v>156</v>
      </c>
      <c r="W2331" s="91" t="s">
        <v>180</v>
      </c>
    </row>
    <row r="2332" spans="1:23">
      <c r="A2332" s="93" t="str">
        <f>TEXT(tblProjectlist[[#This Row],[project-no]],"0")</f>
        <v>0</v>
      </c>
      <c r="H2332" s="91">
        <v>3180</v>
      </c>
      <c r="I2332" s="91">
        <v>2</v>
      </c>
      <c r="J2332" s="91">
        <v>1</v>
      </c>
      <c r="K2332" s="91"/>
      <c r="L2332" s="91" t="s">
        <v>197</v>
      </c>
      <c r="M2332" s="91" t="s">
        <v>0</v>
      </c>
      <c r="Q2332" s="91"/>
      <c r="S2332" s="91" t="s">
        <v>143</v>
      </c>
      <c r="T2332" s="91" t="s">
        <v>4270</v>
      </c>
      <c r="V2332" s="91" t="s">
        <v>169</v>
      </c>
      <c r="W2332" s="91" t="s">
        <v>180</v>
      </c>
    </row>
    <row r="2333" spans="1:23">
      <c r="A2333" s="93" t="str">
        <f>TEXT(tblProjectlist[[#This Row],[project-no]],"0")</f>
        <v>60950211</v>
      </c>
      <c r="H2333" s="91">
        <v>6095</v>
      </c>
      <c r="I2333" s="91">
        <v>2</v>
      </c>
      <c r="J2333" s="91">
        <v>1</v>
      </c>
      <c r="K2333" s="91" t="s">
        <v>826</v>
      </c>
      <c r="L2333" s="91" t="s">
        <v>2175</v>
      </c>
      <c r="M2333" s="91" t="s">
        <v>0</v>
      </c>
      <c r="Q2333" s="91"/>
      <c r="S2333" s="91" t="s">
        <v>143</v>
      </c>
      <c r="T2333" s="91" t="s">
        <v>2712</v>
      </c>
      <c r="V2333" s="91" t="s">
        <v>169</v>
      </c>
      <c r="W2333" s="91" t="s">
        <v>180</v>
      </c>
    </row>
    <row r="2334" spans="1:23">
      <c r="A2334" s="93" t="str">
        <f>TEXT(tblProjectlist[[#This Row],[project-no]],"0")</f>
        <v>0</v>
      </c>
      <c r="H2334" s="91">
        <v>6095</v>
      </c>
      <c r="I2334" s="91">
        <v>3</v>
      </c>
      <c r="J2334" s="91">
        <v>1</v>
      </c>
      <c r="K2334" s="91"/>
      <c r="L2334" s="91" t="s">
        <v>2175</v>
      </c>
      <c r="M2334" s="91" t="s">
        <v>0</v>
      </c>
      <c r="Q2334" s="91"/>
      <c r="S2334" s="91" t="s">
        <v>143</v>
      </c>
      <c r="T2334" s="91" t="s">
        <v>3673</v>
      </c>
      <c r="V2334" s="91" t="s">
        <v>169</v>
      </c>
      <c r="W2334" s="91" t="s">
        <v>180</v>
      </c>
    </row>
    <row r="2335" spans="1:23">
      <c r="A2335" s="93" t="str">
        <f>TEXT(tblProjectlist[[#This Row],[project-no]],"0")</f>
        <v>0</v>
      </c>
      <c r="H2335" s="91">
        <v>8039</v>
      </c>
      <c r="I2335" s="91">
        <v>2</v>
      </c>
      <c r="J2335" s="91">
        <v>2</v>
      </c>
      <c r="K2335" s="91"/>
      <c r="L2335" s="91" t="s">
        <v>197</v>
      </c>
      <c r="M2335" s="91" t="s">
        <v>4</v>
      </c>
      <c r="Q2335" s="91"/>
      <c r="S2335" s="91" t="s">
        <v>143</v>
      </c>
      <c r="T2335" s="91" t="s">
        <v>4557</v>
      </c>
      <c r="V2335" s="91" t="s">
        <v>155</v>
      </c>
      <c r="W2335" s="91" t="s">
        <v>180</v>
      </c>
    </row>
    <row r="2336" spans="1:23">
      <c r="A2336" s="93" t="str">
        <f>TEXT(tblProjectlist[[#This Row],[project-no]],"0")</f>
        <v>60260228</v>
      </c>
      <c r="H2336" s="91">
        <v>6026</v>
      </c>
      <c r="I2336" s="91">
        <v>2</v>
      </c>
      <c r="J2336" s="91">
        <v>2</v>
      </c>
      <c r="K2336" s="91" t="s">
        <v>787</v>
      </c>
      <c r="L2336" s="91" t="s">
        <v>2175</v>
      </c>
      <c r="M2336" s="91" t="s">
        <v>4</v>
      </c>
      <c r="Q2336" s="91"/>
      <c r="S2336" s="91" t="s">
        <v>143</v>
      </c>
      <c r="T2336" s="91" t="s">
        <v>2683</v>
      </c>
      <c r="V2336" s="91" t="s">
        <v>155</v>
      </c>
      <c r="W2336" s="91" t="s">
        <v>180</v>
      </c>
    </row>
    <row r="2337" spans="1:23">
      <c r="A2337" s="93" t="str">
        <f>TEXT(tblProjectlist[[#This Row],[project-no]],"0")</f>
        <v>70250417</v>
      </c>
      <c r="H2337" s="91">
        <v>7025</v>
      </c>
      <c r="I2337" s="91">
        <v>4</v>
      </c>
      <c r="J2337" s="91">
        <v>1</v>
      </c>
      <c r="K2337" s="91" t="s">
        <v>941</v>
      </c>
      <c r="L2337" s="91" t="s">
        <v>197</v>
      </c>
      <c r="M2337" s="91" t="s">
        <v>0</v>
      </c>
      <c r="Q2337" s="91"/>
      <c r="S2337" s="91" t="s">
        <v>143</v>
      </c>
      <c r="T2337" s="91" t="s">
        <v>2814</v>
      </c>
      <c r="V2337" s="91" t="s">
        <v>168</v>
      </c>
      <c r="W2337" s="91" t="s">
        <v>180</v>
      </c>
    </row>
    <row r="2338" spans="1:23">
      <c r="A2338" s="93" t="str">
        <f>TEXT(tblProjectlist[[#This Row],[project-no]],"0")</f>
        <v>60250228</v>
      </c>
      <c r="H2338" s="91">
        <v>6025</v>
      </c>
      <c r="I2338" s="91">
        <v>2</v>
      </c>
      <c r="J2338" s="91">
        <v>2</v>
      </c>
      <c r="K2338" s="91" t="s">
        <v>786</v>
      </c>
      <c r="L2338" s="91" t="s">
        <v>2175</v>
      </c>
      <c r="M2338" s="91" t="s">
        <v>4</v>
      </c>
      <c r="Q2338" s="91"/>
      <c r="S2338" s="91" t="s">
        <v>143</v>
      </c>
      <c r="T2338" s="91" t="s">
        <v>2682</v>
      </c>
      <c r="V2338" s="91" t="s">
        <v>155</v>
      </c>
      <c r="W2338" s="91" t="s">
        <v>180</v>
      </c>
    </row>
    <row r="2339" spans="1:23">
      <c r="A2339" s="93" t="str">
        <f>TEXT(tblProjectlist[[#This Row],[project-no]],"0")</f>
        <v>0</v>
      </c>
      <c r="H2339" s="91">
        <v>6025</v>
      </c>
      <c r="I2339" s="91">
        <v>3</v>
      </c>
      <c r="J2339" s="91">
        <v>2</v>
      </c>
      <c r="K2339" s="91"/>
      <c r="L2339" s="91" t="s">
        <v>2175</v>
      </c>
      <c r="M2339" s="91" t="s">
        <v>4</v>
      </c>
      <c r="Q2339" s="91"/>
      <c r="S2339" s="91" t="s">
        <v>143</v>
      </c>
      <c r="T2339" s="91" t="s">
        <v>3926</v>
      </c>
      <c r="V2339" s="91" t="s">
        <v>155</v>
      </c>
      <c r="W2339" s="91" t="s">
        <v>180</v>
      </c>
    </row>
    <row r="2340" spans="1:23">
      <c r="A2340" s="93" t="str">
        <f>TEXT(tblProjectlist[[#This Row],[project-no]],"0")</f>
        <v>88340328</v>
      </c>
      <c r="H2340" s="91">
        <v>8834</v>
      </c>
      <c r="I2340" s="91">
        <v>3</v>
      </c>
      <c r="J2340" s="91">
        <v>2</v>
      </c>
      <c r="K2340" s="91" t="s">
        <v>1243</v>
      </c>
      <c r="L2340" s="91" t="s">
        <v>2175</v>
      </c>
      <c r="M2340" s="91" t="s">
        <v>4</v>
      </c>
      <c r="Q2340" s="91"/>
      <c r="S2340" s="91" t="s">
        <v>143</v>
      </c>
      <c r="T2340" s="91" t="s">
        <v>3094</v>
      </c>
      <c r="V2340" s="91" t="s">
        <v>155</v>
      </c>
      <c r="W2340" s="91" t="s">
        <v>180</v>
      </c>
    </row>
    <row r="2341" spans="1:23">
      <c r="A2341" s="93" t="str">
        <f>TEXT(tblProjectlist[[#This Row],[project-no]],"0")</f>
        <v>88340428</v>
      </c>
      <c r="H2341" s="91">
        <v>8834</v>
      </c>
      <c r="I2341" s="91">
        <v>4</v>
      </c>
      <c r="J2341" s="91">
        <v>2</v>
      </c>
      <c r="K2341" s="91" t="s">
        <v>1244</v>
      </c>
      <c r="L2341" s="91" t="s">
        <v>2175</v>
      </c>
      <c r="M2341" s="91" t="s">
        <v>4</v>
      </c>
      <c r="Q2341" s="91"/>
      <c r="S2341" s="91" t="s">
        <v>143</v>
      </c>
      <c r="T2341" s="91" t="s">
        <v>3095</v>
      </c>
      <c r="V2341" s="91" t="s">
        <v>155</v>
      </c>
      <c r="W2341" s="91" t="s">
        <v>180</v>
      </c>
    </row>
    <row r="2342" spans="1:23">
      <c r="A2342" s="93" t="str">
        <f>TEXT(tblProjectlist[[#This Row],[project-no]],"0")</f>
        <v>88351228</v>
      </c>
      <c r="H2342" s="91">
        <v>8835</v>
      </c>
      <c r="I2342" s="91">
        <v>12</v>
      </c>
      <c r="J2342" s="91">
        <v>2</v>
      </c>
      <c r="K2342" s="91" t="s">
        <v>1245</v>
      </c>
      <c r="L2342" s="91" t="s">
        <v>2175</v>
      </c>
      <c r="M2342" s="91" t="s">
        <v>4</v>
      </c>
      <c r="Q2342" s="91"/>
      <c r="S2342" s="91" t="s">
        <v>143</v>
      </c>
      <c r="T2342" s="91" t="s">
        <v>3096</v>
      </c>
      <c r="V2342" s="91" t="s">
        <v>155</v>
      </c>
      <c r="W2342" s="91" t="s">
        <v>180</v>
      </c>
    </row>
    <row r="2343" spans="1:23">
      <c r="A2343" s="93" t="str">
        <f>TEXT(tblProjectlist[[#This Row],[project-no]],"0")</f>
        <v>0</v>
      </c>
      <c r="H2343" s="91">
        <v>8841</v>
      </c>
      <c r="I2343" s="91">
        <v>3</v>
      </c>
      <c r="J2343" s="91">
        <v>2</v>
      </c>
      <c r="K2343" s="91"/>
      <c r="L2343" s="91" t="s">
        <v>2175</v>
      </c>
      <c r="M2343" s="91" t="s">
        <v>4</v>
      </c>
      <c r="Q2343" s="91"/>
      <c r="S2343" s="91" t="s">
        <v>143</v>
      </c>
      <c r="T2343" s="91" t="s">
        <v>4739</v>
      </c>
      <c r="V2343" s="91" t="s">
        <v>155</v>
      </c>
      <c r="W2343" s="91" t="s">
        <v>180</v>
      </c>
    </row>
    <row r="2344" spans="1:23">
      <c r="A2344" s="93" t="str">
        <f>TEXT(tblProjectlist[[#This Row],[project-no]],"0")</f>
        <v>0</v>
      </c>
      <c r="H2344" s="91">
        <v>8838</v>
      </c>
      <c r="I2344" s="91">
        <v>4</v>
      </c>
      <c r="J2344" s="91">
        <v>2</v>
      </c>
      <c r="K2344" s="91"/>
      <c r="L2344" s="91" t="s">
        <v>197</v>
      </c>
      <c r="M2344" s="91" t="s">
        <v>4</v>
      </c>
      <c r="Q2344" s="91"/>
      <c r="S2344" s="91" t="s">
        <v>143</v>
      </c>
      <c r="T2344" s="91" t="s">
        <v>4456</v>
      </c>
      <c r="V2344" s="91" t="s">
        <v>155</v>
      </c>
      <c r="W2344" s="91" t="s">
        <v>180</v>
      </c>
    </row>
    <row r="2345" spans="1:23">
      <c r="A2345" s="93" t="str">
        <f>TEXT(tblProjectlist[[#This Row],[project-no]],"0")</f>
        <v>0</v>
      </c>
      <c r="H2345" s="91">
        <v>8841</v>
      </c>
      <c r="I2345" s="91">
        <v>2</v>
      </c>
      <c r="J2345" s="91">
        <v>2</v>
      </c>
      <c r="K2345" s="91"/>
      <c r="L2345" s="91" t="s">
        <v>2175</v>
      </c>
      <c r="M2345" s="91" t="s">
        <v>4</v>
      </c>
      <c r="Q2345" s="91"/>
      <c r="S2345" s="91" t="s">
        <v>143</v>
      </c>
      <c r="T2345" s="91" t="s">
        <v>4550</v>
      </c>
      <c r="V2345" s="91" t="s">
        <v>155</v>
      </c>
      <c r="W2345" s="91" t="s">
        <v>180</v>
      </c>
    </row>
    <row r="2346" spans="1:23">
      <c r="A2346" s="93" t="str">
        <f>TEXT(tblProjectlist[[#This Row],[project-no]],"0")</f>
        <v>0</v>
      </c>
      <c r="H2346" s="91">
        <v>8852</v>
      </c>
      <c r="I2346" s="91">
        <v>2</v>
      </c>
      <c r="J2346" s="91">
        <v>2</v>
      </c>
      <c r="K2346" s="91"/>
      <c r="L2346" s="91" t="s">
        <v>2175</v>
      </c>
      <c r="M2346" s="91" t="s">
        <v>4</v>
      </c>
      <c r="Q2346" s="91"/>
      <c r="S2346" s="91" t="s">
        <v>143</v>
      </c>
      <c r="T2346" s="91" t="s">
        <v>4415</v>
      </c>
      <c r="V2346" s="91" t="s">
        <v>155</v>
      </c>
      <c r="W2346" s="91" t="s">
        <v>180</v>
      </c>
    </row>
    <row r="2347" spans="1:23">
      <c r="A2347" s="93" t="str">
        <f>TEXT(tblProjectlist[[#This Row],[project-no]],"0")</f>
        <v>80070311</v>
      </c>
      <c r="H2347" s="91">
        <v>8007</v>
      </c>
      <c r="I2347" s="91">
        <v>3</v>
      </c>
      <c r="J2347" s="91">
        <v>1</v>
      </c>
      <c r="K2347" s="91" t="s">
        <v>1157</v>
      </c>
      <c r="L2347" s="91" t="s">
        <v>2175</v>
      </c>
      <c r="M2347" s="91" t="s">
        <v>0</v>
      </c>
      <c r="Q2347" s="91"/>
      <c r="S2347" s="91" t="s">
        <v>143</v>
      </c>
      <c r="T2347" s="91" t="s">
        <v>3021</v>
      </c>
      <c r="V2347" s="91" t="s">
        <v>169</v>
      </c>
      <c r="W2347" s="91" t="s">
        <v>180</v>
      </c>
    </row>
    <row r="2348" spans="1:23">
      <c r="A2348" s="93" t="str">
        <f>TEXT(tblProjectlist[[#This Row],[project-no]],"0")</f>
        <v>80070316</v>
      </c>
      <c r="H2348" s="91">
        <v>8007</v>
      </c>
      <c r="I2348" s="91">
        <v>3</v>
      </c>
      <c r="J2348" s="91">
        <v>1</v>
      </c>
      <c r="K2348" s="91" t="s">
        <v>1158</v>
      </c>
      <c r="L2348" s="91" t="s">
        <v>2175</v>
      </c>
      <c r="M2348" s="91" t="s">
        <v>0</v>
      </c>
      <c r="Q2348" s="91"/>
      <c r="S2348" s="91" t="s">
        <v>143</v>
      </c>
      <c r="T2348" s="91" t="s">
        <v>3021</v>
      </c>
      <c r="V2348" s="91" t="s">
        <v>168</v>
      </c>
      <c r="W2348" s="91" t="s">
        <v>180</v>
      </c>
    </row>
    <row r="2349" spans="1:23">
      <c r="A2349" s="93" t="str">
        <f>TEXT(tblProjectlist[[#This Row],[project-no]],"0")</f>
        <v>81170228</v>
      </c>
      <c r="H2349" s="91">
        <v>8117</v>
      </c>
      <c r="I2349" s="91">
        <v>2</v>
      </c>
      <c r="J2349" s="91">
        <v>2</v>
      </c>
      <c r="K2349" s="91" t="s">
        <v>1224</v>
      </c>
      <c r="L2349" s="91" t="s">
        <v>197</v>
      </c>
      <c r="M2349" s="91" t="s">
        <v>4</v>
      </c>
      <c r="Q2349" s="91"/>
      <c r="S2349" s="91" t="s">
        <v>143</v>
      </c>
      <c r="T2349" s="91" t="s">
        <v>3076</v>
      </c>
      <c r="V2349" s="91" t="s">
        <v>155</v>
      </c>
      <c r="W2349" s="91" t="s">
        <v>180</v>
      </c>
    </row>
    <row r="2350" spans="1:23">
      <c r="A2350" s="93" t="str">
        <f>TEXT(tblProjectlist[[#This Row],[project-no]],"0")</f>
        <v>81170328</v>
      </c>
      <c r="H2350" s="91">
        <v>8117</v>
      </c>
      <c r="I2350" s="91">
        <v>3</v>
      </c>
      <c r="J2350" s="91">
        <v>2</v>
      </c>
      <c r="K2350" s="91" t="s">
        <v>1225</v>
      </c>
      <c r="L2350" s="91" t="s">
        <v>197</v>
      </c>
      <c r="M2350" s="91" t="s">
        <v>4</v>
      </c>
      <c r="Q2350" s="91"/>
      <c r="S2350" s="91" t="s">
        <v>143</v>
      </c>
      <c r="T2350" s="91" t="s">
        <v>3077</v>
      </c>
      <c r="V2350" s="91" t="s">
        <v>155</v>
      </c>
      <c r="W2350" s="91" t="s">
        <v>180</v>
      </c>
    </row>
    <row r="2351" spans="1:23">
      <c r="A2351" s="93" t="str">
        <f>TEXT(tblProjectlist[[#This Row],[project-no]],"0")</f>
        <v>81170628</v>
      </c>
      <c r="H2351" s="91">
        <v>8117</v>
      </c>
      <c r="I2351" s="91">
        <v>6</v>
      </c>
      <c r="J2351" s="91">
        <v>2</v>
      </c>
      <c r="K2351" s="91" t="s">
        <v>1226</v>
      </c>
      <c r="L2351" s="91" t="s">
        <v>197</v>
      </c>
      <c r="M2351" s="91" t="s">
        <v>4</v>
      </c>
      <c r="Q2351" s="91"/>
      <c r="S2351" s="91" t="s">
        <v>143</v>
      </c>
      <c r="T2351" s="91" t="s">
        <v>3078</v>
      </c>
      <c r="V2351" s="91" t="s">
        <v>155</v>
      </c>
      <c r="W2351" s="91" t="s">
        <v>180</v>
      </c>
    </row>
    <row r="2352" spans="1:23">
      <c r="A2352" s="93" t="str">
        <f>TEXT(tblProjectlist[[#This Row],[project-no]],"0")</f>
        <v>81280228</v>
      </c>
      <c r="H2352" s="91">
        <v>8128</v>
      </c>
      <c r="I2352" s="91">
        <v>2</v>
      </c>
      <c r="J2352" s="91">
        <v>2</v>
      </c>
      <c r="K2352" s="91" t="s">
        <v>1229</v>
      </c>
      <c r="L2352" s="91" t="s">
        <v>197</v>
      </c>
      <c r="M2352" s="91" t="s">
        <v>4</v>
      </c>
      <c r="Q2352" s="91"/>
      <c r="S2352" s="91" t="s">
        <v>143</v>
      </c>
      <c r="T2352" s="91" t="s">
        <v>3081</v>
      </c>
      <c r="W2352" s="91" t="s">
        <v>180</v>
      </c>
    </row>
    <row r="2353" spans="1:23">
      <c r="A2353" s="93" t="str">
        <f>TEXT(tblProjectlist[[#This Row],[project-no]],"0")</f>
        <v>0</v>
      </c>
      <c r="H2353" s="91">
        <v>8129</v>
      </c>
      <c r="I2353" s="91">
        <v>4</v>
      </c>
      <c r="J2353" s="91">
        <v>2</v>
      </c>
      <c r="K2353" s="91"/>
      <c r="L2353" s="91" t="s">
        <v>197</v>
      </c>
      <c r="M2353" s="91" t="s">
        <v>4</v>
      </c>
      <c r="Q2353" s="91"/>
      <c r="S2353" s="91" t="s">
        <v>143</v>
      </c>
      <c r="T2353" s="91" t="s">
        <v>3952</v>
      </c>
      <c r="V2353" s="91" t="s">
        <v>155</v>
      </c>
      <c r="W2353" s="91" t="s">
        <v>180</v>
      </c>
    </row>
    <row r="2354" spans="1:23">
      <c r="A2354" s="93" t="str">
        <f>TEXT(tblProjectlist[[#This Row],[project-no]],"0")</f>
        <v>81290228</v>
      </c>
      <c r="H2354" s="91">
        <v>8129</v>
      </c>
      <c r="I2354" s="91">
        <v>2</v>
      </c>
      <c r="J2354" s="91">
        <v>2</v>
      </c>
      <c r="K2354" s="91" t="s">
        <v>1230</v>
      </c>
      <c r="L2354" s="91" t="s">
        <v>197</v>
      </c>
      <c r="M2354" s="91" t="s">
        <v>4</v>
      </c>
      <c r="Q2354" s="91"/>
      <c r="S2354" s="91" t="s">
        <v>143</v>
      </c>
      <c r="T2354" s="91" t="s">
        <v>3082</v>
      </c>
      <c r="V2354" s="91" t="s">
        <v>155</v>
      </c>
      <c r="W2354" s="91" t="s">
        <v>180</v>
      </c>
    </row>
    <row r="2355" spans="1:23">
      <c r="A2355" s="93" t="str">
        <f>TEXT(tblProjectlist[[#This Row],[project-no]],"0")</f>
        <v>81290328</v>
      </c>
      <c r="H2355" s="91">
        <v>8129</v>
      </c>
      <c r="I2355" s="91">
        <v>3</v>
      </c>
      <c r="J2355" s="91">
        <v>2</v>
      </c>
      <c r="K2355" s="91" t="s">
        <v>1231</v>
      </c>
      <c r="L2355" s="91" t="s">
        <v>197</v>
      </c>
      <c r="M2355" s="91" t="s">
        <v>4</v>
      </c>
      <c r="Q2355" s="91"/>
      <c r="S2355" s="91" t="s">
        <v>143</v>
      </c>
      <c r="T2355" s="91" t="s">
        <v>3083</v>
      </c>
      <c r="V2355" s="91" t="s">
        <v>155</v>
      </c>
      <c r="W2355" s="91" t="s">
        <v>180</v>
      </c>
    </row>
    <row r="2356" spans="1:23">
      <c r="A2356" s="93" t="str">
        <f>TEXT(tblProjectlist[[#This Row],[project-no]],"0")</f>
        <v>0</v>
      </c>
      <c r="H2356" s="91">
        <v>8130</v>
      </c>
      <c r="I2356" s="91">
        <v>2</v>
      </c>
      <c r="J2356" s="91">
        <v>2</v>
      </c>
      <c r="K2356" s="91"/>
      <c r="L2356" s="91" t="s">
        <v>197</v>
      </c>
      <c r="M2356" s="91" t="s">
        <v>4</v>
      </c>
      <c r="Q2356" s="91"/>
      <c r="S2356" s="91" t="s">
        <v>143</v>
      </c>
      <c r="T2356" s="91" t="s">
        <v>3587</v>
      </c>
      <c r="W2356" s="91" t="s">
        <v>180</v>
      </c>
    </row>
    <row r="2357" spans="1:23">
      <c r="A2357" s="93" t="str">
        <f>TEXT(tblProjectlist[[#This Row],[project-no]],"0")</f>
        <v>0</v>
      </c>
      <c r="H2357" s="91">
        <v>6114</v>
      </c>
      <c r="I2357" s="91">
        <v>2</v>
      </c>
      <c r="J2357" s="91">
        <v>2</v>
      </c>
      <c r="K2357" s="91"/>
      <c r="L2357" s="91" t="s">
        <v>62</v>
      </c>
      <c r="M2357" s="91" t="s">
        <v>4</v>
      </c>
      <c r="Q2357" s="91"/>
      <c r="S2357" s="91" t="s">
        <v>143</v>
      </c>
      <c r="T2357" s="91" t="s">
        <v>3860</v>
      </c>
      <c r="V2357" s="91" t="s">
        <v>155</v>
      </c>
      <c r="W2357" s="91" t="s">
        <v>180</v>
      </c>
    </row>
    <row r="2358" spans="1:23">
      <c r="A2358" s="93" t="str">
        <f>TEXT(tblProjectlist[[#This Row],[project-no]],"0")</f>
        <v>0</v>
      </c>
      <c r="H2358" s="91">
        <v>3076</v>
      </c>
      <c r="I2358" s="91">
        <v>5</v>
      </c>
      <c r="J2358" s="91">
        <v>2</v>
      </c>
      <c r="K2358" s="91"/>
      <c r="L2358" s="91" t="s">
        <v>197</v>
      </c>
      <c r="M2358" s="91" t="s">
        <v>4</v>
      </c>
      <c r="Q2358" s="91"/>
      <c r="S2358" s="91" t="s">
        <v>143</v>
      </c>
      <c r="T2358" s="91" t="s">
        <v>4114</v>
      </c>
      <c r="V2358" s="91" t="s">
        <v>155</v>
      </c>
      <c r="W2358" s="91" t="s">
        <v>180</v>
      </c>
    </row>
    <row r="2359" spans="1:23">
      <c r="A2359" s="93" t="str">
        <f>TEXT(tblProjectlist[[#This Row],[project-no]],"0")</f>
        <v>30760328</v>
      </c>
      <c r="H2359" s="91">
        <v>3076</v>
      </c>
      <c r="I2359" s="91">
        <v>3</v>
      </c>
      <c r="J2359" s="91">
        <v>2</v>
      </c>
      <c r="K2359" s="91" t="s">
        <v>693</v>
      </c>
      <c r="L2359" s="91" t="s">
        <v>197</v>
      </c>
      <c r="M2359" s="91" t="s">
        <v>4</v>
      </c>
      <c r="Q2359" s="91"/>
      <c r="S2359" s="91" t="s">
        <v>143</v>
      </c>
      <c r="T2359" s="91" t="s">
        <v>2593</v>
      </c>
      <c r="V2359" s="91" t="s">
        <v>155</v>
      </c>
      <c r="W2359" s="91" t="s">
        <v>180</v>
      </c>
    </row>
    <row r="2360" spans="1:23">
      <c r="A2360" s="93" t="str">
        <f>TEXT(tblProjectlist[[#This Row],[project-no]],"0")</f>
        <v>30760428</v>
      </c>
      <c r="H2360" s="91">
        <v>3076</v>
      </c>
      <c r="I2360" s="91">
        <v>4</v>
      </c>
      <c r="J2360" s="91">
        <v>2</v>
      </c>
      <c r="K2360" s="91" t="s">
        <v>694</v>
      </c>
      <c r="L2360" s="91" t="s">
        <v>2175</v>
      </c>
      <c r="M2360" s="91" t="s">
        <v>4</v>
      </c>
      <c r="Q2360" s="91"/>
      <c r="S2360" s="91" t="s">
        <v>143</v>
      </c>
      <c r="T2360" s="91" t="s">
        <v>2594</v>
      </c>
      <c r="V2360" s="91" t="s">
        <v>155</v>
      </c>
      <c r="W2360" s="91" t="s">
        <v>180</v>
      </c>
    </row>
    <row r="2361" spans="1:23">
      <c r="A2361" s="93" t="str">
        <f>TEXT(tblProjectlist[[#This Row],[project-no]],"0")</f>
        <v>0</v>
      </c>
      <c r="H2361" s="91">
        <v>3064</v>
      </c>
      <c r="I2361" s="91">
        <v>3</v>
      </c>
      <c r="J2361" s="91">
        <v>2</v>
      </c>
      <c r="K2361" s="91"/>
      <c r="L2361" s="91" t="s">
        <v>2175</v>
      </c>
      <c r="M2361" s="91" t="s">
        <v>4</v>
      </c>
      <c r="Q2361" s="91"/>
      <c r="S2361" s="91" t="s">
        <v>143</v>
      </c>
      <c r="T2361" s="91" t="s">
        <v>3853</v>
      </c>
      <c r="V2361" s="91" t="s">
        <v>155</v>
      </c>
      <c r="W2361" s="91" t="s">
        <v>180</v>
      </c>
    </row>
    <row r="2362" spans="1:23">
      <c r="A2362" s="93" t="str">
        <f>TEXT(tblProjectlist[[#This Row],[project-no]],"0")</f>
        <v>30640228</v>
      </c>
      <c r="H2362" s="91">
        <v>3064</v>
      </c>
      <c r="I2362" s="91">
        <v>2</v>
      </c>
      <c r="J2362" s="91">
        <v>2</v>
      </c>
      <c r="K2362" s="91" t="s">
        <v>684</v>
      </c>
      <c r="L2362" s="91" t="s">
        <v>2175</v>
      </c>
      <c r="M2362" s="91" t="s">
        <v>4</v>
      </c>
      <c r="Q2362" s="91"/>
      <c r="S2362" s="91" t="s">
        <v>143</v>
      </c>
      <c r="T2362" s="91" t="s">
        <v>2584</v>
      </c>
      <c r="V2362" s="91" t="s">
        <v>155</v>
      </c>
      <c r="W2362" s="91" t="s">
        <v>180</v>
      </c>
    </row>
    <row r="2363" spans="1:23">
      <c r="A2363" s="93" t="str">
        <f>TEXT(tblProjectlist[[#This Row],[project-no]],"0")</f>
        <v>99966828</v>
      </c>
      <c r="H2363" s="91">
        <v>3064</v>
      </c>
      <c r="I2363" s="91">
        <v>2</v>
      </c>
      <c r="J2363" s="91">
        <v>2</v>
      </c>
      <c r="K2363" s="91" t="s">
        <v>1785</v>
      </c>
      <c r="L2363" s="91" t="s">
        <v>2175</v>
      </c>
      <c r="M2363" s="91" t="s">
        <v>4</v>
      </c>
      <c r="Q2363" s="91"/>
      <c r="S2363" s="91" t="s">
        <v>143</v>
      </c>
      <c r="T2363" s="91" t="s">
        <v>2584</v>
      </c>
      <c r="W2363" s="91" t="s">
        <v>180</v>
      </c>
    </row>
    <row r="2364" spans="1:23">
      <c r="A2364" s="93" t="str">
        <f>TEXT(tblProjectlist[[#This Row],[project-no]],"0")</f>
        <v>10030228</v>
      </c>
      <c r="H2364" s="91">
        <v>1003</v>
      </c>
      <c r="I2364" s="91">
        <v>2</v>
      </c>
      <c r="J2364" s="91">
        <v>2</v>
      </c>
      <c r="K2364" s="91" t="s">
        <v>181</v>
      </c>
      <c r="L2364" s="91" t="s">
        <v>2175</v>
      </c>
      <c r="M2364" s="91" t="s">
        <v>4</v>
      </c>
      <c r="Q2364" s="91"/>
      <c r="S2364" s="91" t="s">
        <v>143</v>
      </c>
      <c r="T2364" s="91" t="s">
        <v>2177</v>
      </c>
      <c r="V2364" s="91" t="s">
        <v>155</v>
      </c>
      <c r="W2364" s="91" t="s">
        <v>180</v>
      </c>
    </row>
    <row r="2365" spans="1:23">
      <c r="A2365" s="93" t="str">
        <f>TEXT(tblProjectlist[[#This Row],[project-no]],"0")</f>
        <v>10030328</v>
      </c>
      <c r="H2365" s="91">
        <v>1003</v>
      </c>
      <c r="I2365" s="91">
        <v>3</v>
      </c>
      <c r="J2365" s="91">
        <v>2</v>
      </c>
      <c r="K2365" s="91" t="s">
        <v>182</v>
      </c>
      <c r="L2365" s="91" t="s">
        <v>2175</v>
      </c>
      <c r="M2365" s="91" t="s">
        <v>4</v>
      </c>
      <c r="Q2365" s="91"/>
      <c r="S2365" s="91" t="s">
        <v>143</v>
      </c>
      <c r="T2365" s="91" t="s">
        <v>2178</v>
      </c>
      <c r="V2365" s="91" t="s">
        <v>155</v>
      </c>
      <c r="W2365" s="91" t="s">
        <v>180</v>
      </c>
    </row>
    <row r="2366" spans="1:23">
      <c r="A2366" s="93" t="str">
        <f>TEXT(tblProjectlist[[#This Row],[project-no]],"0")</f>
        <v>76150228</v>
      </c>
      <c r="H2366" s="91">
        <v>7615</v>
      </c>
      <c r="I2366" s="91">
        <v>2</v>
      </c>
      <c r="J2366" s="91">
        <v>2</v>
      </c>
      <c r="K2366" s="91" t="s">
        <v>1059</v>
      </c>
      <c r="L2366" s="91" t="s">
        <v>64</v>
      </c>
      <c r="M2366" s="91" t="s">
        <v>4</v>
      </c>
      <c r="Q2366" s="91"/>
      <c r="S2366" s="91" t="s">
        <v>143</v>
      </c>
      <c r="T2366" s="91" t="s">
        <v>2925</v>
      </c>
      <c r="W2366" s="91" t="s">
        <v>180</v>
      </c>
    </row>
    <row r="2367" spans="1:23">
      <c r="A2367" s="93" t="str">
        <f>TEXT(tblProjectlist[[#This Row],[project-no]],"0")</f>
        <v>0</v>
      </c>
      <c r="H2367" s="91">
        <v>6117</v>
      </c>
      <c r="I2367" s="91">
        <v>2</v>
      </c>
      <c r="J2367" s="91">
        <v>2</v>
      </c>
      <c r="K2367" s="91"/>
      <c r="L2367" s="91" t="s">
        <v>64</v>
      </c>
      <c r="M2367" s="91" t="s">
        <v>4</v>
      </c>
      <c r="Q2367" s="91"/>
      <c r="S2367" s="91" t="s">
        <v>143</v>
      </c>
      <c r="T2367" s="91" t="s">
        <v>3930</v>
      </c>
      <c r="V2367" s="91" t="s">
        <v>155</v>
      </c>
      <c r="W2367" s="91" t="s">
        <v>180</v>
      </c>
    </row>
    <row r="2368" spans="1:23">
      <c r="A2368" s="93" t="str">
        <f>TEXT(tblProjectlist[[#This Row],[project-no]],"0")</f>
        <v>0</v>
      </c>
      <c r="H2368" s="91">
        <v>6010</v>
      </c>
      <c r="I2368" s="91">
        <v>3</v>
      </c>
      <c r="J2368" s="91">
        <v>2</v>
      </c>
      <c r="K2368" s="91"/>
      <c r="L2368" s="91" t="s">
        <v>2175</v>
      </c>
      <c r="M2368" s="91" t="s">
        <v>4</v>
      </c>
      <c r="Q2368" s="91"/>
      <c r="S2368" s="91" t="s">
        <v>143</v>
      </c>
      <c r="T2368" s="91" t="s">
        <v>4075</v>
      </c>
      <c r="V2368" s="91" t="s">
        <v>155</v>
      </c>
      <c r="W2368" s="91" t="s">
        <v>180</v>
      </c>
    </row>
    <row r="2369" spans="1:23">
      <c r="A2369" s="93" t="str">
        <f>TEXT(tblProjectlist[[#This Row],[project-no]],"0")</f>
        <v>60100228</v>
      </c>
      <c r="H2369" s="91">
        <v>6010</v>
      </c>
      <c r="I2369" s="91">
        <v>2</v>
      </c>
      <c r="J2369" s="91">
        <v>2</v>
      </c>
      <c r="K2369" s="91" t="s">
        <v>767</v>
      </c>
      <c r="L2369" s="91" t="s">
        <v>2175</v>
      </c>
      <c r="M2369" s="91" t="s">
        <v>4</v>
      </c>
      <c r="Q2369" s="91"/>
      <c r="S2369" s="91" t="s">
        <v>143</v>
      </c>
      <c r="T2369" s="91" t="s">
        <v>2663</v>
      </c>
      <c r="V2369" s="91" t="s">
        <v>155</v>
      </c>
      <c r="W2369" s="91" t="s">
        <v>180</v>
      </c>
    </row>
    <row r="2370" spans="1:23">
      <c r="A2370" s="93" t="str">
        <f>TEXT(tblProjectlist[[#This Row],[project-no]],"0")</f>
        <v>0</v>
      </c>
      <c r="H2370" s="91">
        <v>7696</v>
      </c>
      <c r="I2370" s="91">
        <v>2</v>
      </c>
      <c r="J2370" s="91">
        <v>2</v>
      </c>
      <c r="K2370" s="91"/>
      <c r="L2370" s="91" t="s">
        <v>2175</v>
      </c>
      <c r="M2370" s="91" t="s">
        <v>4</v>
      </c>
      <c r="Q2370" s="91"/>
      <c r="S2370" s="91" t="s">
        <v>143</v>
      </c>
      <c r="T2370" s="91" t="s">
        <v>4653</v>
      </c>
      <c r="V2370" s="91" t="s">
        <v>152</v>
      </c>
      <c r="W2370" s="91" t="s">
        <v>180</v>
      </c>
    </row>
    <row r="2371" spans="1:23">
      <c r="A2371" s="93" t="str">
        <f>TEXT(tblProjectlist[[#This Row],[project-no]],"0")</f>
        <v>0</v>
      </c>
      <c r="H2371" s="91">
        <v>2050</v>
      </c>
      <c r="I2371" s="91">
        <v>2</v>
      </c>
      <c r="J2371" s="91">
        <v>2</v>
      </c>
      <c r="K2371" s="91"/>
      <c r="L2371" s="91" t="s">
        <v>2175</v>
      </c>
      <c r="M2371" s="91" t="s">
        <v>4</v>
      </c>
      <c r="Q2371" s="91"/>
      <c r="S2371" s="91" t="s">
        <v>143</v>
      </c>
      <c r="T2371" s="91" t="s">
        <v>3840</v>
      </c>
      <c r="V2371" s="91" t="s">
        <v>155</v>
      </c>
      <c r="W2371" s="91" t="s">
        <v>180</v>
      </c>
    </row>
    <row r="2372" spans="1:23">
      <c r="A2372" s="93" t="str">
        <f>TEXT(tblProjectlist[[#This Row],[project-no]],"0")</f>
        <v>0</v>
      </c>
      <c r="H2372" s="91">
        <v>2136</v>
      </c>
      <c r="I2372" s="91">
        <v>2</v>
      </c>
      <c r="J2372" s="91">
        <v>2</v>
      </c>
      <c r="K2372" s="91"/>
      <c r="L2372" s="91" t="s">
        <v>197</v>
      </c>
      <c r="M2372" s="91" t="s">
        <v>4</v>
      </c>
      <c r="Q2372" s="91"/>
      <c r="S2372" s="91" t="s">
        <v>143</v>
      </c>
      <c r="T2372" s="91" t="s">
        <v>3845</v>
      </c>
      <c r="V2372" s="91" t="s">
        <v>155</v>
      </c>
      <c r="W2372" s="91" t="s">
        <v>180</v>
      </c>
    </row>
    <row r="2373" spans="1:23">
      <c r="A2373" s="93" t="str">
        <f>TEXT(tblProjectlist[[#This Row],[project-no]],"0")</f>
        <v>0</v>
      </c>
      <c r="H2373" s="91">
        <v>2136</v>
      </c>
      <c r="I2373" s="91">
        <v>3</v>
      </c>
      <c r="J2373" s="91">
        <v>2</v>
      </c>
      <c r="K2373" s="91"/>
      <c r="L2373" s="91" t="s">
        <v>62</v>
      </c>
      <c r="M2373" s="91" t="s">
        <v>4</v>
      </c>
      <c r="Q2373" s="91"/>
      <c r="S2373" s="91" t="s">
        <v>143</v>
      </c>
      <c r="T2373" s="91" t="s">
        <v>4345</v>
      </c>
      <c r="V2373" s="91" t="s">
        <v>155</v>
      </c>
      <c r="W2373" s="91" t="s">
        <v>180</v>
      </c>
    </row>
    <row r="2374" spans="1:23">
      <c r="A2374" s="93" t="str">
        <f>TEXT(tblProjectlist[[#This Row],[project-no]],"0")</f>
        <v>66490228</v>
      </c>
      <c r="H2374" s="91">
        <v>6649</v>
      </c>
      <c r="I2374" s="91">
        <v>2</v>
      </c>
      <c r="J2374" s="91">
        <v>2</v>
      </c>
      <c r="K2374" s="91" t="s">
        <v>912</v>
      </c>
      <c r="L2374" s="91" t="s">
        <v>265</v>
      </c>
      <c r="M2374" s="91" t="s">
        <v>4</v>
      </c>
      <c r="Q2374" s="91"/>
      <c r="S2374" s="91" t="s">
        <v>143</v>
      </c>
      <c r="T2374" s="91" t="s">
        <v>2787</v>
      </c>
      <c r="V2374" s="91" t="s">
        <v>155</v>
      </c>
      <c r="W2374" s="91" t="s">
        <v>180</v>
      </c>
    </row>
    <row r="2375" spans="1:23">
      <c r="A2375" s="93" t="str">
        <f>TEXT(tblProjectlist[[#This Row],[project-no]],"0")</f>
        <v>66490428</v>
      </c>
      <c r="H2375" s="91">
        <v>6649</v>
      </c>
      <c r="I2375" s="91">
        <v>4</v>
      </c>
      <c r="J2375" s="91">
        <v>2</v>
      </c>
      <c r="K2375" s="91" t="s">
        <v>913</v>
      </c>
      <c r="L2375" s="91" t="s">
        <v>265</v>
      </c>
      <c r="M2375" s="91" t="s">
        <v>4</v>
      </c>
      <c r="Q2375" s="91"/>
      <c r="S2375" s="91" t="s">
        <v>143</v>
      </c>
      <c r="T2375" s="91" t="s">
        <v>2788</v>
      </c>
      <c r="W2375" s="91" t="s">
        <v>180</v>
      </c>
    </row>
    <row r="2376" spans="1:23">
      <c r="A2376" s="93" t="str">
        <f>TEXT(tblProjectlist[[#This Row],[project-no]],"0")</f>
        <v>66490528</v>
      </c>
      <c r="H2376" s="91">
        <v>6649</v>
      </c>
      <c r="I2376" s="91">
        <v>5</v>
      </c>
      <c r="J2376" s="91">
        <v>2</v>
      </c>
      <c r="K2376" s="91" t="s">
        <v>914</v>
      </c>
      <c r="L2376" s="91" t="s">
        <v>265</v>
      </c>
      <c r="M2376" s="91" t="s">
        <v>4</v>
      </c>
      <c r="Q2376" s="91"/>
      <c r="S2376" s="91" t="s">
        <v>143</v>
      </c>
      <c r="T2376" s="91" t="s">
        <v>2789</v>
      </c>
      <c r="V2376" s="91" t="s">
        <v>156</v>
      </c>
      <c r="W2376" s="91" t="s">
        <v>180</v>
      </c>
    </row>
    <row r="2377" spans="1:23">
      <c r="A2377" s="93" t="str">
        <f>TEXT(tblProjectlist[[#This Row],[project-no]],"0")</f>
        <v>66490628</v>
      </c>
      <c r="H2377" s="91">
        <v>6649</v>
      </c>
      <c r="I2377" s="91">
        <v>6</v>
      </c>
      <c r="J2377" s="91">
        <v>2</v>
      </c>
      <c r="K2377" s="91" t="s">
        <v>915</v>
      </c>
      <c r="L2377" s="91" t="s">
        <v>265</v>
      </c>
      <c r="M2377" s="91" t="s">
        <v>4</v>
      </c>
      <c r="Q2377" s="91"/>
      <c r="S2377" s="91" t="s">
        <v>143</v>
      </c>
      <c r="T2377" s="91" t="s">
        <v>2790</v>
      </c>
      <c r="W2377" s="91" t="s">
        <v>180</v>
      </c>
    </row>
    <row r="2378" spans="1:23">
      <c r="A2378" s="93" t="str">
        <f>TEXT(tblProjectlist[[#This Row],[project-no]],"0")</f>
        <v>0</v>
      </c>
      <c r="H2378" s="91">
        <v>6654</v>
      </c>
      <c r="I2378" s="91">
        <v>2</v>
      </c>
      <c r="J2378" s="91">
        <v>2</v>
      </c>
      <c r="K2378" s="91"/>
      <c r="L2378" s="91" t="s">
        <v>2175</v>
      </c>
      <c r="M2378" s="91" t="s">
        <v>4</v>
      </c>
      <c r="Q2378" s="91"/>
      <c r="S2378" s="91" t="s">
        <v>143</v>
      </c>
      <c r="T2378" s="91" t="s">
        <v>3937</v>
      </c>
      <c r="V2378" s="91" t="s">
        <v>155</v>
      </c>
      <c r="W2378" s="91" t="s">
        <v>180</v>
      </c>
    </row>
    <row r="2379" spans="1:23">
      <c r="A2379" s="93" t="str">
        <f>TEXT(tblProjectlist[[#This Row],[project-no]],"0")</f>
        <v>66560328</v>
      </c>
      <c r="H2379" s="91">
        <v>6656</v>
      </c>
      <c r="I2379" s="91">
        <v>3</v>
      </c>
      <c r="J2379" s="91">
        <v>2</v>
      </c>
      <c r="K2379" s="91" t="s">
        <v>916</v>
      </c>
      <c r="L2379" s="91" t="s">
        <v>197</v>
      </c>
      <c r="M2379" s="91" t="s">
        <v>4</v>
      </c>
      <c r="Q2379" s="91"/>
      <c r="S2379" s="91" t="s">
        <v>143</v>
      </c>
      <c r="T2379" s="91" t="s">
        <v>2791</v>
      </c>
      <c r="W2379" s="91" t="s">
        <v>180</v>
      </c>
    </row>
    <row r="2380" spans="1:23">
      <c r="A2380" s="93" t="str">
        <f>TEXT(tblProjectlist[[#This Row],[project-no]],"0")</f>
        <v>66570228</v>
      </c>
      <c r="H2380" s="91">
        <v>6657</v>
      </c>
      <c r="I2380" s="91">
        <v>2</v>
      </c>
      <c r="J2380" s="91">
        <v>2</v>
      </c>
      <c r="K2380" s="91" t="s">
        <v>917</v>
      </c>
      <c r="L2380" s="91" t="s">
        <v>197</v>
      </c>
      <c r="M2380" s="91" t="s">
        <v>4</v>
      </c>
      <c r="Q2380" s="91"/>
      <c r="S2380" s="91" t="s">
        <v>143</v>
      </c>
      <c r="T2380" s="91" t="s">
        <v>2792</v>
      </c>
      <c r="W2380" s="91" t="s">
        <v>180</v>
      </c>
    </row>
    <row r="2381" spans="1:23">
      <c r="A2381" s="93" t="str">
        <f>TEXT(tblProjectlist[[#This Row],[project-no]],"0")</f>
        <v>66590328</v>
      </c>
      <c r="H2381" s="91">
        <v>6659</v>
      </c>
      <c r="I2381" s="91">
        <v>3</v>
      </c>
      <c r="J2381" s="91">
        <v>2</v>
      </c>
      <c r="K2381" s="91" t="s">
        <v>918</v>
      </c>
      <c r="L2381" s="91" t="s">
        <v>197</v>
      </c>
      <c r="M2381" s="91" t="s">
        <v>4</v>
      </c>
      <c r="Q2381" s="91"/>
      <c r="S2381" s="91" t="s">
        <v>143</v>
      </c>
      <c r="T2381" s="91" t="s">
        <v>2793</v>
      </c>
      <c r="V2381" s="91" t="s">
        <v>155</v>
      </c>
      <c r="W2381" s="91" t="s">
        <v>180</v>
      </c>
    </row>
    <row r="2382" spans="1:23">
      <c r="A2382" s="93" t="str">
        <f>TEXT(tblProjectlist[[#This Row],[project-no]],"0")</f>
        <v>66600343</v>
      </c>
      <c r="H2382" s="91">
        <v>6660</v>
      </c>
      <c r="I2382" s="91">
        <v>3</v>
      </c>
      <c r="J2382" s="91">
        <v>4</v>
      </c>
      <c r="K2382" s="91" t="s">
        <v>919</v>
      </c>
      <c r="L2382" s="91" t="s">
        <v>197</v>
      </c>
      <c r="M2382" s="91" t="s">
        <v>1</v>
      </c>
      <c r="Q2382" s="91"/>
      <c r="S2382" s="91" t="s">
        <v>143</v>
      </c>
      <c r="T2382" s="91" t="s">
        <v>2794</v>
      </c>
      <c r="W2382" s="91" t="s">
        <v>180</v>
      </c>
    </row>
    <row r="2383" spans="1:23">
      <c r="A2383" s="93" t="str">
        <f>TEXT(tblProjectlist[[#This Row],[project-no]],"0")</f>
        <v>66600426</v>
      </c>
      <c r="H2383" s="91">
        <v>6660</v>
      </c>
      <c r="I2383" s="91">
        <v>4</v>
      </c>
      <c r="J2383" s="91">
        <v>2</v>
      </c>
      <c r="K2383" s="91" t="s">
        <v>920</v>
      </c>
      <c r="L2383" s="91" t="s">
        <v>197</v>
      </c>
      <c r="M2383" s="91" t="s">
        <v>4</v>
      </c>
      <c r="Q2383" s="91"/>
      <c r="S2383" s="91" t="s">
        <v>143</v>
      </c>
      <c r="T2383" s="91" t="s">
        <v>2795</v>
      </c>
      <c r="W2383" s="91" t="s">
        <v>180</v>
      </c>
    </row>
    <row r="2384" spans="1:23">
      <c r="A2384" s="93" t="str">
        <f>TEXT(tblProjectlist[[#This Row],[project-no]],"0")</f>
        <v>0</v>
      </c>
      <c r="H2384" s="91">
        <v>3182</v>
      </c>
      <c r="I2384" s="91">
        <v>2</v>
      </c>
      <c r="J2384" s="91">
        <v>2</v>
      </c>
      <c r="K2384" s="91"/>
      <c r="L2384" s="91" t="s">
        <v>2175</v>
      </c>
      <c r="M2384" s="91" t="s">
        <v>4</v>
      </c>
      <c r="Q2384" s="91"/>
      <c r="S2384" s="91" t="s">
        <v>143</v>
      </c>
      <c r="T2384" s="91" t="s">
        <v>4609</v>
      </c>
      <c r="V2384" s="91" t="s">
        <v>155</v>
      </c>
      <c r="W2384" s="91" t="s">
        <v>180</v>
      </c>
    </row>
    <row r="2385" spans="1:23">
      <c r="A2385" s="93" t="str">
        <f>TEXT(tblProjectlist[[#This Row],[project-no]],"0")</f>
        <v>0</v>
      </c>
      <c r="H2385" s="91">
        <v>1770</v>
      </c>
      <c r="I2385" s="91">
        <v>45</v>
      </c>
      <c r="J2385" s="91">
        <v>2</v>
      </c>
      <c r="K2385" s="91"/>
      <c r="L2385" s="91" t="s">
        <v>2175</v>
      </c>
      <c r="M2385" s="91" t="s">
        <v>4</v>
      </c>
      <c r="Q2385" s="91"/>
      <c r="S2385" s="91" t="s">
        <v>143</v>
      </c>
      <c r="T2385" s="91" t="s">
        <v>4342</v>
      </c>
      <c r="V2385" s="91" t="s">
        <v>155</v>
      </c>
      <c r="W2385" s="91" t="s">
        <v>180</v>
      </c>
    </row>
    <row r="2386" spans="1:23">
      <c r="A2386" s="93" t="str">
        <f>TEXT(tblProjectlist[[#This Row],[project-no]],"0")</f>
        <v>17700244</v>
      </c>
      <c r="H2386" s="91">
        <v>1770</v>
      </c>
      <c r="I2386" s="91">
        <v>2</v>
      </c>
      <c r="J2386" s="91">
        <v>4</v>
      </c>
      <c r="K2386" s="91" t="s">
        <v>338</v>
      </c>
      <c r="L2386" s="91" t="s">
        <v>58</v>
      </c>
      <c r="M2386" s="91" t="s">
        <v>1</v>
      </c>
      <c r="Q2386" s="91"/>
      <c r="S2386" s="91" t="s">
        <v>143</v>
      </c>
      <c r="T2386" s="91" t="s">
        <v>2321</v>
      </c>
      <c r="V2386" s="91" t="s">
        <v>160</v>
      </c>
      <c r="W2386" s="91" t="s">
        <v>180</v>
      </c>
    </row>
    <row r="2387" spans="1:23">
      <c r="A2387" s="93" t="str">
        <f>TEXT(tblProjectlist[[#This Row],[project-no]],"0")</f>
        <v>17700247</v>
      </c>
      <c r="H2387" s="91">
        <v>1770</v>
      </c>
      <c r="I2387" s="91">
        <v>2</v>
      </c>
      <c r="J2387" s="91">
        <v>4</v>
      </c>
      <c r="K2387" s="91" t="s">
        <v>340</v>
      </c>
      <c r="L2387" s="91" t="s">
        <v>58</v>
      </c>
      <c r="M2387" s="91" t="s">
        <v>1</v>
      </c>
      <c r="Q2387" s="91"/>
      <c r="S2387" s="91" t="s">
        <v>143</v>
      </c>
      <c r="T2387" s="91" t="s">
        <v>2321</v>
      </c>
      <c r="V2387" s="91" t="s">
        <v>162</v>
      </c>
      <c r="W2387" s="91" t="s">
        <v>180</v>
      </c>
    </row>
    <row r="2388" spans="1:23">
      <c r="A2388" s="93" t="str">
        <f>TEXT(tblProjectlist[[#This Row],[project-no]],"0")</f>
        <v>17700444</v>
      </c>
      <c r="H2388" s="91">
        <v>1770</v>
      </c>
      <c r="I2388" s="91">
        <v>4</v>
      </c>
      <c r="J2388" s="91">
        <v>4</v>
      </c>
      <c r="K2388" s="91" t="s">
        <v>341</v>
      </c>
      <c r="L2388" s="91" t="s">
        <v>58</v>
      </c>
      <c r="M2388" s="91" t="s">
        <v>1</v>
      </c>
      <c r="Q2388" s="91"/>
      <c r="S2388" s="91" t="s">
        <v>143</v>
      </c>
      <c r="T2388" s="91" t="s">
        <v>2322</v>
      </c>
      <c r="V2388" s="91" t="s">
        <v>160</v>
      </c>
      <c r="W2388" s="91" t="s">
        <v>180</v>
      </c>
    </row>
    <row r="2389" spans="1:23">
      <c r="A2389" s="93" t="str">
        <f>TEXT(tblProjectlist[[#This Row],[project-no]],"0")</f>
        <v>17700544</v>
      </c>
      <c r="H2389" s="91">
        <v>1770</v>
      </c>
      <c r="I2389" s="91">
        <v>5</v>
      </c>
      <c r="J2389" s="91">
        <v>4</v>
      </c>
      <c r="K2389" s="91" t="s">
        <v>342</v>
      </c>
      <c r="L2389" s="91" t="s">
        <v>58</v>
      </c>
      <c r="M2389" s="91" t="s">
        <v>1</v>
      </c>
      <c r="Q2389" s="91"/>
      <c r="S2389" s="91" t="s">
        <v>143</v>
      </c>
      <c r="T2389" s="91" t="s">
        <v>2323</v>
      </c>
      <c r="V2389" s="91" t="s">
        <v>160</v>
      </c>
      <c r="W2389" s="91" t="s">
        <v>180</v>
      </c>
    </row>
    <row r="2390" spans="1:23">
      <c r="A2390" s="93" t="str">
        <f>TEXT(tblProjectlist[[#This Row],[project-no]],"0")</f>
        <v>17700744</v>
      </c>
      <c r="H2390" s="91">
        <v>1770</v>
      </c>
      <c r="I2390" s="91">
        <v>7</v>
      </c>
      <c r="J2390" s="91">
        <v>4</v>
      </c>
      <c r="K2390" s="91" t="s">
        <v>343</v>
      </c>
      <c r="L2390" s="91" t="s">
        <v>58</v>
      </c>
      <c r="M2390" s="91" t="s">
        <v>1</v>
      </c>
      <c r="Q2390" s="91"/>
      <c r="S2390" s="91" t="s">
        <v>143</v>
      </c>
      <c r="T2390" s="91" t="s">
        <v>2324</v>
      </c>
      <c r="V2390" s="91" t="s">
        <v>160</v>
      </c>
      <c r="W2390" s="91" t="s">
        <v>180</v>
      </c>
    </row>
    <row r="2391" spans="1:23">
      <c r="A2391" s="93" t="str">
        <f>TEXT(tblProjectlist[[#This Row],[project-no]],"0")</f>
        <v>17700843</v>
      </c>
      <c r="H2391" s="91">
        <v>1770</v>
      </c>
      <c r="I2391" s="91">
        <v>8</v>
      </c>
      <c r="J2391" s="91">
        <v>4</v>
      </c>
      <c r="K2391" s="91" t="s">
        <v>344</v>
      </c>
      <c r="L2391" s="91" t="s">
        <v>58</v>
      </c>
      <c r="M2391" s="91" t="s">
        <v>1</v>
      </c>
      <c r="Q2391" s="91"/>
      <c r="S2391" s="91" t="s">
        <v>143</v>
      </c>
      <c r="T2391" s="91" t="s">
        <v>2325</v>
      </c>
      <c r="V2391" s="91" t="s">
        <v>164</v>
      </c>
      <c r="W2391" s="91" t="s">
        <v>180</v>
      </c>
    </row>
    <row r="2392" spans="1:23">
      <c r="A2392" s="93" t="str">
        <f>TEXT(tblProjectlist[[#This Row],[project-no]],"0")</f>
        <v>17701143</v>
      </c>
      <c r="H2392" s="91">
        <v>1770</v>
      </c>
      <c r="I2392" s="91">
        <v>11</v>
      </c>
      <c r="J2392" s="91">
        <v>4</v>
      </c>
      <c r="K2392" s="91" t="s">
        <v>345</v>
      </c>
      <c r="L2392" s="91" t="s">
        <v>58</v>
      </c>
      <c r="M2392" s="91" t="s">
        <v>1</v>
      </c>
      <c r="Q2392" s="91"/>
      <c r="S2392" s="91" t="s">
        <v>143</v>
      </c>
      <c r="T2392" s="91" t="s">
        <v>2326</v>
      </c>
      <c r="V2392" s="91" t="s">
        <v>164</v>
      </c>
      <c r="W2392" s="91" t="s">
        <v>180</v>
      </c>
    </row>
    <row r="2393" spans="1:23">
      <c r="A2393" s="93" t="str">
        <f>TEXT(tblProjectlist[[#This Row],[project-no]],"0")</f>
        <v>17702342</v>
      </c>
      <c r="H2393" s="91">
        <v>1770</v>
      </c>
      <c r="I2393" s="91">
        <v>23</v>
      </c>
      <c r="J2393" s="91">
        <v>4</v>
      </c>
      <c r="K2393" s="91" t="s">
        <v>346</v>
      </c>
      <c r="L2393" s="91" t="s">
        <v>58</v>
      </c>
      <c r="M2393" s="91" t="s">
        <v>1</v>
      </c>
      <c r="Q2393" s="91"/>
      <c r="S2393" s="91" t="s">
        <v>143</v>
      </c>
      <c r="T2393" s="91" t="s">
        <v>2327</v>
      </c>
      <c r="V2393" s="91" t="s">
        <v>163</v>
      </c>
      <c r="W2393" s="91" t="s">
        <v>180</v>
      </c>
    </row>
    <row r="2394" spans="1:23">
      <c r="A2394" s="93" t="str">
        <f>TEXT(tblProjectlist[[#This Row],[project-no]],"0")</f>
        <v>17702343</v>
      </c>
      <c r="H2394" s="91">
        <v>1770</v>
      </c>
      <c r="I2394" s="91">
        <v>23</v>
      </c>
      <c r="J2394" s="91">
        <v>4</v>
      </c>
      <c r="K2394" s="91" t="s">
        <v>347</v>
      </c>
      <c r="L2394" s="91" t="s">
        <v>58</v>
      </c>
      <c r="M2394" s="91" t="s">
        <v>1</v>
      </c>
      <c r="Q2394" s="91"/>
      <c r="S2394" s="91" t="s">
        <v>143</v>
      </c>
      <c r="T2394" s="91" t="s">
        <v>2327</v>
      </c>
      <c r="V2394" s="91" t="s">
        <v>164</v>
      </c>
      <c r="W2394" s="91" t="s">
        <v>180</v>
      </c>
    </row>
    <row r="2395" spans="1:23">
      <c r="A2395" s="93" t="str">
        <f>TEXT(tblProjectlist[[#This Row],[project-no]],"0")</f>
        <v>17702344</v>
      </c>
      <c r="H2395" s="91">
        <v>1770</v>
      </c>
      <c r="I2395" s="91">
        <v>23</v>
      </c>
      <c r="J2395" s="91">
        <v>4</v>
      </c>
      <c r="K2395" s="91" t="s">
        <v>348</v>
      </c>
      <c r="L2395" s="91" t="s">
        <v>58</v>
      </c>
      <c r="M2395" s="91" t="s">
        <v>1</v>
      </c>
      <c r="Q2395" s="91"/>
      <c r="S2395" s="91" t="s">
        <v>143</v>
      </c>
      <c r="T2395" s="91" t="s">
        <v>2327</v>
      </c>
      <c r="V2395" s="91" t="s">
        <v>160</v>
      </c>
      <c r="W2395" s="91" t="s">
        <v>180</v>
      </c>
    </row>
    <row r="2396" spans="1:23">
      <c r="A2396" s="93" t="str">
        <f>TEXT(tblProjectlist[[#This Row],[project-no]],"0")</f>
        <v>17702544</v>
      </c>
      <c r="H2396" s="91">
        <v>1770</v>
      </c>
      <c r="I2396" s="91">
        <v>25</v>
      </c>
      <c r="J2396" s="91">
        <v>4</v>
      </c>
      <c r="K2396" s="91" t="s">
        <v>349</v>
      </c>
      <c r="L2396" s="91" t="s">
        <v>58</v>
      </c>
      <c r="M2396" s="91" t="s">
        <v>1</v>
      </c>
      <c r="Q2396" s="91"/>
      <c r="S2396" s="91" t="s">
        <v>143</v>
      </c>
      <c r="T2396" s="91" t="s">
        <v>2328</v>
      </c>
      <c r="V2396" s="91" t="s">
        <v>160</v>
      </c>
      <c r="W2396" s="91" t="s">
        <v>180</v>
      </c>
    </row>
    <row r="2397" spans="1:23">
      <c r="A2397" s="93" t="str">
        <f>TEXT(tblProjectlist[[#This Row],[project-no]],"0")</f>
        <v>17702644</v>
      </c>
      <c r="H2397" s="91">
        <v>1770</v>
      </c>
      <c r="I2397" s="91">
        <v>26</v>
      </c>
      <c r="J2397" s="91">
        <v>4</v>
      </c>
      <c r="K2397" s="91" t="s">
        <v>350</v>
      </c>
      <c r="L2397" s="91" t="s">
        <v>58</v>
      </c>
      <c r="M2397" s="91" t="s">
        <v>1</v>
      </c>
      <c r="Q2397" s="91"/>
      <c r="S2397" s="91" t="s">
        <v>143</v>
      </c>
      <c r="T2397" s="91" t="s">
        <v>2329</v>
      </c>
      <c r="V2397" s="91" t="s">
        <v>160</v>
      </c>
      <c r="W2397" s="91" t="s">
        <v>180</v>
      </c>
    </row>
    <row r="2398" spans="1:23">
      <c r="A2398" s="93" t="str">
        <f>TEXT(tblProjectlist[[#This Row],[project-no]],"0")</f>
        <v>17702744</v>
      </c>
      <c r="H2398" s="91">
        <v>1770</v>
      </c>
      <c r="I2398" s="91">
        <v>27</v>
      </c>
      <c r="J2398" s="91">
        <v>4</v>
      </c>
      <c r="K2398" s="91" t="s">
        <v>351</v>
      </c>
      <c r="L2398" s="91" t="s">
        <v>58</v>
      </c>
      <c r="M2398" s="91" t="s">
        <v>1</v>
      </c>
      <c r="Q2398" s="91"/>
      <c r="S2398" s="91" t="s">
        <v>143</v>
      </c>
      <c r="T2398" s="91" t="s">
        <v>2330</v>
      </c>
      <c r="V2398" s="91" t="s">
        <v>160</v>
      </c>
      <c r="W2398" s="91" t="s">
        <v>180</v>
      </c>
    </row>
    <row r="2399" spans="1:23">
      <c r="A2399" s="93" t="str">
        <f>TEXT(tblProjectlist[[#This Row],[project-no]],"0")</f>
        <v>17702843</v>
      </c>
      <c r="H2399" s="91">
        <v>1770</v>
      </c>
      <c r="I2399" s="91">
        <v>28</v>
      </c>
      <c r="J2399" s="91">
        <v>4</v>
      </c>
      <c r="K2399" s="91" t="s">
        <v>352</v>
      </c>
      <c r="L2399" s="91" t="s">
        <v>58</v>
      </c>
      <c r="M2399" s="91" t="s">
        <v>1</v>
      </c>
      <c r="Q2399" s="91"/>
      <c r="S2399" s="91" t="s">
        <v>143</v>
      </c>
      <c r="T2399" s="91" t="s">
        <v>2331</v>
      </c>
      <c r="V2399" s="91" t="s">
        <v>164</v>
      </c>
      <c r="W2399" s="91" t="s">
        <v>180</v>
      </c>
    </row>
    <row r="2400" spans="1:23">
      <c r="A2400" s="93" t="str">
        <f>TEXT(tblProjectlist[[#This Row],[project-no]],"0")</f>
        <v>17702844</v>
      </c>
      <c r="H2400" s="91">
        <v>1770</v>
      </c>
      <c r="I2400" s="91">
        <v>28</v>
      </c>
      <c r="J2400" s="91">
        <v>4</v>
      </c>
      <c r="K2400" s="91" t="s">
        <v>353</v>
      </c>
      <c r="L2400" s="91" t="s">
        <v>58</v>
      </c>
      <c r="M2400" s="91" t="s">
        <v>1</v>
      </c>
      <c r="Q2400" s="91"/>
      <c r="S2400" s="91" t="s">
        <v>143</v>
      </c>
      <c r="T2400" s="91" t="s">
        <v>2331</v>
      </c>
      <c r="V2400" s="91" t="s">
        <v>160</v>
      </c>
      <c r="W2400" s="91" t="s">
        <v>180</v>
      </c>
    </row>
    <row r="2401" spans="1:23">
      <c r="A2401" s="93" t="str">
        <f>TEXT(tblProjectlist[[#This Row],[project-no]],"0")</f>
        <v>17702944</v>
      </c>
      <c r="H2401" s="91">
        <v>1770</v>
      </c>
      <c r="I2401" s="91">
        <v>29</v>
      </c>
      <c r="J2401" s="91">
        <v>4</v>
      </c>
      <c r="K2401" s="91" t="s">
        <v>354</v>
      </c>
      <c r="L2401" s="91" t="s">
        <v>58</v>
      </c>
      <c r="M2401" s="91" t="s">
        <v>1</v>
      </c>
      <c r="Q2401" s="91"/>
      <c r="S2401" s="91" t="s">
        <v>143</v>
      </c>
      <c r="T2401" s="91" t="s">
        <v>2332</v>
      </c>
      <c r="V2401" s="91" t="s">
        <v>160</v>
      </c>
      <c r="W2401" s="91" t="s">
        <v>180</v>
      </c>
    </row>
    <row r="2402" spans="1:23">
      <c r="A2402" s="93" t="str">
        <f>TEXT(tblProjectlist[[#This Row],[project-no]],"0")</f>
        <v>17703044</v>
      </c>
      <c r="H2402" s="91">
        <v>1770</v>
      </c>
      <c r="I2402" s="91">
        <v>30</v>
      </c>
      <c r="J2402" s="91">
        <v>4</v>
      </c>
      <c r="K2402" s="91" t="s">
        <v>355</v>
      </c>
      <c r="L2402" s="91" t="s">
        <v>58</v>
      </c>
      <c r="M2402" s="91" t="s">
        <v>1</v>
      </c>
      <c r="Q2402" s="91"/>
      <c r="S2402" s="91" t="s">
        <v>143</v>
      </c>
      <c r="T2402" s="91" t="s">
        <v>2333</v>
      </c>
      <c r="V2402" s="91" t="s">
        <v>160</v>
      </c>
      <c r="W2402" s="91" t="s">
        <v>180</v>
      </c>
    </row>
    <row r="2403" spans="1:23">
      <c r="A2403" s="93" t="str">
        <f>TEXT(tblProjectlist[[#This Row],[project-no]],"0")</f>
        <v>17703144</v>
      </c>
      <c r="H2403" s="91">
        <v>1770</v>
      </c>
      <c r="I2403" s="91">
        <v>31</v>
      </c>
      <c r="J2403" s="91">
        <v>4</v>
      </c>
      <c r="K2403" s="91" t="s">
        <v>356</v>
      </c>
      <c r="L2403" s="91" t="s">
        <v>58</v>
      </c>
      <c r="M2403" s="91" t="s">
        <v>1</v>
      </c>
      <c r="Q2403" s="91"/>
      <c r="S2403" s="91" t="s">
        <v>143</v>
      </c>
      <c r="T2403" s="91" t="s">
        <v>2334</v>
      </c>
      <c r="V2403" s="91" t="s">
        <v>160</v>
      </c>
      <c r="W2403" s="91" t="s">
        <v>180</v>
      </c>
    </row>
    <row r="2404" spans="1:23">
      <c r="A2404" s="93" t="str">
        <f>TEXT(tblProjectlist[[#This Row],[project-no]],"0")</f>
        <v>17703242</v>
      </c>
      <c r="H2404" s="91">
        <v>1770</v>
      </c>
      <c r="I2404" s="91">
        <v>32</v>
      </c>
      <c r="J2404" s="91">
        <v>4</v>
      </c>
      <c r="K2404" s="91" t="s">
        <v>357</v>
      </c>
      <c r="L2404" s="91" t="s">
        <v>58</v>
      </c>
      <c r="M2404" s="91" t="s">
        <v>1</v>
      </c>
      <c r="Q2404" s="91"/>
      <c r="S2404" s="91" t="s">
        <v>143</v>
      </c>
      <c r="T2404" s="91" t="s">
        <v>2335</v>
      </c>
      <c r="V2404" s="91" t="s">
        <v>163</v>
      </c>
      <c r="W2404" s="91" t="s">
        <v>180</v>
      </c>
    </row>
    <row r="2405" spans="1:23">
      <c r="A2405" s="93" t="str">
        <f>TEXT(tblProjectlist[[#This Row],[project-no]],"0")</f>
        <v>17703243</v>
      </c>
      <c r="H2405" s="91">
        <v>1770</v>
      </c>
      <c r="I2405" s="91">
        <v>32</v>
      </c>
      <c r="J2405" s="91">
        <v>4</v>
      </c>
      <c r="K2405" s="91" t="s">
        <v>358</v>
      </c>
      <c r="L2405" s="91" t="s">
        <v>58</v>
      </c>
      <c r="M2405" s="91" t="s">
        <v>1</v>
      </c>
      <c r="Q2405" s="91"/>
      <c r="S2405" s="91" t="s">
        <v>143</v>
      </c>
      <c r="T2405" s="91" t="s">
        <v>2335</v>
      </c>
      <c r="V2405" s="91" t="s">
        <v>164</v>
      </c>
      <c r="W2405" s="91" t="s">
        <v>180</v>
      </c>
    </row>
    <row r="2406" spans="1:23">
      <c r="A2406" s="93" t="str">
        <f>TEXT(tblProjectlist[[#This Row],[project-no]],"0")</f>
        <v>17703244</v>
      </c>
      <c r="H2406" s="91">
        <v>1770</v>
      </c>
      <c r="I2406" s="91">
        <v>32</v>
      </c>
      <c r="J2406" s="91">
        <v>4</v>
      </c>
      <c r="K2406" s="91" t="s">
        <v>359</v>
      </c>
      <c r="L2406" s="91" t="s">
        <v>58</v>
      </c>
      <c r="M2406" s="91" t="s">
        <v>1</v>
      </c>
      <c r="Q2406" s="91"/>
      <c r="S2406" s="91" t="s">
        <v>143</v>
      </c>
      <c r="T2406" s="91" t="s">
        <v>2335</v>
      </c>
      <c r="V2406" s="91" t="s">
        <v>160</v>
      </c>
      <c r="W2406" s="91" t="s">
        <v>180</v>
      </c>
    </row>
    <row r="2407" spans="1:23">
      <c r="A2407" s="93" t="str">
        <f>TEXT(tblProjectlist[[#This Row],[project-no]],"0")</f>
        <v>17703247</v>
      </c>
      <c r="H2407" s="91">
        <v>1770</v>
      </c>
      <c r="I2407" s="91">
        <v>32</v>
      </c>
      <c r="J2407" s="91">
        <v>4</v>
      </c>
      <c r="K2407" s="91" t="s">
        <v>360</v>
      </c>
      <c r="L2407" s="91" t="s">
        <v>58</v>
      </c>
      <c r="M2407" s="91" t="s">
        <v>1</v>
      </c>
      <c r="Q2407" s="91"/>
      <c r="S2407" s="91" t="s">
        <v>143</v>
      </c>
      <c r="T2407" s="91" t="s">
        <v>2335</v>
      </c>
      <c r="V2407" s="91" t="s">
        <v>162</v>
      </c>
      <c r="W2407" s="91" t="s">
        <v>180</v>
      </c>
    </row>
    <row r="2408" spans="1:23">
      <c r="A2408" s="93" t="str">
        <f>TEXT(tblProjectlist[[#This Row],[project-no]],"0")</f>
        <v>17703343</v>
      </c>
      <c r="H2408" s="91">
        <v>1770</v>
      </c>
      <c r="I2408" s="91">
        <v>33</v>
      </c>
      <c r="J2408" s="91">
        <v>4</v>
      </c>
      <c r="K2408" s="91" t="s">
        <v>361</v>
      </c>
      <c r="L2408" s="91" t="s">
        <v>58</v>
      </c>
      <c r="M2408" s="91" t="s">
        <v>1</v>
      </c>
      <c r="Q2408" s="91"/>
      <c r="S2408" s="91" t="s">
        <v>143</v>
      </c>
      <c r="T2408" s="91" t="s">
        <v>2336</v>
      </c>
      <c r="V2408" s="91" t="s">
        <v>164</v>
      </c>
      <c r="W2408" s="91" t="s">
        <v>180</v>
      </c>
    </row>
    <row r="2409" spans="1:23">
      <c r="A2409" s="93" t="str">
        <f>TEXT(tblProjectlist[[#This Row],[project-no]],"0")</f>
        <v>17703842</v>
      </c>
      <c r="H2409" s="91">
        <v>1770</v>
      </c>
      <c r="I2409" s="91">
        <v>38</v>
      </c>
      <c r="J2409" s="91">
        <v>4</v>
      </c>
      <c r="K2409" s="91" t="s">
        <v>362</v>
      </c>
      <c r="L2409" s="91" t="s">
        <v>58</v>
      </c>
      <c r="M2409" s="91" t="s">
        <v>1</v>
      </c>
      <c r="Q2409" s="91"/>
      <c r="S2409" s="91" t="s">
        <v>143</v>
      </c>
      <c r="T2409" s="91" t="s">
        <v>2337</v>
      </c>
      <c r="V2409" s="91" t="s">
        <v>163</v>
      </c>
      <c r="W2409" s="91" t="s">
        <v>180</v>
      </c>
    </row>
    <row r="2410" spans="1:23">
      <c r="A2410" s="93" t="str">
        <f>TEXT(tblProjectlist[[#This Row],[project-no]],"0")</f>
        <v>17703844</v>
      </c>
      <c r="H2410" s="91">
        <v>1770</v>
      </c>
      <c r="I2410" s="91">
        <v>38</v>
      </c>
      <c r="J2410" s="91">
        <v>4</v>
      </c>
      <c r="K2410" s="91" t="s">
        <v>363</v>
      </c>
      <c r="L2410" s="91" t="s">
        <v>58</v>
      </c>
      <c r="M2410" s="91" t="s">
        <v>1</v>
      </c>
      <c r="Q2410" s="91"/>
      <c r="S2410" s="91" t="s">
        <v>143</v>
      </c>
      <c r="T2410" s="91" t="s">
        <v>2337</v>
      </c>
      <c r="V2410" s="91" t="s">
        <v>160</v>
      </c>
      <c r="W2410" s="91" t="s">
        <v>180</v>
      </c>
    </row>
    <row r="2411" spans="1:23">
      <c r="A2411" s="93" t="str">
        <f>TEXT(tblProjectlist[[#This Row],[project-no]],"0")</f>
        <v>17703944</v>
      </c>
      <c r="H2411" s="91">
        <v>1770</v>
      </c>
      <c r="I2411" s="91">
        <v>39</v>
      </c>
      <c r="J2411" s="91">
        <v>4</v>
      </c>
      <c r="K2411" s="91" t="s">
        <v>364</v>
      </c>
      <c r="L2411" s="91" t="s">
        <v>58</v>
      </c>
      <c r="M2411" s="91" t="s">
        <v>1</v>
      </c>
      <c r="Q2411" s="91"/>
      <c r="S2411" s="91" t="s">
        <v>143</v>
      </c>
      <c r="T2411" s="91" t="s">
        <v>2338</v>
      </c>
      <c r="V2411" s="91" t="s">
        <v>160</v>
      </c>
      <c r="W2411" s="91" t="s">
        <v>180</v>
      </c>
    </row>
    <row r="2412" spans="1:23">
      <c r="A2412" s="93" t="str">
        <f>TEXT(tblProjectlist[[#This Row],[project-no]],"0")</f>
        <v>17704044</v>
      </c>
      <c r="H2412" s="91">
        <v>1770</v>
      </c>
      <c r="I2412" s="91">
        <v>40</v>
      </c>
      <c r="J2412" s="91">
        <v>4</v>
      </c>
      <c r="K2412" s="91" t="s">
        <v>365</v>
      </c>
      <c r="L2412" s="91" t="s">
        <v>58</v>
      </c>
      <c r="M2412" s="91" t="s">
        <v>1</v>
      </c>
      <c r="Q2412" s="91"/>
      <c r="S2412" s="91" t="s">
        <v>143</v>
      </c>
      <c r="T2412" s="91" t="s">
        <v>2339</v>
      </c>
      <c r="V2412" s="91" t="s">
        <v>160</v>
      </c>
      <c r="W2412" s="91" t="s">
        <v>180</v>
      </c>
    </row>
    <row r="2413" spans="1:23">
      <c r="A2413" s="93" t="str">
        <f>TEXT(tblProjectlist[[#This Row],[project-no]],"0")</f>
        <v>17704144</v>
      </c>
      <c r="H2413" s="91">
        <v>1770</v>
      </c>
      <c r="I2413" s="91">
        <v>41</v>
      </c>
      <c r="J2413" s="91">
        <v>4</v>
      </c>
      <c r="K2413" s="91" t="s">
        <v>366</v>
      </c>
      <c r="L2413" s="91" t="s">
        <v>58</v>
      </c>
      <c r="M2413" s="91" t="s">
        <v>1</v>
      </c>
      <c r="Q2413" s="91"/>
      <c r="S2413" s="91" t="s">
        <v>143</v>
      </c>
      <c r="T2413" s="91" t="s">
        <v>2340</v>
      </c>
      <c r="V2413" s="91" t="s">
        <v>160</v>
      </c>
      <c r="W2413" s="91" t="s">
        <v>180</v>
      </c>
    </row>
    <row r="2414" spans="1:23">
      <c r="A2414" s="93" t="str">
        <f>TEXT(tblProjectlist[[#This Row],[project-no]],"0")</f>
        <v>17704244</v>
      </c>
      <c r="H2414" s="91">
        <v>1770</v>
      </c>
      <c r="I2414" s="91">
        <v>42</v>
      </c>
      <c r="J2414" s="91">
        <v>4</v>
      </c>
      <c r="K2414" s="91" t="s">
        <v>367</v>
      </c>
      <c r="L2414" s="91" t="s">
        <v>58</v>
      </c>
      <c r="M2414" s="91" t="s">
        <v>1</v>
      </c>
      <c r="Q2414" s="91"/>
      <c r="S2414" s="91" t="s">
        <v>143</v>
      </c>
      <c r="T2414" s="91" t="s">
        <v>2341</v>
      </c>
      <c r="V2414" s="91" t="s">
        <v>160</v>
      </c>
      <c r="W2414" s="91" t="s">
        <v>180</v>
      </c>
    </row>
    <row r="2415" spans="1:23">
      <c r="A2415" s="93" t="str">
        <f>TEXT(tblProjectlist[[#This Row],[project-no]],"0")</f>
        <v>17704342</v>
      </c>
      <c r="H2415" s="91">
        <v>1770</v>
      </c>
      <c r="I2415" s="91">
        <v>43</v>
      </c>
      <c r="J2415" s="91">
        <v>4</v>
      </c>
      <c r="K2415" s="91">
        <v>17704342</v>
      </c>
      <c r="L2415" s="91" t="s">
        <v>58</v>
      </c>
      <c r="M2415" s="91" t="s">
        <v>1</v>
      </c>
      <c r="Q2415" s="91"/>
      <c r="S2415" s="91" t="s">
        <v>143</v>
      </c>
      <c r="T2415" s="91" t="s">
        <v>3958</v>
      </c>
      <c r="V2415" s="91" t="s">
        <v>163</v>
      </c>
      <c r="W2415" s="91" t="s">
        <v>180</v>
      </c>
    </row>
    <row r="2416" spans="1:23">
      <c r="A2416" s="93" t="str">
        <f>TEXT(tblProjectlist[[#This Row],[project-no]],"0")</f>
        <v>17704444</v>
      </c>
      <c r="H2416" s="91">
        <v>1770</v>
      </c>
      <c r="I2416" s="91">
        <v>44</v>
      </c>
      <c r="J2416" s="91">
        <v>4</v>
      </c>
      <c r="K2416" s="91">
        <v>17704444</v>
      </c>
      <c r="L2416" s="91" t="s">
        <v>58</v>
      </c>
      <c r="M2416" s="91" t="s">
        <v>1</v>
      </c>
      <c r="Q2416" s="91"/>
      <c r="S2416" s="91" t="s">
        <v>143</v>
      </c>
      <c r="T2416" s="91" t="s">
        <v>3959</v>
      </c>
      <c r="V2416" s="91" t="s">
        <v>160</v>
      </c>
      <c r="W2416" s="91" t="s">
        <v>180</v>
      </c>
    </row>
    <row r="2417" spans="1:23">
      <c r="A2417" s="93" t="str">
        <f>TEXT(tblProjectlist[[#This Row],[project-no]],"0")</f>
        <v>99920344</v>
      </c>
      <c r="H2417" s="91">
        <v>1770</v>
      </c>
      <c r="I2417" s="91">
        <v>4</v>
      </c>
      <c r="J2417" s="91">
        <v>4</v>
      </c>
      <c r="K2417" s="91" t="s">
        <v>1545</v>
      </c>
      <c r="L2417" s="91" t="s">
        <v>58</v>
      </c>
      <c r="M2417" s="91" t="s">
        <v>1</v>
      </c>
      <c r="Q2417" s="91"/>
      <c r="S2417" s="91" t="s">
        <v>143</v>
      </c>
      <c r="T2417" s="91" t="s">
        <v>2322</v>
      </c>
      <c r="V2417" s="91" t="s">
        <v>160</v>
      </c>
      <c r="W2417" s="91" t="s">
        <v>180</v>
      </c>
    </row>
    <row r="2418" spans="1:23">
      <c r="A2418" s="93" t="str">
        <f>TEXT(tblProjectlist[[#This Row],[project-no]],"0")</f>
        <v>99920444</v>
      </c>
      <c r="H2418" s="91">
        <v>1770</v>
      </c>
      <c r="I2418" s="91">
        <v>5</v>
      </c>
      <c r="J2418" s="91">
        <v>4</v>
      </c>
      <c r="K2418" s="91" t="s">
        <v>1546</v>
      </c>
      <c r="L2418" s="91" t="s">
        <v>58</v>
      </c>
      <c r="M2418" s="91" t="s">
        <v>1</v>
      </c>
      <c r="Q2418" s="91"/>
      <c r="S2418" s="91" t="s">
        <v>143</v>
      </c>
      <c r="T2418" s="91" t="s">
        <v>2323</v>
      </c>
      <c r="V2418" s="91" t="s">
        <v>160</v>
      </c>
      <c r="W2418" s="91" t="s">
        <v>180</v>
      </c>
    </row>
    <row r="2419" spans="1:23">
      <c r="A2419" s="93" t="str">
        <f>TEXT(tblProjectlist[[#This Row],[project-no]],"0")</f>
        <v>99920644</v>
      </c>
      <c r="H2419" s="91">
        <v>1770</v>
      </c>
      <c r="I2419" s="91">
        <v>7</v>
      </c>
      <c r="J2419" s="91">
        <v>4</v>
      </c>
      <c r="K2419" s="91" t="s">
        <v>1549</v>
      </c>
      <c r="L2419" s="91" t="s">
        <v>58</v>
      </c>
      <c r="M2419" s="91" t="s">
        <v>1</v>
      </c>
      <c r="Q2419" s="91"/>
      <c r="S2419" s="91" t="s">
        <v>143</v>
      </c>
      <c r="T2419" s="91" t="s">
        <v>2324</v>
      </c>
      <c r="V2419" s="91" t="s">
        <v>160</v>
      </c>
      <c r="W2419" s="91" t="s">
        <v>180</v>
      </c>
    </row>
    <row r="2420" spans="1:23">
      <c r="A2420" s="93" t="str">
        <f>TEXT(tblProjectlist[[#This Row],[project-no]],"0")</f>
        <v>99920743</v>
      </c>
      <c r="H2420" s="91">
        <v>1770</v>
      </c>
      <c r="I2420" s="91">
        <v>8</v>
      </c>
      <c r="J2420" s="91">
        <v>4</v>
      </c>
      <c r="K2420" s="91" t="s">
        <v>1550</v>
      </c>
      <c r="L2420" s="91" t="s">
        <v>58</v>
      </c>
      <c r="M2420" s="91" t="s">
        <v>1</v>
      </c>
      <c r="Q2420" s="91"/>
      <c r="S2420" s="91" t="s">
        <v>143</v>
      </c>
      <c r="T2420" s="91" t="s">
        <v>2325</v>
      </c>
      <c r="V2420" s="91" t="s">
        <v>164</v>
      </c>
      <c r="W2420" s="91" t="s">
        <v>180</v>
      </c>
    </row>
    <row r="2421" spans="1:23">
      <c r="A2421" s="93" t="str">
        <f>TEXT(tblProjectlist[[#This Row],[project-no]],"0")</f>
        <v>99921043</v>
      </c>
      <c r="H2421" s="91">
        <v>1770</v>
      </c>
      <c r="I2421" s="91">
        <v>11</v>
      </c>
      <c r="J2421" s="91">
        <v>4</v>
      </c>
      <c r="K2421" s="91" t="s">
        <v>1552</v>
      </c>
      <c r="L2421" s="91" t="s">
        <v>58</v>
      </c>
      <c r="M2421" s="91" t="s">
        <v>1</v>
      </c>
      <c r="Q2421" s="91"/>
      <c r="S2421" s="91" t="s">
        <v>143</v>
      </c>
      <c r="T2421" s="91" t="s">
        <v>2326</v>
      </c>
      <c r="V2421" s="91" t="s">
        <v>164</v>
      </c>
      <c r="W2421" s="91" t="s">
        <v>180</v>
      </c>
    </row>
    <row r="2422" spans="1:23">
      <c r="A2422" s="93" t="str">
        <f>TEXT(tblProjectlist[[#This Row],[project-no]],"0")</f>
        <v>99922142</v>
      </c>
      <c r="H2422" s="91">
        <v>1770</v>
      </c>
      <c r="I2422" s="91">
        <v>23</v>
      </c>
      <c r="J2422" s="91">
        <v>4</v>
      </c>
      <c r="K2422" s="91" t="s">
        <v>1553</v>
      </c>
      <c r="L2422" s="91" t="s">
        <v>58</v>
      </c>
      <c r="M2422" s="91" t="s">
        <v>1</v>
      </c>
      <c r="Q2422" s="91"/>
      <c r="S2422" s="91" t="s">
        <v>143</v>
      </c>
      <c r="T2422" s="91" t="s">
        <v>2327</v>
      </c>
      <c r="V2422" s="91" t="s">
        <v>163</v>
      </c>
      <c r="W2422" s="91" t="s">
        <v>180</v>
      </c>
    </row>
    <row r="2423" spans="1:23">
      <c r="A2423" s="93" t="str">
        <f>TEXT(tblProjectlist[[#This Row],[project-no]],"0")</f>
        <v>99922144</v>
      </c>
      <c r="H2423" s="91">
        <v>1770</v>
      </c>
      <c r="I2423" s="91">
        <v>23</v>
      </c>
      <c r="J2423" s="91">
        <v>4</v>
      </c>
      <c r="K2423" s="91" t="s">
        <v>1554</v>
      </c>
      <c r="L2423" s="91" t="s">
        <v>58</v>
      </c>
      <c r="M2423" s="91" t="s">
        <v>1</v>
      </c>
      <c r="Q2423" s="91"/>
      <c r="S2423" s="91" t="s">
        <v>143</v>
      </c>
      <c r="T2423" s="91" t="s">
        <v>2327</v>
      </c>
      <c r="V2423" s="91" t="s">
        <v>160</v>
      </c>
      <c r="W2423" s="91" t="s">
        <v>180</v>
      </c>
    </row>
    <row r="2424" spans="1:23">
      <c r="A2424" s="93" t="str">
        <f>TEXT(tblProjectlist[[#This Row],[project-no]],"0")</f>
        <v>99922444</v>
      </c>
      <c r="H2424" s="91">
        <v>1770</v>
      </c>
      <c r="I2424" s="91">
        <v>25</v>
      </c>
      <c r="J2424" s="91">
        <v>4</v>
      </c>
      <c r="K2424" s="91" t="s">
        <v>1555</v>
      </c>
      <c r="L2424" s="91" t="s">
        <v>58</v>
      </c>
      <c r="M2424" s="91" t="s">
        <v>1</v>
      </c>
      <c r="Q2424" s="91"/>
      <c r="S2424" s="91" t="s">
        <v>143</v>
      </c>
      <c r="T2424" s="91" t="s">
        <v>2328</v>
      </c>
      <c r="V2424" s="91" t="s">
        <v>160</v>
      </c>
      <c r="W2424" s="91" t="s">
        <v>180</v>
      </c>
    </row>
    <row r="2425" spans="1:23">
      <c r="A2425" s="93" t="str">
        <f>TEXT(tblProjectlist[[#This Row],[project-no]],"0")</f>
        <v>99922544</v>
      </c>
      <c r="H2425" s="91">
        <v>1770</v>
      </c>
      <c r="I2425" s="91">
        <v>26</v>
      </c>
      <c r="J2425" s="91">
        <v>4</v>
      </c>
      <c r="K2425" s="91" t="s">
        <v>1556</v>
      </c>
      <c r="L2425" s="91" t="s">
        <v>58</v>
      </c>
      <c r="M2425" s="91" t="s">
        <v>1</v>
      </c>
      <c r="Q2425" s="91"/>
      <c r="S2425" s="91" t="s">
        <v>143</v>
      </c>
      <c r="T2425" s="91" t="s">
        <v>2329</v>
      </c>
      <c r="V2425" s="91" t="s">
        <v>160</v>
      </c>
      <c r="W2425" s="91" t="s">
        <v>180</v>
      </c>
    </row>
    <row r="2426" spans="1:23">
      <c r="A2426" s="93" t="str">
        <f>TEXT(tblProjectlist[[#This Row],[project-no]],"0")</f>
        <v>99922644</v>
      </c>
      <c r="H2426" s="91">
        <v>1770</v>
      </c>
      <c r="I2426" s="91">
        <v>27</v>
      </c>
      <c r="J2426" s="91">
        <v>4</v>
      </c>
      <c r="K2426" s="91" t="s">
        <v>1557</v>
      </c>
      <c r="L2426" s="91" t="s">
        <v>58</v>
      </c>
      <c r="M2426" s="91" t="s">
        <v>1</v>
      </c>
      <c r="Q2426" s="91"/>
      <c r="S2426" s="91" t="s">
        <v>143</v>
      </c>
      <c r="T2426" s="91" t="s">
        <v>2330</v>
      </c>
      <c r="V2426" s="91" t="s">
        <v>160</v>
      </c>
      <c r="W2426" s="91" t="s">
        <v>180</v>
      </c>
    </row>
    <row r="2427" spans="1:23">
      <c r="A2427" s="93" t="str">
        <f>TEXT(tblProjectlist[[#This Row],[project-no]],"0")</f>
        <v>99922843</v>
      </c>
      <c r="H2427" s="91">
        <v>1770</v>
      </c>
      <c r="I2427" s="91">
        <v>23</v>
      </c>
      <c r="J2427" s="91">
        <v>4</v>
      </c>
      <c r="K2427" s="91" t="s">
        <v>1558</v>
      </c>
      <c r="L2427" s="91" t="s">
        <v>58</v>
      </c>
      <c r="M2427" s="91" t="s">
        <v>1</v>
      </c>
      <c r="Q2427" s="91"/>
      <c r="S2427" s="91" t="s">
        <v>143</v>
      </c>
      <c r="T2427" s="91" t="s">
        <v>2327</v>
      </c>
      <c r="V2427" s="91" t="s">
        <v>164</v>
      </c>
      <c r="W2427" s="91" t="s">
        <v>180</v>
      </c>
    </row>
    <row r="2428" spans="1:23">
      <c r="A2428" s="93" t="str">
        <f>TEXT(tblProjectlist[[#This Row],[project-no]],"0")</f>
        <v>99922944</v>
      </c>
      <c r="H2428" s="91">
        <v>1770</v>
      </c>
      <c r="I2428" s="91">
        <v>31</v>
      </c>
      <c r="J2428" s="91">
        <v>4</v>
      </c>
      <c r="K2428" s="91" t="s">
        <v>1559</v>
      </c>
      <c r="L2428" s="91" t="s">
        <v>58</v>
      </c>
      <c r="M2428" s="91" t="s">
        <v>1</v>
      </c>
      <c r="Q2428" s="91"/>
      <c r="S2428" s="91" t="s">
        <v>143</v>
      </c>
      <c r="T2428" s="91" t="s">
        <v>2334</v>
      </c>
      <c r="V2428" s="91" t="s">
        <v>160</v>
      </c>
      <c r="W2428" s="91" t="s">
        <v>180</v>
      </c>
    </row>
    <row r="2429" spans="1:23">
      <c r="A2429" s="93" t="str">
        <f>TEXT(tblProjectlist[[#This Row],[project-no]],"0")</f>
        <v>99923242</v>
      </c>
      <c r="H2429" s="91">
        <v>1770</v>
      </c>
      <c r="I2429" s="91">
        <v>32</v>
      </c>
      <c r="J2429" s="91">
        <v>4</v>
      </c>
      <c r="K2429" s="91" t="s">
        <v>1563</v>
      </c>
      <c r="L2429" s="91" t="s">
        <v>58</v>
      </c>
      <c r="M2429" s="91" t="s">
        <v>1</v>
      </c>
      <c r="Q2429" s="91"/>
      <c r="S2429" s="91" t="s">
        <v>143</v>
      </c>
      <c r="T2429" s="91" t="s">
        <v>2335</v>
      </c>
      <c r="V2429" s="91" t="s">
        <v>163</v>
      </c>
      <c r="W2429" s="91" t="s">
        <v>180</v>
      </c>
    </row>
    <row r="2430" spans="1:23">
      <c r="A2430" s="93" t="str">
        <f>TEXT(tblProjectlist[[#This Row],[project-no]],"0")</f>
        <v>99923243</v>
      </c>
      <c r="H2430" s="91">
        <v>1770</v>
      </c>
      <c r="I2430" s="91">
        <v>32</v>
      </c>
      <c r="J2430" s="91">
        <v>4</v>
      </c>
      <c r="K2430" s="91" t="s">
        <v>1564</v>
      </c>
      <c r="L2430" s="91" t="s">
        <v>58</v>
      </c>
      <c r="M2430" s="91" t="s">
        <v>1</v>
      </c>
      <c r="Q2430" s="91"/>
      <c r="S2430" s="91" t="s">
        <v>143</v>
      </c>
      <c r="T2430" s="91" t="s">
        <v>2335</v>
      </c>
      <c r="V2430" s="91" t="s">
        <v>164</v>
      </c>
      <c r="W2430" s="91" t="s">
        <v>180</v>
      </c>
    </row>
    <row r="2431" spans="1:23">
      <c r="A2431" s="93" t="str">
        <f>TEXT(tblProjectlist[[#This Row],[project-no]],"0")</f>
        <v>99923244</v>
      </c>
      <c r="H2431" s="91">
        <v>1770</v>
      </c>
      <c r="I2431" s="91">
        <v>32</v>
      </c>
      <c r="J2431" s="91">
        <v>4</v>
      </c>
      <c r="K2431" s="91" t="s">
        <v>1565</v>
      </c>
      <c r="L2431" s="91" t="s">
        <v>58</v>
      </c>
      <c r="M2431" s="91" t="s">
        <v>1</v>
      </c>
      <c r="Q2431" s="91"/>
      <c r="S2431" s="91" t="s">
        <v>143</v>
      </c>
      <c r="T2431" s="91" t="s">
        <v>2335</v>
      </c>
      <c r="V2431" s="91" t="s">
        <v>160</v>
      </c>
      <c r="W2431" s="91" t="s">
        <v>180</v>
      </c>
    </row>
    <row r="2432" spans="1:23">
      <c r="A2432" s="93" t="str">
        <f>TEXT(tblProjectlist[[#This Row],[project-no]],"0")</f>
        <v>99923247</v>
      </c>
      <c r="H2432" s="91">
        <v>1770</v>
      </c>
      <c r="I2432" s="91">
        <v>32</v>
      </c>
      <c r="J2432" s="91">
        <v>4</v>
      </c>
      <c r="K2432" s="91" t="s">
        <v>1566</v>
      </c>
      <c r="L2432" s="91" t="s">
        <v>58</v>
      </c>
      <c r="M2432" s="91" t="s">
        <v>1</v>
      </c>
      <c r="Q2432" s="91"/>
      <c r="S2432" s="91" t="s">
        <v>143</v>
      </c>
      <c r="T2432" s="91" t="s">
        <v>2335</v>
      </c>
      <c r="V2432" s="91" t="s">
        <v>162</v>
      </c>
      <c r="W2432" s="91" t="s">
        <v>180</v>
      </c>
    </row>
    <row r="2433" spans="1:23">
      <c r="A2433" s="93" t="str">
        <f>TEXT(tblProjectlist[[#This Row],[project-no]],"0")</f>
        <v>99923443</v>
      </c>
      <c r="H2433" s="91">
        <v>1770</v>
      </c>
      <c r="I2433" s="91">
        <v>32</v>
      </c>
      <c r="J2433" s="91">
        <v>4</v>
      </c>
      <c r="K2433" s="91" t="s">
        <v>1567</v>
      </c>
      <c r="L2433" s="91" t="s">
        <v>58</v>
      </c>
      <c r="M2433" s="91" t="s">
        <v>1</v>
      </c>
      <c r="Q2433" s="91"/>
      <c r="S2433" s="91" t="s">
        <v>143</v>
      </c>
      <c r="T2433" s="91" t="s">
        <v>2335</v>
      </c>
      <c r="V2433" s="91" t="s">
        <v>164</v>
      </c>
      <c r="W2433" s="91" t="s">
        <v>180</v>
      </c>
    </row>
    <row r="2434" spans="1:23">
      <c r="A2434" s="93" t="str">
        <f>TEXT(tblProjectlist[[#This Row],[project-no]],"0")</f>
        <v>99924043</v>
      </c>
      <c r="H2434" s="91">
        <v>1770</v>
      </c>
      <c r="I2434" s="91">
        <v>33</v>
      </c>
      <c r="J2434" s="91">
        <v>4</v>
      </c>
      <c r="K2434" s="91" t="s">
        <v>1568</v>
      </c>
      <c r="L2434" s="91" t="s">
        <v>58</v>
      </c>
      <c r="M2434" s="91" t="s">
        <v>1</v>
      </c>
      <c r="Q2434" s="91"/>
      <c r="S2434" s="91" t="s">
        <v>143</v>
      </c>
      <c r="T2434" s="91" t="s">
        <v>2336</v>
      </c>
      <c r="V2434" s="91" t="s">
        <v>164</v>
      </c>
      <c r="W2434" s="91" t="s">
        <v>180</v>
      </c>
    </row>
    <row r="2435" spans="1:23">
      <c r="A2435" s="93" t="str">
        <f>TEXT(tblProjectlist[[#This Row],[project-no]],"0")</f>
        <v>99924142</v>
      </c>
      <c r="H2435" s="91">
        <v>1770</v>
      </c>
      <c r="I2435" s="91">
        <v>38</v>
      </c>
      <c r="J2435" s="91">
        <v>4</v>
      </c>
      <c r="K2435" s="91" t="s">
        <v>1569</v>
      </c>
      <c r="L2435" s="91" t="s">
        <v>58</v>
      </c>
      <c r="M2435" s="91" t="s">
        <v>1</v>
      </c>
      <c r="Q2435" s="91"/>
      <c r="S2435" s="91" t="s">
        <v>143</v>
      </c>
      <c r="T2435" s="91" t="s">
        <v>2337</v>
      </c>
      <c r="V2435" s="91" t="s">
        <v>163</v>
      </c>
      <c r="W2435" s="91" t="s">
        <v>180</v>
      </c>
    </row>
    <row r="2436" spans="1:23">
      <c r="A2436" s="93" t="str">
        <f>TEXT(tblProjectlist[[#This Row],[project-no]],"0")</f>
        <v>0</v>
      </c>
      <c r="H2436" s="91">
        <v>1988</v>
      </c>
      <c r="I2436" s="91">
        <v>40</v>
      </c>
      <c r="J2436" s="91">
        <v>2</v>
      </c>
      <c r="K2436" s="91"/>
      <c r="L2436" s="91" t="s">
        <v>2175</v>
      </c>
      <c r="M2436" s="91" t="s">
        <v>4</v>
      </c>
      <c r="Q2436" s="91"/>
      <c r="S2436" s="91" t="s">
        <v>143</v>
      </c>
      <c r="T2436" s="91" t="s">
        <v>2388</v>
      </c>
      <c r="V2436" s="91" t="s">
        <v>155</v>
      </c>
      <c r="W2436" s="91" t="s">
        <v>180</v>
      </c>
    </row>
    <row r="2437" spans="1:23">
      <c r="A2437" s="93" t="str">
        <f>TEXT(tblProjectlist[[#This Row],[project-no]],"0")</f>
        <v>0</v>
      </c>
      <c r="H2437" s="91">
        <v>1988</v>
      </c>
      <c r="I2437" s="91">
        <v>43</v>
      </c>
      <c r="J2437" s="91">
        <v>1</v>
      </c>
      <c r="K2437" s="91"/>
      <c r="L2437" s="91" t="s">
        <v>58</v>
      </c>
      <c r="M2437" s="91" t="s">
        <v>0</v>
      </c>
      <c r="Q2437" s="91"/>
      <c r="S2437" s="91" t="s">
        <v>143</v>
      </c>
      <c r="T2437" s="91" t="s">
        <v>3648</v>
      </c>
      <c r="V2437" s="91" t="s">
        <v>167</v>
      </c>
      <c r="W2437" s="91" t="s">
        <v>180</v>
      </c>
    </row>
    <row r="2438" spans="1:23">
      <c r="A2438" s="93" t="str">
        <f>TEXT(tblProjectlist[[#This Row],[project-no]],"0")</f>
        <v>0</v>
      </c>
      <c r="H2438" s="91">
        <v>1988</v>
      </c>
      <c r="I2438" s="91">
        <v>44</v>
      </c>
      <c r="J2438" s="91">
        <v>1</v>
      </c>
      <c r="K2438" s="91"/>
      <c r="L2438" s="91" t="s">
        <v>58</v>
      </c>
      <c r="M2438" s="91" t="s">
        <v>0</v>
      </c>
      <c r="Q2438" s="91"/>
      <c r="S2438" s="91" t="s">
        <v>143</v>
      </c>
      <c r="T2438" s="91" t="s">
        <v>3837</v>
      </c>
      <c r="V2438" s="91" t="s">
        <v>169</v>
      </c>
      <c r="W2438" s="91" t="s">
        <v>180</v>
      </c>
    </row>
    <row r="2439" spans="1:23">
      <c r="A2439" s="93" t="str">
        <f>TEXT(tblProjectlist[[#This Row],[project-no]],"0")</f>
        <v>0</v>
      </c>
      <c r="H2439" s="91">
        <v>1988</v>
      </c>
      <c r="I2439" s="91">
        <v>45</v>
      </c>
      <c r="J2439" s="91">
        <v>2</v>
      </c>
      <c r="K2439" s="91"/>
      <c r="L2439" s="91" t="s">
        <v>2175</v>
      </c>
      <c r="M2439" s="91" t="s">
        <v>4</v>
      </c>
      <c r="Q2439" s="91"/>
      <c r="S2439" s="91" t="s">
        <v>143</v>
      </c>
      <c r="T2439" s="91" t="s">
        <v>4354</v>
      </c>
      <c r="V2439" s="91" t="s">
        <v>155</v>
      </c>
      <c r="W2439" s="91" t="s">
        <v>180</v>
      </c>
    </row>
    <row r="2440" spans="1:23">
      <c r="A2440" s="93" t="str">
        <f>TEXT(tblProjectlist[[#This Row],[project-no]],"0")</f>
        <v>0</v>
      </c>
      <c r="H2440" s="91">
        <v>1988</v>
      </c>
      <c r="I2440" s="91">
        <v>46</v>
      </c>
      <c r="J2440" s="91">
        <v>1</v>
      </c>
      <c r="K2440" s="91"/>
      <c r="L2440" s="91" t="s">
        <v>58</v>
      </c>
      <c r="M2440" s="91" t="s">
        <v>0</v>
      </c>
      <c r="Q2440" s="91"/>
      <c r="S2440" s="91" t="s">
        <v>143</v>
      </c>
      <c r="T2440" s="91" t="s">
        <v>4457</v>
      </c>
      <c r="V2440" s="91" t="s">
        <v>167</v>
      </c>
      <c r="W2440" s="91" t="s">
        <v>180</v>
      </c>
    </row>
    <row r="2441" spans="1:23">
      <c r="A2441" s="93" t="str">
        <f>TEXT(tblProjectlist[[#This Row],[project-no]],"0")</f>
        <v>19880128</v>
      </c>
      <c r="H2441" s="91">
        <v>1988</v>
      </c>
      <c r="I2441" s="91">
        <v>1</v>
      </c>
      <c r="J2441" s="91">
        <v>2</v>
      </c>
      <c r="K2441" s="91" t="s">
        <v>425</v>
      </c>
      <c r="L2441" s="91" t="s">
        <v>2175</v>
      </c>
      <c r="M2441" s="91" t="s">
        <v>4</v>
      </c>
      <c r="Q2441" s="91"/>
      <c r="S2441" s="91" t="s">
        <v>143</v>
      </c>
      <c r="T2441" s="91" t="s">
        <v>2380</v>
      </c>
      <c r="V2441" s="91" t="s">
        <v>155</v>
      </c>
      <c r="W2441" s="91" t="s">
        <v>180</v>
      </c>
    </row>
    <row r="2442" spans="1:23">
      <c r="A2442" s="93" t="str">
        <f>TEXT(tblProjectlist[[#This Row],[project-no]],"0")</f>
        <v>19880628</v>
      </c>
      <c r="H2442" s="91">
        <v>1988</v>
      </c>
      <c r="I2442" s="91">
        <v>6</v>
      </c>
      <c r="J2442" s="91">
        <v>2</v>
      </c>
      <c r="K2442" s="91" t="s">
        <v>426</v>
      </c>
      <c r="L2442" s="91" t="s">
        <v>2175</v>
      </c>
      <c r="M2442" s="91" t="s">
        <v>4</v>
      </c>
      <c r="Q2442" s="91"/>
      <c r="S2442" s="91" t="s">
        <v>143</v>
      </c>
      <c r="T2442" s="91" t="s">
        <v>2381</v>
      </c>
      <c r="V2442" s="91" t="s">
        <v>155</v>
      </c>
      <c r="W2442" s="91" t="s">
        <v>180</v>
      </c>
    </row>
    <row r="2443" spans="1:23">
      <c r="A2443" s="93" t="str">
        <f>TEXT(tblProjectlist[[#This Row],[project-no]],"0")</f>
        <v>19881811</v>
      </c>
      <c r="H2443" s="91">
        <v>1988</v>
      </c>
      <c r="I2443" s="91">
        <v>18</v>
      </c>
      <c r="J2443" s="91">
        <v>1</v>
      </c>
      <c r="K2443" s="91" t="s">
        <v>427</v>
      </c>
      <c r="L2443" s="91" t="s">
        <v>58</v>
      </c>
      <c r="M2443" s="91" t="s">
        <v>0</v>
      </c>
      <c r="Q2443" s="91"/>
      <c r="S2443" s="91" t="s">
        <v>143</v>
      </c>
      <c r="T2443" s="91" t="s">
        <v>2382</v>
      </c>
      <c r="V2443" s="91" t="s">
        <v>169</v>
      </c>
      <c r="W2443" s="91" t="s">
        <v>180</v>
      </c>
    </row>
    <row r="2444" spans="1:23">
      <c r="A2444" s="93" t="str">
        <f>TEXT(tblProjectlist[[#This Row],[project-no]],"0")</f>
        <v>19881812</v>
      </c>
      <c r="H2444" s="91">
        <v>1988</v>
      </c>
      <c r="I2444" s="91">
        <v>18</v>
      </c>
      <c r="J2444" s="91">
        <v>1</v>
      </c>
      <c r="K2444" s="91" t="s">
        <v>428</v>
      </c>
      <c r="L2444" s="91" t="s">
        <v>58</v>
      </c>
      <c r="M2444" s="91" t="s">
        <v>0</v>
      </c>
      <c r="Q2444" s="91"/>
      <c r="S2444" s="91" t="s">
        <v>143</v>
      </c>
      <c r="T2444" s="91" t="s">
        <v>2382</v>
      </c>
      <c r="V2444" s="91" t="s">
        <v>169</v>
      </c>
      <c r="W2444" s="91" t="s">
        <v>180</v>
      </c>
    </row>
    <row r="2445" spans="1:23">
      <c r="A2445" s="93" t="str">
        <f>TEXT(tblProjectlist[[#This Row],[project-no]],"0")</f>
        <v>19881813</v>
      </c>
      <c r="H2445" s="91">
        <v>1988</v>
      </c>
      <c r="I2445" s="91">
        <v>18</v>
      </c>
      <c r="J2445" s="91">
        <v>1</v>
      </c>
      <c r="K2445" s="91" t="s">
        <v>429</v>
      </c>
      <c r="L2445" s="91" t="s">
        <v>58</v>
      </c>
      <c r="M2445" s="91" t="s">
        <v>0</v>
      </c>
      <c r="Q2445" s="91"/>
      <c r="S2445" s="91" t="s">
        <v>143</v>
      </c>
      <c r="T2445" s="91" t="s">
        <v>2382</v>
      </c>
      <c r="V2445" s="91" t="s">
        <v>167</v>
      </c>
      <c r="W2445" s="91" t="s">
        <v>180</v>
      </c>
    </row>
    <row r="2446" spans="1:23">
      <c r="A2446" s="93" t="str">
        <f>TEXT(tblProjectlist[[#This Row],[project-no]],"0")</f>
        <v>19882043</v>
      </c>
      <c r="H2446" s="91">
        <v>1988</v>
      </c>
      <c r="I2446" s="91">
        <v>20</v>
      </c>
      <c r="J2446" s="91">
        <v>4</v>
      </c>
      <c r="K2446" s="91" t="s">
        <v>430</v>
      </c>
      <c r="L2446" s="91" t="s">
        <v>58</v>
      </c>
      <c r="M2446" s="91" t="s">
        <v>1</v>
      </c>
      <c r="Q2446" s="91"/>
      <c r="S2446" s="91" t="s">
        <v>143</v>
      </c>
      <c r="T2446" s="91" t="s">
        <v>2383</v>
      </c>
      <c r="V2446" s="91" t="s">
        <v>164</v>
      </c>
      <c r="W2446" s="91" t="s">
        <v>180</v>
      </c>
    </row>
    <row r="2447" spans="1:23">
      <c r="A2447" s="93" t="str">
        <f>TEXT(tblProjectlist[[#This Row],[project-no]],"0")</f>
        <v>19882111</v>
      </c>
      <c r="H2447" s="91">
        <v>1988</v>
      </c>
      <c r="I2447" s="91">
        <v>21</v>
      </c>
      <c r="J2447" s="91">
        <v>1</v>
      </c>
      <c r="K2447" s="91" t="s">
        <v>431</v>
      </c>
      <c r="L2447" s="91" t="s">
        <v>58</v>
      </c>
      <c r="M2447" s="91" t="s">
        <v>0</v>
      </c>
      <c r="Q2447" s="91"/>
      <c r="S2447" s="91" t="s">
        <v>143</v>
      </c>
      <c r="T2447" s="91" t="s">
        <v>2384</v>
      </c>
      <c r="V2447" s="91" t="s">
        <v>169</v>
      </c>
      <c r="W2447" s="91" t="s">
        <v>180</v>
      </c>
    </row>
    <row r="2448" spans="1:23">
      <c r="A2448" s="93" t="str">
        <f>TEXT(tblProjectlist[[#This Row],[project-no]],"0")</f>
        <v>19883311</v>
      </c>
      <c r="H2448" s="91">
        <v>1988</v>
      </c>
      <c r="I2448" s="91">
        <v>33</v>
      </c>
      <c r="J2448" s="91">
        <v>1</v>
      </c>
      <c r="K2448" s="91" t="s">
        <v>432</v>
      </c>
      <c r="L2448" s="91" t="s">
        <v>58</v>
      </c>
      <c r="M2448" s="91" t="s">
        <v>0</v>
      </c>
      <c r="Q2448" s="91"/>
      <c r="S2448" s="91" t="s">
        <v>143</v>
      </c>
      <c r="T2448" s="91" t="s">
        <v>2385</v>
      </c>
      <c r="V2448" s="91" t="s">
        <v>169</v>
      </c>
      <c r="W2448" s="91" t="s">
        <v>180</v>
      </c>
    </row>
    <row r="2449" spans="1:23">
      <c r="A2449" s="93" t="str">
        <f>TEXT(tblProjectlist[[#This Row],[project-no]],"0")</f>
        <v>19883313</v>
      </c>
      <c r="H2449" s="91">
        <v>1988</v>
      </c>
      <c r="I2449" s="91">
        <v>33</v>
      </c>
      <c r="J2449" s="91">
        <v>1</v>
      </c>
      <c r="K2449" s="91" t="s">
        <v>433</v>
      </c>
      <c r="L2449" s="91" t="s">
        <v>58</v>
      </c>
      <c r="M2449" s="91" t="s">
        <v>0</v>
      </c>
      <c r="Q2449" s="91"/>
      <c r="S2449" s="91" t="s">
        <v>143</v>
      </c>
      <c r="T2449" s="91" t="s">
        <v>2385</v>
      </c>
      <c r="V2449" s="91" t="s">
        <v>167</v>
      </c>
      <c r="W2449" s="91" t="s">
        <v>180</v>
      </c>
    </row>
    <row r="2450" spans="1:23">
      <c r="A2450" s="93" t="str">
        <f>TEXT(tblProjectlist[[#This Row],[project-no]],"0")</f>
        <v>19883316</v>
      </c>
      <c r="H2450" s="91">
        <v>1988</v>
      </c>
      <c r="I2450" s="91">
        <v>33</v>
      </c>
      <c r="J2450" s="91">
        <v>1</v>
      </c>
      <c r="K2450" s="91" t="s">
        <v>434</v>
      </c>
      <c r="L2450" s="91" t="s">
        <v>58</v>
      </c>
      <c r="M2450" s="91" t="s">
        <v>0</v>
      </c>
      <c r="Q2450" s="91"/>
      <c r="S2450" s="91" t="s">
        <v>143</v>
      </c>
      <c r="T2450" s="91" t="s">
        <v>2385</v>
      </c>
      <c r="V2450" s="91" t="s">
        <v>168</v>
      </c>
      <c r="W2450" s="91" t="s">
        <v>180</v>
      </c>
    </row>
    <row r="2451" spans="1:23">
      <c r="A2451" s="93" t="str">
        <f>TEXT(tblProjectlist[[#This Row],[project-no]],"0")</f>
        <v>19883413</v>
      </c>
      <c r="H2451" s="91">
        <v>1988</v>
      </c>
      <c r="I2451" s="91">
        <v>34</v>
      </c>
      <c r="J2451" s="91">
        <v>1</v>
      </c>
      <c r="K2451" s="91" t="s">
        <v>435</v>
      </c>
      <c r="L2451" s="91" t="s">
        <v>58</v>
      </c>
      <c r="M2451" s="91" t="s">
        <v>0</v>
      </c>
      <c r="Q2451" s="91"/>
      <c r="S2451" s="91" t="s">
        <v>143</v>
      </c>
      <c r="T2451" s="91" t="s">
        <v>2386</v>
      </c>
      <c r="V2451" s="91" t="s">
        <v>167</v>
      </c>
      <c r="W2451" s="91" t="s">
        <v>180</v>
      </c>
    </row>
    <row r="2452" spans="1:23">
      <c r="A2452" s="93" t="str">
        <f>TEXT(tblProjectlist[[#This Row],[project-no]],"0")</f>
        <v>19883416</v>
      </c>
      <c r="H2452" s="91">
        <v>1988</v>
      </c>
      <c r="I2452" s="91">
        <v>34</v>
      </c>
      <c r="J2452" s="91">
        <v>1</v>
      </c>
      <c r="K2452" s="91" t="s">
        <v>436</v>
      </c>
      <c r="L2452" s="91" t="s">
        <v>58</v>
      </c>
      <c r="M2452" s="91" t="s">
        <v>0</v>
      </c>
      <c r="Q2452" s="91"/>
      <c r="S2452" s="91" t="s">
        <v>143</v>
      </c>
      <c r="T2452" s="91" t="s">
        <v>2386</v>
      </c>
      <c r="V2452" s="91" t="s">
        <v>168</v>
      </c>
      <c r="W2452" s="91" t="s">
        <v>180</v>
      </c>
    </row>
    <row r="2453" spans="1:23">
      <c r="A2453" s="93" t="str">
        <f>TEXT(tblProjectlist[[#This Row],[project-no]],"0")</f>
        <v>19883911</v>
      </c>
      <c r="H2453" s="91">
        <v>1988</v>
      </c>
      <c r="I2453" s="91">
        <v>39</v>
      </c>
      <c r="J2453" s="91">
        <v>1</v>
      </c>
      <c r="K2453" s="91" t="s">
        <v>437</v>
      </c>
      <c r="L2453" s="91" t="s">
        <v>58</v>
      </c>
      <c r="M2453" s="91" t="s">
        <v>0</v>
      </c>
      <c r="Q2453" s="91"/>
      <c r="S2453" s="91" t="s">
        <v>143</v>
      </c>
      <c r="T2453" s="91" t="s">
        <v>2387</v>
      </c>
      <c r="V2453" s="91" t="s">
        <v>169</v>
      </c>
      <c r="W2453" s="91" t="s">
        <v>180</v>
      </c>
    </row>
    <row r="2454" spans="1:23">
      <c r="A2454" s="93" t="str">
        <f>TEXT(tblProjectlist[[#This Row],[project-no]],"0")</f>
        <v>19883916</v>
      </c>
      <c r="H2454" s="91">
        <v>1988</v>
      </c>
      <c r="I2454" s="91">
        <v>39</v>
      </c>
      <c r="J2454" s="91">
        <v>1</v>
      </c>
      <c r="K2454" s="91" t="s">
        <v>438</v>
      </c>
      <c r="L2454" s="91" t="s">
        <v>58</v>
      </c>
      <c r="M2454" s="91" t="s">
        <v>0</v>
      </c>
      <c r="Q2454" s="91"/>
      <c r="S2454" s="91" t="s">
        <v>143</v>
      </c>
      <c r="T2454" s="91" t="s">
        <v>2387</v>
      </c>
      <c r="V2454" s="91" t="s">
        <v>168</v>
      </c>
      <c r="W2454" s="91" t="s">
        <v>180</v>
      </c>
    </row>
    <row r="2455" spans="1:23">
      <c r="A2455" s="93" t="str">
        <f>TEXT(tblProjectlist[[#This Row],[project-no]],"0")</f>
        <v>19884026</v>
      </c>
      <c r="H2455" s="91">
        <v>1988</v>
      </c>
      <c r="I2455" s="91">
        <v>40</v>
      </c>
      <c r="J2455" s="91">
        <v>2</v>
      </c>
      <c r="K2455" s="91" t="s">
        <v>439</v>
      </c>
      <c r="L2455" s="91" t="s">
        <v>2175</v>
      </c>
      <c r="M2455" s="91" t="s">
        <v>4</v>
      </c>
      <c r="Q2455" s="91"/>
      <c r="S2455" s="91" t="s">
        <v>143</v>
      </c>
      <c r="T2455" s="91" t="s">
        <v>2388</v>
      </c>
      <c r="V2455" s="91" t="s">
        <v>155</v>
      </c>
      <c r="W2455" s="91" t="s">
        <v>180</v>
      </c>
    </row>
    <row r="2456" spans="1:23">
      <c r="A2456" s="93" t="str">
        <f>TEXT(tblProjectlist[[#This Row],[project-no]],"0")</f>
        <v>19884144</v>
      </c>
      <c r="H2456" s="91">
        <v>1988</v>
      </c>
      <c r="I2456" s="91">
        <v>41</v>
      </c>
      <c r="J2456" s="91">
        <v>4</v>
      </c>
      <c r="K2456" s="91" t="s">
        <v>440</v>
      </c>
      <c r="L2456" s="91" t="s">
        <v>58</v>
      </c>
      <c r="M2456" s="91" t="s">
        <v>1</v>
      </c>
      <c r="Q2456" s="91"/>
      <c r="S2456" s="91" t="s">
        <v>143</v>
      </c>
      <c r="T2456" s="91" t="s">
        <v>2389</v>
      </c>
      <c r="W2456" s="91" t="s">
        <v>180</v>
      </c>
    </row>
    <row r="2457" spans="1:23">
      <c r="A2457" s="93" t="str">
        <f>TEXT(tblProjectlist[[#This Row],[project-no]],"0")</f>
        <v>99630511</v>
      </c>
      <c r="H2457" s="91">
        <v>1988</v>
      </c>
      <c r="I2457" s="91">
        <v>39</v>
      </c>
      <c r="J2457" s="91">
        <v>1</v>
      </c>
      <c r="K2457" s="91" t="s">
        <v>1302</v>
      </c>
      <c r="L2457" s="91" t="s">
        <v>58</v>
      </c>
      <c r="M2457" s="91" t="s">
        <v>0</v>
      </c>
      <c r="Q2457" s="91"/>
      <c r="S2457" s="91" t="s">
        <v>143</v>
      </c>
      <c r="T2457" s="91" t="s">
        <v>2387</v>
      </c>
      <c r="V2457" s="91" t="s">
        <v>169</v>
      </c>
      <c r="W2457" s="91" t="s">
        <v>180</v>
      </c>
    </row>
    <row r="2458" spans="1:23">
      <c r="A2458" s="93" t="str">
        <f>TEXT(tblProjectlist[[#This Row],[project-no]],"0")</f>
        <v>99630516</v>
      </c>
      <c r="H2458" s="91">
        <v>1988</v>
      </c>
      <c r="I2458" s="91">
        <v>39</v>
      </c>
      <c r="J2458" s="91">
        <v>1</v>
      </c>
      <c r="K2458" s="91" t="s">
        <v>1303</v>
      </c>
      <c r="L2458" s="91" t="s">
        <v>58</v>
      </c>
      <c r="M2458" s="91" t="s">
        <v>0</v>
      </c>
      <c r="Q2458" s="91"/>
      <c r="S2458" s="91" t="s">
        <v>143</v>
      </c>
      <c r="T2458" s="91" t="s">
        <v>2387</v>
      </c>
      <c r="V2458" s="91" t="s">
        <v>168</v>
      </c>
      <c r="W2458" s="91" t="s">
        <v>180</v>
      </c>
    </row>
    <row r="2459" spans="1:23">
      <c r="A2459" s="93" t="str">
        <f>TEXT(tblProjectlist[[#This Row],[project-no]],"0")</f>
        <v>99910711</v>
      </c>
      <c r="H2459" s="91">
        <v>1988</v>
      </c>
      <c r="I2459" s="91">
        <v>18</v>
      </c>
      <c r="J2459" s="91">
        <v>1</v>
      </c>
      <c r="K2459" s="91" t="s">
        <v>1500</v>
      </c>
      <c r="L2459" s="91" t="s">
        <v>58</v>
      </c>
      <c r="M2459" s="91" t="s">
        <v>0</v>
      </c>
      <c r="Q2459" s="91"/>
      <c r="S2459" s="91" t="s">
        <v>143</v>
      </c>
      <c r="T2459" s="91" t="s">
        <v>2382</v>
      </c>
      <c r="V2459" s="91" t="s">
        <v>169</v>
      </c>
      <c r="W2459" s="91" t="s">
        <v>180</v>
      </c>
    </row>
    <row r="2460" spans="1:23">
      <c r="A2460" s="93" t="str">
        <f>TEXT(tblProjectlist[[#This Row],[project-no]],"0")</f>
        <v>99910712</v>
      </c>
      <c r="H2460" s="91">
        <v>1988</v>
      </c>
      <c r="I2460" s="91">
        <v>18</v>
      </c>
      <c r="J2460" s="91">
        <v>1</v>
      </c>
      <c r="K2460" s="91" t="s">
        <v>1501</v>
      </c>
      <c r="L2460" s="91" t="s">
        <v>58</v>
      </c>
      <c r="M2460" s="91" t="s">
        <v>0</v>
      </c>
      <c r="Q2460" s="91"/>
      <c r="S2460" s="91" t="s">
        <v>143</v>
      </c>
      <c r="T2460" s="91" t="s">
        <v>2382</v>
      </c>
      <c r="V2460" s="91" t="s">
        <v>169</v>
      </c>
      <c r="W2460" s="91" t="s">
        <v>180</v>
      </c>
    </row>
    <row r="2461" spans="1:23">
      <c r="A2461" s="93" t="str">
        <f>TEXT(tblProjectlist[[#This Row],[project-no]],"0")</f>
        <v>99910713</v>
      </c>
      <c r="H2461" s="91">
        <v>1988</v>
      </c>
      <c r="I2461" s="91">
        <v>18</v>
      </c>
      <c r="J2461" s="91">
        <v>1</v>
      </c>
      <c r="K2461" s="91" t="s">
        <v>1502</v>
      </c>
      <c r="L2461" s="91" t="s">
        <v>58</v>
      </c>
      <c r="M2461" s="91" t="s">
        <v>0</v>
      </c>
      <c r="Q2461" s="91"/>
      <c r="S2461" s="91" t="s">
        <v>143</v>
      </c>
      <c r="T2461" s="91" t="s">
        <v>2382</v>
      </c>
      <c r="V2461" s="91" t="s">
        <v>167</v>
      </c>
      <c r="W2461" s="91" t="s">
        <v>180</v>
      </c>
    </row>
    <row r="2462" spans="1:23">
      <c r="A2462" s="93" t="str">
        <f>TEXT(tblProjectlist[[#This Row],[project-no]],"0")</f>
        <v>99910716</v>
      </c>
      <c r="H2462" s="91">
        <v>1988</v>
      </c>
      <c r="I2462" s="91">
        <v>18</v>
      </c>
      <c r="J2462" s="91">
        <v>1</v>
      </c>
      <c r="K2462" s="91" t="s">
        <v>1503</v>
      </c>
      <c r="L2462" s="91" t="s">
        <v>58</v>
      </c>
      <c r="M2462" s="91" t="s">
        <v>0</v>
      </c>
      <c r="Q2462" s="91"/>
      <c r="S2462" s="91" t="s">
        <v>143</v>
      </c>
      <c r="T2462" s="91" t="s">
        <v>2382</v>
      </c>
      <c r="V2462" s="91" t="s">
        <v>168</v>
      </c>
      <c r="W2462" s="91" t="s">
        <v>180</v>
      </c>
    </row>
    <row r="2463" spans="1:23">
      <c r="A2463" s="93" t="str">
        <f>TEXT(tblProjectlist[[#This Row],[project-no]],"0")</f>
        <v>99910717</v>
      </c>
      <c r="H2463" s="91">
        <v>1988</v>
      </c>
      <c r="I2463" s="91">
        <v>18</v>
      </c>
      <c r="J2463" s="91">
        <v>1</v>
      </c>
      <c r="K2463" s="91" t="s">
        <v>1504</v>
      </c>
      <c r="L2463" s="91" t="s">
        <v>58</v>
      </c>
      <c r="M2463" s="91" t="s">
        <v>0</v>
      </c>
      <c r="Q2463" s="91"/>
      <c r="S2463" s="91" t="s">
        <v>143</v>
      </c>
      <c r="T2463" s="91" t="s">
        <v>2382</v>
      </c>
      <c r="V2463" s="91" t="s">
        <v>168</v>
      </c>
      <c r="W2463" s="91" t="s">
        <v>180</v>
      </c>
    </row>
    <row r="2464" spans="1:23">
      <c r="A2464" s="93" t="str">
        <f>TEXT(tblProjectlist[[#This Row],[project-no]],"0")</f>
        <v>99914711</v>
      </c>
      <c r="H2464" s="91">
        <v>1988</v>
      </c>
      <c r="I2464" s="91">
        <v>21</v>
      </c>
      <c r="J2464" s="91">
        <v>1</v>
      </c>
      <c r="K2464" s="91" t="s">
        <v>1524</v>
      </c>
      <c r="L2464" s="91" t="s">
        <v>58</v>
      </c>
      <c r="M2464" s="91" t="s">
        <v>0</v>
      </c>
      <c r="Q2464" s="91"/>
      <c r="S2464" s="91" t="s">
        <v>143</v>
      </c>
      <c r="T2464" s="91" t="s">
        <v>2384</v>
      </c>
      <c r="V2464" s="91" t="s">
        <v>169</v>
      </c>
      <c r="W2464" s="91" t="s">
        <v>180</v>
      </c>
    </row>
    <row r="2465" spans="1:23">
      <c r="A2465" s="93" t="str">
        <f>TEXT(tblProjectlist[[#This Row],[project-no]],"0")</f>
        <v>99918311</v>
      </c>
      <c r="H2465" s="91">
        <v>1988</v>
      </c>
      <c r="I2465" s="91">
        <v>33</v>
      </c>
      <c r="J2465" s="91">
        <v>1</v>
      </c>
      <c r="K2465" s="91" t="s">
        <v>1534</v>
      </c>
      <c r="L2465" s="91" t="s">
        <v>58</v>
      </c>
      <c r="M2465" s="91" t="s">
        <v>0</v>
      </c>
      <c r="Q2465" s="91"/>
      <c r="S2465" s="91" t="s">
        <v>143</v>
      </c>
      <c r="T2465" s="91" t="s">
        <v>2385</v>
      </c>
      <c r="V2465" s="91" t="s">
        <v>169</v>
      </c>
      <c r="W2465" s="91" t="s">
        <v>180</v>
      </c>
    </row>
    <row r="2466" spans="1:23">
      <c r="A2466" s="93" t="str">
        <f>TEXT(tblProjectlist[[#This Row],[project-no]],"0")</f>
        <v>99918313</v>
      </c>
      <c r="H2466" s="91">
        <v>1988</v>
      </c>
      <c r="I2466" s="91">
        <v>33</v>
      </c>
      <c r="J2466" s="91">
        <v>1</v>
      </c>
      <c r="K2466" s="91" t="s">
        <v>1535</v>
      </c>
      <c r="L2466" s="91" t="s">
        <v>58</v>
      </c>
      <c r="M2466" s="91" t="s">
        <v>0</v>
      </c>
      <c r="Q2466" s="91"/>
      <c r="S2466" s="91" t="s">
        <v>143</v>
      </c>
      <c r="T2466" s="91" t="s">
        <v>2385</v>
      </c>
      <c r="V2466" s="91" t="s">
        <v>167</v>
      </c>
      <c r="W2466" s="91" t="s">
        <v>180</v>
      </c>
    </row>
    <row r="2467" spans="1:23">
      <c r="A2467" s="93" t="str">
        <f>TEXT(tblProjectlist[[#This Row],[project-no]],"0")</f>
        <v>99918316</v>
      </c>
      <c r="H2467" s="91">
        <v>1988</v>
      </c>
      <c r="I2467" s="91">
        <v>33</v>
      </c>
      <c r="J2467" s="91">
        <v>1</v>
      </c>
      <c r="K2467" s="91" t="s">
        <v>1536</v>
      </c>
      <c r="L2467" s="91" t="s">
        <v>58</v>
      </c>
      <c r="M2467" s="91" t="s">
        <v>0</v>
      </c>
      <c r="Q2467" s="91"/>
      <c r="S2467" s="91" t="s">
        <v>143</v>
      </c>
      <c r="T2467" s="91" t="s">
        <v>2385</v>
      </c>
      <c r="V2467" s="91" t="s">
        <v>168</v>
      </c>
      <c r="W2467" s="91" t="s">
        <v>180</v>
      </c>
    </row>
    <row r="2468" spans="1:23">
      <c r="A2468" s="93" t="str">
        <f>TEXT(tblProjectlist[[#This Row],[project-no]],"0")</f>
        <v>99951513</v>
      </c>
      <c r="H2468" s="91">
        <v>1988</v>
      </c>
      <c r="I2468" s="91">
        <v>34</v>
      </c>
      <c r="J2468" s="91">
        <v>1</v>
      </c>
      <c r="K2468" s="91" t="s">
        <v>1627</v>
      </c>
      <c r="L2468" s="91" t="s">
        <v>58</v>
      </c>
      <c r="M2468" s="91" t="s">
        <v>0</v>
      </c>
      <c r="Q2468" s="91"/>
      <c r="S2468" s="91" t="s">
        <v>143</v>
      </c>
      <c r="T2468" s="91" t="s">
        <v>2386</v>
      </c>
      <c r="V2468" s="91" t="s">
        <v>167</v>
      </c>
      <c r="W2468" s="91" t="s">
        <v>180</v>
      </c>
    </row>
    <row r="2469" spans="1:23">
      <c r="A2469" s="93" t="str">
        <f>TEXT(tblProjectlist[[#This Row],[project-no]],"0")</f>
        <v>99951516</v>
      </c>
      <c r="H2469" s="91">
        <v>1988</v>
      </c>
      <c r="I2469" s="91">
        <v>34</v>
      </c>
      <c r="J2469" s="91">
        <v>1</v>
      </c>
      <c r="K2469" s="91" t="s">
        <v>1628</v>
      </c>
      <c r="L2469" s="91" t="s">
        <v>58</v>
      </c>
      <c r="M2469" s="91" t="s">
        <v>0</v>
      </c>
      <c r="Q2469" s="91"/>
      <c r="S2469" s="91" t="s">
        <v>143</v>
      </c>
      <c r="T2469" s="91" t="s">
        <v>2386</v>
      </c>
      <c r="V2469" s="91" t="s">
        <v>168</v>
      </c>
      <c r="W2469" s="91" t="s">
        <v>180</v>
      </c>
    </row>
    <row r="2470" spans="1:23">
      <c r="A2470" s="93" t="str">
        <f>TEXT(tblProjectlist[[#This Row],[project-no]],"0")</f>
        <v>99951517</v>
      </c>
      <c r="H2470" s="91">
        <v>1988</v>
      </c>
      <c r="I2470" s="91">
        <v>34</v>
      </c>
      <c r="J2470" s="91">
        <v>1</v>
      </c>
      <c r="K2470" s="91" t="s">
        <v>1629</v>
      </c>
      <c r="L2470" s="91" t="s">
        <v>58</v>
      </c>
      <c r="M2470" s="91" t="s">
        <v>0</v>
      </c>
      <c r="Q2470" s="91"/>
      <c r="S2470" s="91" t="s">
        <v>143</v>
      </c>
      <c r="T2470" s="91" t="s">
        <v>2386</v>
      </c>
      <c r="V2470" s="91" t="s">
        <v>168</v>
      </c>
      <c r="W2470" s="91" t="s">
        <v>180</v>
      </c>
    </row>
    <row r="2471" spans="1:23">
      <c r="A2471" s="93" t="str">
        <f>TEXT(tblProjectlist[[#This Row],[project-no]],"0")</f>
        <v>99955611</v>
      </c>
      <c r="H2471" s="91">
        <v>1988</v>
      </c>
      <c r="I2471" s="91">
        <v>38</v>
      </c>
      <c r="J2471" s="91">
        <v>1</v>
      </c>
      <c r="K2471" s="91" t="s">
        <v>1670</v>
      </c>
      <c r="L2471" s="91" t="s">
        <v>2175</v>
      </c>
      <c r="M2471" s="91" t="s">
        <v>0</v>
      </c>
      <c r="Q2471" s="91"/>
      <c r="S2471" s="91" t="s">
        <v>143</v>
      </c>
      <c r="T2471" s="91" t="s">
        <v>3309</v>
      </c>
      <c r="V2471" s="91" t="s">
        <v>169</v>
      </c>
      <c r="W2471" s="91" t="s">
        <v>180</v>
      </c>
    </row>
    <row r="2472" spans="1:23">
      <c r="A2472" s="93" t="str">
        <f>TEXT(tblProjectlist[[#This Row],[project-no]],"0")</f>
        <v>0</v>
      </c>
      <c r="H2472" s="91">
        <v>9963</v>
      </c>
      <c r="I2472" s="91">
        <v>85</v>
      </c>
      <c r="J2472" s="91">
        <v>1</v>
      </c>
      <c r="K2472" s="91"/>
      <c r="L2472" s="91" t="s">
        <v>2175</v>
      </c>
      <c r="M2472" s="91" t="s">
        <v>0</v>
      </c>
      <c r="Q2472" s="91"/>
      <c r="S2472" s="91" t="s">
        <v>143</v>
      </c>
      <c r="T2472" s="91" t="s">
        <v>4420</v>
      </c>
      <c r="V2472" s="91" t="s">
        <v>169</v>
      </c>
      <c r="W2472" s="91" t="s">
        <v>180</v>
      </c>
    </row>
    <row r="2473" spans="1:23">
      <c r="A2473" s="93" t="str">
        <f>TEXT(tblProjectlist[[#This Row],[project-no]],"0")</f>
        <v>0</v>
      </c>
      <c r="H2473" s="91">
        <v>9963</v>
      </c>
      <c r="I2473" s="91">
        <v>85</v>
      </c>
      <c r="J2473" s="91">
        <v>1</v>
      </c>
      <c r="K2473" s="91"/>
      <c r="L2473" s="91" t="s">
        <v>2175</v>
      </c>
      <c r="M2473" s="91" t="s">
        <v>0</v>
      </c>
      <c r="Q2473" s="91"/>
      <c r="S2473" s="91" t="s">
        <v>143</v>
      </c>
      <c r="T2473" s="91" t="s">
        <v>4420</v>
      </c>
      <c r="V2473" s="91" t="s">
        <v>167</v>
      </c>
      <c r="W2473" s="91" t="s">
        <v>180</v>
      </c>
    </row>
    <row r="2474" spans="1:23">
      <c r="A2474" s="93" t="str">
        <f>TEXT(tblProjectlist[[#This Row],[project-no]],"0")</f>
        <v>0</v>
      </c>
      <c r="H2474" s="91">
        <v>9963</v>
      </c>
      <c r="I2474" s="91">
        <v>85</v>
      </c>
      <c r="J2474" s="91">
        <v>1</v>
      </c>
      <c r="K2474" s="91"/>
      <c r="L2474" s="91" t="s">
        <v>2175</v>
      </c>
      <c r="M2474" s="91" t="s">
        <v>0</v>
      </c>
      <c r="Q2474" s="91"/>
      <c r="S2474" s="91" t="s">
        <v>143</v>
      </c>
      <c r="T2474" s="91" t="s">
        <v>4420</v>
      </c>
      <c r="V2474" s="91" t="s">
        <v>168</v>
      </c>
      <c r="W2474" s="91" t="s">
        <v>180</v>
      </c>
    </row>
    <row r="2475" spans="1:23">
      <c r="A2475" s="93" t="str">
        <f>TEXT(tblProjectlist[[#This Row],[project-no]],"0")</f>
        <v>0</v>
      </c>
      <c r="H2475" s="91">
        <v>9963</v>
      </c>
      <c r="I2475" s="91">
        <v>85</v>
      </c>
      <c r="J2475" s="91">
        <v>2</v>
      </c>
      <c r="K2475" s="91"/>
      <c r="L2475" s="91" t="s">
        <v>58</v>
      </c>
      <c r="M2475" s="91" t="s">
        <v>4</v>
      </c>
      <c r="Q2475" s="91"/>
      <c r="S2475" s="91" t="s">
        <v>143</v>
      </c>
      <c r="T2475" s="91" t="s">
        <v>4396</v>
      </c>
      <c r="V2475" s="91" t="s">
        <v>155</v>
      </c>
      <c r="W2475" s="91" t="s">
        <v>180</v>
      </c>
    </row>
    <row r="2476" spans="1:23">
      <c r="A2476" s="93" t="str">
        <f>TEXT(tblProjectlist[[#This Row],[project-no]],"0")</f>
        <v>0</v>
      </c>
      <c r="H2476" s="91">
        <v>9963</v>
      </c>
      <c r="I2476" s="91">
        <v>86</v>
      </c>
      <c r="J2476" s="91">
        <v>5</v>
      </c>
      <c r="K2476" s="91"/>
      <c r="L2476" s="91" t="s">
        <v>2175</v>
      </c>
      <c r="M2476" s="91" t="s">
        <v>5</v>
      </c>
      <c r="Q2476" s="91"/>
      <c r="S2476" s="91" t="s">
        <v>143</v>
      </c>
      <c r="T2476" s="91" t="s">
        <v>4521</v>
      </c>
      <c r="V2476" s="91" t="s">
        <v>3721</v>
      </c>
      <c r="W2476" s="91" t="s">
        <v>180</v>
      </c>
    </row>
    <row r="2477" spans="1:23">
      <c r="A2477" s="93" t="str">
        <f>TEXT(tblProjectlist[[#This Row],[project-no]],"0")</f>
        <v>0</v>
      </c>
      <c r="H2477" s="91">
        <v>9963</v>
      </c>
      <c r="I2477" s="91">
        <v>87</v>
      </c>
      <c r="J2477" s="91">
        <v>1</v>
      </c>
      <c r="K2477" s="91"/>
      <c r="L2477" s="91" t="s">
        <v>2175</v>
      </c>
      <c r="M2477" s="91" t="s">
        <v>0</v>
      </c>
      <c r="Q2477" s="91"/>
      <c r="S2477" s="91" t="s">
        <v>143</v>
      </c>
      <c r="T2477" s="91" t="s">
        <v>4522</v>
      </c>
      <c r="V2477" s="91" t="s">
        <v>167</v>
      </c>
      <c r="W2477" s="91" t="s">
        <v>180</v>
      </c>
    </row>
    <row r="2478" spans="1:23">
      <c r="A2478" s="93" t="str">
        <f>TEXT(tblProjectlist[[#This Row],[project-no]],"0")</f>
        <v>0</v>
      </c>
      <c r="H2478" s="91">
        <v>9963</v>
      </c>
      <c r="I2478" s="91">
        <v>88</v>
      </c>
      <c r="J2478" s="91">
        <v>1</v>
      </c>
      <c r="K2478" s="91"/>
      <c r="L2478" s="91" t="s">
        <v>2175</v>
      </c>
      <c r="M2478" s="91" t="s">
        <v>0</v>
      </c>
      <c r="Q2478" s="91"/>
      <c r="S2478" s="91" t="s">
        <v>143</v>
      </c>
      <c r="T2478" s="91" t="s">
        <v>4523</v>
      </c>
      <c r="V2478" s="91" t="s">
        <v>169</v>
      </c>
      <c r="W2478" s="91" t="s">
        <v>180</v>
      </c>
    </row>
    <row r="2479" spans="1:23">
      <c r="A2479" s="93" t="str">
        <f>TEXT(tblProjectlist[[#This Row],[project-no]],"0")</f>
        <v>0</v>
      </c>
      <c r="H2479" s="91">
        <v>9981</v>
      </c>
      <c r="I2479" s="91">
        <v>52</v>
      </c>
      <c r="J2479" s="91">
        <v>1</v>
      </c>
      <c r="K2479" s="91"/>
      <c r="L2479" s="91" t="s">
        <v>2175</v>
      </c>
      <c r="M2479" s="91" t="s">
        <v>0</v>
      </c>
      <c r="Q2479" s="91"/>
      <c r="S2479" s="91" t="s">
        <v>143</v>
      </c>
      <c r="T2479" s="91" t="s">
        <v>4662</v>
      </c>
      <c r="V2479" s="91" t="s">
        <v>169</v>
      </c>
      <c r="W2479" s="91" t="s">
        <v>180</v>
      </c>
    </row>
    <row r="2480" spans="1:23">
      <c r="A2480" s="93" t="str">
        <f>TEXT(tblProjectlist[[#This Row],[project-no]],"0")</f>
        <v>0</v>
      </c>
      <c r="H2480" s="91">
        <v>9981</v>
      </c>
      <c r="I2480" s="91">
        <v>52</v>
      </c>
      <c r="J2480" s="91">
        <v>1</v>
      </c>
      <c r="K2480" s="91"/>
      <c r="L2480" s="91" t="s">
        <v>2175</v>
      </c>
      <c r="M2480" s="91" t="s">
        <v>0</v>
      </c>
      <c r="Q2480" s="91"/>
      <c r="S2480" s="91" t="s">
        <v>143</v>
      </c>
      <c r="T2480" s="91" t="s">
        <v>4662</v>
      </c>
      <c r="V2480" s="91" t="s">
        <v>168</v>
      </c>
      <c r="W2480" s="91" t="s">
        <v>180</v>
      </c>
    </row>
    <row r="2481" spans="1:23">
      <c r="A2481" s="93" t="str">
        <f>TEXT(tblProjectlist[[#This Row],[project-no]],"0")</f>
        <v>99931811</v>
      </c>
      <c r="H2481" s="91">
        <v>9991</v>
      </c>
      <c r="I2481" s="91">
        <v>7</v>
      </c>
      <c r="J2481" s="91">
        <v>1</v>
      </c>
      <c r="K2481" s="91" t="s">
        <v>1576</v>
      </c>
      <c r="L2481" s="91" t="s">
        <v>2175</v>
      </c>
      <c r="M2481" s="91" t="s">
        <v>0</v>
      </c>
      <c r="Q2481" s="91"/>
      <c r="S2481" s="91" t="s">
        <v>143</v>
      </c>
      <c r="T2481" s="91" t="s">
        <v>3267</v>
      </c>
      <c r="V2481" s="91" t="s">
        <v>169</v>
      </c>
      <c r="W2481" s="91" t="s">
        <v>180</v>
      </c>
    </row>
    <row r="2482" spans="1:23">
      <c r="A2482" s="93" t="str">
        <f>TEXT(tblProjectlist[[#This Row],[project-no]],"0")</f>
        <v>99931817</v>
      </c>
      <c r="H2482" s="91">
        <v>9991</v>
      </c>
      <c r="I2482" s="91">
        <v>7</v>
      </c>
      <c r="J2482" s="91">
        <v>1</v>
      </c>
      <c r="K2482" s="91" t="s">
        <v>1577</v>
      </c>
      <c r="L2482" s="91" t="s">
        <v>2175</v>
      </c>
      <c r="M2482" s="91" t="s">
        <v>0</v>
      </c>
      <c r="Q2482" s="91"/>
      <c r="S2482" s="91" t="s">
        <v>143</v>
      </c>
      <c r="T2482" s="91" t="s">
        <v>3267</v>
      </c>
      <c r="V2482" s="91" t="s">
        <v>168</v>
      </c>
      <c r="W2482" s="91" t="s">
        <v>180</v>
      </c>
    </row>
    <row r="2483" spans="1:23">
      <c r="A2483" s="93" t="str">
        <f>TEXT(tblProjectlist[[#This Row],[project-no]],"0")</f>
        <v>99966113</v>
      </c>
      <c r="H2483" s="91">
        <v>9991</v>
      </c>
      <c r="I2483" s="91">
        <v>7</v>
      </c>
      <c r="J2483" s="91">
        <v>1</v>
      </c>
      <c r="K2483" s="91" t="s">
        <v>1779</v>
      </c>
      <c r="L2483" s="91" t="s">
        <v>2175</v>
      </c>
      <c r="M2483" s="91" t="s">
        <v>0</v>
      </c>
      <c r="Q2483" s="91"/>
      <c r="S2483" s="91" t="s">
        <v>143</v>
      </c>
      <c r="T2483" s="91" t="s">
        <v>3267</v>
      </c>
      <c r="V2483" s="91" t="s">
        <v>167</v>
      </c>
      <c r="W2483" s="91" t="s">
        <v>180</v>
      </c>
    </row>
    <row r="2484" spans="1:23">
      <c r="A2484" s="93" t="str">
        <f>TEXT(tblProjectlist[[#This Row],[project-no]],"0")</f>
        <v>99920227</v>
      </c>
      <c r="H2484" s="91">
        <v>9992</v>
      </c>
      <c r="I2484" s="91">
        <v>2</v>
      </c>
      <c r="J2484" s="91">
        <v>2</v>
      </c>
      <c r="K2484" s="91" t="s">
        <v>1544</v>
      </c>
      <c r="L2484" s="91" t="s">
        <v>339</v>
      </c>
      <c r="M2484" s="91" t="s">
        <v>4</v>
      </c>
      <c r="Q2484" s="91"/>
      <c r="S2484" s="91" t="s">
        <v>143</v>
      </c>
      <c r="T2484" s="91" t="s">
        <v>3262</v>
      </c>
      <c r="W2484" s="91" t="s">
        <v>180</v>
      </c>
    </row>
    <row r="2485" spans="1:23">
      <c r="A2485" s="93" t="str">
        <f>TEXT(tblProjectlist[[#This Row],[project-no]],"0")</f>
        <v>99920511</v>
      </c>
      <c r="H2485" s="91">
        <v>9992</v>
      </c>
      <c r="I2485" s="91">
        <v>5</v>
      </c>
      <c r="J2485" s="91">
        <v>1</v>
      </c>
      <c r="K2485" s="91" t="s">
        <v>1547</v>
      </c>
      <c r="L2485" s="91" t="s">
        <v>2175</v>
      </c>
      <c r="M2485" s="91" t="s">
        <v>0</v>
      </c>
      <c r="Q2485" s="91"/>
      <c r="S2485" s="91" t="s">
        <v>143</v>
      </c>
      <c r="T2485" s="91" t="s">
        <v>3263</v>
      </c>
      <c r="V2485" s="91" t="s">
        <v>169</v>
      </c>
      <c r="W2485" s="91" t="s">
        <v>180</v>
      </c>
    </row>
    <row r="2486" spans="1:23">
      <c r="A2486" s="93" t="str">
        <f>TEXT(tblProjectlist[[#This Row],[project-no]],"0")</f>
        <v>99920513</v>
      </c>
      <c r="H2486" s="91">
        <v>9992</v>
      </c>
      <c r="I2486" s="91">
        <v>5</v>
      </c>
      <c r="J2486" s="91">
        <v>1</v>
      </c>
      <c r="K2486" s="91" t="s">
        <v>1548</v>
      </c>
      <c r="L2486" s="91" t="s">
        <v>2175</v>
      </c>
      <c r="M2486" s="91" t="s">
        <v>0</v>
      </c>
      <c r="Q2486" s="91"/>
      <c r="S2486" s="91" t="s">
        <v>143</v>
      </c>
      <c r="T2486" s="91" t="s">
        <v>3263</v>
      </c>
      <c r="V2486" s="91" t="s">
        <v>167</v>
      </c>
      <c r="W2486" s="91" t="s">
        <v>180</v>
      </c>
    </row>
    <row r="2487" spans="1:23">
      <c r="A2487" s="93" t="str">
        <f>TEXT(tblProjectlist[[#This Row],[project-no]],"0")</f>
        <v>99921016</v>
      </c>
      <c r="H2487" s="91">
        <v>9992</v>
      </c>
      <c r="I2487" s="91">
        <v>10</v>
      </c>
      <c r="J2487" s="91">
        <v>1</v>
      </c>
      <c r="K2487" s="91" t="s">
        <v>1551</v>
      </c>
      <c r="L2487" s="91" t="s">
        <v>2175</v>
      </c>
      <c r="M2487" s="91" t="s">
        <v>0</v>
      </c>
      <c r="Q2487" s="91"/>
      <c r="S2487" s="91" t="s">
        <v>143</v>
      </c>
      <c r="T2487" s="91" t="s">
        <v>3264</v>
      </c>
      <c r="V2487" s="91" t="s">
        <v>168</v>
      </c>
      <c r="W2487" s="91" t="s">
        <v>180</v>
      </c>
    </row>
    <row r="2488" spans="1:23">
      <c r="A2488" s="93" t="str">
        <f>TEXT(tblProjectlist[[#This Row],[project-no]],"0")</f>
        <v>99923211</v>
      </c>
      <c r="H2488" s="91">
        <v>9992</v>
      </c>
      <c r="I2488" s="91">
        <v>32</v>
      </c>
      <c r="J2488" s="91">
        <v>1</v>
      </c>
      <c r="K2488" s="91" t="s">
        <v>1560</v>
      </c>
      <c r="L2488" s="91" t="s">
        <v>2175</v>
      </c>
      <c r="M2488" s="91" t="s">
        <v>0</v>
      </c>
      <c r="Q2488" s="91"/>
      <c r="S2488" s="91" t="s">
        <v>143</v>
      </c>
      <c r="T2488" s="91" t="s">
        <v>3265</v>
      </c>
      <c r="V2488" s="91" t="s">
        <v>169</v>
      </c>
      <c r="W2488" s="91" t="s">
        <v>180</v>
      </c>
    </row>
    <row r="2489" spans="1:23">
      <c r="A2489" s="93" t="str">
        <f>TEXT(tblProjectlist[[#This Row],[project-no]],"0")</f>
        <v>99923213</v>
      </c>
      <c r="H2489" s="91">
        <v>9992</v>
      </c>
      <c r="I2489" s="91">
        <v>32</v>
      </c>
      <c r="J2489" s="91">
        <v>1</v>
      </c>
      <c r="K2489" s="91" t="s">
        <v>1561</v>
      </c>
      <c r="L2489" s="91" t="s">
        <v>2175</v>
      </c>
      <c r="M2489" s="91" t="s">
        <v>0</v>
      </c>
      <c r="Q2489" s="91"/>
      <c r="S2489" s="91" t="s">
        <v>143</v>
      </c>
      <c r="T2489" s="91" t="s">
        <v>3265</v>
      </c>
      <c r="V2489" s="91" t="s">
        <v>167</v>
      </c>
      <c r="W2489" s="91" t="s">
        <v>180</v>
      </c>
    </row>
    <row r="2490" spans="1:23">
      <c r="A2490" s="93" t="str">
        <f>TEXT(tblProjectlist[[#This Row],[project-no]],"0")</f>
        <v>99923216</v>
      </c>
      <c r="H2490" s="91">
        <v>9992</v>
      </c>
      <c r="I2490" s="91">
        <v>32</v>
      </c>
      <c r="J2490" s="91">
        <v>1</v>
      </c>
      <c r="K2490" s="91" t="s">
        <v>1562</v>
      </c>
      <c r="L2490" s="91" t="s">
        <v>2175</v>
      </c>
      <c r="M2490" s="91" t="s">
        <v>0</v>
      </c>
      <c r="Q2490" s="91"/>
      <c r="S2490" s="91" t="s">
        <v>143</v>
      </c>
      <c r="T2490" s="91" t="s">
        <v>3265</v>
      </c>
      <c r="V2490" s="91" t="s">
        <v>168</v>
      </c>
      <c r="W2490" s="91" t="s">
        <v>180</v>
      </c>
    </row>
    <row r="2491" spans="1:23">
      <c r="A2491" s="93" t="str">
        <f>TEXT(tblProjectlist[[#This Row],[project-no]],"0")</f>
        <v>99924228</v>
      </c>
      <c r="H2491" s="91">
        <v>9992</v>
      </c>
      <c r="I2491" s="91">
        <v>42</v>
      </c>
      <c r="J2491" s="91">
        <v>2</v>
      </c>
      <c r="K2491" s="91" t="s">
        <v>1570</v>
      </c>
      <c r="L2491" s="91" t="s">
        <v>2175</v>
      </c>
      <c r="M2491" s="91" t="s">
        <v>4</v>
      </c>
      <c r="Q2491" s="91"/>
      <c r="S2491" s="91" t="s">
        <v>143</v>
      </c>
      <c r="T2491" s="91" t="s">
        <v>3266</v>
      </c>
      <c r="V2491" s="91" t="s">
        <v>155</v>
      </c>
      <c r="W2491" s="91" t="s">
        <v>180</v>
      </c>
    </row>
    <row r="2492" spans="1:23">
      <c r="A2492" s="93" t="str">
        <f>TEXT(tblProjectlist[[#This Row],[project-no]],"0")</f>
        <v>99959928</v>
      </c>
      <c r="H2492" s="91">
        <v>9995</v>
      </c>
      <c r="I2492" s="91">
        <v>99</v>
      </c>
      <c r="J2492" s="91">
        <v>2</v>
      </c>
      <c r="K2492" s="91" t="s">
        <v>1725</v>
      </c>
      <c r="L2492" s="91" t="s">
        <v>2175</v>
      </c>
      <c r="M2492" s="91" t="s">
        <v>4</v>
      </c>
      <c r="Q2492" s="91"/>
      <c r="S2492" s="91" t="s">
        <v>143</v>
      </c>
      <c r="T2492" s="91" t="s">
        <v>3349</v>
      </c>
      <c r="V2492" s="91" t="s">
        <v>155</v>
      </c>
      <c r="W2492" s="91" t="s">
        <v>180</v>
      </c>
    </row>
    <row r="2493" spans="1:23">
      <c r="A2493" s="93" t="str">
        <f>TEXT(tblProjectlist[[#This Row],[project-no]],"0")</f>
        <v>99966948</v>
      </c>
      <c r="H2493" s="91">
        <v>9996</v>
      </c>
      <c r="I2493" s="91">
        <v>69</v>
      </c>
      <c r="J2493" s="91">
        <v>4</v>
      </c>
      <c r="K2493" s="91" t="s">
        <v>1786</v>
      </c>
      <c r="L2493" s="91" t="s">
        <v>58</v>
      </c>
      <c r="M2493" s="91" t="s">
        <v>1</v>
      </c>
      <c r="Q2493" s="91"/>
      <c r="S2493" s="91" t="s">
        <v>143</v>
      </c>
      <c r="T2493" s="91" t="s">
        <v>3352</v>
      </c>
      <c r="W2493" s="91" t="s">
        <v>180</v>
      </c>
    </row>
    <row r="2494" spans="1:23">
      <c r="A2494" s="93" t="str">
        <f>TEXT(tblProjectlist[[#This Row],[project-no]],"0")</f>
        <v>0</v>
      </c>
      <c r="H2494" s="91">
        <v>7803</v>
      </c>
      <c r="I2494" s="91">
        <v>2</v>
      </c>
      <c r="J2494" s="91">
        <v>2</v>
      </c>
      <c r="K2494" s="91"/>
      <c r="L2494" s="91" t="s">
        <v>62</v>
      </c>
      <c r="M2494" s="91" t="s">
        <v>4</v>
      </c>
      <c r="Q2494" s="91"/>
      <c r="S2494" s="91" t="s">
        <v>143</v>
      </c>
      <c r="T2494" s="91" t="s">
        <v>3820</v>
      </c>
      <c r="V2494" s="91" t="s">
        <v>156</v>
      </c>
      <c r="W2494" s="91" t="s">
        <v>180</v>
      </c>
    </row>
    <row r="2495" spans="1:23">
      <c r="A2495" s="93" t="str">
        <f>TEXT(tblProjectlist[[#This Row],[project-no]],"0")</f>
        <v>30670228</v>
      </c>
      <c r="H2495" s="91">
        <v>3067</v>
      </c>
      <c r="I2495" s="91">
        <v>2</v>
      </c>
      <c r="J2495" s="91">
        <v>2</v>
      </c>
      <c r="K2495" s="91" t="s">
        <v>685</v>
      </c>
      <c r="L2495" s="91" t="s">
        <v>2175</v>
      </c>
      <c r="M2495" s="91" t="s">
        <v>4</v>
      </c>
      <c r="Q2495" s="91"/>
      <c r="S2495" s="91" t="s">
        <v>143</v>
      </c>
      <c r="T2495" s="91" t="s">
        <v>2585</v>
      </c>
      <c r="V2495" s="91" t="s">
        <v>155</v>
      </c>
      <c r="W2495" s="91" t="s">
        <v>180</v>
      </c>
    </row>
    <row r="2496" spans="1:23">
      <c r="A2496" s="93" t="str">
        <f>TEXT(tblProjectlist[[#This Row],[project-no]],"0")</f>
        <v>30670347</v>
      </c>
      <c r="H2496" s="91">
        <v>3067</v>
      </c>
      <c r="I2496" s="91">
        <v>3</v>
      </c>
      <c r="J2496" s="91">
        <v>4</v>
      </c>
      <c r="K2496" s="91">
        <v>30670347</v>
      </c>
      <c r="L2496" s="91" t="s">
        <v>58</v>
      </c>
      <c r="M2496" s="91" t="s">
        <v>1</v>
      </c>
      <c r="Q2496" s="91"/>
      <c r="S2496" s="91" t="s">
        <v>143</v>
      </c>
      <c r="T2496" s="91" t="s">
        <v>3778</v>
      </c>
      <c r="V2496" s="91" t="s">
        <v>162</v>
      </c>
      <c r="W2496" s="91" t="s">
        <v>180</v>
      </c>
    </row>
    <row r="2497" spans="1:23">
      <c r="A2497" s="93" t="str">
        <f>TEXT(tblProjectlist[[#This Row],[project-no]],"0")</f>
        <v>30670443</v>
      </c>
      <c r="H2497" s="91">
        <v>3067</v>
      </c>
      <c r="I2497" s="91">
        <v>4</v>
      </c>
      <c r="J2497" s="91">
        <v>4</v>
      </c>
      <c r="K2497" s="91">
        <v>30670443</v>
      </c>
      <c r="L2497" s="91" t="s">
        <v>58</v>
      </c>
      <c r="M2497" s="91" t="s">
        <v>1</v>
      </c>
      <c r="Q2497" s="91"/>
      <c r="S2497" s="91" t="s">
        <v>143</v>
      </c>
      <c r="T2497" s="91" t="s">
        <v>3779</v>
      </c>
      <c r="V2497" s="91" t="s">
        <v>164</v>
      </c>
      <c r="W2497" s="91" t="s">
        <v>180</v>
      </c>
    </row>
    <row r="2498" spans="1:23">
      <c r="A2498" s="93" t="str">
        <f>TEXT(tblProjectlist[[#This Row],[project-no]],"0")</f>
        <v>0</v>
      </c>
      <c r="H2498" s="91">
        <v>8884</v>
      </c>
      <c r="I2498" s="91">
        <v>8</v>
      </c>
      <c r="J2498" s="91">
        <v>2</v>
      </c>
      <c r="K2498" s="91"/>
      <c r="L2498" s="91" t="s">
        <v>197</v>
      </c>
      <c r="M2498" s="91" t="s">
        <v>4</v>
      </c>
      <c r="Q2498" s="91"/>
      <c r="S2498" s="91" t="s">
        <v>143</v>
      </c>
      <c r="T2498" s="91" t="s">
        <v>4156</v>
      </c>
      <c r="V2498" s="91" t="s">
        <v>155</v>
      </c>
      <c r="W2498" s="91" t="s">
        <v>180</v>
      </c>
    </row>
    <row r="2499" spans="1:23">
      <c r="A2499" s="93" t="str">
        <f>TEXT(tblProjectlist[[#This Row],[project-no]],"0")</f>
        <v>0</v>
      </c>
      <c r="H2499" s="91">
        <v>8984</v>
      </c>
      <c r="I2499" s="91">
        <v>9</v>
      </c>
      <c r="J2499" s="91">
        <v>2</v>
      </c>
      <c r="K2499" s="91"/>
      <c r="L2499" s="91" t="s">
        <v>2175</v>
      </c>
      <c r="M2499" s="91" t="s">
        <v>4</v>
      </c>
      <c r="Q2499" s="91"/>
      <c r="S2499" s="91" t="s">
        <v>143</v>
      </c>
      <c r="T2499" s="91" t="s">
        <v>4346</v>
      </c>
      <c r="V2499" s="91" t="s">
        <v>155</v>
      </c>
      <c r="W2499" s="91" t="s">
        <v>180</v>
      </c>
    </row>
    <row r="2500" spans="1:23">
      <c r="A2500" s="93" t="str">
        <f>TEXT(tblProjectlist[[#This Row],[project-no]],"0")</f>
        <v>0</v>
      </c>
      <c r="H2500" s="91">
        <v>7656</v>
      </c>
      <c r="I2500" s="91">
        <v>2</v>
      </c>
      <c r="J2500" s="91">
        <v>2</v>
      </c>
      <c r="K2500" s="91"/>
      <c r="L2500" s="91" t="s">
        <v>2175</v>
      </c>
      <c r="M2500" s="91" t="s">
        <v>4</v>
      </c>
      <c r="Q2500" s="91"/>
      <c r="S2500" s="91" t="s">
        <v>143</v>
      </c>
      <c r="T2500" s="91" t="s">
        <v>3699</v>
      </c>
      <c r="V2500" s="91" t="s">
        <v>155</v>
      </c>
      <c r="W2500" s="91" t="s">
        <v>180</v>
      </c>
    </row>
    <row r="2501" spans="1:23">
      <c r="A2501" s="93" t="str">
        <f>TEXT(tblProjectlist[[#This Row],[project-no]],"0")</f>
        <v>0</v>
      </c>
      <c r="H2501" s="91">
        <v>6142</v>
      </c>
      <c r="I2501" s="91">
        <v>2</v>
      </c>
      <c r="J2501" s="91">
        <v>2</v>
      </c>
      <c r="K2501" s="91"/>
      <c r="L2501" s="91" t="s">
        <v>62</v>
      </c>
      <c r="M2501" s="91" t="s">
        <v>4</v>
      </c>
      <c r="Q2501" s="91"/>
      <c r="S2501" s="91" t="s">
        <v>143</v>
      </c>
      <c r="T2501" s="91" t="s">
        <v>4503</v>
      </c>
      <c r="V2501" s="91" t="s">
        <v>153</v>
      </c>
      <c r="W2501" s="91" t="s">
        <v>180</v>
      </c>
    </row>
    <row r="2502" spans="1:23">
      <c r="A2502" s="93" t="str">
        <f>TEXT(tblProjectlist[[#This Row],[project-no]],"0")</f>
        <v>0</v>
      </c>
      <c r="H2502" s="91">
        <v>7671</v>
      </c>
      <c r="I2502" s="91">
        <v>2</v>
      </c>
      <c r="J2502" s="91">
        <v>2</v>
      </c>
      <c r="K2502" s="91"/>
      <c r="L2502" s="91" t="s">
        <v>2175</v>
      </c>
      <c r="M2502" s="91" t="s">
        <v>4</v>
      </c>
      <c r="Q2502" s="91"/>
      <c r="S2502" s="91" t="s">
        <v>143</v>
      </c>
      <c r="T2502" s="91" t="s">
        <v>4008</v>
      </c>
      <c r="V2502" s="91" t="s">
        <v>155</v>
      </c>
      <c r="W2502" s="91" t="s">
        <v>180</v>
      </c>
    </row>
    <row r="2503" spans="1:23">
      <c r="A2503" s="93" t="str">
        <f>TEXT(tblProjectlist[[#This Row],[project-no]],"0")</f>
        <v>0</v>
      </c>
      <c r="H2503" s="91">
        <v>7671</v>
      </c>
      <c r="I2503" s="91">
        <v>3</v>
      </c>
      <c r="J2503" s="91">
        <v>2</v>
      </c>
      <c r="K2503" s="91"/>
      <c r="L2503" s="91" t="s">
        <v>2175</v>
      </c>
      <c r="M2503" s="91" t="s">
        <v>4</v>
      </c>
      <c r="Q2503" s="91"/>
      <c r="S2503" s="91" t="s">
        <v>143</v>
      </c>
      <c r="T2503" s="91" t="s">
        <v>4715</v>
      </c>
      <c r="V2503" s="91" t="s">
        <v>155</v>
      </c>
      <c r="W2503" s="91" t="s">
        <v>180</v>
      </c>
    </row>
    <row r="2504" spans="1:23">
      <c r="A2504" s="93" t="str">
        <f>TEXT(tblProjectlist[[#This Row],[project-no]],"0")</f>
        <v>0</v>
      </c>
      <c r="H2504" s="91">
        <v>7671</v>
      </c>
      <c r="I2504" s="91">
        <v>4</v>
      </c>
      <c r="J2504" s="91">
        <v>2</v>
      </c>
      <c r="K2504" s="91"/>
      <c r="L2504" s="91" t="s">
        <v>2175</v>
      </c>
      <c r="M2504" s="91" t="s">
        <v>4</v>
      </c>
      <c r="Q2504" s="91"/>
      <c r="S2504" s="91" t="s">
        <v>143</v>
      </c>
      <c r="T2504" s="91" t="s">
        <v>4740</v>
      </c>
      <c r="V2504" s="91" t="s">
        <v>155</v>
      </c>
      <c r="W2504" s="91" t="s">
        <v>180</v>
      </c>
    </row>
    <row r="2505" spans="1:23">
      <c r="A2505" s="93" t="str">
        <f>TEXT(tblProjectlist[[#This Row],[project-no]],"0")</f>
        <v>0</v>
      </c>
      <c r="H2505" s="91">
        <v>2071</v>
      </c>
      <c r="I2505" s="91">
        <v>2</v>
      </c>
      <c r="J2505" s="91">
        <v>2</v>
      </c>
      <c r="K2505" s="91"/>
      <c r="L2505" s="91" t="s">
        <v>2175</v>
      </c>
      <c r="M2505" s="91" t="s">
        <v>4</v>
      </c>
      <c r="Q2505" s="91"/>
      <c r="S2505" s="91" t="s">
        <v>143</v>
      </c>
      <c r="T2505" s="91" t="s">
        <v>3910</v>
      </c>
      <c r="V2505" s="91" t="s">
        <v>155</v>
      </c>
      <c r="W2505" s="91" t="s">
        <v>180</v>
      </c>
    </row>
    <row r="2506" spans="1:23">
      <c r="A2506" s="93" t="str">
        <f>TEXT(tblProjectlist[[#This Row],[project-no]],"0")</f>
        <v>0</v>
      </c>
      <c r="H2506" s="91">
        <v>7010</v>
      </c>
      <c r="I2506" s="91">
        <v>8</v>
      </c>
      <c r="J2506" s="91">
        <v>2</v>
      </c>
      <c r="K2506" s="91"/>
      <c r="L2506" s="91" t="s">
        <v>2175</v>
      </c>
      <c r="M2506" s="91" t="s">
        <v>4</v>
      </c>
      <c r="Q2506" s="91"/>
      <c r="S2506" s="91" t="s">
        <v>143</v>
      </c>
      <c r="T2506" s="91" t="s">
        <v>4410</v>
      </c>
      <c r="V2506" s="91" t="s">
        <v>155</v>
      </c>
      <c r="W2506" s="91" t="s">
        <v>180</v>
      </c>
    </row>
    <row r="2507" spans="1:23">
      <c r="A2507" s="93" t="str">
        <f>TEXT(tblProjectlist[[#This Row],[project-no]],"0")</f>
        <v>81220328</v>
      </c>
      <c r="H2507" s="91">
        <v>8122</v>
      </c>
      <c r="I2507" s="91">
        <v>3</v>
      </c>
      <c r="J2507" s="91">
        <v>2</v>
      </c>
      <c r="K2507" s="91" t="s">
        <v>1228</v>
      </c>
      <c r="L2507" s="91" t="s">
        <v>64</v>
      </c>
      <c r="M2507" s="91" t="s">
        <v>4</v>
      </c>
      <c r="Q2507" s="91"/>
      <c r="S2507" s="91" t="s">
        <v>143</v>
      </c>
      <c r="T2507" s="91" t="s">
        <v>3080</v>
      </c>
      <c r="W2507" s="91" t="s">
        <v>180</v>
      </c>
    </row>
    <row r="2508" spans="1:23">
      <c r="A2508" s="93" t="str">
        <f>TEXT(tblProjectlist[[#This Row],[project-no]],"0")</f>
        <v>0</v>
      </c>
      <c r="H2508" s="91">
        <v>1600</v>
      </c>
      <c r="I2508" s="91">
        <v>3</v>
      </c>
      <c r="J2508" s="91">
        <v>2</v>
      </c>
      <c r="K2508" s="91"/>
      <c r="L2508" s="91" t="s">
        <v>2175</v>
      </c>
      <c r="M2508" s="91" t="s">
        <v>4</v>
      </c>
      <c r="Q2508" s="91"/>
      <c r="S2508" s="91" t="s">
        <v>143</v>
      </c>
      <c r="T2508" s="91" t="s">
        <v>4255</v>
      </c>
      <c r="V2508" s="91" t="s">
        <v>155</v>
      </c>
      <c r="W2508" s="91" t="s">
        <v>180</v>
      </c>
    </row>
    <row r="2509" spans="1:23">
      <c r="A2509" s="93" t="str">
        <f>TEXT(tblProjectlist[[#This Row],[project-no]],"0")</f>
        <v>76040328</v>
      </c>
      <c r="H2509" s="91">
        <v>7604</v>
      </c>
      <c r="I2509" s="91">
        <v>3</v>
      </c>
      <c r="J2509" s="91">
        <v>2</v>
      </c>
      <c r="K2509" s="91" t="s">
        <v>1044</v>
      </c>
      <c r="L2509" s="91" t="s">
        <v>2175</v>
      </c>
      <c r="M2509" s="91" t="s">
        <v>4</v>
      </c>
      <c r="Q2509" s="91"/>
      <c r="S2509" s="91" t="s">
        <v>143</v>
      </c>
      <c r="T2509" s="91" t="s">
        <v>2911</v>
      </c>
      <c r="V2509" s="91" t="s">
        <v>155</v>
      </c>
      <c r="W2509" s="91" t="s">
        <v>180</v>
      </c>
    </row>
    <row r="2510" spans="1:23">
      <c r="A2510" s="93" t="str">
        <f>TEXT(tblProjectlist[[#This Row],[project-no]],"0")</f>
        <v>76040228</v>
      </c>
      <c r="H2510" s="91">
        <v>7604</v>
      </c>
      <c r="I2510" s="91">
        <v>2</v>
      </c>
      <c r="J2510" s="91">
        <v>2</v>
      </c>
      <c r="K2510" s="91" t="s">
        <v>1043</v>
      </c>
      <c r="L2510" s="91" t="s">
        <v>2175</v>
      </c>
      <c r="M2510" s="91" t="s">
        <v>4</v>
      </c>
      <c r="Q2510" s="91"/>
      <c r="S2510" s="91" t="s">
        <v>143</v>
      </c>
      <c r="T2510" s="91" t="s">
        <v>2910</v>
      </c>
      <c r="V2510" s="91" t="s">
        <v>155</v>
      </c>
      <c r="W2510" s="91" t="s">
        <v>180</v>
      </c>
    </row>
    <row r="2511" spans="1:23">
      <c r="A2511" s="93" t="str">
        <f>TEXT(tblProjectlist[[#This Row],[project-no]],"0")</f>
        <v>0</v>
      </c>
      <c r="H2511" s="91">
        <v>7604</v>
      </c>
      <c r="I2511" s="91">
        <v>4</v>
      </c>
      <c r="J2511" s="91">
        <v>2</v>
      </c>
      <c r="K2511" s="91"/>
      <c r="L2511" s="91" t="s">
        <v>2175</v>
      </c>
      <c r="M2511" s="91" t="s">
        <v>4</v>
      </c>
      <c r="Q2511" s="91"/>
      <c r="S2511" s="91" t="s">
        <v>143</v>
      </c>
      <c r="T2511" s="91" t="s">
        <v>3789</v>
      </c>
      <c r="V2511" s="91" t="s">
        <v>155</v>
      </c>
      <c r="W2511" s="91" t="s">
        <v>180</v>
      </c>
    </row>
    <row r="2512" spans="1:23">
      <c r="A2512" s="93" t="str">
        <f>TEXT(tblProjectlist[[#This Row],[project-no]],"0")</f>
        <v>75370228</v>
      </c>
      <c r="H2512" s="91">
        <v>7537</v>
      </c>
      <c r="I2512" s="91">
        <v>2</v>
      </c>
      <c r="J2512" s="91">
        <v>2</v>
      </c>
      <c r="K2512" s="91" t="s">
        <v>1012</v>
      </c>
      <c r="L2512" s="91" t="s">
        <v>2175</v>
      </c>
      <c r="M2512" s="91" t="s">
        <v>4</v>
      </c>
      <c r="Q2512" s="91"/>
      <c r="S2512" s="91" t="s">
        <v>143</v>
      </c>
      <c r="T2512" s="91" t="s">
        <v>2881</v>
      </c>
      <c r="V2512" s="91" t="s">
        <v>155</v>
      </c>
      <c r="W2512" s="91" t="s">
        <v>180</v>
      </c>
    </row>
    <row r="2513" spans="1:23">
      <c r="A2513" s="93" t="str">
        <f>TEXT(tblProjectlist[[#This Row],[project-no]],"0")</f>
        <v>0</v>
      </c>
      <c r="H2513" s="91">
        <v>6412</v>
      </c>
      <c r="I2513" s="91">
        <v>2</v>
      </c>
      <c r="J2513" s="91">
        <v>2</v>
      </c>
      <c r="K2513" s="91"/>
      <c r="L2513" s="91" t="s">
        <v>2175</v>
      </c>
      <c r="M2513" s="91" t="s">
        <v>4</v>
      </c>
      <c r="Q2513" s="91"/>
      <c r="S2513" s="91" t="s">
        <v>143</v>
      </c>
      <c r="T2513" s="91" t="s">
        <v>4137</v>
      </c>
      <c r="V2513" s="91" t="s">
        <v>155</v>
      </c>
      <c r="W2513" s="91" t="s">
        <v>180</v>
      </c>
    </row>
    <row r="2514" spans="1:23">
      <c r="A2514" s="93" t="str">
        <f>TEXT(tblProjectlist[[#This Row],[project-no]],"0")</f>
        <v>0</v>
      </c>
      <c r="H2514" s="91">
        <v>6128</v>
      </c>
      <c r="I2514" s="91">
        <v>2</v>
      </c>
      <c r="J2514" s="91">
        <v>2</v>
      </c>
      <c r="K2514" s="91"/>
      <c r="L2514" s="91" t="s">
        <v>2175</v>
      </c>
      <c r="M2514" s="91" t="s">
        <v>4</v>
      </c>
      <c r="Q2514" s="91"/>
      <c r="S2514" s="91" t="s">
        <v>143</v>
      </c>
      <c r="T2514" s="91" t="s">
        <v>4136</v>
      </c>
      <c r="V2514" s="91" t="s">
        <v>155</v>
      </c>
      <c r="W2514" s="91" t="s">
        <v>180</v>
      </c>
    </row>
    <row r="2515" spans="1:23">
      <c r="A2515" s="93" t="str">
        <f>TEXT(tblProjectlist[[#This Row],[project-no]],"0")</f>
        <v>81180328</v>
      </c>
      <c r="H2515" s="91">
        <v>8118</v>
      </c>
      <c r="I2515" s="91">
        <v>3</v>
      </c>
      <c r="J2515" s="91">
        <v>2</v>
      </c>
      <c r="K2515" s="91" t="s">
        <v>1227</v>
      </c>
      <c r="L2515" s="91" t="s">
        <v>2175</v>
      </c>
      <c r="M2515" s="91" t="s">
        <v>4</v>
      </c>
      <c r="Q2515" s="91"/>
      <c r="S2515" s="91" t="s">
        <v>143</v>
      </c>
      <c r="T2515" s="91" t="s">
        <v>3079</v>
      </c>
      <c r="V2515" s="91" t="s">
        <v>155</v>
      </c>
      <c r="W2515" s="91" t="s">
        <v>180</v>
      </c>
    </row>
    <row r="2516" spans="1:23">
      <c r="A2516" s="93" t="str">
        <f>TEXT(tblProjectlist[[#This Row],[project-no]],"0")</f>
        <v>0</v>
      </c>
      <c r="H2516" s="91">
        <v>6060</v>
      </c>
      <c r="I2516" s="91">
        <v>4</v>
      </c>
      <c r="J2516" s="91">
        <v>2</v>
      </c>
      <c r="K2516" s="91"/>
      <c r="L2516" s="91" t="s">
        <v>2175</v>
      </c>
      <c r="M2516" s="91" t="s">
        <v>4</v>
      </c>
      <c r="Q2516" s="91"/>
      <c r="S2516" s="91" t="s">
        <v>143</v>
      </c>
      <c r="T2516" s="91" t="s">
        <v>3927</v>
      </c>
      <c r="V2516" s="91" t="s">
        <v>155</v>
      </c>
      <c r="W2516" s="91" t="s">
        <v>180</v>
      </c>
    </row>
    <row r="2517" spans="1:23">
      <c r="A2517" s="93" t="str">
        <f>TEXT(tblProjectlist[[#This Row],[project-no]],"0")</f>
        <v>0</v>
      </c>
      <c r="H2517" s="91">
        <v>7632</v>
      </c>
      <c r="I2517" s="91">
        <v>2</v>
      </c>
      <c r="J2517" s="91">
        <v>2</v>
      </c>
      <c r="K2517" s="91"/>
      <c r="L2517" s="91" t="s">
        <v>2175</v>
      </c>
      <c r="M2517" s="91" t="s">
        <v>4</v>
      </c>
      <c r="Q2517" s="91"/>
      <c r="S2517" s="91" t="s">
        <v>143</v>
      </c>
      <c r="T2517" s="91" t="s">
        <v>3698</v>
      </c>
      <c r="V2517" s="91" t="s">
        <v>155</v>
      </c>
      <c r="W2517" s="91" t="s">
        <v>180</v>
      </c>
    </row>
    <row r="2518" spans="1:23">
      <c r="A2518" s="93" t="str">
        <f>TEXT(tblProjectlist[[#This Row],[project-no]],"0")</f>
        <v>0</v>
      </c>
      <c r="H2518" s="91">
        <v>7632</v>
      </c>
      <c r="I2518" s="91">
        <v>3</v>
      </c>
      <c r="J2518" s="91">
        <v>4</v>
      </c>
      <c r="K2518" s="91"/>
      <c r="L2518" s="91" t="s">
        <v>62</v>
      </c>
      <c r="M2518" s="91" t="s">
        <v>1</v>
      </c>
      <c r="Q2518" s="91"/>
      <c r="S2518" s="91" t="s">
        <v>143</v>
      </c>
      <c r="T2518" s="91" t="s">
        <v>4147</v>
      </c>
      <c r="V2518" s="91" t="s">
        <v>160</v>
      </c>
      <c r="W2518" s="91" t="s">
        <v>180</v>
      </c>
    </row>
    <row r="2519" spans="1:23">
      <c r="A2519" s="93" t="str">
        <f>TEXT(tblProjectlist[[#This Row],[project-no]],"0")</f>
        <v>0</v>
      </c>
      <c r="H2519" s="91">
        <v>4011</v>
      </c>
      <c r="I2519" s="91">
        <v>1</v>
      </c>
      <c r="J2519" s="91">
        <v>2</v>
      </c>
      <c r="K2519" s="91"/>
      <c r="L2519" s="91" t="s">
        <v>2175</v>
      </c>
      <c r="M2519" s="91" t="s">
        <v>4</v>
      </c>
      <c r="Q2519" s="91"/>
      <c r="S2519" s="91" t="s">
        <v>143</v>
      </c>
      <c r="T2519" s="91" t="s">
        <v>4461</v>
      </c>
      <c r="V2519" s="91" t="s">
        <v>155</v>
      </c>
      <c r="W2519" s="91" t="s">
        <v>180</v>
      </c>
    </row>
    <row r="2520" spans="1:23">
      <c r="A2520" s="93" t="str">
        <f>TEXT(tblProjectlist[[#This Row],[project-no]],"0")</f>
        <v>0</v>
      </c>
      <c r="H2520" s="91">
        <v>4011</v>
      </c>
      <c r="I2520" s="91">
        <v>2</v>
      </c>
      <c r="J2520" s="91">
        <v>2</v>
      </c>
      <c r="K2520" s="91"/>
      <c r="L2520" s="91" t="s">
        <v>2175</v>
      </c>
      <c r="M2520" s="91" t="s">
        <v>4</v>
      </c>
      <c r="Q2520" s="91"/>
      <c r="S2520" s="91" t="s">
        <v>143</v>
      </c>
      <c r="T2520" s="91" t="s">
        <v>4272</v>
      </c>
      <c r="V2520" s="91" t="s">
        <v>155</v>
      </c>
      <c r="W2520" s="91" t="s">
        <v>180</v>
      </c>
    </row>
    <row r="2521" spans="1:23">
      <c r="A2521" s="93" t="str">
        <f>TEXT(tblProjectlist[[#This Row],[project-no]],"0")</f>
        <v>76010128</v>
      </c>
      <c r="H2521" s="91">
        <v>7601</v>
      </c>
      <c r="I2521" s="91">
        <v>1</v>
      </c>
      <c r="J2521" s="91">
        <v>2</v>
      </c>
      <c r="K2521" s="91" t="s">
        <v>1040</v>
      </c>
      <c r="L2521" s="91" t="s">
        <v>2175</v>
      </c>
      <c r="M2521" s="91" t="s">
        <v>4</v>
      </c>
      <c r="Q2521" s="91"/>
      <c r="S2521" s="91" t="s">
        <v>143</v>
      </c>
      <c r="T2521" s="91" t="s">
        <v>2907</v>
      </c>
      <c r="V2521" s="91" t="s">
        <v>155</v>
      </c>
      <c r="W2521" s="91" t="s">
        <v>180</v>
      </c>
    </row>
    <row r="2522" spans="1:23">
      <c r="A2522" s="93" t="str">
        <f>TEXT(tblProjectlist[[#This Row],[project-no]],"0")</f>
        <v>76010528</v>
      </c>
      <c r="H2522" s="91">
        <v>7601</v>
      </c>
      <c r="I2522" s="91">
        <v>5</v>
      </c>
      <c r="J2522" s="91">
        <v>2</v>
      </c>
      <c r="K2522" s="91" t="s">
        <v>1041</v>
      </c>
      <c r="L2522" s="91" t="s">
        <v>2175</v>
      </c>
      <c r="M2522" s="91" t="s">
        <v>4</v>
      </c>
      <c r="Q2522" s="91"/>
      <c r="S2522" s="91" t="s">
        <v>143</v>
      </c>
      <c r="T2522" s="91" t="s">
        <v>2908</v>
      </c>
      <c r="V2522" s="91" t="s">
        <v>155</v>
      </c>
      <c r="W2522" s="91" t="s">
        <v>180</v>
      </c>
    </row>
    <row r="2523" spans="1:23">
      <c r="A2523" s="93" t="str">
        <f>TEXT(tblProjectlist[[#This Row],[project-no]],"0")</f>
        <v>30620211</v>
      </c>
      <c r="H2523" s="91">
        <v>3062</v>
      </c>
      <c r="I2523" s="91">
        <v>2</v>
      </c>
      <c r="J2523" s="91">
        <v>1</v>
      </c>
      <c r="K2523" s="91" t="s">
        <v>680</v>
      </c>
      <c r="L2523" s="91" t="s">
        <v>197</v>
      </c>
      <c r="M2523" s="91" t="s">
        <v>0</v>
      </c>
      <c r="Q2523" s="91"/>
      <c r="S2523" s="91" t="s">
        <v>143</v>
      </c>
      <c r="T2523" s="91" t="s">
        <v>2581</v>
      </c>
      <c r="V2523" s="91" t="s">
        <v>169</v>
      </c>
      <c r="W2523" s="91" t="s">
        <v>180</v>
      </c>
    </row>
    <row r="2524" spans="1:23">
      <c r="A2524" s="93" t="str">
        <f>TEXT(tblProjectlist[[#This Row],[project-no]],"0")</f>
        <v>30620216</v>
      </c>
      <c r="H2524" s="91">
        <v>3062</v>
      </c>
      <c r="I2524" s="91">
        <v>2</v>
      </c>
      <c r="J2524" s="91">
        <v>1</v>
      </c>
      <c r="K2524" s="91" t="s">
        <v>681</v>
      </c>
      <c r="L2524" s="91" t="s">
        <v>197</v>
      </c>
      <c r="M2524" s="91" t="s">
        <v>0</v>
      </c>
      <c r="Q2524" s="91"/>
      <c r="S2524" s="91" t="s">
        <v>143</v>
      </c>
      <c r="T2524" s="91" t="s">
        <v>2581</v>
      </c>
      <c r="V2524" s="91" t="s">
        <v>168</v>
      </c>
      <c r="W2524" s="91" t="s">
        <v>180</v>
      </c>
    </row>
    <row r="2525" spans="1:23">
      <c r="A2525" s="93" t="str">
        <f>TEXT(tblProjectlist[[#This Row],[project-no]],"0")</f>
        <v>0</v>
      </c>
      <c r="H2525" s="91">
        <v>6311</v>
      </c>
      <c r="I2525" s="91">
        <v>2</v>
      </c>
      <c r="J2525" s="91">
        <v>2</v>
      </c>
      <c r="K2525" s="91"/>
      <c r="L2525" s="91" t="s">
        <v>2175</v>
      </c>
      <c r="M2525" s="91" t="s">
        <v>4</v>
      </c>
      <c r="Q2525" s="91"/>
      <c r="S2525" s="91" t="s">
        <v>143</v>
      </c>
      <c r="T2525" s="91" t="s">
        <v>4321</v>
      </c>
      <c r="V2525" s="91" t="s">
        <v>155</v>
      </c>
      <c r="W2525" s="91" t="s">
        <v>180</v>
      </c>
    </row>
    <row r="2526" spans="1:23">
      <c r="A2526" s="93" t="str">
        <f>TEXT(tblProjectlist[[#This Row],[project-no]],"0")</f>
        <v>75080228</v>
      </c>
      <c r="H2526" s="91">
        <v>7508</v>
      </c>
      <c r="I2526" s="91">
        <v>2</v>
      </c>
      <c r="J2526" s="91">
        <v>2</v>
      </c>
      <c r="K2526" s="91" t="s">
        <v>989</v>
      </c>
      <c r="L2526" s="91" t="s">
        <v>2175</v>
      </c>
      <c r="M2526" s="91" t="s">
        <v>4</v>
      </c>
      <c r="Q2526" s="91"/>
      <c r="S2526" s="91" t="s">
        <v>143</v>
      </c>
      <c r="T2526" s="91" t="s">
        <v>2858</v>
      </c>
      <c r="V2526" s="91" t="s">
        <v>155</v>
      </c>
      <c r="W2526" s="91" t="s">
        <v>180</v>
      </c>
    </row>
    <row r="2527" spans="1:23">
      <c r="A2527" s="93" t="str">
        <f>TEXT(tblProjectlist[[#This Row],[project-no]],"0")</f>
        <v>80260128</v>
      </c>
      <c r="H2527" s="91">
        <v>8026</v>
      </c>
      <c r="I2527" s="91">
        <v>1</v>
      </c>
      <c r="J2527" s="91">
        <v>2</v>
      </c>
      <c r="K2527" s="91" t="s">
        <v>1180</v>
      </c>
      <c r="L2527" s="91" t="s">
        <v>2175</v>
      </c>
      <c r="M2527" s="91" t="s">
        <v>4</v>
      </c>
      <c r="Q2527" s="91"/>
      <c r="S2527" s="91" t="s">
        <v>143</v>
      </c>
      <c r="T2527" s="91" t="s">
        <v>3036</v>
      </c>
      <c r="V2527" s="91" t="s">
        <v>155</v>
      </c>
      <c r="W2527" s="91" t="s">
        <v>180</v>
      </c>
    </row>
    <row r="2528" spans="1:23">
      <c r="A2528" s="93" t="str">
        <f>TEXT(tblProjectlist[[#This Row],[project-no]],"0")</f>
        <v>0</v>
      </c>
      <c r="H2528" s="91">
        <v>3166</v>
      </c>
      <c r="I2528" s="91">
        <v>2</v>
      </c>
      <c r="J2528" s="91">
        <v>2</v>
      </c>
      <c r="K2528" s="91"/>
      <c r="L2528" s="91" t="s">
        <v>197</v>
      </c>
      <c r="M2528" s="91" t="s">
        <v>4</v>
      </c>
      <c r="Q2528" s="91"/>
      <c r="S2528" s="91" t="s">
        <v>143</v>
      </c>
      <c r="T2528" s="91" t="s">
        <v>4073</v>
      </c>
      <c r="V2528" s="91" t="s">
        <v>155</v>
      </c>
      <c r="W2528" s="91" t="s">
        <v>180</v>
      </c>
    </row>
    <row r="2529" spans="1:23">
      <c r="A2529" s="93" t="str">
        <f>TEXT(tblProjectlist[[#This Row],[project-no]],"0")</f>
        <v>0</v>
      </c>
      <c r="H2529" s="91">
        <v>8018</v>
      </c>
      <c r="I2529" s="91">
        <v>13</v>
      </c>
      <c r="J2529" s="91">
        <v>2</v>
      </c>
      <c r="K2529" s="91"/>
      <c r="L2529" s="91" t="s">
        <v>2175</v>
      </c>
      <c r="M2529" s="91" t="s">
        <v>4</v>
      </c>
      <c r="Q2529" s="91"/>
      <c r="S2529" s="91" t="s">
        <v>143</v>
      </c>
      <c r="T2529" s="91" t="s">
        <v>3949</v>
      </c>
      <c r="V2529" s="91" t="s">
        <v>155</v>
      </c>
      <c r="W2529" s="91" t="s">
        <v>180</v>
      </c>
    </row>
    <row r="2530" spans="1:23">
      <c r="A2530" s="93" t="str">
        <f>TEXT(tblProjectlist[[#This Row],[project-no]],"0")</f>
        <v>80180128</v>
      </c>
      <c r="H2530" s="91">
        <v>8018</v>
      </c>
      <c r="I2530" s="91">
        <v>1</v>
      </c>
      <c r="J2530" s="91">
        <v>2</v>
      </c>
      <c r="K2530" s="91" t="s">
        <v>1161</v>
      </c>
      <c r="L2530" s="91" t="s">
        <v>2175</v>
      </c>
      <c r="M2530" s="91" t="s">
        <v>4</v>
      </c>
      <c r="Q2530" s="91"/>
      <c r="S2530" s="91" t="s">
        <v>143</v>
      </c>
      <c r="T2530" s="91" t="s">
        <v>3024</v>
      </c>
      <c r="V2530" s="91" t="s">
        <v>155</v>
      </c>
      <c r="W2530" s="91" t="s">
        <v>180</v>
      </c>
    </row>
    <row r="2531" spans="1:23">
      <c r="A2531" s="93" t="str">
        <f>TEXT(tblProjectlist[[#This Row],[project-no]],"0")</f>
        <v>80180741</v>
      </c>
      <c r="H2531" s="91">
        <v>8018</v>
      </c>
      <c r="I2531" s="91">
        <v>7</v>
      </c>
      <c r="J2531" s="91">
        <v>4</v>
      </c>
      <c r="K2531" s="91" t="s">
        <v>1162</v>
      </c>
      <c r="L2531" s="91" t="s">
        <v>58</v>
      </c>
      <c r="M2531" s="91" t="s">
        <v>1</v>
      </c>
      <c r="Q2531" s="91"/>
      <c r="S2531" s="91" t="s">
        <v>143</v>
      </c>
      <c r="T2531" s="91" t="s">
        <v>3025</v>
      </c>
      <c r="V2531" s="91" t="s">
        <v>159</v>
      </c>
      <c r="W2531" s="91" t="s">
        <v>180</v>
      </c>
    </row>
    <row r="2532" spans="1:23">
      <c r="A2532" s="93" t="str">
        <f>TEXT(tblProjectlist[[#This Row],[project-no]],"0")</f>
        <v>80180742</v>
      </c>
      <c r="H2532" s="91">
        <v>8018</v>
      </c>
      <c r="I2532" s="91">
        <v>7</v>
      </c>
      <c r="J2532" s="91">
        <v>4</v>
      </c>
      <c r="K2532" s="91" t="s">
        <v>1163</v>
      </c>
      <c r="L2532" s="91" t="s">
        <v>58</v>
      </c>
      <c r="M2532" s="91" t="s">
        <v>1</v>
      </c>
      <c r="Q2532" s="91"/>
      <c r="S2532" s="91" t="s">
        <v>143</v>
      </c>
      <c r="T2532" s="91" t="s">
        <v>3025</v>
      </c>
      <c r="V2532" s="91" t="s">
        <v>163</v>
      </c>
      <c r="W2532" s="91" t="s">
        <v>180</v>
      </c>
    </row>
    <row r="2533" spans="1:23">
      <c r="A2533" s="93" t="str">
        <f>TEXT(tblProjectlist[[#This Row],[project-no]],"0")</f>
        <v>80180743</v>
      </c>
      <c r="H2533" s="91">
        <v>8018</v>
      </c>
      <c r="I2533" s="91">
        <v>7</v>
      </c>
      <c r="J2533" s="91">
        <v>4</v>
      </c>
      <c r="K2533" s="91" t="s">
        <v>1164</v>
      </c>
      <c r="L2533" s="91" t="s">
        <v>58</v>
      </c>
      <c r="M2533" s="91" t="s">
        <v>1</v>
      </c>
      <c r="Q2533" s="91"/>
      <c r="S2533" s="91" t="s">
        <v>143</v>
      </c>
      <c r="T2533" s="91" t="s">
        <v>3025</v>
      </c>
      <c r="V2533" s="91" t="s">
        <v>164</v>
      </c>
      <c r="W2533" s="91" t="s">
        <v>180</v>
      </c>
    </row>
    <row r="2534" spans="1:23">
      <c r="A2534" s="93" t="str">
        <f>TEXT(tblProjectlist[[#This Row],[project-no]],"0")</f>
        <v>80180744</v>
      </c>
      <c r="H2534" s="91">
        <v>8018</v>
      </c>
      <c r="I2534" s="91">
        <v>7</v>
      </c>
      <c r="J2534" s="91">
        <v>4</v>
      </c>
      <c r="K2534" s="91" t="s">
        <v>1165</v>
      </c>
      <c r="L2534" s="91" t="s">
        <v>58</v>
      </c>
      <c r="M2534" s="91" t="s">
        <v>1</v>
      </c>
      <c r="Q2534" s="91"/>
      <c r="S2534" s="91" t="s">
        <v>143</v>
      </c>
      <c r="T2534" s="91" t="s">
        <v>3025</v>
      </c>
      <c r="V2534" s="91" t="s">
        <v>160</v>
      </c>
      <c r="W2534" s="91" t="s">
        <v>180</v>
      </c>
    </row>
    <row r="2535" spans="1:23">
      <c r="A2535" s="93" t="str">
        <f>TEXT(tblProjectlist[[#This Row],[project-no]],"0")</f>
        <v>80180747</v>
      </c>
      <c r="H2535" s="91">
        <v>8018</v>
      </c>
      <c r="I2535" s="91">
        <v>7</v>
      </c>
      <c r="J2535" s="91">
        <v>4</v>
      </c>
      <c r="K2535" s="91" t="s">
        <v>1166</v>
      </c>
      <c r="L2535" s="91" t="s">
        <v>58</v>
      </c>
      <c r="M2535" s="91" t="s">
        <v>1</v>
      </c>
      <c r="Q2535" s="91"/>
      <c r="S2535" s="91" t="s">
        <v>143</v>
      </c>
      <c r="T2535" s="91" t="s">
        <v>3025</v>
      </c>
      <c r="V2535" s="91" t="s">
        <v>162</v>
      </c>
      <c r="W2535" s="91" t="s">
        <v>180</v>
      </c>
    </row>
    <row r="2536" spans="1:23">
      <c r="A2536" s="93" t="str">
        <f>TEXT(tblProjectlist[[#This Row],[project-no]],"0")</f>
        <v>80180843</v>
      </c>
      <c r="H2536" s="91">
        <v>8018</v>
      </c>
      <c r="I2536" s="91">
        <v>8</v>
      </c>
      <c r="J2536" s="91">
        <v>4</v>
      </c>
      <c r="K2536" s="91" t="s">
        <v>1167</v>
      </c>
      <c r="L2536" s="91" t="s">
        <v>58</v>
      </c>
      <c r="M2536" s="91" t="s">
        <v>1</v>
      </c>
      <c r="Q2536" s="91"/>
      <c r="S2536" s="91" t="s">
        <v>143</v>
      </c>
      <c r="T2536" s="91" t="s">
        <v>3026</v>
      </c>
      <c r="V2536" s="91" t="s">
        <v>164</v>
      </c>
      <c r="W2536" s="91" t="s">
        <v>180</v>
      </c>
    </row>
    <row r="2537" spans="1:23">
      <c r="A2537" s="93" t="str">
        <f>TEXT(tblProjectlist[[#This Row],[project-no]],"0")</f>
        <v>80180928</v>
      </c>
      <c r="H2537" s="91">
        <v>8018</v>
      </c>
      <c r="I2537" s="91">
        <v>9</v>
      </c>
      <c r="J2537" s="91">
        <v>2</v>
      </c>
      <c r="K2537" s="91" t="s">
        <v>1168</v>
      </c>
      <c r="L2537" s="91" t="s">
        <v>62</v>
      </c>
      <c r="M2537" s="91" t="s">
        <v>4</v>
      </c>
      <c r="Q2537" s="91"/>
      <c r="S2537" s="91" t="s">
        <v>143</v>
      </c>
      <c r="T2537" s="91" t="s">
        <v>3027</v>
      </c>
      <c r="V2537" s="91" t="s">
        <v>155</v>
      </c>
      <c r="W2537" s="91" t="s">
        <v>180</v>
      </c>
    </row>
    <row r="2538" spans="1:23">
      <c r="A2538" s="93" t="str">
        <f>TEXT(tblProjectlist[[#This Row],[project-no]],"0")</f>
        <v>80181028</v>
      </c>
      <c r="H2538" s="91">
        <v>8018</v>
      </c>
      <c r="I2538" s="91">
        <v>10</v>
      </c>
      <c r="J2538" s="91">
        <v>2</v>
      </c>
      <c r="K2538" s="91" t="s">
        <v>1169</v>
      </c>
      <c r="L2538" s="91" t="s">
        <v>2175</v>
      </c>
      <c r="M2538" s="91" t="s">
        <v>4</v>
      </c>
      <c r="Q2538" s="91"/>
      <c r="S2538" s="91" t="s">
        <v>143</v>
      </c>
      <c r="T2538" s="91" t="s">
        <v>3028</v>
      </c>
      <c r="V2538" s="91" t="s">
        <v>155</v>
      </c>
      <c r="W2538" s="91" t="s">
        <v>180</v>
      </c>
    </row>
    <row r="2539" spans="1:23">
      <c r="A2539" s="93" t="str">
        <f>TEXT(tblProjectlist[[#This Row],[project-no]],"0")</f>
        <v>80181143</v>
      </c>
      <c r="H2539" s="91">
        <v>8018</v>
      </c>
      <c r="I2539" s="91">
        <v>11</v>
      </c>
      <c r="J2539" s="91">
        <v>4</v>
      </c>
      <c r="K2539" s="91" t="s">
        <v>1170</v>
      </c>
      <c r="L2539" s="91" t="s">
        <v>58</v>
      </c>
      <c r="M2539" s="91" t="s">
        <v>1</v>
      </c>
      <c r="Q2539" s="91"/>
      <c r="S2539" s="91" t="s">
        <v>143</v>
      </c>
      <c r="T2539" s="91" t="s">
        <v>3029</v>
      </c>
      <c r="W2539" s="91" t="s">
        <v>180</v>
      </c>
    </row>
    <row r="2540" spans="1:23">
      <c r="A2540" s="93" t="str">
        <f>TEXT(tblProjectlist[[#This Row],[project-no]],"0")</f>
        <v>80181228</v>
      </c>
      <c r="H2540" s="91">
        <v>8018</v>
      </c>
      <c r="I2540" s="91">
        <v>12</v>
      </c>
      <c r="J2540" s="91">
        <v>2</v>
      </c>
      <c r="K2540" s="91" t="s">
        <v>1171</v>
      </c>
      <c r="L2540" s="91" t="s">
        <v>2175</v>
      </c>
      <c r="M2540" s="91" t="s">
        <v>4</v>
      </c>
      <c r="Q2540" s="91"/>
      <c r="S2540" s="91" t="s">
        <v>143</v>
      </c>
      <c r="T2540" s="91" t="s">
        <v>3030</v>
      </c>
      <c r="V2540" s="91" t="s">
        <v>155</v>
      </c>
      <c r="W2540" s="91" t="s">
        <v>180</v>
      </c>
    </row>
    <row r="2541" spans="1:23">
      <c r="A2541" s="93" t="str">
        <f>TEXT(tblProjectlist[[#This Row],[project-no]],"0")</f>
        <v>0</v>
      </c>
      <c r="H2541" s="91">
        <v>8018</v>
      </c>
      <c r="I2541" s="91">
        <v>14</v>
      </c>
      <c r="J2541" s="91">
        <v>2</v>
      </c>
      <c r="K2541" s="91"/>
      <c r="L2541" s="91" t="s">
        <v>2175</v>
      </c>
      <c r="M2541" s="91" t="s">
        <v>4</v>
      </c>
      <c r="Q2541" s="91"/>
      <c r="S2541" s="91" t="s">
        <v>143</v>
      </c>
      <c r="T2541" s="91" t="s">
        <v>3972</v>
      </c>
      <c r="V2541" s="91" t="s">
        <v>155</v>
      </c>
      <c r="W2541" s="91" t="s">
        <v>180</v>
      </c>
    </row>
    <row r="2542" spans="1:23">
      <c r="A2542" s="93" t="str">
        <f>TEXT(tblProjectlist[[#This Row],[project-no]],"0")</f>
        <v>99890443</v>
      </c>
      <c r="H2542" s="91">
        <v>8018</v>
      </c>
      <c r="I2542" s="91">
        <v>8</v>
      </c>
      <c r="J2542" s="91">
        <v>4</v>
      </c>
      <c r="K2542" s="91" t="s">
        <v>1453</v>
      </c>
      <c r="L2542" s="91" t="s">
        <v>58</v>
      </c>
      <c r="M2542" s="91" t="s">
        <v>1</v>
      </c>
      <c r="Q2542" s="91"/>
      <c r="S2542" s="91" t="s">
        <v>143</v>
      </c>
      <c r="T2542" s="91" t="s">
        <v>3026</v>
      </c>
      <c r="V2542" s="91" t="s">
        <v>164</v>
      </c>
      <c r="W2542" s="91" t="s">
        <v>180</v>
      </c>
    </row>
    <row r="2543" spans="1:23">
      <c r="A2543" s="93" t="str">
        <f>TEXT(tblProjectlist[[#This Row],[project-no]],"0")</f>
        <v>99919444</v>
      </c>
      <c r="H2543" s="91">
        <v>8018</v>
      </c>
      <c r="I2543" s="91">
        <v>7</v>
      </c>
      <c r="J2543" s="91">
        <v>4</v>
      </c>
      <c r="K2543" s="91" t="s">
        <v>1539</v>
      </c>
      <c r="L2543" s="91" t="s">
        <v>58</v>
      </c>
      <c r="M2543" s="91" t="s">
        <v>1</v>
      </c>
      <c r="Q2543" s="91"/>
      <c r="S2543" s="91" t="s">
        <v>143</v>
      </c>
      <c r="T2543" s="91" t="s">
        <v>3025</v>
      </c>
      <c r="V2543" s="91" t="s">
        <v>160</v>
      </c>
      <c r="W2543" s="91" t="s">
        <v>180</v>
      </c>
    </row>
    <row r="2544" spans="1:23">
      <c r="A2544" s="93" t="str">
        <f>TEXT(tblProjectlist[[#This Row],[project-no]],"0")</f>
        <v>99950211</v>
      </c>
      <c r="H2544" s="91">
        <v>9995</v>
      </c>
      <c r="I2544" s="91">
        <v>2</v>
      </c>
      <c r="J2544" s="91">
        <v>1</v>
      </c>
      <c r="K2544" s="91" t="s">
        <v>1614</v>
      </c>
      <c r="L2544" s="91" t="s">
        <v>2175</v>
      </c>
      <c r="M2544" s="91" t="s">
        <v>0</v>
      </c>
      <c r="Q2544" s="91"/>
      <c r="S2544" s="91" t="s">
        <v>143</v>
      </c>
      <c r="T2544" s="91" t="s">
        <v>3277</v>
      </c>
      <c r="V2544" s="91" t="s">
        <v>169</v>
      </c>
      <c r="W2544" s="91" t="s">
        <v>180</v>
      </c>
    </row>
    <row r="2545" spans="1:23">
      <c r="A2545" s="93" t="str">
        <f>TEXT(tblProjectlist[[#This Row],[project-no]],"0")</f>
        <v>99950216</v>
      </c>
      <c r="H2545" s="91">
        <v>9995</v>
      </c>
      <c r="I2545" s="91">
        <v>2</v>
      </c>
      <c r="J2545" s="91">
        <v>1</v>
      </c>
      <c r="K2545" s="91" t="s">
        <v>1615</v>
      </c>
      <c r="L2545" s="91" t="s">
        <v>2175</v>
      </c>
      <c r="M2545" s="91" t="s">
        <v>0</v>
      </c>
      <c r="Q2545" s="91"/>
      <c r="S2545" s="91" t="s">
        <v>143</v>
      </c>
      <c r="T2545" s="91" t="s">
        <v>3277</v>
      </c>
      <c r="V2545" s="91" t="s">
        <v>168</v>
      </c>
      <c r="W2545" s="91" t="s">
        <v>180</v>
      </c>
    </row>
    <row r="2546" spans="1:23">
      <c r="A2546" s="93" t="str">
        <f>TEXT(tblProjectlist[[#This Row],[project-no]],"0")</f>
        <v>99950311</v>
      </c>
      <c r="H2546" s="91">
        <v>9995</v>
      </c>
      <c r="I2546" s="91">
        <v>3</v>
      </c>
      <c r="J2546" s="91">
        <v>1</v>
      </c>
      <c r="K2546" s="91" t="s">
        <v>1616</v>
      </c>
      <c r="L2546" s="91" t="s">
        <v>2175</v>
      </c>
      <c r="M2546" s="91" t="s">
        <v>0</v>
      </c>
      <c r="Q2546" s="91"/>
      <c r="S2546" s="91" t="s">
        <v>143</v>
      </c>
      <c r="T2546" s="91" t="s">
        <v>3278</v>
      </c>
      <c r="V2546" s="91" t="s">
        <v>169</v>
      </c>
      <c r="W2546" s="91" t="s">
        <v>180</v>
      </c>
    </row>
    <row r="2547" spans="1:23">
      <c r="A2547" s="93" t="str">
        <f>TEXT(tblProjectlist[[#This Row],[project-no]],"0")</f>
        <v>0</v>
      </c>
      <c r="H2547" s="91">
        <v>6303</v>
      </c>
      <c r="I2547" s="91">
        <v>3</v>
      </c>
      <c r="J2547" s="91">
        <v>2</v>
      </c>
      <c r="K2547" s="91"/>
      <c r="L2547" s="91" t="s">
        <v>2175</v>
      </c>
      <c r="M2547" s="91" t="s">
        <v>4</v>
      </c>
      <c r="Q2547" s="91"/>
      <c r="S2547" s="91" t="s">
        <v>143</v>
      </c>
      <c r="T2547" s="91" t="s">
        <v>4407</v>
      </c>
      <c r="V2547" s="91" t="s">
        <v>155</v>
      </c>
      <c r="W2547" s="91" t="s">
        <v>180</v>
      </c>
    </row>
    <row r="2548" spans="1:23">
      <c r="A2548" s="93" t="str">
        <f>TEXT(tblProjectlist[[#This Row],[project-no]],"0")</f>
        <v>63030244</v>
      </c>
      <c r="H2548" s="91">
        <v>6303</v>
      </c>
      <c r="I2548" s="91">
        <v>2</v>
      </c>
      <c r="J2548" s="91">
        <v>4</v>
      </c>
      <c r="K2548" s="91" t="s">
        <v>841</v>
      </c>
      <c r="L2548" s="91" t="s">
        <v>62</v>
      </c>
      <c r="M2548" s="91" t="s">
        <v>1</v>
      </c>
      <c r="Q2548" s="91"/>
      <c r="S2548" s="91" t="s">
        <v>143</v>
      </c>
      <c r="T2548" s="91" t="s">
        <v>2724</v>
      </c>
      <c r="W2548" s="91" t="s">
        <v>180</v>
      </c>
    </row>
    <row r="2549" spans="1:23">
      <c r="A2549" s="93" t="str">
        <f>TEXT(tblProjectlist[[#This Row],[project-no]],"0")</f>
        <v>0</v>
      </c>
      <c r="H2549" s="91">
        <v>7513</v>
      </c>
      <c r="I2549" s="91">
        <v>10</v>
      </c>
      <c r="J2549" s="91">
        <v>2</v>
      </c>
      <c r="K2549" s="91"/>
      <c r="L2549" s="91" t="s">
        <v>2175</v>
      </c>
      <c r="M2549" s="91" t="s">
        <v>4</v>
      </c>
      <c r="Q2549" s="91"/>
      <c r="S2549" s="91" t="s">
        <v>143</v>
      </c>
      <c r="T2549" s="91" t="s">
        <v>3580</v>
      </c>
      <c r="V2549" s="91" t="s">
        <v>155</v>
      </c>
      <c r="W2549" s="91" t="s">
        <v>180</v>
      </c>
    </row>
    <row r="2550" spans="1:23">
      <c r="A2550" s="93" t="str">
        <f>TEXT(tblProjectlist[[#This Row],[project-no]],"0")</f>
        <v>0</v>
      </c>
      <c r="H2550" s="91">
        <v>7513</v>
      </c>
      <c r="I2550" s="91">
        <v>11</v>
      </c>
      <c r="J2550" s="91">
        <v>2</v>
      </c>
      <c r="K2550" s="91"/>
      <c r="L2550" s="91" t="s">
        <v>2175</v>
      </c>
      <c r="M2550" s="91" t="s">
        <v>4</v>
      </c>
      <c r="Q2550" s="91"/>
      <c r="S2550" s="91" t="s">
        <v>143</v>
      </c>
      <c r="T2550" s="91" t="s">
        <v>3600</v>
      </c>
      <c r="V2550" s="91" t="s">
        <v>155</v>
      </c>
      <c r="W2550" s="91" t="s">
        <v>180</v>
      </c>
    </row>
    <row r="2551" spans="1:23">
      <c r="A2551" s="93" t="str">
        <f>TEXT(tblProjectlist[[#This Row],[project-no]],"0")</f>
        <v>0</v>
      </c>
      <c r="H2551" s="91">
        <v>7513</v>
      </c>
      <c r="I2551" s="91">
        <v>12</v>
      </c>
      <c r="J2551" s="91">
        <v>2</v>
      </c>
      <c r="K2551" s="91"/>
      <c r="L2551" s="91" t="s">
        <v>2175</v>
      </c>
      <c r="M2551" s="91" t="s">
        <v>4</v>
      </c>
      <c r="Q2551" s="91"/>
      <c r="S2551" s="91" t="s">
        <v>143</v>
      </c>
      <c r="T2551" s="91" t="s">
        <v>4145</v>
      </c>
      <c r="V2551" s="91" t="s">
        <v>155</v>
      </c>
    </row>
    <row r="2552" spans="1:23">
      <c r="A2552" s="93" t="str">
        <f>TEXT(tblProjectlist[[#This Row],[project-no]],"0")</f>
        <v>0</v>
      </c>
      <c r="H2552" s="91">
        <v>7513</v>
      </c>
      <c r="I2552" s="91">
        <v>13</v>
      </c>
      <c r="J2552" s="91">
        <v>2</v>
      </c>
      <c r="K2552" s="91"/>
      <c r="L2552" s="91" t="s">
        <v>2175</v>
      </c>
      <c r="M2552" s="91" t="s">
        <v>4</v>
      </c>
      <c r="Q2552" s="91"/>
      <c r="S2552" s="91" t="s">
        <v>143</v>
      </c>
      <c r="T2552" s="91" t="s">
        <v>4200</v>
      </c>
      <c r="V2552" s="91" t="s">
        <v>155</v>
      </c>
      <c r="W2552" s="91" t="s">
        <v>180</v>
      </c>
    </row>
    <row r="2553" spans="1:23">
      <c r="A2553" s="93" t="str">
        <f>TEXT(tblProjectlist[[#This Row],[project-no]],"0")</f>
        <v>0</v>
      </c>
      <c r="H2553" s="91">
        <v>7513</v>
      </c>
      <c r="I2553" s="91">
        <v>14</v>
      </c>
      <c r="J2553" s="91">
        <v>2</v>
      </c>
      <c r="K2553" s="91"/>
      <c r="L2553" s="91" t="s">
        <v>2175</v>
      </c>
      <c r="M2553" s="91" t="s">
        <v>4</v>
      </c>
      <c r="Q2553" s="91"/>
      <c r="S2553" s="91" t="s">
        <v>143</v>
      </c>
      <c r="T2553" s="91" t="s">
        <v>4360</v>
      </c>
      <c r="V2553" s="91" t="s">
        <v>155</v>
      </c>
      <c r="W2553" s="91" t="s">
        <v>180</v>
      </c>
    </row>
    <row r="2554" spans="1:23">
      <c r="A2554" s="93" t="str">
        <f>TEXT(tblProjectlist[[#This Row],[project-no]],"0")</f>
        <v>0</v>
      </c>
      <c r="H2554" s="91">
        <v>7513</v>
      </c>
      <c r="I2554" s="91">
        <v>15</v>
      </c>
      <c r="J2554" s="91">
        <v>2</v>
      </c>
      <c r="K2554" s="91"/>
      <c r="L2554" s="91" t="s">
        <v>2175</v>
      </c>
      <c r="M2554" s="91" t="s">
        <v>4</v>
      </c>
      <c r="Q2554" s="91"/>
      <c r="S2554" s="91" t="s">
        <v>143</v>
      </c>
      <c r="T2554" s="91" t="s">
        <v>4583</v>
      </c>
      <c r="V2554" s="91" t="s">
        <v>155</v>
      </c>
      <c r="W2554" s="91" t="s">
        <v>180</v>
      </c>
    </row>
    <row r="2555" spans="1:23">
      <c r="A2555" s="93" t="str">
        <f>TEXT(tblProjectlist[[#This Row],[project-no]],"0")</f>
        <v>0</v>
      </c>
      <c r="H2555" s="91">
        <v>7513</v>
      </c>
      <c r="I2555" s="91">
        <v>16</v>
      </c>
      <c r="J2555" s="91">
        <v>2</v>
      </c>
      <c r="K2555" s="91"/>
      <c r="L2555" s="91" t="s">
        <v>2175</v>
      </c>
      <c r="M2555" s="91" t="s">
        <v>4</v>
      </c>
      <c r="Q2555" s="91"/>
      <c r="S2555" s="91" t="s">
        <v>143</v>
      </c>
      <c r="T2555" s="91" t="s">
        <v>4584</v>
      </c>
      <c r="V2555" s="91" t="s">
        <v>156</v>
      </c>
      <c r="W2555" s="91" t="s">
        <v>180</v>
      </c>
    </row>
    <row r="2556" spans="1:23">
      <c r="A2556" s="93" t="str">
        <f>TEXT(tblProjectlist[[#This Row],[project-no]],"0")</f>
        <v>0</v>
      </c>
      <c r="H2556" s="91">
        <v>7513</v>
      </c>
      <c r="I2556" s="91">
        <v>17</v>
      </c>
      <c r="J2556" s="91">
        <v>2</v>
      </c>
      <c r="K2556" s="91"/>
      <c r="L2556" s="91" t="s">
        <v>2175</v>
      </c>
      <c r="M2556" s="91" t="s">
        <v>4</v>
      </c>
      <c r="Q2556" s="91"/>
      <c r="S2556" s="91" t="s">
        <v>143</v>
      </c>
      <c r="T2556" s="91" t="s">
        <v>4671</v>
      </c>
      <c r="V2556" s="91" t="s">
        <v>155</v>
      </c>
      <c r="W2556" s="91" t="s">
        <v>180</v>
      </c>
    </row>
    <row r="2557" spans="1:23">
      <c r="A2557" s="93" t="str">
        <f>TEXT(tblProjectlist[[#This Row],[project-no]],"0")</f>
        <v>0</v>
      </c>
      <c r="H2557" s="91">
        <v>7513</v>
      </c>
      <c r="I2557" s="91">
        <v>18</v>
      </c>
      <c r="J2557" s="91">
        <v>2</v>
      </c>
      <c r="K2557" s="91"/>
      <c r="L2557" s="91" t="s">
        <v>2175</v>
      </c>
      <c r="M2557" s="91" t="s">
        <v>4</v>
      </c>
      <c r="Q2557" s="91"/>
      <c r="S2557" s="91" t="s">
        <v>143</v>
      </c>
      <c r="T2557" s="91" t="s">
        <v>4672</v>
      </c>
      <c r="V2557" s="91" t="s">
        <v>156</v>
      </c>
      <c r="W2557" s="91" t="s">
        <v>180</v>
      </c>
    </row>
    <row r="2558" spans="1:23">
      <c r="A2558" s="93" t="str">
        <f>TEXT(tblProjectlist[[#This Row],[project-no]],"0")</f>
        <v>75130128</v>
      </c>
      <c r="H2558" s="91">
        <v>7513</v>
      </c>
      <c r="I2558" s="91">
        <v>1</v>
      </c>
      <c r="J2558" s="91">
        <v>2</v>
      </c>
      <c r="K2558" s="91" t="s">
        <v>991</v>
      </c>
      <c r="L2558" s="91" t="s">
        <v>2175</v>
      </c>
      <c r="M2558" s="91" t="s">
        <v>4</v>
      </c>
      <c r="Q2558" s="91"/>
      <c r="S2558" s="91" t="s">
        <v>143</v>
      </c>
      <c r="T2558" s="91" t="s">
        <v>2860</v>
      </c>
      <c r="V2558" s="91" t="s">
        <v>155</v>
      </c>
      <c r="W2558" s="91" t="s">
        <v>180</v>
      </c>
    </row>
    <row r="2559" spans="1:23">
      <c r="A2559" s="93" t="str">
        <f>TEXT(tblProjectlist[[#This Row],[project-no]],"0")</f>
        <v>75130328</v>
      </c>
      <c r="H2559" s="91">
        <v>7513</v>
      </c>
      <c r="I2559" s="91">
        <v>3</v>
      </c>
      <c r="J2559" s="91">
        <v>2</v>
      </c>
      <c r="K2559" s="91" t="s">
        <v>992</v>
      </c>
      <c r="L2559" s="91" t="s">
        <v>2175</v>
      </c>
      <c r="M2559" s="91" t="s">
        <v>4</v>
      </c>
      <c r="Q2559" s="91"/>
      <c r="S2559" s="91" t="s">
        <v>143</v>
      </c>
      <c r="T2559" s="91" t="s">
        <v>2861</v>
      </c>
      <c r="V2559" s="91" t="s">
        <v>156</v>
      </c>
      <c r="W2559" s="91" t="s">
        <v>180</v>
      </c>
    </row>
    <row r="2560" spans="1:23">
      <c r="A2560" s="93" t="str">
        <f>TEXT(tblProjectlist[[#This Row],[project-no]],"0")</f>
        <v>75130428</v>
      </c>
      <c r="H2560" s="91">
        <v>7513</v>
      </c>
      <c r="I2560" s="91">
        <v>4</v>
      </c>
      <c r="J2560" s="91">
        <v>2</v>
      </c>
      <c r="K2560" s="91" t="s">
        <v>993</v>
      </c>
      <c r="L2560" s="91" t="s">
        <v>2175</v>
      </c>
      <c r="M2560" s="91" t="s">
        <v>4</v>
      </c>
      <c r="Q2560" s="91"/>
      <c r="S2560" s="91" t="s">
        <v>143</v>
      </c>
      <c r="T2560" s="91" t="s">
        <v>2862</v>
      </c>
      <c r="V2560" s="91" t="s">
        <v>155</v>
      </c>
      <c r="W2560" s="91" t="s">
        <v>180</v>
      </c>
    </row>
    <row r="2561" spans="1:23">
      <c r="A2561" s="93" t="str">
        <f>TEXT(tblProjectlist[[#This Row],[project-no]],"0")</f>
        <v>75130528</v>
      </c>
      <c r="H2561" s="91">
        <v>7513</v>
      </c>
      <c r="I2561" s="91">
        <v>5</v>
      </c>
      <c r="J2561" s="91">
        <v>2</v>
      </c>
      <c r="K2561" s="91" t="s">
        <v>994</v>
      </c>
      <c r="L2561" s="91" t="s">
        <v>2175</v>
      </c>
      <c r="M2561" s="91" t="s">
        <v>4</v>
      </c>
      <c r="Q2561" s="91"/>
      <c r="S2561" s="91" t="s">
        <v>143</v>
      </c>
      <c r="T2561" s="91" t="s">
        <v>2863</v>
      </c>
      <c r="V2561" s="91" t="s">
        <v>155</v>
      </c>
      <c r="W2561" s="91" t="s">
        <v>180</v>
      </c>
    </row>
    <row r="2562" spans="1:23">
      <c r="A2562" s="93" t="str">
        <f>TEXT(tblProjectlist[[#This Row],[project-no]],"0")</f>
        <v>75130628</v>
      </c>
      <c r="H2562" s="91">
        <v>7513</v>
      </c>
      <c r="I2562" s="91">
        <v>6</v>
      </c>
      <c r="J2562" s="91">
        <v>2</v>
      </c>
      <c r="K2562" s="91" t="s">
        <v>995</v>
      </c>
      <c r="L2562" s="91" t="s">
        <v>2175</v>
      </c>
      <c r="M2562" s="91" t="s">
        <v>4</v>
      </c>
      <c r="Q2562" s="91"/>
      <c r="S2562" s="91" t="s">
        <v>143</v>
      </c>
      <c r="T2562" s="91" t="s">
        <v>2864</v>
      </c>
      <c r="V2562" s="91" t="s">
        <v>155</v>
      </c>
      <c r="W2562" s="91" t="s">
        <v>180</v>
      </c>
    </row>
    <row r="2563" spans="1:23">
      <c r="A2563" s="93" t="str">
        <f>TEXT(tblProjectlist[[#This Row],[project-no]],"0")</f>
        <v>75130728</v>
      </c>
      <c r="H2563" s="91">
        <v>7513</v>
      </c>
      <c r="I2563" s="91">
        <v>7</v>
      </c>
      <c r="J2563" s="91">
        <v>2</v>
      </c>
      <c r="K2563" s="91" t="s">
        <v>996</v>
      </c>
      <c r="L2563" s="91" t="s">
        <v>2175</v>
      </c>
      <c r="M2563" s="91" t="s">
        <v>4</v>
      </c>
      <c r="Q2563" s="91"/>
      <c r="S2563" s="91" t="s">
        <v>143</v>
      </c>
      <c r="T2563" s="91" t="s">
        <v>2865</v>
      </c>
      <c r="V2563" s="91" t="s">
        <v>155</v>
      </c>
      <c r="W2563" s="91" t="s">
        <v>180</v>
      </c>
    </row>
    <row r="2564" spans="1:23">
      <c r="A2564" s="93" t="str">
        <f>TEXT(tblProjectlist[[#This Row],[project-no]],"0")</f>
        <v>75130828</v>
      </c>
      <c r="H2564" s="91">
        <v>7513</v>
      </c>
      <c r="I2564" s="91">
        <v>8</v>
      </c>
      <c r="J2564" s="91">
        <v>2</v>
      </c>
      <c r="K2564" s="91" t="s">
        <v>997</v>
      </c>
      <c r="L2564" s="91" t="s">
        <v>2175</v>
      </c>
      <c r="M2564" s="91" t="s">
        <v>4</v>
      </c>
      <c r="Q2564" s="91"/>
      <c r="S2564" s="91" t="s">
        <v>143</v>
      </c>
      <c r="T2564" s="91" t="s">
        <v>2866</v>
      </c>
      <c r="V2564" s="91" t="s">
        <v>155</v>
      </c>
      <c r="W2564" s="91" t="s">
        <v>180</v>
      </c>
    </row>
    <row r="2565" spans="1:23">
      <c r="A2565" s="93" t="str">
        <f>TEXT(tblProjectlist[[#This Row],[project-no]],"0")</f>
        <v>75130928</v>
      </c>
      <c r="H2565" s="91">
        <v>7513</v>
      </c>
      <c r="I2565" s="91">
        <v>9</v>
      </c>
      <c r="J2565" s="91">
        <v>2</v>
      </c>
      <c r="K2565" s="91" t="s">
        <v>998</v>
      </c>
      <c r="L2565" s="91" t="s">
        <v>2175</v>
      </c>
      <c r="M2565" s="91" t="s">
        <v>4</v>
      </c>
      <c r="Q2565" s="91"/>
      <c r="S2565" s="91" t="s">
        <v>143</v>
      </c>
      <c r="T2565" s="91" t="s">
        <v>2867</v>
      </c>
      <c r="V2565" s="91" t="s">
        <v>155</v>
      </c>
      <c r="W2565" s="91" t="s">
        <v>180</v>
      </c>
    </row>
    <row r="2566" spans="1:23">
      <c r="A2566" s="93" t="str">
        <f>TEXT(tblProjectlist[[#This Row],[project-no]],"0")</f>
        <v>99961828</v>
      </c>
      <c r="H2566" s="91">
        <v>7513</v>
      </c>
      <c r="I2566" s="91">
        <v>5</v>
      </c>
      <c r="J2566" s="91">
        <v>2</v>
      </c>
      <c r="K2566" s="91" t="s">
        <v>1739</v>
      </c>
      <c r="L2566" s="91" t="s">
        <v>2175</v>
      </c>
      <c r="M2566" s="91" t="s">
        <v>4</v>
      </c>
      <c r="Q2566" s="91"/>
      <c r="S2566" s="91" t="s">
        <v>143</v>
      </c>
      <c r="T2566" s="91" t="s">
        <v>2863</v>
      </c>
      <c r="W2566" s="91" t="s">
        <v>180</v>
      </c>
    </row>
    <row r="2567" spans="1:23">
      <c r="A2567" s="93" t="str">
        <f>TEXT(tblProjectlist[[#This Row],[project-no]],"0")</f>
        <v>99962328</v>
      </c>
      <c r="H2567" s="91">
        <v>7513</v>
      </c>
      <c r="I2567" s="91">
        <v>3</v>
      </c>
      <c r="J2567" s="91">
        <v>2</v>
      </c>
      <c r="K2567" s="91" t="s">
        <v>1744</v>
      </c>
      <c r="L2567" s="91" t="s">
        <v>2175</v>
      </c>
      <c r="M2567" s="91" t="s">
        <v>4</v>
      </c>
      <c r="Q2567" s="91"/>
      <c r="S2567" s="91" t="s">
        <v>143</v>
      </c>
      <c r="T2567" s="91" t="s">
        <v>2861</v>
      </c>
      <c r="V2567" s="91" t="s">
        <v>156</v>
      </c>
      <c r="W2567" s="91" t="s">
        <v>180</v>
      </c>
    </row>
    <row r="2568" spans="1:23">
      <c r="A2568" s="93" t="str">
        <f>TEXT(tblProjectlist[[#This Row],[project-no]],"0")</f>
        <v>99963328</v>
      </c>
      <c r="H2568" s="91">
        <v>7513</v>
      </c>
      <c r="I2568" s="91">
        <v>6</v>
      </c>
      <c r="J2568" s="91">
        <v>2</v>
      </c>
      <c r="K2568" s="91" t="s">
        <v>1754</v>
      </c>
      <c r="L2568" s="91" t="s">
        <v>2175</v>
      </c>
      <c r="M2568" s="91" t="s">
        <v>4</v>
      </c>
      <c r="Q2568" s="91"/>
      <c r="S2568" s="91" t="s">
        <v>143</v>
      </c>
      <c r="T2568" s="91" t="s">
        <v>2864</v>
      </c>
      <c r="W2568" s="91" t="s">
        <v>180</v>
      </c>
    </row>
    <row r="2569" spans="1:23">
      <c r="A2569" s="93" t="str">
        <f>TEXT(tblProjectlist[[#This Row],[project-no]],"0")</f>
        <v>99967528</v>
      </c>
      <c r="H2569" s="91">
        <v>7513</v>
      </c>
      <c r="I2569" s="91">
        <v>7</v>
      </c>
      <c r="J2569" s="91">
        <v>2</v>
      </c>
      <c r="K2569" s="91" t="s">
        <v>1792</v>
      </c>
      <c r="L2569" s="91" t="s">
        <v>2175</v>
      </c>
      <c r="M2569" s="91" t="s">
        <v>4</v>
      </c>
      <c r="Q2569" s="91"/>
      <c r="S2569" s="91" t="s">
        <v>143</v>
      </c>
      <c r="T2569" s="91" t="s">
        <v>2865</v>
      </c>
      <c r="V2569" s="91" t="s">
        <v>155</v>
      </c>
      <c r="W2569" s="91" t="s">
        <v>180</v>
      </c>
    </row>
    <row r="2570" spans="1:23">
      <c r="A2570" s="93" t="str">
        <f>TEXT(tblProjectlist[[#This Row],[project-no]],"0")</f>
        <v>0</v>
      </c>
      <c r="H2570" s="91">
        <v>6131</v>
      </c>
      <c r="I2570" s="91">
        <v>2</v>
      </c>
      <c r="J2570" s="91">
        <v>1</v>
      </c>
      <c r="K2570" s="91"/>
      <c r="L2570" s="91" t="s">
        <v>2175</v>
      </c>
      <c r="M2570" s="91" t="s">
        <v>0</v>
      </c>
      <c r="Q2570" s="91"/>
      <c r="S2570" s="91" t="s">
        <v>143</v>
      </c>
      <c r="T2570" s="91" t="s">
        <v>4233</v>
      </c>
      <c r="V2570" s="91" t="s">
        <v>169</v>
      </c>
      <c r="W2570" s="91" t="s">
        <v>180</v>
      </c>
    </row>
    <row r="2571" spans="1:23">
      <c r="A2571" s="93" t="str">
        <f>TEXT(tblProjectlist[[#This Row],[project-no]],"0")</f>
        <v>0</v>
      </c>
      <c r="H2571" s="91">
        <v>6131</v>
      </c>
      <c r="I2571" s="91">
        <v>3</v>
      </c>
      <c r="J2571" s="91">
        <v>1</v>
      </c>
      <c r="K2571" s="91"/>
      <c r="L2571" s="91" t="s">
        <v>62</v>
      </c>
      <c r="M2571" s="91" t="s">
        <v>0</v>
      </c>
      <c r="Q2571" s="91"/>
      <c r="S2571" s="91" t="s">
        <v>143</v>
      </c>
      <c r="T2571" s="91" t="s">
        <v>4234</v>
      </c>
      <c r="V2571" s="91" t="s">
        <v>160</v>
      </c>
      <c r="W2571" s="91" t="s">
        <v>180</v>
      </c>
    </row>
    <row r="2572" spans="1:23">
      <c r="A2572" s="93" t="str">
        <f>TEXT(tblProjectlist[[#This Row],[project-no]],"0")</f>
        <v>0</v>
      </c>
      <c r="H2572" s="91">
        <v>6015</v>
      </c>
      <c r="I2572" s="91">
        <v>8</v>
      </c>
      <c r="J2572" s="91">
        <v>2</v>
      </c>
      <c r="K2572" s="91"/>
      <c r="L2572" s="91" t="s">
        <v>62</v>
      </c>
      <c r="M2572" s="91" t="s">
        <v>4</v>
      </c>
      <c r="Q2572" s="91"/>
      <c r="S2572" s="91" t="s">
        <v>143</v>
      </c>
      <c r="T2572" s="91" t="s">
        <v>4123</v>
      </c>
      <c r="V2572" s="91" t="s">
        <v>155</v>
      </c>
      <c r="W2572" s="91" t="s">
        <v>180</v>
      </c>
    </row>
    <row r="2573" spans="1:23">
      <c r="A2573" s="93" t="str">
        <f>TEXT(tblProjectlist[[#This Row],[project-no]],"0")</f>
        <v>99949228</v>
      </c>
      <c r="H2573" s="91">
        <v>8909</v>
      </c>
      <c r="I2573" s="91">
        <v>2</v>
      </c>
      <c r="J2573" s="91">
        <v>2</v>
      </c>
      <c r="K2573" s="91" t="s">
        <v>1611</v>
      </c>
      <c r="L2573" s="91" t="s">
        <v>64</v>
      </c>
      <c r="M2573" s="91" t="s">
        <v>4</v>
      </c>
      <c r="Q2573" s="91"/>
      <c r="S2573" s="91" t="s">
        <v>143</v>
      </c>
      <c r="T2573" s="91" t="s">
        <v>3276</v>
      </c>
      <c r="V2573" s="91" t="s">
        <v>155</v>
      </c>
      <c r="W2573" s="91" t="s">
        <v>180</v>
      </c>
    </row>
    <row r="2574" spans="1:23">
      <c r="A2574" s="93" t="str">
        <f>TEXT(tblProjectlist[[#This Row],[project-no]],"0")</f>
        <v>30570128</v>
      </c>
      <c r="H2574" s="91">
        <v>3057</v>
      </c>
      <c r="I2574" s="91">
        <v>1</v>
      </c>
      <c r="J2574" s="91">
        <v>2</v>
      </c>
      <c r="K2574" s="91" t="s">
        <v>671</v>
      </c>
      <c r="L2574" s="91" t="s">
        <v>2175</v>
      </c>
      <c r="M2574" s="91" t="s">
        <v>4</v>
      </c>
      <c r="Q2574" s="91"/>
      <c r="S2574" s="91" t="s">
        <v>143</v>
      </c>
      <c r="T2574" s="91" t="s">
        <v>2573</v>
      </c>
      <c r="V2574" s="91" t="s">
        <v>155</v>
      </c>
      <c r="W2574" s="91" t="s">
        <v>180</v>
      </c>
    </row>
    <row r="2575" spans="1:23">
      <c r="A2575" s="93" t="str">
        <f>TEXT(tblProjectlist[[#This Row],[project-no]],"0")</f>
        <v>30570228</v>
      </c>
      <c r="H2575" s="91">
        <v>3057</v>
      </c>
      <c r="I2575" s="91">
        <v>2</v>
      </c>
      <c r="J2575" s="91">
        <v>2</v>
      </c>
      <c r="K2575" s="91" t="s">
        <v>672</v>
      </c>
      <c r="L2575" s="91" t="s">
        <v>2175</v>
      </c>
      <c r="M2575" s="91" t="s">
        <v>4</v>
      </c>
      <c r="Q2575" s="91"/>
      <c r="S2575" s="91" t="s">
        <v>143</v>
      </c>
      <c r="T2575" s="91" t="s">
        <v>2574</v>
      </c>
      <c r="V2575" s="91" t="s">
        <v>155</v>
      </c>
      <c r="W2575" s="91" t="s">
        <v>180</v>
      </c>
    </row>
    <row r="2576" spans="1:23">
      <c r="A2576" s="93" t="str">
        <f>TEXT(tblProjectlist[[#This Row],[project-no]],"0")</f>
        <v>20370228</v>
      </c>
      <c r="H2576" s="91">
        <v>2037</v>
      </c>
      <c r="I2576" s="91">
        <v>2</v>
      </c>
      <c r="J2576" s="91">
        <v>2</v>
      </c>
      <c r="K2576" s="91" t="s">
        <v>485</v>
      </c>
      <c r="L2576" s="91" t="s">
        <v>64</v>
      </c>
      <c r="M2576" s="91" t="s">
        <v>4</v>
      </c>
      <c r="Q2576" s="91"/>
      <c r="S2576" s="91" t="s">
        <v>143</v>
      </c>
      <c r="T2576" s="91" t="s">
        <v>2428</v>
      </c>
      <c r="W2576" s="91" t="s">
        <v>180</v>
      </c>
    </row>
    <row r="2577" spans="1:23">
      <c r="A2577" s="93" t="str">
        <f>TEXT(tblProjectlist[[#This Row],[project-no]],"0")</f>
        <v>19820316</v>
      </c>
      <c r="H2577" s="91">
        <v>1982</v>
      </c>
      <c r="I2577" s="91">
        <v>3</v>
      </c>
      <c r="J2577" s="91">
        <v>1</v>
      </c>
      <c r="K2577" s="91" t="s">
        <v>3733</v>
      </c>
      <c r="L2577" s="91" t="s">
        <v>2175</v>
      </c>
      <c r="M2577" s="91" t="s">
        <v>0</v>
      </c>
      <c r="Q2577" s="91"/>
      <c r="S2577" s="91" t="s">
        <v>143</v>
      </c>
      <c r="T2577" s="91" t="s">
        <v>3765</v>
      </c>
      <c r="V2577" s="91" t="s">
        <v>169</v>
      </c>
      <c r="W2577" s="91" t="s">
        <v>180</v>
      </c>
    </row>
    <row r="2578" spans="1:23">
      <c r="A2578" s="93" t="str">
        <f>TEXT(tblProjectlist[[#This Row],[project-no]],"0")</f>
        <v>19820411</v>
      </c>
      <c r="H2578" s="91">
        <v>1982</v>
      </c>
      <c r="I2578" s="91">
        <v>4</v>
      </c>
      <c r="J2578" s="91">
        <v>1</v>
      </c>
      <c r="K2578" s="91" t="s">
        <v>424</v>
      </c>
      <c r="L2578" s="91" t="s">
        <v>2175</v>
      </c>
      <c r="M2578" s="91" t="s">
        <v>0</v>
      </c>
      <c r="Q2578" s="91"/>
      <c r="S2578" s="91" t="s">
        <v>143</v>
      </c>
      <c r="T2578" s="91" t="s">
        <v>2379</v>
      </c>
      <c r="V2578" s="91" t="s">
        <v>169</v>
      </c>
      <c r="W2578" s="91" t="s">
        <v>180</v>
      </c>
    </row>
    <row r="2579" spans="1:23">
      <c r="A2579" s="93" t="str">
        <f>TEXT(tblProjectlist[[#This Row],[project-no]],"0")</f>
        <v>60940128</v>
      </c>
      <c r="H2579" s="91">
        <v>6094</v>
      </c>
      <c r="I2579" s="91">
        <v>1</v>
      </c>
      <c r="J2579" s="91">
        <v>2</v>
      </c>
      <c r="K2579" s="91" t="s">
        <v>824</v>
      </c>
      <c r="L2579" s="91" t="s">
        <v>2175</v>
      </c>
      <c r="M2579" s="91" t="s">
        <v>4</v>
      </c>
      <c r="Q2579" s="91"/>
      <c r="S2579" s="91" t="s">
        <v>143</v>
      </c>
      <c r="T2579" s="91" t="s">
        <v>2710</v>
      </c>
      <c r="V2579" s="91" t="s">
        <v>155</v>
      </c>
      <c r="W2579" s="91" t="s">
        <v>180</v>
      </c>
    </row>
    <row r="2580" spans="1:23">
      <c r="A2580" s="93" t="str">
        <f>TEXT(tblProjectlist[[#This Row],[project-no]],"0")</f>
        <v>60940228</v>
      </c>
      <c r="H2580" s="91">
        <v>6094</v>
      </c>
      <c r="I2580" s="91">
        <v>2</v>
      </c>
      <c r="J2580" s="91">
        <v>2</v>
      </c>
      <c r="K2580" s="91" t="s">
        <v>825</v>
      </c>
      <c r="L2580" s="91" t="s">
        <v>2175</v>
      </c>
      <c r="M2580" s="91" t="s">
        <v>4</v>
      </c>
      <c r="Q2580" s="91"/>
      <c r="S2580" s="91" t="s">
        <v>143</v>
      </c>
      <c r="T2580" s="91" t="s">
        <v>2711</v>
      </c>
      <c r="V2580" s="91" t="s">
        <v>155</v>
      </c>
      <c r="W2580" s="91" t="s">
        <v>180</v>
      </c>
    </row>
    <row r="2581" spans="1:23">
      <c r="A2581" s="93" t="str">
        <f>TEXT(tblProjectlist[[#This Row],[project-no]],"0")</f>
        <v>0</v>
      </c>
      <c r="H2581" s="91">
        <v>1004</v>
      </c>
      <c r="I2581" s="91">
        <v>4</v>
      </c>
      <c r="J2581" s="91">
        <v>2</v>
      </c>
      <c r="K2581" s="91"/>
      <c r="L2581" s="91" t="s">
        <v>2175</v>
      </c>
      <c r="M2581" s="91" t="s">
        <v>4</v>
      </c>
      <c r="Q2581" s="91"/>
      <c r="S2581" s="91" t="s">
        <v>143</v>
      </c>
      <c r="T2581" s="91" t="s">
        <v>4492</v>
      </c>
      <c r="V2581" s="91" t="s">
        <v>155</v>
      </c>
      <c r="W2581" s="91" t="s">
        <v>180</v>
      </c>
    </row>
    <row r="2582" spans="1:23">
      <c r="A2582" s="93" t="str">
        <f>TEXT(tblProjectlist[[#This Row],[project-no]],"0")</f>
        <v>19509628</v>
      </c>
      <c r="H2582" s="91">
        <v>1950</v>
      </c>
      <c r="I2582" s="91">
        <v>96</v>
      </c>
      <c r="J2582" s="91">
        <v>2</v>
      </c>
      <c r="K2582" s="91" t="s">
        <v>372</v>
      </c>
      <c r="L2582" s="91" t="s">
        <v>2175</v>
      </c>
      <c r="M2582" s="91" t="s">
        <v>4</v>
      </c>
      <c r="Q2582" s="91"/>
      <c r="S2582" s="91" t="s">
        <v>143</v>
      </c>
      <c r="T2582" s="91" t="s">
        <v>2346</v>
      </c>
      <c r="V2582" s="91" t="s">
        <v>155</v>
      </c>
      <c r="W2582" s="91" t="s">
        <v>180</v>
      </c>
    </row>
    <row r="2583" spans="1:23">
      <c r="A2583" s="93" t="str">
        <f>TEXT(tblProjectlist[[#This Row],[project-no]],"0")</f>
        <v>19509728</v>
      </c>
      <c r="H2583" s="91">
        <v>1950</v>
      </c>
      <c r="I2583" s="91">
        <v>97</v>
      </c>
      <c r="J2583" s="91">
        <v>2</v>
      </c>
      <c r="K2583" s="91" t="s">
        <v>373</v>
      </c>
      <c r="L2583" s="91" t="s">
        <v>2175</v>
      </c>
      <c r="M2583" s="91" t="s">
        <v>4</v>
      </c>
      <c r="Q2583" s="91"/>
      <c r="S2583" s="91" t="s">
        <v>143</v>
      </c>
      <c r="T2583" s="91" t="s">
        <v>2347</v>
      </c>
      <c r="V2583" s="91" t="s">
        <v>155</v>
      </c>
      <c r="W2583" s="91" t="s">
        <v>180</v>
      </c>
    </row>
    <row r="2584" spans="1:23">
      <c r="A2584" s="93" t="str">
        <f>TEXT(tblProjectlist[[#This Row],[project-no]],"0")</f>
        <v>19509828</v>
      </c>
      <c r="H2584" s="91">
        <v>1950</v>
      </c>
      <c r="I2584" s="91">
        <v>98</v>
      </c>
      <c r="J2584" s="91">
        <v>2</v>
      </c>
      <c r="K2584" s="91" t="s">
        <v>374</v>
      </c>
      <c r="L2584" s="91" t="s">
        <v>2175</v>
      </c>
      <c r="M2584" s="91" t="s">
        <v>4</v>
      </c>
      <c r="Q2584" s="91"/>
      <c r="S2584" s="91" t="s">
        <v>143</v>
      </c>
      <c r="T2584" s="91" t="s">
        <v>2348</v>
      </c>
      <c r="V2584" s="91" t="s">
        <v>156</v>
      </c>
      <c r="W2584" s="91" t="s">
        <v>180</v>
      </c>
    </row>
    <row r="2585" spans="1:23">
      <c r="A2585" s="93" t="str">
        <f>TEXT(tblProjectlist[[#This Row],[project-no]],"0")</f>
        <v>19509928</v>
      </c>
      <c r="H2585" s="91">
        <v>1950</v>
      </c>
      <c r="I2585" s="91">
        <v>99</v>
      </c>
      <c r="J2585" s="91">
        <v>2</v>
      </c>
      <c r="K2585" s="91" t="s">
        <v>375</v>
      </c>
      <c r="L2585" s="91" t="s">
        <v>2175</v>
      </c>
      <c r="M2585" s="91" t="s">
        <v>4</v>
      </c>
      <c r="Q2585" s="91"/>
      <c r="S2585" s="91" t="s">
        <v>143</v>
      </c>
      <c r="T2585" s="91" t="s">
        <v>2349</v>
      </c>
      <c r="V2585" s="91" t="s">
        <v>156</v>
      </c>
      <c r="W2585" s="91" t="s">
        <v>180</v>
      </c>
    </row>
    <row r="2586" spans="1:23">
      <c r="A2586" s="93" t="str">
        <f>TEXT(tblProjectlist[[#This Row],[project-no]],"0")</f>
        <v>99962728</v>
      </c>
      <c r="H2586" s="91">
        <v>1950</v>
      </c>
      <c r="I2586" s="91">
        <v>98</v>
      </c>
      <c r="J2586" s="91">
        <v>2</v>
      </c>
      <c r="K2586" s="91" t="s">
        <v>1747</v>
      </c>
      <c r="L2586" s="91" t="s">
        <v>2175</v>
      </c>
      <c r="M2586" s="91" t="s">
        <v>4</v>
      </c>
      <c r="Q2586" s="91"/>
      <c r="S2586" s="91" t="s">
        <v>143</v>
      </c>
      <c r="T2586" s="91" t="s">
        <v>2348</v>
      </c>
      <c r="W2586" s="91" t="s">
        <v>180</v>
      </c>
    </row>
    <row r="2587" spans="1:23">
      <c r="A2587" s="93" t="str">
        <f>TEXT(tblProjectlist[[#This Row],[project-no]],"0")</f>
        <v>99948128</v>
      </c>
      <c r="H2587" s="91">
        <v>1950</v>
      </c>
      <c r="I2587" s="91">
        <v>99</v>
      </c>
      <c r="J2587" s="91">
        <v>2</v>
      </c>
      <c r="K2587" s="91" t="s">
        <v>1606</v>
      </c>
      <c r="L2587" s="91" t="s">
        <v>2175</v>
      </c>
      <c r="M2587" s="91" t="s">
        <v>4</v>
      </c>
      <c r="Q2587" s="91"/>
      <c r="S2587" s="91" t="s">
        <v>143</v>
      </c>
      <c r="T2587" s="91" t="s">
        <v>2349</v>
      </c>
      <c r="V2587" s="91" t="s">
        <v>156</v>
      </c>
      <c r="W2587" s="91" t="s">
        <v>180</v>
      </c>
    </row>
    <row r="2588" spans="1:23">
      <c r="A2588" s="93" t="str">
        <f>TEXT(tblProjectlist[[#This Row],[project-no]],"0")</f>
        <v>0</v>
      </c>
      <c r="H2588" s="91">
        <v>1951</v>
      </c>
      <c r="I2588" s="91">
        <v>9</v>
      </c>
      <c r="J2588" s="91">
        <v>2</v>
      </c>
      <c r="K2588" s="91"/>
      <c r="L2588" s="91" t="s">
        <v>2175</v>
      </c>
      <c r="M2588" s="91" t="s">
        <v>4</v>
      </c>
      <c r="Q2588" s="91"/>
      <c r="S2588" s="91" t="s">
        <v>143</v>
      </c>
      <c r="T2588" s="91" t="s">
        <v>4586</v>
      </c>
      <c r="V2588" s="91" t="s">
        <v>155</v>
      </c>
      <c r="W2588" s="91" t="s">
        <v>180</v>
      </c>
    </row>
    <row r="2589" spans="1:23">
      <c r="A2589" s="93" t="str">
        <f>TEXT(tblProjectlist[[#This Row],[project-no]],"0")</f>
        <v>19510549</v>
      </c>
      <c r="H2589" s="91">
        <v>1951</v>
      </c>
      <c r="I2589" s="91">
        <v>5</v>
      </c>
      <c r="J2589" s="91">
        <v>4</v>
      </c>
      <c r="K2589" s="91" t="s">
        <v>376</v>
      </c>
      <c r="L2589" s="91" t="s">
        <v>58</v>
      </c>
      <c r="M2589" s="91" t="s">
        <v>1</v>
      </c>
      <c r="Q2589" s="91"/>
      <c r="S2589" s="91" t="s">
        <v>143</v>
      </c>
      <c r="T2589" s="91" t="s">
        <v>2350</v>
      </c>
      <c r="W2589" s="91" t="s">
        <v>180</v>
      </c>
    </row>
    <row r="2590" spans="1:23">
      <c r="A2590" s="93" t="str">
        <f>TEXT(tblProjectlist[[#This Row],[project-no]],"0")</f>
        <v>0</v>
      </c>
      <c r="H2590" s="91">
        <v>1951</v>
      </c>
      <c r="I2590" s="91">
        <v>6</v>
      </c>
      <c r="J2590" s="91">
        <v>2</v>
      </c>
      <c r="K2590" s="91"/>
      <c r="L2590" s="91" t="s">
        <v>2175</v>
      </c>
      <c r="M2590" s="91" t="s">
        <v>4</v>
      </c>
      <c r="Q2590" s="91"/>
      <c r="S2590" s="91" t="s">
        <v>143</v>
      </c>
      <c r="T2590" s="91" t="s">
        <v>3906</v>
      </c>
      <c r="V2590" s="91" t="s">
        <v>155</v>
      </c>
      <c r="W2590" s="91" t="s">
        <v>180</v>
      </c>
    </row>
    <row r="2591" spans="1:23">
      <c r="A2591" s="93" t="str">
        <f>TEXT(tblProjectlist[[#This Row],[project-no]],"0")</f>
        <v>0</v>
      </c>
      <c r="H2591" s="91">
        <v>1951</v>
      </c>
      <c r="I2591" s="91">
        <v>7</v>
      </c>
      <c r="J2591" s="91">
        <v>2</v>
      </c>
      <c r="K2591" s="91"/>
      <c r="L2591" s="91" t="s">
        <v>2175</v>
      </c>
      <c r="M2591" s="91" t="s">
        <v>4</v>
      </c>
      <c r="Q2591" s="91"/>
      <c r="S2591" s="91" t="s">
        <v>143</v>
      </c>
      <c r="T2591" s="91" t="s">
        <v>3989</v>
      </c>
      <c r="V2591" s="91" t="s">
        <v>155</v>
      </c>
      <c r="W2591" s="91" t="s">
        <v>180</v>
      </c>
    </row>
    <row r="2592" spans="1:23">
      <c r="A2592" s="93" t="str">
        <f>TEXT(tblProjectlist[[#This Row],[project-no]],"0")</f>
        <v>0</v>
      </c>
      <c r="H2592" s="91">
        <v>1951</v>
      </c>
      <c r="I2592" s="91">
        <v>8</v>
      </c>
      <c r="J2592" s="91">
        <v>2</v>
      </c>
      <c r="K2592" s="91"/>
      <c r="L2592" s="91" t="s">
        <v>2175</v>
      </c>
      <c r="M2592" s="91" t="s">
        <v>4</v>
      </c>
      <c r="Q2592" s="91"/>
      <c r="S2592" s="91" t="s">
        <v>143</v>
      </c>
      <c r="T2592" s="91" t="s">
        <v>4102</v>
      </c>
      <c r="V2592" s="91" t="s">
        <v>155</v>
      </c>
      <c r="W2592" s="91" t="s">
        <v>180</v>
      </c>
    </row>
    <row r="2593" spans="1:23">
      <c r="A2593" s="93" t="str">
        <f>TEXT(tblProjectlist[[#This Row],[project-no]],"0")</f>
        <v>0</v>
      </c>
      <c r="H2593" s="91">
        <v>1953</v>
      </c>
      <c r="I2593" s="91">
        <v>1</v>
      </c>
      <c r="J2593" s="91">
        <v>2</v>
      </c>
      <c r="K2593" s="91"/>
      <c r="L2593" s="91" t="s">
        <v>2175</v>
      </c>
      <c r="M2593" s="91" t="s">
        <v>4</v>
      </c>
      <c r="Q2593" s="91"/>
      <c r="S2593" s="91" t="s">
        <v>143</v>
      </c>
      <c r="T2593" s="91" t="s">
        <v>4397</v>
      </c>
      <c r="V2593" s="91" t="s">
        <v>155</v>
      </c>
      <c r="W2593" s="91" t="s">
        <v>180</v>
      </c>
    </row>
    <row r="2594" spans="1:23">
      <c r="A2594" s="93" t="str">
        <f>TEXT(tblProjectlist[[#This Row],[project-no]],"0")</f>
        <v>19650226</v>
      </c>
      <c r="H2594" s="91">
        <v>1965</v>
      </c>
      <c r="I2594" s="91">
        <v>2</v>
      </c>
      <c r="J2594" s="91">
        <v>2</v>
      </c>
      <c r="K2594" s="91" t="s">
        <v>377</v>
      </c>
      <c r="L2594" s="91" t="s">
        <v>62</v>
      </c>
      <c r="M2594" s="91" t="s">
        <v>4</v>
      </c>
      <c r="Q2594" s="91"/>
      <c r="S2594" s="91" t="s">
        <v>143</v>
      </c>
      <c r="T2594" s="91" t="s">
        <v>2351</v>
      </c>
      <c r="W2594" s="91" t="s">
        <v>180</v>
      </c>
    </row>
    <row r="2595" spans="1:23">
      <c r="A2595" s="93" t="str">
        <f>TEXT(tblProjectlist[[#This Row],[project-no]],"0")</f>
        <v>30160128</v>
      </c>
      <c r="H2595" s="91">
        <v>3016</v>
      </c>
      <c r="I2595" s="91">
        <v>1</v>
      </c>
      <c r="J2595" s="91">
        <v>2</v>
      </c>
      <c r="K2595" s="91" t="s">
        <v>620</v>
      </c>
      <c r="L2595" s="91" t="s">
        <v>2175</v>
      </c>
      <c r="M2595" s="91" t="s">
        <v>4</v>
      </c>
      <c r="Q2595" s="91"/>
      <c r="S2595" s="91" t="s">
        <v>143</v>
      </c>
      <c r="T2595" s="91" t="s">
        <v>2530</v>
      </c>
      <c r="V2595" s="91" t="s">
        <v>155</v>
      </c>
      <c r="W2595" s="91" t="s">
        <v>180</v>
      </c>
    </row>
    <row r="2596" spans="1:23">
      <c r="A2596" s="93" t="str">
        <f>TEXT(tblProjectlist[[#This Row],[project-no]],"0")</f>
        <v>30160428</v>
      </c>
      <c r="H2596" s="91">
        <v>3016</v>
      </c>
      <c r="I2596" s="91">
        <v>4</v>
      </c>
      <c r="J2596" s="91">
        <v>2</v>
      </c>
      <c r="K2596" s="91" t="s">
        <v>621</v>
      </c>
      <c r="L2596" s="91" t="s">
        <v>2175</v>
      </c>
      <c r="M2596" s="91" t="s">
        <v>4</v>
      </c>
      <c r="Q2596" s="91"/>
      <c r="S2596" s="91" t="s">
        <v>143</v>
      </c>
      <c r="T2596" s="91" t="s">
        <v>2531</v>
      </c>
      <c r="V2596" s="91" t="s">
        <v>155</v>
      </c>
      <c r="W2596" s="91" t="s">
        <v>180</v>
      </c>
    </row>
    <row r="2597" spans="1:23">
      <c r="A2597" s="93" t="str">
        <f>TEXT(tblProjectlist[[#This Row],[project-no]],"0")</f>
        <v>30160628</v>
      </c>
      <c r="H2597" s="91">
        <v>3016</v>
      </c>
      <c r="I2597" s="91">
        <v>6</v>
      </c>
      <c r="J2597" s="91">
        <v>2</v>
      </c>
      <c r="K2597" s="91" t="s">
        <v>622</v>
      </c>
      <c r="L2597" s="91" t="s">
        <v>2175</v>
      </c>
      <c r="M2597" s="91" t="s">
        <v>4</v>
      </c>
      <c r="Q2597" s="91"/>
      <c r="S2597" s="91" t="s">
        <v>143</v>
      </c>
      <c r="T2597" s="91" t="s">
        <v>2532</v>
      </c>
      <c r="V2597" s="91" t="s">
        <v>155</v>
      </c>
      <c r="W2597" s="91" t="s">
        <v>180</v>
      </c>
    </row>
    <row r="2598" spans="1:23">
      <c r="A2598" s="93" t="str">
        <f>TEXT(tblProjectlist[[#This Row],[project-no]],"0")</f>
        <v>30160728</v>
      </c>
      <c r="H2598" s="91">
        <v>3016</v>
      </c>
      <c r="I2598" s="91">
        <v>7</v>
      </c>
      <c r="J2598" s="91">
        <v>2</v>
      </c>
      <c r="K2598" s="91" t="s">
        <v>623</v>
      </c>
      <c r="L2598" s="91" t="s">
        <v>2175</v>
      </c>
      <c r="M2598" s="91" t="s">
        <v>4</v>
      </c>
      <c r="Q2598" s="91"/>
      <c r="S2598" s="91" t="s">
        <v>143</v>
      </c>
      <c r="T2598" s="91" t="s">
        <v>2533</v>
      </c>
      <c r="V2598" s="91" t="s">
        <v>155</v>
      </c>
      <c r="W2598" s="91" t="s">
        <v>180</v>
      </c>
    </row>
    <row r="2599" spans="1:23">
      <c r="A2599" s="93" t="str">
        <f>TEXT(tblProjectlist[[#This Row],[project-no]],"0")</f>
        <v>30160928</v>
      </c>
      <c r="H2599" s="91">
        <v>3016</v>
      </c>
      <c r="I2599" s="91">
        <v>9</v>
      </c>
      <c r="J2599" s="91">
        <v>2</v>
      </c>
      <c r="K2599" s="91" t="s">
        <v>624</v>
      </c>
      <c r="L2599" s="91" t="s">
        <v>2175</v>
      </c>
      <c r="M2599" s="91" t="s">
        <v>4</v>
      </c>
      <c r="Q2599" s="91"/>
      <c r="S2599" s="91" t="s">
        <v>143</v>
      </c>
      <c r="T2599" s="91" t="s">
        <v>2534</v>
      </c>
      <c r="V2599" s="91" t="s">
        <v>155</v>
      </c>
      <c r="W2599" s="91" t="s">
        <v>180</v>
      </c>
    </row>
    <row r="2600" spans="1:23">
      <c r="A2600" s="93" t="str">
        <f>TEXT(tblProjectlist[[#This Row],[project-no]],"0")</f>
        <v>30161028</v>
      </c>
      <c r="H2600" s="91">
        <v>3016</v>
      </c>
      <c r="I2600" s="91">
        <v>10</v>
      </c>
      <c r="J2600" s="91">
        <v>2</v>
      </c>
      <c r="K2600" s="91" t="s">
        <v>625</v>
      </c>
      <c r="L2600" s="91" t="s">
        <v>2175</v>
      </c>
      <c r="M2600" s="91" t="s">
        <v>4</v>
      </c>
      <c r="Q2600" s="91"/>
      <c r="S2600" s="91" t="s">
        <v>143</v>
      </c>
      <c r="T2600" s="91" t="s">
        <v>2535</v>
      </c>
      <c r="V2600" s="91" t="s">
        <v>155</v>
      </c>
      <c r="W2600" s="91" t="s">
        <v>180</v>
      </c>
    </row>
    <row r="2601" spans="1:23">
      <c r="A2601" s="93" t="str">
        <f>TEXT(tblProjectlist[[#This Row],[project-no]],"0")</f>
        <v>30161128</v>
      </c>
      <c r="H2601" s="91">
        <v>3016</v>
      </c>
      <c r="I2601" s="91">
        <v>11</v>
      </c>
      <c r="J2601" s="91">
        <v>2</v>
      </c>
      <c r="K2601" s="91" t="s">
        <v>626</v>
      </c>
      <c r="L2601" s="91" t="s">
        <v>2175</v>
      </c>
      <c r="M2601" s="91" t="s">
        <v>4</v>
      </c>
      <c r="Q2601" s="91"/>
      <c r="S2601" s="91" t="s">
        <v>143</v>
      </c>
      <c r="T2601" s="91" t="s">
        <v>2536</v>
      </c>
      <c r="V2601" s="91" t="s">
        <v>155</v>
      </c>
      <c r="W2601" s="91" t="s">
        <v>180</v>
      </c>
    </row>
    <row r="2602" spans="1:23">
      <c r="A2602" s="93" t="str">
        <f>TEXT(tblProjectlist[[#This Row],[project-no]],"0")</f>
        <v>99960328</v>
      </c>
      <c r="H2602" s="91">
        <v>3016</v>
      </c>
      <c r="I2602" s="91">
        <v>7</v>
      </c>
      <c r="J2602" s="91">
        <v>2</v>
      </c>
      <c r="K2602" s="91" t="s">
        <v>1727</v>
      </c>
      <c r="L2602" s="91" t="s">
        <v>2175</v>
      </c>
      <c r="M2602" s="91" t="s">
        <v>4</v>
      </c>
      <c r="Q2602" s="91"/>
      <c r="S2602" s="91" t="s">
        <v>143</v>
      </c>
      <c r="T2602" s="91" t="s">
        <v>2533</v>
      </c>
      <c r="W2602" s="91" t="s">
        <v>180</v>
      </c>
    </row>
    <row r="2603" spans="1:23">
      <c r="A2603" s="93" t="str">
        <f>TEXT(tblProjectlist[[#This Row],[project-no]],"0")</f>
        <v>0</v>
      </c>
      <c r="H2603" s="91">
        <v>1004</v>
      </c>
      <c r="I2603" s="91">
        <v>3</v>
      </c>
      <c r="J2603" s="91">
        <v>2</v>
      </c>
      <c r="K2603" s="91"/>
      <c r="L2603" s="91" t="s">
        <v>2175</v>
      </c>
      <c r="M2603" s="91" t="s">
        <v>4</v>
      </c>
      <c r="Q2603" s="91"/>
      <c r="S2603" s="91" t="s">
        <v>143</v>
      </c>
      <c r="T2603" s="91" t="s">
        <v>4491</v>
      </c>
      <c r="V2603" s="91" t="s">
        <v>155</v>
      </c>
      <c r="W2603" s="91" t="s">
        <v>180</v>
      </c>
    </row>
    <row r="2604" spans="1:23">
      <c r="A2604" s="93" t="str">
        <f>TEXT(tblProjectlist[[#This Row],[project-no]],"0")</f>
        <v>10040228</v>
      </c>
      <c r="H2604" s="91">
        <v>1004</v>
      </c>
      <c r="I2604" s="91">
        <v>2</v>
      </c>
      <c r="J2604" s="91">
        <v>2</v>
      </c>
      <c r="K2604" s="91" t="s">
        <v>183</v>
      </c>
      <c r="L2604" s="91" t="s">
        <v>2175</v>
      </c>
      <c r="M2604" s="91" t="s">
        <v>4</v>
      </c>
      <c r="Q2604" s="91"/>
      <c r="S2604" s="91" t="s">
        <v>143</v>
      </c>
      <c r="T2604" s="91" t="s">
        <v>2179</v>
      </c>
      <c r="V2604" s="91" t="s">
        <v>155</v>
      </c>
      <c r="W2604" s="91" t="s">
        <v>180</v>
      </c>
    </row>
    <row r="2605" spans="1:23">
      <c r="A2605" s="93" t="str">
        <f>TEXT(tblProjectlist[[#This Row],[project-no]],"0")</f>
        <v>20360211</v>
      </c>
      <c r="H2605" s="91">
        <v>2036</v>
      </c>
      <c r="I2605" s="91">
        <v>2</v>
      </c>
      <c r="J2605" s="91">
        <v>1</v>
      </c>
      <c r="K2605" s="91" t="s">
        <v>483</v>
      </c>
      <c r="L2605" s="91" t="s">
        <v>2175</v>
      </c>
      <c r="M2605" s="91" t="s">
        <v>0</v>
      </c>
      <c r="Q2605" s="91"/>
      <c r="S2605" s="91" t="s">
        <v>143</v>
      </c>
      <c r="T2605" s="91" t="s">
        <v>2427</v>
      </c>
      <c r="V2605" s="91" t="s">
        <v>169</v>
      </c>
      <c r="W2605" s="91" t="s">
        <v>180</v>
      </c>
    </row>
    <row r="2606" spans="1:23">
      <c r="A2606" s="93" t="str">
        <f>TEXT(tblProjectlist[[#This Row],[project-no]],"0")</f>
        <v>20360216</v>
      </c>
      <c r="H2606" s="91">
        <v>2036</v>
      </c>
      <c r="I2606" s="91">
        <v>2</v>
      </c>
      <c r="J2606" s="91">
        <v>1</v>
      </c>
      <c r="K2606" s="91" t="s">
        <v>484</v>
      </c>
      <c r="L2606" s="91" t="s">
        <v>2175</v>
      </c>
      <c r="M2606" s="91" t="s">
        <v>0</v>
      </c>
      <c r="Q2606" s="91"/>
      <c r="S2606" s="91" t="s">
        <v>143</v>
      </c>
      <c r="T2606" s="91" t="s">
        <v>2427</v>
      </c>
      <c r="V2606" s="91" t="s">
        <v>168</v>
      </c>
      <c r="W2606" s="91" t="s">
        <v>180</v>
      </c>
    </row>
    <row r="2607" spans="1:23">
      <c r="A2607" s="93" t="str">
        <f>TEXT(tblProjectlist[[#This Row],[project-no]],"0")</f>
        <v>0</v>
      </c>
      <c r="H2607" s="91">
        <v>7677</v>
      </c>
      <c r="I2607" s="91">
        <v>2</v>
      </c>
      <c r="J2607" s="91">
        <v>2</v>
      </c>
      <c r="K2607" s="91"/>
      <c r="L2607" s="91" t="s">
        <v>2175</v>
      </c>
      <c r="M2607" s="91" t="s">
        <v>4</v>
      </c>
      <c r="Q2607" s="91"/>
      <c r="S2607" s="91" t="s">
        <v>143</v>
      </c>
      <c r="T2607" s="91" t="s">
        <v>4203</v>
      </c>
      <c r="V2607" s="91" t="s">
        <v>155</v>
      </c>
      <c r="W2607" s="91" t="s">
        <v>180</v>
      </c>
    </row>
    <row r="2608" spans="1:23">
      <c r="A2608" s="93" t="str">
        <f>TEXT(tblProjectlist[[#This Row],[project-no]],"0")</f>
        <v>30460543</v>
      </c>
      <c r="H2608" s="91">
        <v>3046</v>
      </c>
      <c r="I2608" s="91">
        <v>5</v>
      </c>
      <c r="J2608" s="91">
        <v>4</v>
      </c>
      <c r="K2608" s="91" t="s">
        <v>656</v>
      </c>
      <c r="L2608" s="91" t="s">
        <v>58</v>
      </c>
      <c r="M2608" s="91" t="s">
        <v>1</v>
      </c>
      <c r="Q2608" s="91"/>
      <c r="S2608" s="91" t="s">
        <v>143</v>
      </c>
      <c r="T2608" s="91" t="s">
        <v>2560</v>
      </c>
      <c r="V2608" s="91" t="s">
        <v>164</v>
      </c>
      <c r="W2608" s="91" t="s">
        <v>180</v>
      </c>
    </row>
    <row r="2609" spans="1:23">
      <c r="A2609" s="93" t="str">
        <f>TEXT(tblProjectlist[[#This Row],[project-no]],"0")</f>
        <v>30460544</v>
      </c>
      <c r="H2609" s="91">
        <v>3046</v>
      </c>
      <c r="I2609" s="91">
        <v>5</v>
      </c>
      <c r="J2609" s="91">
        <v>4</v>
      </c>
      <c r="K2609" s="91" t="s">
        <v>657</v>
      </c>
      <c r="L2609" s="91" t="s">
        <v>58</v>
      </c>
      <c r="M2609" s="91" t="s">
        <v>1</v>
      </c>
      <c r="Q2609" s="91"/>
      <c r="S2609" s="91" t="s">
        <v>143</v>
      </c>
      <c r="T2609" s="91" t="s">
        <v>2560</v>
      </c>
      <c r="V2609" s="91" t="s">
        <v>160</v>
      </c>
      <c r="W2609" s="91" t="s">
        <v>180</v>
      </c>
    </row>
    <row r="2610" spans="1:23">
      <c r="A2610" s="93" t="str">
        <f>TEXT(tblProjectlist[[#This Row],[project-no]],"0")</f>
        <v>30460547</v>
      </c>
      <c r="H2610" s="91">
        <v>3046</v>
      </c>
      <c r="I2610" s="91">
        <v>5</v>
      </c>
      <c r="J2610" s="91">
        <v>4</v>
      </c>
      <c r="K2610" s="91" t="s">
        <v>658</v>
      </c>
      <c r="L2610" s="91" t="s">
        <v>58</v>
      </c>
      <c r="M2610" s="91" t="s">
        <v>1</v>
      </c>
      <c r="Q2610" s="91"/>
      <c r="S2610" s="91" t="s">
        <v>143</v>
      </c>
      <c r="T2610" s="91" t="s">
        <v>2560</v>
      </c>
      <c r="V2610" s="91" t="s">
        <v>162</v>
      </c>
      <c r="W2610" s="91" t="s">
        <v>180</v>
      </c>
    </row>
    <row r="2611" spans="1:23">
      <c r="A2611" s="93" t="str">
        <f>TEXT(tblProjectlist[[#This Row],[project-no]],"0")</f>
        <v>30461247</v>
      </c>
      <c r="H2611" s="91">
        <v>3046</v>
      </c>
      <c r="I2611" s="91">
        <v>12</v>
      </c>
      <c r="J2611" s="91">
        <v>4</v>
      </c>
      <c r="K2611" s="91" t="s">
        <v>659</v>
      </c>
      <c r="L2611" s="91" t="s">
        <v>58</v>
      </c>
      <c r="M2611" s="91" t="s">
        <v>1</v>
      </c>
      <c r="Q2611" s="91"/>
      <c r="S2611" s="91" t="s">
        <v>143</v>
      </c>
      <c r="T2611" s="91" t="s">
        <v>2561</v>
      </c>
      <c r="V2611" s="91" t="s">
        <v>162</v>
      </c>
      <c r="W2611" s="91" t="s">
        <v>180</v>
      </c>
    </row>
    <row r="2612" spans="1:23">
      <c r="A2612" s="93" t="str">
        <f>TEXT(tblProjectlist[[#This Row],[project-no]],"0")</f>
        <v>30461344</v>
      </c>
      <c r="H2612" s="91">
        <v>3046</v>
      </c>
      <c r="I2612" s="91">
        <v>13</v>
      </c>
      <c r="J2612" s="91">
        <v>4</v>
      </c>
      <c r="K2612" s="91" t="s">
        <v>660</v>
      </c>
      <c r="L2612" s="91" t="s">
        <v>58</v>
      </c>
      <c r="M2612" s="91" t="s">
        <v>1</v>
      </c>
      <c r="Q2612" s="91"/>
      <c r="S2612" s="91" t="s">
        <v>143</v>
      </c>
      <c r="T2612" s="91" t="s">
        <v>2562</v>
      </c>
      <c r="W2612" s="91" t="s">
        <v>180</v>
      </c>
    </row>
    <row r="2613" spans="1:23">
      <c r="A2613" s="93" t="str">
        <f>TEXT(tblProjectlist[[#This Row],[project-no]],"0")</f>
        <v>30461444</v>
      </c>
      <c r="H2613" s="91">
        <v>3046</v>
      </c>
      <c r="I2613" s="91">
        <v>14</v>
      </c>
      <c r="J2613" s="91">
        <v>4</v>
      </c>
      <c r="K2613" s="91" t="s">
        <v>661</v>
      </c>
      <c r="L2613" s="91" t="s">
        <v>58</v>
      </c>
      <c r="M2613" s="91" t="s">
        <v>1</v>
      </c>
      <c r="Q2613" s="91"/>
      <c r="S2613" s="91" t="s">
        <v>143</v>
      </c>
      <c r="T2613" s="91" t="s">
        <v>2563</v>
      </c>
      <c r="W2613" s="91" t="s">
        <v>180</v>
      </c>
    </row>
    <row r="2614" spans="1:23">
      <c r="A2614" s="93" t="str">
        <f>TEXT(tblProjectlist[[#This Row],[project-no]],"0")</f>
        <v>99910843</v>
      </c>
      <c r="H2614" s="91">
        <v>3046</v>
      </c>
      <c r="I2614" s="91">
        <v>5</v>
      </c>
      <c r="J2614" s="91">
        <v>4</v>
      </c>
      <c r="K2614" s="91" t="s">
        <v>1505</v>
      </c>
      <c r="L2614" s="91" t="s">
        <v>58</v>
      </c>
      <c r="M2614" s="91" t="s">
        <v>1</v>
      </c>
      <c r="Q2614" s="91"/>
      <c r="S2614" s="91" t="s">
        <v>143</v>
      </c>
      <c r="T2614" s="91" t="s">
        <v>2560</v>
      </c>
      <c r="V2614" s="91" t="s">
        <v>164</v>
      </c>
      <c r="W2614" s="91" t="s">
        <v>180</v>
      </c>
    </row>
    <row r="2615" spans="1:23">
      <c r="A2615" s="93" t="str">
        <f>TEXT(tblProjectlist[[#This Row],[project-no]],"0")</f>
        <v>99910844</v>
      </c>
      <c r="H2615" s="91">
        <v>3046</v>
      </c>
      <c r="I2615" s="91">
        <v>5</v>
      </c>
      <c r="J2615" s="91">
        <v>4</v>
      </c>
      <c r="K2615" s="91" t="s">
        <v>1506</v>
      </c>
      <c r="L2615" s="91" t="s">
        <v>58</v>
      </c>
      <c r="M2615" s="91" t="s">
        <v>1</v>
      </c>
      <c r="Q2615" s="91"/>
      <c r="S2615" s="91" t="s">
        <v>143</v>
      </c>
      <c r="T2615" s="91" t="s">
        <v>2560</v>
      </c>
      <c r="V2615" s="91" t="s">
        <v>160</v>
      </c>
      <c r="W2615" s="91" t="s">
        <v>180</v>
      </c>
    </row>
    <row r="2616" spans="1:23">
      <c r="A2616" s="93" t="str">
        <f>TEXT(tblProjectlist[[#This Row],[project-no]],"0")</f>
        <v>0</v>
      </c>
      <c r="H2616" s="91">
        <v>9963</v>
      </c>
      <c r="I2616" s="91">
        <v>88</v>
      </c>
      <c r="J2616" s="91">
        <v>1</v>
      </c>
      <c r="K2616" s="91"/>
      <c r="L2616" s="91" t="s">
        <v>2175</v>
      </c>
      <c r="M2616" s="91" t="s">
        <v>0</v>
      </c>
      <c r="Q2616" s="91"/>
      <c r="S2616" s="91" t="s">
        <v>143</v>
      </c>
      <c r="T2616" s="91" t="s">
        <v>4523</v>
      </c>
      <c r="V2616" s="91" t="s">
        <v>167</v>
      </c>
      <c r="W2616" s="91" t="s">
        <v>180</v>
      </c>
    </row>
    <row r="2617" spans="1:23">
      <c r="A2617" s="93" t="str">
        <f>TEXT(tblProjectlist[[#This Row],[project-no]],"0")</f>
        <v>99898311</v>
      </c>
      <c r="H2617" s="91">
        <v>9989</v>
      </c>
      <c r="I2617" s="91">
        <v>83</v>
      </c>
      <c r="J2617" s="91">
        <v>1</v>
      </c>
      <c r="K2617" s="91" t="s">
        <v>1486</v>
      </c>
      <c r="L2617" s="91" t="s">
        <v>2175</v>
      </c>
      <c r="M2617" s="91" t="s">
        <v>0</v>
      </c>
      <c r="Q2617" s="91"/>
      <c r="S2617" s="91" t="s">
        <v>143</v>
      </c>
      <c r="T2617" s="91" t="s">
        <v>3238</v>
      </c>
      <c r="V2617" s="91" t="s">
        <v>169</v>
      </c>
      <c r="W2617" s="91" t="s">
        <v>180</v>
      </c>
    </row>
    <row r="2618" spans="1:23">
      <c r="A2618" s="93" t="str">
        <f>TEXT(tblProjectlist[[#This Row],[project-no]],"0")</f>
        <v>99967111</v>
      </c>
      <c r="H2618" s="91">
        <v>9989</v>
      </c>
      <c r="I2618" s="91">
        <v>83</v>
      </c>
      <c r="J2618" s="91">
        <v>1</v>
      </c>
      <c r="K2618" s="91" t="s">
        <v>1788</v>
      </c>
      <c r="L2618" s="91" t="s">
        <v>2175</v>
      </c>
      <c r="M2618" s="91" t="s">
        <v>0</v>
      </c>
      <c r="Q2618" s="91"/>
      <c r="S2618" s="91" t="s">
        <v>143</v>
      </c>
      <c r="T2618" s="91" t="s">
        <v>3238</v>
      </c>
      <c r="V2618" s="91" t="s">
        <v>169</v>
      </c>
      <c r="W2618" s="91" t="s">
        <v>180</v>
      </c>
    </row>
    <row r="2619" spans="1:23">
      <c r="A2619" s="93" t="str">
        <f>TEXT(tblProjectlist[[#This Row],[project-no]],"0")</f>
        <v>99910511</v>
      </c>
      <c r="H2619" s="91">
        <v>9991</v>
      </c>
      <c r="I2619" s="91">
        <v>5</v>
      </c>
      <c r="J2619" s="91">
        <v>1</v>
      </c>
      <c r="K2619" s="91" t="s">
        <v>1499</v>
      </c>
      <c r="L2619" s="91" t="s">
        <v>2175</v>
      </c>
      <c r="M2619" s="91" t="s">
        <v>0</v>
      </c>
      <c r="Q2619" s="91"/>
      <c r="S2619" s="91" t="s">
        <v>143</v>
      </c>
      <c r="T2619" s="91" t="s">
        <v>3244</v>
      </c>
      <c r="V2619" s="91" t="s">
        <v>169</v>
      </c>
      <c r="W2619" s="91" t="s">
        <v>180</v>
      </c>
    </row>
    <row r="2620" spans="1:23">
      <c r="A2620" s="93" t="str">
        <f>TEXT(tblProjectlist[[#This Row],[project-no]],"0")</f>
        <v>99954911</v>
      </c>
      <c r="H2620" s="91">
        <v>9995</v>
      </c>
      <c r="I2620" s="91">
        <v>49</v>
      </c>
      <c r="J2620" s="91">
        <v>1</v>
      </c>
      <c r="K2620" s="91" t="s">
        <v>1660</v>
      </c>
      <c r="L2620" s="91" t="s">
        <v>2175</v>
      </c>
      <c r="M2620" s="91" t="s">
        <v>0</v>
      </c>
      <c r="Q2620" s="91"/>
      <c r="S2620" s="91" t="s">
        <v>143</v>
      </c>
      <c r="T2620" s="91" t="s">
        <v>3303</v>
      </c>
      <c r="V2620" s="91" t="s">
        <v>169</v>
      </c>
      <c r="W2620" s="91" t="s">
        <v>180</v>
      </c>
    </row>
    <row r="2621" spans="1:23">
      <c r="A2621" s="93" t="str">
        <f>TEXT(tblProjectlist[[#This Row],[project-no]],"0")</f>
        <v>99954916</v>
      </c>
      <c r="H2621" s="91">
        <v>9995</v>
      </c>
      <c r="I2621" s="91">
        <v>49</v>
      </c>
      <c r="J2621" s="91">
        <v>1</v>
      </c>
      <c r="K2621" s="91" t="s">
        <v>1661</v>
      </c>
      <c r="L2621" s="91" t="s">
        <v>2175</v>
      </c>
      <c r="M2621" s="91" t="s">
        <v>0</v>
      </c>
      <c r="Q2621" s="91"/>
      <c r="S2621" s="91" t="s">
        <v>143</v>
      </c>
      <c r="T2621" s="91" t="s">
        <v>3303</v>
      </c>
      <c r="V2621" s="91" t="s">
        <v>168</v>
      </c>
      <c r="W2621" s="91" t="s">
        <v>180</v>
      </c>
    </row>
    <row r="2622" spans="1:23">
      <c r="A2622" s="93" t="str">
        <f>TEXT(tblProjectlist[[#This Row],[project-no]],"0")</f>
        <v>99959313</v>
      </c>
      <c r="H2622" s="91">
        <v>9995</v>
      </c>
      <c r="I2622" s="91">
        <v>93</v>
      </c>
      <c r="J2622" s="91">
        <v>1</v>
      </c>
      <c r="K2622" s="91" t="s">
        <v>1717</v>
      </c>
      <c r="L2622" s="91" t="s">
        <v>2175</v>
      </c>
      <c r="M2622" s="91" t="s">
        <v>0</v>
      </c>
      <c r="Q2622" s="91"/>
      <c r="S2622" s="91" t="s">
        <v>143</v>
      </c>
      <c r="T2622" s="91" t="s">
        <v>3344</v>
      </c>
      <c r="V2622" s="91" t="s">
        <v>167</v>
      </c>
      <c r="W2622" s="91" t="s">
        <v>180</v>
      </c>
    </row>
    <row r="2623" spans="1:23">
      <c r="A2623" s="93" t="str">
        <f>TEXT(tblProjectlist[[#This Row],[project-no]],"0")</f>
        <v>30530228</v>
      </c>
      <c r="H2623" s="91">
        <v>3053</v>
      </c>
      <c r="I2623" s="91">
        <v>2</v>
      </c>
      <c r="J2623" s="91">
        <v>2</v>
      </c>
      <c r="K2623" s="91" t="s">
        <v>667</v>
      </c>
      <c r="L2623" s="91" t="s">
        <v>2175</v>
      </c>
      <c r="M2623" s="91" t="s">
        <v>4</v>
      </c>
      <c r="Q2623" s="91"/>
      <c r="S2623" s="91" t="s">
        <v>143</v>
      </c>
      <c r="T2623" s="91" t="s">
        <v>2569</v>
      </c>
      <c r="V2623" s="91" t="s">
        <v>155</v>
      </c>
      <c r="W2623" s="91" t="s">
        <v>180</v>
      </c>
    </row>
    <row r="2624" spans="1:23">
      <c r="A2624" s="93" t="str">
        <f>TEXT(tblProjectlist[[#This Row],[project-no]],"0")</f>
        <v>0</v>
      </c>
      <c r="H2624" s="91">
        <v>2078</v>
      </c>
      <c r="I2624" s="91">
        <v>2</v>
      </c>
      <c r="J2624" s="91">
        <v>2</v>
      </c>
      <c r="K2624" s="91"/>
      <c r="L2624" s="91" t="s">
        <v>2175</v>
      </c>
      <c r="M2624" s="91" t="s">
        <v>4</v>
      </c>
      <c r="Q2624" s="91"/>
      <c r="S2624" s="91" t="s">
        <v>143</v>
      </c>
      <c r="T2624" s="91" t="s">
        <v>4025</v>
      </c>
      <c r="V2624" s="91" t="s">
        <v>155</v>
      </c>
      <c r="W2624" s="91" t="s">
        <v>180</v>
      </c>
    </row>
    <row r="2625" spans="1:23">
      <c r="A2625" s="93" t="str">
        <f>TEXT(tblProjectlist[[#This Row],[project-no]],"0")</f>
        <v>0</v>
      </c>
      <c r="H2625" s="91">
        <v>6055</v>
      </c>
      <c r="I2625" s="91">
        <v>5</v>
      </c>
      <c r="J2625" s="91">
        <v>2</v>
      </c>
      <c r="K2625" s="91"/>
      <c r="L2625" s="91" t="s">
        <v>62</v>
      </c>
      <c r="M2625" s="91" t="s">
        <v>4</v>
      </c>
      <c r="Q2625" s="91"/>
      <c r="S2625" s="91" t="s">
        <v>143</v>
      </c>
      <c r="T2625" s="91" t="s">
        <v>3723</v>
      </c>
      <c r="V2625" s="91" t="s">
        <v>155</v>
      </c>
      <c r="W2625" s="91" t="s">
        <v>180</v>
      </c>
    </row>
    <row r="2626" spans="1:23">
      <c r="A2626" s="93" t="str">
        <f>TEXT(tblProjectlist[[#This Row],[project-no]],"0")</f>
        <v>0</v>
      </c>
      <c r="H2626" s="91">
        <v>6055</v>
      </c>
      <c r="I2626" s="91">
        <v>6</v>
      </c>
      <c r="J2626" s="91">
        <v>2</v>
      </c>
      <c r="K2626" s="91"/>
      <c r="L2626" s="91" t="s">
        <v>62</v>
      </c>
      <c r="M2626" s="91" t="s">
        <v>4</v>
      </c>
      <c r="Q2626" s="91"/>
      <c r="S2626" s="91" t="s">
        <v>143</v>
      </c>
      <c r="T2626" s="91" t="s">
        <v>4193</v>
      </c>
      <c r="V2626" s="91" t="s">
        <v>155</v>
      </c>
      <c r="W2626" s="91" t="s">
        <v>180</v>
      </c>
    </row>
    <row r="2627" spans="1:23">
      <c r="A2627" s="93" t="str">
        <f>TEXT(tblProjectlist[[#This Row],[project-no]],"0")</f>
        <v>0</v>
      </c>
      <c r="H2627" s="91">
        <v>6055</v>
      </c>
      <c r="I2627" s="91">
        <v>7</v>
      </c>
      <c r="J2627" s="91">
        <v>2</v>
      </c>
      <c r="K2627" s="91"/>
      <c r="L2627" s="91" t="s">
        <v>2175</v>
      </c>
      <c r="M2627" s="91" t="s">
        <v>4</v>
      </c>
      <c r="Q2627" s="91"/>
      <c r="S2627" s="91" t="s">
        <v>143</v>
      </c>
      <c r="T2627" s="91" t="s">
        <v>4348</v>
      </c>
      <c r="V2627" s="91" t="s">
        <v>155</v>
      </c>
      <c r="W2627" s="91" t="s">
        <v>180</v>
      </c>
    </row>
    <row r="2628" spans="1:23">
      <c r="A2628" s="93" t="str">
        <f>TEXT(tblProjectlist[[#This Row],[project-no]],"0")</f>
        <v>0</v>
      </c>
      <c r="H2628" s="91">
        <v>6055</v>
      </c>
      <c r="I2628" s="91">
        <v>8</v>
      </c>
      <c r="J2628" s="91">
        <v>2</v>
      </c>
      <c r="K2628" s="91"/>
      <c r="L2628" s="91" t="s">
        <v>62</v>
      </c>
      <c r="M2628" s="91" t="s">
        <v>4</v>
      </c>
      <c r="Q2628" s="91"/>
      <c r="S2628" s="91" t="s">
        <v>143</v>
      </c>
      <c r="T2628" s="91" t="s">
        <v>4484</v>
      </c>
      <c r="V2628" s="91" t="s">
        <v>155</v>
      </c>
      <c r="W2628" s="91" t="s">
        <v>180</v>
      </c>
    </row>
    <row r="2629" spans="1:23">
      <c r="A2629" s="93" t="str">
        <f>TEXT(tblProjectlist[[#This Row],[project-no]],"0")</f>
        <v>0</v>
      </c>
      <c r="H2629" s="91">
        <v>6055</v>
      </c>
      <c r="I2629" s="91">
        <v>9</v>
      </c>
      <c r="J2629" s="91">
        <v>2</v>
      </c>
      <c r="K2629" s="91"/>
      <c r="L2629" s="91" t="s">
        <v>62</v>
      </c>
      <c r="M2629" s="91" t="s">
        <v>4</v>
      </c>
      <c r="Q2629" s="91"/>
      <c r="S2629" s="91" t="s">
        <v>143</v>
      </c>
      <c r="T2629" s="91" t="s">
        <v>4587</v>
      </c>
      <c r="V2629" s="91" t="s">
        <v>155</v>
      </c>
      <c r="W2629" s="91" t="s">
        <v>180</v>
      </c>
    </row>
    <row r="2630" spans="1:23">
      <c r="A2630" s="93" t="str">
        <f>TEXT(tblProjectlist[[#This Row],[project-no]],"0")</f>
        <v>0</v>
      </c>
      <c r="H2630" s="91">
        <v>6055</v>
      </c>
      <c r="I2630" s="91">
        <v>10</v>
      </c>
      <c r="J2630" s="91">
        <v>2</v>
      </c>
      <c r="K2630" s="91"/>
      <c r="L2630" s="91" t="s">
        <v>62</v>
      </c>
      <c r="M2630" s="91" t="s">
        <v>4</v>
      </c>
      <c r="Q2630" s="91"/>
      <c r="S2630" s="91" t="s">
        <v>143</v>
      </c>
      <c r="T2630" s="91" t="s">
        <v>4716</v>
      </c>
      <c r="V2630" s="91" t="s">
        <v>155</v>
      </c>
      <c r="W2630" s="91" t="s">
        <v>180</v>
      </c>
    </row>
    <row r="2631" spans="1:23">
      <c r="A2631" s="93" t="str">
        <f>TEXT(tblProjectlist[[#This Row],[project-no]],"0")</f>
        <v>0</v>
      </c>
      <c r="H2631" s="91">
        <v>6055</v>
      </c>
      <c r="I2631" s="91">
        <v>13</v>
      </c>
      <c r="J2631" s="91">
        <v>2</v>
      </c>
      <c r="K2631" s="91"/>
      <c r="L2631" s="91" t="s">
        <v>62</v>
      </c>
      <c r="M2631" s="91" t="s">
        <v>4</v>
      </c>
      <c r="Q2631" s="91"/>
      <c r="S2631" s="91" t="s">
        <v>143</v>
      </c>
      <c r="T2631" s="91" t="s">
        <v>4717</v>
      </c>
      <c r="V2631" s="91" t="s">
        <v>155</v>
      </c>
      <c r="W2631" s="91" t="s">
        <v>180</v>
      </c>
    </row>
    <row r="2632" spans="1:23">
      <c r="A2632" s="93" t="str">
        <f>TEXT(tblProjectlist[[#This Row],[project-no]],"0")</f>
        <v>0</v>
      </c>
      <c r="H2632" s="91">
        <v>6055</v>
      </c>
      <c r="I2632" s="91">
        <v>11</v>
      </c>
      <c r="J2632" s="91">
        <v>2</v>
      </c>
      <c r="K2632" s="91"/>
      <c r="L2632" s="91" t="s">
        <v>62</v>
      </c>
      <c r="M2632" s="91" t="s">
        <v>4</v>
      </c>
      <c r="Q2632" s="91"/>
      <c r="S2632" s="91" t="s">
        <v>143</v>
      </c>
      <c r="T2632" s="91" t="s">
        <v>4720</v>
      </c>
      <c r="V2632" s="91" t="s">
        <v>155</v>
      </c>
      <c r="W2632" s="91" t="s">
        <v>180</v>
      </c>
    </row>
    <row r="2633" spans="1:23">
      <c r="A2633" s="93" t="str">
        <f>TEXT(tblProjectlist[[#This Row],[project-no]],"0")</f>
        <v>60550241</v>
      </c>
      <c r="H2633" s="91">
        <v>6055</v>
      </c>
      <c r="I2633" s="91">
        <v>2</v>
      </c>
      <c r="J2633" s="91">
        <v>4</v>
      </c>
      <c r="K2633" s="91" t="s">
        <v>798</v>
      </c>
      <c r="L2633" s="91" t="s">
        <v>58</v>
      </c>
      <c r="M2633" s="91" t="s">
        <v>1</v>
      </c>
      <c r="Q2633" s="91"/>
      <c r="S2633" s="91" t="s">
        <v>143</v>
      </c>
      <c r="T2633" s="91" t="s">
        <v>2694</v>
      </c>
      <c r="V2633" s="91" t="s">
        <v>159</v>
      </c>
      <c r="W2633" s="91" t="s">
        <v>180</v>
      </c>
    </row>
    <row r="2634" spans="1:23">
      <c r="A2634" s="93" t="str">
        <f>TEXT(tblProjectlist[[#This Row],[project-no]],"0")</f>
        <v>60550242</v>
      </c>
      <c r="H2634" s="91">
        <v>6055</v>
      </c>
      <c r="I2634" s="91">
        <v>2</v>
      </c>
      <c r="J2634" s="91">
        <v>4</v>
      </c>
      <c r="K2634" s="91" t="s">
        <v>799</v>
      </c>
      <c r="L2634" s="91" t="s">
        <v>58</v>
      </c>
      <c r="M2634" s="91" t="s">
        <v>1</v>
      </c>
      <c r="Q2634" s="91"/>
      <c r="S2634" s="91" t="s">
        <v>143</v>
      </c>
      <c r="T2634" s="91" t="s">
        <v>2694</v>
      </c>
      <c r="V2634" s="91" t="s">
        <v>163</v>
      </c>
      <c r="W2634" s="91" t="s">
        <v>180</v>
      </c>
    </row>
    <row r="2635" spans="1:23">
      <c r="A2635" s="93" t="str">
        <f>TEXT(tblProjectlist[[#This Row],[project-no]],"0")</f>
        <v>60550244</v>
      </c>
      <c r="H2635" s="91">
        <v>6055</v>
      </c>
      <c r="I2635" s="91">
        <v>2</v>
      </c>
      <c r="J2635" s="91">
        <v>4</v>
      </c>
      <c r="K2635" s="91" t="s">
        <v>800</v>
      </c>
      <c r="L2635" s="91" t="s">
        <v>58</v>
      </c>
      <c r="M2635" s="91" t="s">
        <v>1</v>
      </c>
      <c r="Q2635" s="91"/>
      <c r="S2635" s="91" t="s">
        <v>143</v>
      </c>
      <c r="T2635" s="91" t="s">
        <v>2694</v>
      </c>
      <c r="V2635" s="91" t="s">
        <v>160</v>
      </c>
      <c r="W2635" s="91" t="s">
        <v>180</v>
      </c>
    </row>
    <row r="2636" spans="1:23">
      <c r="A2636" s="93" t="str">
        <f>TEXT(tblProjectlist[[#This Row],[project-no]],"0")</f>
        <v>60550246</v>
      </c>
      <c r="H2636" s="91">
        <v>6055</v>
      </c>
      <c r="I2636" s="91">
        <v>2</v>
      </c>
      <c r="J2636" s="91">
        <v>4</v>
      </c>
      <c r="K2636" s="91" t="s">
        <v>801</v>
      </c>
      <c r="L2636" s="91" t="s">
        <v>58</v>
      </c>
      <c r="M2636" s="91" t="s">
        <v>1</v>
      </c>
      <c r="Q2636" s="91"/>
      <c r="S2636" s="91" t="s">
        <v>143</v>
      </c>
      <c r="T2636" s="91" t="s">
        <v>2694</v>
      </c>
      <c r="V2636" s="91" t="s">
        <v>165</v>
      </c>
      <c r="W2636" s="91" t="s">
        <v>180</v>
      </c>
    </row>
    <row r="2637" spans="1:23">
      <c r="A2637" s="93" t="str">
        <f>TEXT(tblProjectlist[[#This Row],[project-no]],"0")</f>
        <v>60550247</v>
      </c>
      <c r="H2637" s="91">
        <v>6055</v>
      </c>
      <c r="I2637" s="91">
        <v>2</v>
      </c>
      <c r="J2637" s="91">
        <v>4</v>
      </c>
      <c r="K2637" s="91" t="s">
        <v>802</v>
      </c>
      <c r="L2637" s="91" t="s">
        <v>58</v>
      </c>
      <c r="M2637" s="91" t="s">
        <v>1</v>
      </c>
      <c r="Q2637" s="91"/>
      <c r="S2637" s="91" t="s">
        <v>143</v>
      </c>
      <c r="T2637" s="91" t="s">
        <v>2694</v>
      </c>
      <c r="V2637" s="91" t="s">
        <v>162</v>
      </c>
      <c r="W2637" s="91" t="s">
        <v>180</v>
      </c>
    </row>
    <row r="2638" spans="1:23">
      <c r="A2638" s="93" t="str">
        <f>TEXT(tblProjectlist[[#This Row],[project-no]],"0")</f>
        <v>60550341</v>
      </c>
      <c r="H2638" s="91">
        <v>6055</v>
      </c>
      <c r="I2638" s="91">
        <v>3</v>
      </c>
      <c r="J2638" s="91">
        <v>4</v>
      </c>
      <c r="K2638" s="91" t="s">
        <v>803</v>
      </c>
      <c r="L2638" s="91" t="s">
        <v>58</v>
      </c>
      <c r="M2638" s="91" t="s">
        <v>1</v>
      </c>
      <c r="Q2638" s="91"/>
      <c r="S2638" s="91" t="s">
        <v>143</v>
      </c>
      <c r="T2638" s="91" t="s">
        <v>2695</v>
      </c>
      <c r="V2638" s="91" t="s">
        <v>159</v>
      </c>
      <c r="W2638" s="91" t="s">
        <v>180</v>
      </c>
    </row>
    <row r="2639" spans="1:23">
      <c r="A2639" s="93" t="str">
        <f>TEXT(tblProjectlist[[#This Row],[project-no]],"0")</f>
        <v>60550343</v>
      </c>
      <c r="H2639" s="91">
        <v>6055</v>
      </c>
      <c r="I2639" s="91">
        <v>3</v>
      </c>
      <c r="J2639" s="91">
        <v>4</v>
      </c>
      <c r="K2639" s="91" t="s">
        <v>804</v>
      </c>
      <c r="L2639" s="91" t="s">
        <v>58</v>
      </c>
      <c r="M2639" s="91" t="s">
        <v>1</v>
      </c>
      <c r="Q2639" s="91"/>
      <c r="S2639" s="91" t="s">
        <v>143</v>
      </c>
      <c r="T2639" s="91" t="s">
        <v>2695</v>
      </c>
      <c r="V2639" s="91" t="s">
        <v>164</v>
      </c>
      <c r="W2639" s="91" t="s">
        <v>180</v>
      </c>
    </row>
    <row r="2640" spans="1:23">
      <c r="A2640" s="93" t="str">
        <f>TEXT(tblProjectlist[[#This Row],[project-no]],"0")</f>
        <v>60550344</v>
      </c>
      <c r="H2640" s="91">
        <v>6055</v>
      </c>
      <c r="I2640" s="91">
        <v>3</v>
      </c>
      <c r="J2640" s="91">
        <v>4</v>
      </c>
      <c r="K2640" s="91" t="s">
        <v>805</v>
      </c>
      <c r="L2640" s="91" t="s">
        <v>58</v>
      </c>
      <c r="M2640" s="91" t="s">
        <v>1</v>
      </c>
      <c r="Q2640" s="91"/>
      <c r="S2640" s="91" t="s">
        <v>143</v>
      </c>
      <c r="T2640" s="91" t="s">
        <v>2695</v>
      </c>
      <c r="V2640" s="91" t="s">
        <v>160</v>
      </c>
      <c r="W2640" s="91" t="s">
        <v>180</v>
      </c>
    </row>
    <row r="2641" spans="1:23">
      <c r="A2641" s="93" t="str">
        <f>TEXT(tblProjectlist[[#This Row],[project-no]],"0")</f>
        <v>60550346</v>
      </c>
      <c r="H2641" s="91">
        <v>6055</v>
      </c>
      <c r="I2641" s="91">
        <v>3</v>
      </c>
      <c r="J2641" s="91">
        <v>4</v>
      </c>
      <c r="K2641" s="91" t="s">
        <v>806</v>
      </c>
      <c r="L2641" s="91" t="s">
        <v>58</v>
      </c>
      <c r="M2641" s="91" t="s">
        <v>1</v>
      </c>
      <c r="Q2641" s="91"/>
      <c r="S2641" s="91" t="s">
        <v>143</v>
      </c>
      <c r="T2641" s="91" t="s">
        <v>2695</v>
      </c>
      <c r="V2641" s="91" t="s">
        <v>165</v>
      </c>
      <c r="W2641" s="91" t="s">
        <v>180</v>
      </c>
    </row>
    <row r="2642" spans="1:23">
      <c r="A2642" s="93" t="str">
        <f>TEXT(tblProjectlist[[#This Row],[project-no]],"0")</f>
        <v>60550347</v>
      </c>
      <c r="H2642" s="91">
        <v>6055</v>
      </c>
      <c r="I2642" s="91">
        <v>3</v>
      </c>
      <c r="J2642" s="91">
        <v>4</v>
      </c>
      <c r="K2642" s="91" t="s">
        <v>807</v>
      </c>
      <c r="L2642" s="91" t="s">
        <v>58</v>
      </c>
      <c r="M2642" s="91" t="s">
        <v>1</v>
      </c>
      <c r="Q2642" s="91"/>
      <c r="S2642" s="91" t="s">
        <v>143</v>
      </c>
      <c r="T2642" s="91" t="s">
        <v>2695</v>
      </c>
      <c r="V2642" s="91" t="s">
        <v>162</v>
      </c>
      <c r="W2642" s="91" t="s">
        <v>180</v>
      </c>
    </row>
    <row r="2643" spans="1:23">
      <c r="A2643" s="93" t="str">
        <f>TEXT(tblProjectlist[[#This Row],[project-no]],"0")</f>
        <v>60550447</v>
      </c>
      <c r="H2643" s="91">
        <v>6055</v>
      </c>
      <c r="I2643" s="91">
        <v>4</v>
      </c>
      <c r="J2643" s="91">
        <v>4</v>
      </c>
      <c r="K2643" s="91" t="s">
        <v>808</v>
      </c>
      <c r="L2643" s="91" t="s">
        <v>58</v>
      </c>
      <c r="M2643" s="91" t="s">
        <v>1</v>
      </c>
      <c r="Q2643" s="91"/>
      <c r="S2643" s="91" t="s">
        <v>143</v>
      </c>
      <c r="T2643" s="91" t="s">
        <v>2696</v>
      </c>
      <c r="V2643" s="91" t="s">
        <v>162</v>
      </c>
      <c r="W2643" s="91" t="s">
        <v>180</v>
      </c>
    </row>
    <row r="2644" spans="1:23">
      <c r="A2644" s="93" t="str">
        <f>TEXT(tblProjectlist[[#This Row],[project-no]],"0")</f>
        <v>99957641</v>
      </c>
      <c r="H2644" s="91">
        <v>6055</v>
      </c>
      <c r="I2644" s="91">
        <v>3</v>
      </c>
      <c r="J2644" s="91">
        <v>4</v>
      </c>
      <c r="K2644" s="91" t="s">
        <v>1692</v>
      </c>
      <c r="L2644" s="91" t="s">
        <v>58</v>
      </c>
      <c r="M2644" s="91" t="s">
        <v>1</v>
      </c>
      <c r="Q2644" s="91"/>
      <c r="S2644" s="91" t="s">
        <v>143</v>
      </c>
      <c r="T2644" s="91" t="s">
        <v>2695</v>
      </c>
      <c r="V2644" s="91" t="s">
        <v>159</v>
      </c>
      <c r="W2644" s="91" t="s">
        <v>180</v>
      </c>
    </row>
    <row r="2645" spans="1:23">
      <c r="A2645" s="93" t="str">
        <f>TEXT(tblProjectlist[[#This Row],[project-no]],"0")</f>
        <v>99957642</v>
      </c>
      <c r="H2645" s="91">
        <v>6055</v>
      </c>
      <c r="I2645" s="91">
        <v>2</v>
      </c>
      <c r="J2645" s="91">
        <v>4</v>
      </c>
      <c r="K2645" s="91" t="s">
        <v>1693</v>
      </c>
      <c r="L2645" s="91" t="s">
        <v>58</v>
      </c>
      <c r="M2645" s="91" t="s">
        <v>1</v>
      </c>
      <c r="Q2645" s="91"/>
      <c r="S2645" s="91" t="s">
        <v>143</v>
      </c>
      <c r="T2645" s="91" t="s">
        <v>2694</v>
      </c>
      <c r="V2645" s="91" t="s">
        <v>163</v>
      </c>
      <c r="W2645" s="91" t="s">
        <v>180</v>
      </c>
    </row>
    <row r="2646" spans="1:23">
      <c r="A2646" s="93" t="str">
        <f>TEXT(tblProjectlist[[#This Row],[project-no]],"0")</f>
        <v>99957643</v>
      </c>
      <c r="H2646" s="91">
        <v>6055</v>
      </c>
      <c r="I2646" s="91">
        <v>3</v>
      </c>
      <c r="J2646" s="91">
        <v>4</v>
      </c>
      <c r="K2646" s="91" t="s">
        <v>1694</v>
      </c>
      <c r="L2646" s="91" t="s">
        <v>58</v>
      </c>
      <c r="M2646" s="91" t="s">
        <v>1</v>
      </c>
      <c r="Q2646" s="91"/>
      <c r="S2646" s="91" t="s">
        <v>143</v>
      </c>
      <c r="T2646" s="91" t="s">
        <v>2695</v>
      </c>
      <c r="V2646" s="91" t="s">
        <v>164</v>
      </c>
      <c r="W2646" s="91" t="s">
        <v>180</v>
      </c>
    </row>
    <row r="2647" spans="1:23">
      <c r="A2647" s="93" t="str">
        <f>TEXT(tblProjectlist[[#This Row],[project-no]],"0")</f>
        <v>99957644</v>
      </c>
      <c r="H2647" s="91">
        <v>6055</v>
      </c>
      <c r="I2647" s="91">
        <v>3</v>
      </c>
      <c r="J2647" s="91">
        <v>4</v>
      </c>
      <c r="K2647" s="91" t="s">
        <v>1695</v>
      </c>
      <c r="L2647" s="91" t="s">
        <v>58</v>
      </c>
      <c r="M2647" s="91" t="s">
        <v>1</v>
      </c>
      <c r="Q2647" s="91"/>
      <c r="S2647" s="91" t="s">
        <v>143</v>
      </c>
      <c r="T2647" s="91" t="s">
        <v>2695</v>
      </c>
      <c r="V2647" s="91" t="s">
        <v>160</v>
      </c>
      <c r="W2647" s="91" t="s">
        <v>180</v>
      </c>
    </row>
    <row r="2648" spans="1:23">
      <c r="A2648" s="93" t="str">
        <f>TEXT(tblProjectlist[[#This Row],[project-no]],"0")</f>
        <v>0</v>
      </c>
      <c r="H2648" s="91">
        <v>9963</v>
      </c>
      <c r="I2648" s="91">
        <v>89</v>
      </c>
      <c r="J2648" s="91">
        <v>1</v>
      </c>
      <c r="K2648" s="91"/>
      <c r="L2648" s="91" t="s">
        <v>2175</v>
      </c>
      <c r="M2648" s="91" t="s">
        <v>0</v>
      </c>
      <c r="Q2648" s="91"/>
      <c r="S2648" s="91" t="s">
        <v>143</v>
      </c>
      <c r="T2648" s="91" t="s">
        <v>4524</v>
      </c>
      <c r="V2648" s="91" t="s">
        <v>169</v>
      </c>
      <c r="W2648" s="91" t="s">
        <v>180</v>
      </c>
    </row>
    <row r="2649" spans="1:23">
      <c r="A2649" s="93" t="str">
        <f>TEXT(tblProjectlist[[#This Row],[project-no]],"0")</f>
        <v>0</v>
      </c>
      <c r="H2649" s="91">
        <v>9963</v>
      </c>
      <c r="I2649" s="91">
        <v>89</v>
      </c>
      <c r="J2649" s="91">
        <v>1</v>
      </c>
      <c r="K2649" s="91"/>
      <c r="L2649" s="91" t="s">
        <v>2175</v>
      </c>
      <c r="M2649" s="91" t="s">
        <v>0</v>
      </c>
      <c r="Q2649" s="91"/>
      <c r="S2649" s="91" t="s">
        <v>143</v>
      </c>
      <c r="T2649" s="91" t="s">
        <v>4524</v>
      </c>
      <c r="V2649" s="91" t="s">
        <v>167</v>
      </c>
      <c r="W2649" s="91" t="s">
        <v>180</v>
      </c>
    </row>
    <row r="2650" spans="1:23">
      <c r="A2650" s="93" t="str">
        <f>TEXT(tblProjectlist[[#This Row],[project-no]],"0")</f>
        <v>0</v>
      </c>
      <c r="H2650" s="91">
        <v>9963</v>
      </c>
      <c r="I2650" s="91">
        <v>89</v>
      </c>
      <c r="J2650" s="91">
        <v>1</v>
      </c>
      <c r="K2650" s="91"/>
      <c r="L2650" s="91" t="s">
        <v>2175</v>
      </c>
      <c r="M2650" s="91" t="s">
        <v>0</v>
      </c>
      <c r="Q2650" s="91"/>
      <c r="S2650" s="91" t="s">
        <v>143</v>
      </c>
      <c r="T2650" s="91" t="s">
        <v>4524</v>
      </c>
      <c r="V2650" s="91" t="s">
        <v>168</v>
      </c>
      <c r="W2650" s="91" t="s">
        <v>180</v>
      </c>
    </row>
    <row r="2651" spans="1:23">
      <c r="A2651" s="93" t="str">
        <f>TEXT(tblProjectlist[[#This Row],[project-no]],"0")</f>
        <v>0</v>
      </c>
      <c r="H2651" s="91">
        <v>9963</v>
      </c>
      <c r="I2651" s="91">
        <v>90</v>
      </c>
      <c r="J2651" s="91">
        <v>1</v>
      </c>
      <c r="K2651" s="91"/>
      <c r="L2651" s="91" t="s">
        <v>2175</v>
      </c>
      <c r="M2651" s="91" t="s">
        <v>0</v>
      </c>
      <c r="Q2651" s="91"/>
      <c r="S2651" s="91" t="s">
        <v>143</v>
      </c>
      <c r="T2651" s="91" t="s">
        <v>4514</v>
      </c>
      <c r="V2651" s="91" t="s">
        <v>169</v>
      </c>
      <c r="W2651" s="91" t="s">
        <v>180</v>
      </c>
    </row>
    <row r="2652" spans="1:23">
      <c r="A2652" s="93" t="str">
        <f>TEXT(tblProjectlist[[#This Row],[project-no]],"0")</f>
        <v>0</v>
      </c>
      <c r="H2652" s="91">
        <v>9963</v>
      </c>
      <c r="I2652" s="91">
        <v>90</v>
      </c>
      <c r="J2652" s="91">
        <v>1</v>
      </c>
      <c r="K2652" s="91"/>
      <c r="L2652" s="91" t="s">
        <v>2175</v>
      </c>
      <c r="M2652" s="91" t="s">
        <v>0</v>
      </c>
      <c r="Q2652" s="91"/>
      <c r="S2652" s="91" t="s">
        <v>143</v>
      </c>
      <c r="T2652" s="91" t="s">
        <v>4514</v>
      </c>
      <c r="V2652" s="91" t="s">
        <v>167</v>
      </c>
      <c r="W2652" s="91" t="s">
        <v>180</v>
      </c>
    </row>
    <row r="2653" spans="1:23">
      <c r="A2653" s="93" t="str">
        <f>TEXT(tblProjectlist[[#This Row],[project-no]],"0")</f>
        <v>0</v>
      </c>
      <c r="H2653" s="91">
        <v>9963</v>
      </c>
      <c r="I2653" s="91">
        <v>90</v>
      </c>
      <c r="J2653" s="91">
        <v>1</v>
      </c>
      <c r="K2653" s="91"/>
      <c r="L2653" s="91" t="s">
        <v>2175</v>
      </c>
      <c r="M2653" s="91" t="s">
        <v>0</v>
      </c>
      <c r="Q2653" s="91"/>
      <c r="S2653" s="91" t="s">
        <v>143</v>
      </c>
      <c r="T2653" s="91" t="s">
        <v>4514</v>
      </c>
      <c r="V2653" s="91" t="s">
        <v>168</v>
      </c>
      <c r="W2653" s="91" t="s">
        <v>180</v>
      </c>
    </row>
    <row r="2654" spans="1:23">
      <c r="A2654" s="93" t="str">
        <f>TEXT(tblProjectlist[[#This Row],[project-no]],"0")</f>
        <v>0</v>
      </c>
      <c r="H2654" s="91">
        <v>9963</v>
      </c>
      <c r="I2654" s="91">
        <v>91</v>
      </c>
      <c r="J2654" s="91">
        <v>1</v>
      </c>
      <c r="K2654" s="91"/>
      <c r="L2654" s="91" t="s">
        <v>2175</v>
      </c>
      <c r="M2654" s="91" t="s">
        <v>0</v>
      </c>
      <c r="Q2654" s="91"/>
      <c r="S2654" s="91" t="s">
        <v>143</v>
      </c>
      <c r="T2654" s="91" t="s">
        <v>4518</v>
      </c>
      <c r="V2654" s="91" t="s">
        <v>168</v>
      </c>
      <c r="W2654" s="91" t="s">
        <v>180</v>
      </c>
    </row>
    <row r="2655" spans="1:23">
      <c r="A2655" s="93" t="str">
        <f>TEXT(tblProjectlist[[#This Row],[project-no]],"0")</f>
        <v>0</v>
      </c>
      <c r="H2655" s="91">
        <v>9963</v>
      </c>
      <c r="I2655" s="91">
        <v>92</v>
      </c>
      <c r="J2655" s="91">
        <v>1</v>
      </c>
      <c r="K2655" s="91"/>
      <c r="L2655" s="91" t="s">
        <v>2175</v>
      </c>
      <c r="M2655" s="91" t="s">
        <v>0</v>
      </c>
      <c r="Q2655" s="91"/>
      <c r="S2655" s="91" t="s">
        <v>143</v>
      </c>
      <c r="T2655" s="91" t="s">
        <v>4544</v>
      </c>
      <c r="W2655" s="91" t="s">
        <v>180</v>
      </c>
    </row>
    <row r="2656" spans="1:23">
      <c r="A2656" s="93" t="str">
        <f>TEXT(tblProjectlist[[#This Row],[project-no]],"0")</f>
        <v>0</v>
      </c>
      <c r="H2656" s="91">
        <v>9963</v>
      </c>
      <c r="I2656" s="91">
        <v>93</v>
      </c>
      <c r="J2656" s="91">
        <v>1</v>
      </c>
      <c r="K2656" s="91"/>
      <c r="L2656" s="91" t="s">
        <v>2175</v>
      </c>
      <c r="M2656" s="91" t="s">
        <v>0</v>
      </c>
      <c r="Q2656" s="91"/>
      <c r="S2656" s="91" t="s">
        <v>143</v>
      </c>
      <c r="T2656" s="91" t="s">
        <v>4591</v>
      </c>
      <c r="V2656" s="91" t="s">
        <v>167</v>
      </c>
      <c r="W2656" s="91" t="s">
        <v>180</v>
      </c>
    </row>
    <row r="2657" spans="1:23">
      <c r="A2657" s="93" t="str">
        <f>TEXT(tblProjectlist[[#This Row],[project-no]],"0")</f>
        <v>0</v>
      </c>
      <c r="H2657" s="91">
        <v>9963</v>
      </c>
      <c r="I2657" s="91">
        <v>94</v>
      </c>
      <c r="J2657" s="91">
        <v>1</v>
      </c>
      <c r="K2657" s="91"/>
      <c r="L2657" s="91" t="s">
        <v>2175</v>
      </c>
      <c r="M2657" s="91" t="s">
        <v>0</v>
      </c>
      <c r="Q2657" s="91"/>
      <c r="S2657" s="91" t="s">
        <v>143</v>
      </c>
      <c r="T2657" s="91" t="s">
        <v>4592</v>
      </c>
      <c r="V2657" s="91" t="s">
        <v>169</v>
      </c>
      <c r="W2657" s="91" t="s">
        <v>180</v>
      </c>
    </row>
    <row r="2658" spans="1:23">
      <c r="A2658" s="93" t="str">
        <f>TEXT(tblProjectlist[[#This Row],[project-no]],"0")</f>
        <v>0</v>
      </c>
      <c r="H2658" s="91">
        <v>9963</v>
      </c>
      <c r="I2658" s="91">
        <v>94</v>
      </c>
      <c r="J2658" s="91">
        <v>1</v>
      </c>
      <c r="K2658" s="91"/>
      <c r="L2658" s="91" t="s">
        <v>2175</v>
      </c>
      <c r="M2658" s="91" t="s">
        <v>0</v>
      </c>
      <c r="Q2658" s="91"/>
      <c r="S2658" s="91" t="s">
        <v>143</v>
      </c>
      <c r="T2658" s="91" t="s">
        <v>4592</v>
      </c>
      <c r="V2658" s="91" t="s">
        <v>167</v>
      </c>
      <c r="W2658" s="91" t="s">
        <v>180</v>
      </c>
    </row>
    <row r="2659" spans="1:23">
      <c r="A2659" s="93" t="str">
        <f>TEXT(tblProjectlist[[#This Row],[project-no]],"0")</f>
        <v>0</v>
      </c>
      <c r="H2659" s="91">
        <v>9963</v>
      </c>
      <c r="I2659" s="91">
        <v>95</v>
      </c>
      <c r="J2659" s="91">
        <v>1</v>
      </c>
      <c r="K2659" s="91"/>
      <c r="L2659" s="91" t="s">
        <v>2175</v>
      </c>
      <c r="M2659" s="91" t="s">
        <v>0</v>
      </c>
      <c r="Q2659" s="91"/>
      <c r="S2659" s="91" t="s">
        <v>143</v>
      </c>
      <c r="T2659" s="91" t="s">
        <v>4594</v>
      </c>
      <c r="V2659" s="91" t="s">
        <v>168</v>
      </c>
      <c r="W2659" s="91" t="s">
        <v>180</v>
      </c>
    </row>
    <row r="2660" spans="1:23">
      <c r="A2660" s="93" t="str">
        <f>TEXT(tblProjectlist[[#This Row],[project-no]],"0")</f>
        <v>0</v>
      </c>
      <c r="H2660" s="91">
        <v>9963</v>
      </c>
      <c r="I2660" s="91">
        <v>96</v>
      </c>
      <c r="J2660" s="91">
        <v>1</v>
      </c>
      <c r="K2660" s="91"/>
      <c r="L2660" s="91" t="s">
        <v>2175</v>
      </c>
      <c r="M2660" s="91" t="s">
        <v>0</v>
      </c>
      <c r="Q2660" s="91"/>
      <c r="S2660" s="91" t="s">
        <v>143</v>
      </c>
      <c r="T2660" s="91" t="s">
        <v>4593</v>
      </c>
      <c r="V2660" s="91" t="s">
        <v>167</v>
      </c>
      <c r="W2660" s="91" t="s">
        <v>180</v>
      </c>
    </row>
    <row r="2661" spans="1:23">
      <c r="A2661" s="93" t="str">
        <f>TEXT(tblProjectlist[[#This Row],[project-no]],"0")</f>
        <v>0</v>
      </c>
      <c r="H2661" s="91">
        <v>9981</v>
      </c>
      <c r="I2661" s="91">
        <v>53</v>
      </c>
      <c r="J2661" s="91">
        <v>2</v>
      </c>
      <c r="K2661" s="91"/>
      <c r="L2661" s="91" t="s">
        <v>2175</v>
      </c>
      <c r="M2661" s="91" t="s">
        <v>4</v>
      </c>
      <c r="Q2661" s="91"/>
      <c r="S2661" s="91" t="s">
        <v>143</v>
      </c>
      <c r="T2661" s="91" t="s">
        <v>4663</v>
      </c>
      <c r="V2661" s="91" t="s">
        <v>155</v>
      </c>
      <c r="W2661" s="91" t="s">
        <v>180</v>
      </c>
    </row>
    <row r="2662" spans="1:23">
      <c r="A2662" s="93" t="str">
        <f>TEXT(tblProjectlist[[#This Row],[project-no]],"0")</f>
        <v>0</v>
      </c>
      <c r="H2662" s="91">
        <v>9981</v>
      </c>
      <c r="I2662" s="91">
        <v>54</v>
      </c>
      <c r="J2662" s="91">
        <v>1</v>
      </c>
      <c r="K2662" s="91"/>
      <c r="L2662" s="91" t="s">
        <v>2175</v>
      </c>
      <c r="M2662" s="91" t="s">
        <v>0</v>
      </c>
      <c r="Q2662" s="91"/>
      <c r="S2662" s="91" t="s">
        <v>143</v>
      </c>
      <c r="T2662" s="91" t="s">
        <v>4676</v>
      </c>
      <c r="V2662" s="91" t="s">
        <v>167</v>
      </c>
      <c r="W2662" s="91" t="s">
        <v>180</v>
      </c>
    </row>
    <row r="2663" spans="1:23">
      <c r="A2663" s="93" t="str">
        <f>TEXT(tblProjectlist[[#This Row],[project-no]],"0")</f>
        <v>99957811</v>
      </c>
      <c r="H2663" s="91">
        <v>9995</v>
      </c>
      <c r="I2663" s="91">
        <v>78</v>
      </c>
      <c r="J2663" s="91">
        <v>1</v>
      </c>
      <c r="K2663" s="91" t="s">
        <v>1697</v>
      </c>
      <c r="L2663" s="91" t="s">
        <v>2175</v>
      </c>
      <c r="M2663" s="91" t="s">
        <v>0</v>
      </c>
      <c r="Q2663" s="91"/>
      <c r="S2663" s="91" t="s">
        <v>143</v>
      </c>
      <c r="T2663" s="91" t="s">
        <v>3330</v>
      </c>
      <c r="V2663" s="91" t="s">
        <v>169</v>
      </c>
      <c r="W2663" s="91" t="s">
        <v>180</v>
      </c>
    </row>
    <row r="2664" spans="1:23">
      <c r="A2664" s="93" t="str">
        <f>TEXT(tblProjectlist[[#This Row],[project-no]],"0")</f>
        <v>99957813</v>
      </c>
      <c r="H2664" s="91">
        <v>9995</v>
      </c>
      <c r="I2664" s="91">
        <v>78</v>
      </c>
      <c r="J2664" s="91">
        <v>1</v>
      </c>
      <c r="K2664" s="91" t="s">
        <v>1698</v>
      </c>
      <c r="L2664" s="91" t="s">
        <v>2175</v>
      </c>
      <c r="M2664" s="91" t="s">
        <v>0</v>
      </c>
      <c r="Q2664" s="91"/>
      <c r="S2664" s="91" t="s">
        <v>143</v>
      </c>
      <c r="T2664" s="91" t="s">
        <v>3330</v>
      </c>
      <c r="V2664" s="91" t="s">
        <v>167</v>
      </c>
      <c r="W2664" s="91" t="s">
        <v>180</v>
      </c>
    </row>
    <row r="2665" spans="1:23">
      <c r="A2665" s="93" t="str">
        <f>TEXT(tblProjectlist[[#This Row],[project-no]],"0")</f>
        <v>99957816</v>
      </c>
      <c r="H2665" s="91">
        <v>9995</v>
      </c>
      <c r="I2665" s="91">
        <v>78</v>
      </c>
      <c r="J2665" s="91">
        <v>1</v>
      </c>
      <c r="K2665" s="91" t="s">
        <v>1699</v>
      </c>
      <c r="L2665" s="91" t="s">
        <v>2175</v>
      </c>
      <c r="M2665" s="91" t="s">
        <v>0</v>
      </c>
      <c r="Q2665" s="91"/>
      <c r="S2665" s="91" t="s">
        <v>143</v>
      </c>
      <c r="T2665" s="91" t="s">
        <v>3330</v>
      </c>
      <c r="V2665" s="91" t="s">
        <v>168</v>
      </c>
      <c r="W2665" s="91" t="s">
        <v>180</v>
      </c>
    </row>
    <row r="2666" spans="1:23">
      <c r="A2666" s="93" t="str">
        <f>TEXT(tblProjectlist[[#This Row],[project-no]],"0")</f>
        <v>99966213</v>
      </c>
      <c r="H2666" s="91">
        <v>9995</v>
      </c>
      <c r="I2666" s="91">
        <v>78</v>
      </c>
      <c r="J2666" s="91">
        <v>1</v>
      </c>
      <c r="K2666" s="91" t="s">
        <v>1780</v>
      </c>
      <c r="L2666" s="91" t="s">
        <v>2175</v>
      </c>
      <c r="M2666" s="91" t="s">
        <v>0</v>
      </c>
      <c r="Q2666" s="91"/>
      <c r="S2666" s="91" t="s">
        <v>143</v>
      </c>
      <c r="T2666" s="91" t="s">
        <v>3330</v>
      </c>
      <c r="V2666" s="91" t="s">
        <v>167</v>
      </c>
      <c r="W2666" s="91" t="s">
        <v>180</v>
      </c>
    </row>
    <row r="2667" spans="1:23">
      <c r="A2667" s="93" t="str">
        <f>TEXT(tblProjectlist[[#This Row],[project-no]],"0")</f>
        <v>0</v>
      </c>
      <c r="H2667" s="91">
        <v>3181</v>
      </c>
      <c r="I2667" s="91">
        <v>2</v>
      </c>
      <c r="J2667" s="91">
        <v>2</v>
      </c>
      <c r="K2667" s="91"/>
      <c r="L2667" s="91" t="s">
        <v>2175</v>
      </c>
      <c r="M2667" s="91" t="s">
        <v>4</v>
      </c>
      <c r="Q2667" s="91"/>
      <c r="S2667" s="91" t="s">
        <v>143</v>
      </c>
      <c r="T2667" s="91" t="s">
        <v>4601</v>
      </c>
      <c r="V2667" s="91" t="s">
        <v>155</v>
      </c>
      <c r="W2667" s="91" t="s">
        <v>180</v>
      </c>
    </row>
    <row r="2668" spans="1:23">
      <c r="A2668" s="93" t="str">
        <f>TEXT(tblProjectlist[[#This Row],[project-no]],"0")</f>
        <v>66640228</v>
      </c>
      <c r="H2668" s="91">
        <v>6664</v>
      </c>
      <c r="I2668" s="91">
        <v>2</v>
      </c>
      <c r="J2668" s="91">
        <v>2</v>
      </c>
      <c r="K2668" s="91" t="s">
        <v>921</v>
      </c>
      <c r="L2668" s="91" t="s">
        <v>2175</v>
      </c>
      <c r="M2668" s="91" t="s">
        <v>4</v>
      </c>
      <c r="Q2668" s="91"/>
      <c r="S2668" s="91" t="s">
        <v>143</v>
      </c>
      <c r="T2668" s="91" t="s">
        <v>2796</v>
      </c>
      <c r="V2668" s="91" t="s">
        <v>155</v>
      </c>
      <c r="W2668" s="91" t="s">
        <v>180</v>
      </c>
    </row>
    <row r="2669" spans="1:23">
      <c r="A2669" s="93" t="str">
        <f>TEXT(tblProjectlist[[#This Row],[project-no]],"0")</f>
        <v>0</v>
      </c>
      <c r="H2669" s="91">
        <v>6666</v>
      </c>
      <c r="I2669" s="91">
        <v>2</v>
      </c>
      <c r="J2669" s="91">
        <v>2</v>
      </c>
      <c r="K2669" s="91"/>
      <c r="L2669" s="91" t="s">
        <v>197</v>
      </c>
      <c r="M2669" s="91" t="s">
        <v>4</v>
      </c>
      <c r="Q2669" s="91"/>
      <c r="S2669" s="91" t="s">
        <v>143</v>
      </c>
      <c r="T2669" s="91" t="s">
        <v>3889</v>
      </c>
      <c r="V2669" s="91" t="s">
        <v>155</v>
      </c>
      <c r="W2669" s="91" t="s">
        <v>180</v>
      </c>
    </row>
    <row r="2670" spans="1:23">
      <c r="A2670" s="93" t="str">
        <f>TEXT(tblProjectlist[[#This Row],[project-no]],"0")</f>
        <v>0</v>
      </c>
      <c r="H2670" s="91">
        <v>6667</v>
      </c>
      <c r="I2670" s="91">
        <v>2</v>
      </c>
      <c r="J2670" s="91">
        <v>2</v>
      </c>
      <c r="K2670" s="91"/>
      <c r="L2670" s="91" t="s">
        <v>2175</v>
      </c>
      <c r="M2670" s="91" t="s">
        <v>4</v>
      </c>
      <c r="Q2670" s="91"/>
      <c r="S2670" s="91" t="s">
        <v>143</v>
      </c>
      <c r="T2670" s="91" t="s">
        <v>4088</v>
      </c>
      <c r="V2670" s="91" t="s">
        <v>155</v>
      </c>
      <c r="W2670" s="91" t="s">
        <v>180</v>
      </c>
    </row>
    <row r="2671" spans="1:23">
      <c r="A2671" s="93" t="str">
        <f>TEXT(tblProjectlist[[#This Row],[project-no]],"0")</f>
        <v>0</v>
      </c>
      <c r="H2671" s="91">
        <v>6668</v>
      </c>
      <c r="I2671" s="91">
        <v>2</v>
      </c>
      <c r="J2671" s="91">
        <v>2</v>
      </c>
      <c r="K2671" s="91"/>
      <c r="L2671" s="91" t="s">
        <v>2175</v>
      </c>
      <c r="M2671" s="91" t="s">
        <v>4</v>
      </c>
      <c r="Q2671" s="91"/>
      <c r="S2671" s="91" t="s">
        <v>143</v>
      </c>
      <c r="T2671" s="91" t="s">
        <v>4089</v>
      </c>
      <c r="V2671" s="91" t="s">
        <v>155</v>
      </c>
      <c r="W2671" s="91" t="s">
        <v>180</v>
      </c>
    </row>
    <row r="2672" spans="1:23">
      <c r="A2672" s="93" t="str">
        <f>TEXT(tblProjectlist[[#This Row],[project-no]],"0")</f>
        <v>0</v>
      </c>
      <c r="H2672" s="91">
        <v>6669</v>
      </c>
      <c r="I2672" s="91">
        <v>2</v>
      </c>
      <c r="J2672" s="91">
        <v>2</v>
      </c>
      <c r="K2672" s="91"/>
      <c r="L2672" s="91" t="s">
        <v>2175</v>
      </c>
      <c r="M2672" s="91" t="s">
        <v>4</v>
      </c>
      <c r="Q2672" s="91"/>
      <c r="S2672" s="91" t="s">
        <v>143</v>
      </c>
      <c r="T2672" s="91" t="s">
        <v>4142</v>
      </c>
      <c r="V2672" s="91" t="s">
        <v>155</v>
      </c>
      <c r="W2672" s="91" t="s">
        <v>180</v>
      </c>
    </row>
    <row r="2673" spans="1:23">
      <c r="A2673" s="93" t="str">
        <f>TEXT(tblProjectlist[[#This Row],[project-no]],"0")</f>
        <v>0</v>
      </c>
      <c r="H2673" s="91">
        <v>6675</v>
      </c>
      <c r="I2673" s="91">
        <v>2</v>
      </c>
      <c r="J2673" s="91">
        <v>1</v>
      </c>
      <c r="K2673" s="91"/>
      <c r="L2673" s="91" t="s">
        <v>2175</v>
      </c>
      <c r="M2673" s="91" t="s">
        <v>0</v>
      </c>
      <c r="Q2673" s="91"/>
      <c r="S2673" s="91" t="s">
        <v>143</v>
      </c>
      <c r="T2673" s="91" t="s">
        <v>4649</v>
      </c>
      <c r="V2673" s="91" t="s">
        <v>168</v>
      </c>
      <c r="W2673" s="91" t="s">
        <v>180</v>
      </c>
    </row>
    <row r="2674" spans="1:23">
      <c r="A2674" s="93" t="str">
        <f>TEXT(tblProjectlist[[#This Row],[project-no]],"0")</f>
        <v>99633943</v>
      </c>
      <c r="H2674" s="91">
        <v>6615</v>
      </c>
      <c r="I2674" s="91">
        <v>2</v>
      </c>
      <c r="J2674" s="91">
        <v>4</v>
      </c>
      <c r="K2674" s="91" t="s">
        <v>1341</v>
      </c>
      <c r="L2674" s="91" t="s">
        <v>58</v>
      </c>
      <c r="M2674" s="91" t="s">
        <v>1</v>
      </c>
      <c r="Q2674" s="91"/>
      <c r="S2674" s="91" t="s">
        <v>143</v>
      </c>
      <c r="T2674" s="91" t="s">
        <v>2766</v>
      </c>
      <c r="V2674" s="91" t="s">
        <v>164</v>
      </c>
      <c r="W2674" s="91" t="s">
        <v>180</v>
      </c>
    </row>
    <row r="2675" spans="1:23">
      <c r="A2675" s="93" t="str">
        <f>TEXT(tblProjectlist[[#This Row],[project-no]],"0")</f>
        <v>99633944</v>
      </c>
      <c r="H2675" s="91">
        <v>6615</v>
      </c>
      <c r="I2675" s="91">
        <v>2</v>
      </c>
      <c r="J2675" s="91">
        <v>4</v>
      </c>
      <c r="K2675" s="91" t="s">
        <v>1342</v>
      </c>
      <c r="L2675" s="91" t="s">
        <v>58</v>
      </c>
      <c r="M2675" s="91" t="s">
        <v>1</v>
      </c>
      <c r="Q2675" s="91"/>
      <c r="S2675" s="91" t="s">
        <v>143</v>
      </c>
      <c r="T2675" s="91" t="s">
        <v>2766</v>
      </c>
      <c r="V2675" s="91" t="s">
        <v>160</v>
      </c>
      <c r="W2675" s="91" t="s">
        <v>180</v>
      </c>
    </row>
    <row r="2676" spans="1:23">
      <c r="A2676" s="93" t="str">
        <f>TEXT(tblProjectlist[[#This Row],[project-no]],"0")</f>
        <v>99885643</v>
      </c>
      <c r="H2676" s="91">
        <v>6607</v>
      </c>
      <c r="I2676" s="91">
        <v>3</v>
      </c>
      <c r="J2676" s="91">
        <v>4</v>
      </c>
      <c r="K2676" s="91" t="s">
        <v>1447</v>
      </c>
      <c r="L2676" s="91" t="s">
        <v>58</v>
      </c>
      <c r="M2676" s="91" t="s">
        <v>1</v>
      </c>
      <c r="Q2676" s="91"/>
      <c r="S2676" s="91" t="s">
        <v>143</v>
      </c>
      <c r="T2676" s="91" t="s">
        <v>2755</v>
      </c>
      <c r="V2676" s="91" t="s">
        <v>164</v>
      </c>
      <c r="W2676" s="91" t="s">
        <v>180</v>
      </c>
    </row>
    <row r="2677" spans="1:23">
      <c r="A2677" s="93" t="str">
        <f>TEXT(tblProjectlist[[#This Row],[project-no]],"0")</f>
        <v>99885644</v>
      </c>
      <c r="H2677" s="91">
        <v>6607</v>
      </c>
      <c r="I2677" s="91">
        <v>3</v>
      </c>
      <c r="J2677" s="91">
        <v>4</v>
      </c>
      <c r="K2677" s="91" t="s">
        <v>1448</v>
      </c>
      <c r="L2677" s="91" t="s">
        <v>58</v>
      </c>
      <c r="M2677" s="91" t="s">
        <v>1</v>
      </c>
      <c r="Q2677" s="91"/>
      <c r="S2677" s="91" t="s">
        <v>143</v>
      </c>
      <c r="T2677" s="91" t="s">
        <v>2755</v>
      </c>
      <c r="V2677" s="91" t="s">
        <v>160</v>
      </c>
      <c r="W2677" s="91" t="s">
        <v>180</v>
      </c>
    </row>
    <row r="2678" spans="1:23">
      <c r="A2678" s="93" t="str">
        <f>TEXT(tblProjectlist[[#This Row],[project-no]],"0")</f>
        <v>99895043</v>
      </c>
      <c r="H2678" s="91">
        <v>6619</v>
      </c>
      <c r="I2678" s="91">
        <v>5</v>
      </c>
      <c r="J2678" s="91">
        <v>4</v>
      </c>
      <c r="K2678" s="91" t="s">
        <v>1469</v>
      </c>
      <c r="L2678" s="91" t="s">
        <v>58</v>
      </c>
      <c r="M2678" s="91" t="s">
        <v>1</v>
      </c>
      <c r="Q2678" s="91"/>
      <c r="S2678" s="91" t="s">
        <v>143</v>
      </c>
      <c r="T2678" s="91" t="s">
        <v>2770</v>
      </c>
      <c r="V2678" s="91" t="s">
        <v>164</v>
      </c>
      <c r="W2678" s="91" t="s">
        <v>180</v>
      </c>
    </row>
    <row r="2679" spans="1:23">
      <c r="A2679" s="93" t="str">
        <f>TEXT(tblProjectlist[[#This Row],[project-no]],"0")</f>
        <v>99895044</v>
      </c>
      <c r="H2679" s="91">
        <v>6619</v>
      </c>
      <c r="I2679" s="91">
        <v>5</v>
      </c>
      <c r="J2679" s="91">
        <v>4</v>
      </c>
      <c r="K2679" s="91" t="s">
        <v>1470</v>
      </c>
      <c r="L2679" s="91" t="s">
        <v>58</v>
      </c>
      <c r="M2679" s="91" t="s">
        <v>1</v>
      </c>
      <c r="Q2679" s="91"/>
      <c r="S2679" s="91" t="s">
        <v>143</v>
      </c>
      <c r="T2679" s="91" t="s">
        <v>2770</v>
      </c>
      <c r="V2679" s="91" t="s">
        <v>160</v>
      </c>
      <c r="W2679" s="91" t="s">
        <v>180</v>
      </c>
    </row>
    <row r="2680" spans="1:23">
      <c r="A2680" s="93" t="str">
        <f>TEXT(tblProjectlist[[#This Row],[project-no]],"0")</f>
        <v>79560712</v>
      </c>
      <c r="H2680" s="91">
        <v>7956</v>
      </c>
      <c r="I2680" s="91">
        <v>7</v>
      </c>
      <c r="J2680" s="91">
        <v>1</v>
      </c>
      <c r="K2680" s="91" t="s">
        <v>1145</v>
      </c>
      <c r="L2680" s="91" t="s">
        <v>2175</v>
      </c>
      <c r="M2680" s="91" t="s">
        <v>0</v>
      </c>
      <c r="Q2680" s="91"/>
      <c r="S2680" s="91" t="s">
        <v>143</v>
      </c>
      <c r="T2680" s="91" t="s">
        <v>3009</v>
      </c>
      <c r="V2680" s="91" t="s">
        <v>169</v>
      </c>
      <c r="W2680" s="91" t="s">
        <v>180</v>
      </c>
    </row>
    <row r="2681" spans="1:23">
      <c r="A2681" s="93" t="str">
        <f>TEXT(tblProjectlist[[#This Row],[project-no]],"0")</f>
        <v>79680327</v>
      </c>
      <c r="H2681" s="91">
        <v>7968</v>
      </c>
      <c r="I2681" s="91">
        <v>3</v>
      </c>
      <c r="J2681" s="91">
        <v>2</v>
      </c>
      <c r="K2681" s="91" t="s">
        <v>1147</v>
      </c>
      <c r="L2681" s="91" t="s">
        <v>2175</v>
      </c>
      <c r="M2681" s="91" t="s">
        <v>4</v>
      </c>
      <c r="Q2681" s="91"/>
      <c r="S2681" s="91" t="s">
        <v>143</v>
      </c>
      <c r="T2681" s="91" t="s">
        <v>3011</v>
      </c>
      <c r="V2681" s="91" t="s">
        <v>155</v>
      </c>
      <c r="W2681" s="91" t="s">
        <v>180</v>
      </c>
    </row>
    <row r="2682" spans="1:23">
      <c r="A2682" s="93" t="str">
        <f>TEXT(tblProjectlist[[#This Row],[project-no]],"0")</f>
        <v>0</v>
      </c>
      <c r="H2682" s="91">
        <v>7954</v>
      </c>
      <c r="I2682" s="91">
        <v>3</v>
      </c>
      <c r="J2682" s="91">
        <v>2</v>
      </c>
      <c r="K2682" s="91"/>
      <c r="L2682" s="91" t="s">
        <v>2175</v>
      </c>
      <c r="M2682" s="91" t="s">
        <v>4</v>
      </c>
      <c r="Q2682" s="91"/>
      <c r="S2682" s="91" t="s">
        <v>143</v>
      </c>
      <c r="T2682" s="91" t="s">
        <v>4588</v>
      </c>
      <c r="V2682" s="91" t="s">
        <v>155</v>
      </c>
      <c r="W2682" s="91" t="s">
        <v>180</v>
      </c>
    </row>
    <row r="2683" spans="1:23">
      <c r="A2683" s="93" t="str">
        <f>TEXT(tblProjectlist[[#This Row],[project-no]],"0")</f>
        <v>0</v>
      </c>
      <c r="H2683" s="91">
        <v>7954</v>
      </c>
      <c r="I2683" s="91">
        <v>2</v>
      </c>
      <c r="J2683" s="91">
        <v>2</v>
      </c>
      <c r="K2683" s="91"/>
      <c r="L2683" s="91" t="s">
        <v>2175</v>
      </c>
      <c r="M2683" s="91" t="s">
        <v>4</v>
      </c>
      <c r="Q2683" s="91"/>
      <c r="S2683" s="91" t="s">
        <v>143</v>
      </c>
      <c r="T2683" s="91" t="s">
        <v>3705</v>
      </c>
      <c r="V2683" s="91" t="s">
        <v>155</v>
      </c>
      <c r="W2683" s="91" t="s">
        <v>180</v>
      </c>
    </row>
    <row r="2684" spans="1:23">
      <c r="A2684" s="93" t="str">
        <f>TEXT(tblProjectlist[[#This Row],[project-no]],"0")</f>
        <v>74063328</v>
      </c>
      <c r="H2684" s="91">
        <v>7406</v>
      </c>
      <c r="I2684" s="91">
        <v>33</v>
      </c>
      <c r="J2684" s="91">
        <v>2</v>
      </c>
      <c r="K2684" s="91" t="s">
        <v>972</v>
      </c>
      <c r="L2684" s="91" t="s">
        <v>2175</v>
      </c>
      <c r="M2684" s="91" t="s">
        <v>4</v>
      </c>
      <c r="Q2684" s="91"/>
      <c r="S2684" s="91" t="s">
        <v>143</v>
      </c>
      <c r="T2684" s="91" t="s">
        <v>2842</v>
      </c>
      <c r="V2684" s="91" t="s">
        <v>155</v>
      </c>
      <c r="W2684" s="91" t="s">
        <v>180</v>
      </c>
    </row>
    <row r="2685" spans="1:23">
      <c r="A2685" s="93" t="str">
        <f>TEXT(tblProjectlist[[#This Row],[project-no]],"0")</f>
        <v>80352711</v>
      </c>
      <c r="H2685" s="91">
        <v>8035</v>
      </c>
      <c r="I2685" s="91">
        <v>27</v>
      </c>
      <c r="J2685" s="91">
        <v>1</v>
      </c>
      <c r="K2685" s="91" t="s">
        <v>1185</v>
      </c>
      <c r="L2685" s="91" t="s">
        <v>2175</v>
      </c>
      <c r="M2685" s="91" t="s">
        <v>0</v>
      </c>
      <c r="Q2685" s="91"/>
      <c r="S2685" s="91" t="s">
        <v>143</v>
      </c>
      <c r="T2685" s="91" t="s">
        <v>3041</v>
      </c>
      <c r="V2685" s="91" t="s">
        <v>169</v>
      </c>
      <c r="W2685" s="91" t="s">
        <v>180</v>
      </c>
    </row>
    <row r="2686" spans="1:23">
      <c r="A2686" s="93" t="str">
        <f>TEXT(tblProjectlist[[#This Row],[project-no]],"0")</f>
        <v>0</v>
      </c>
      <c r="H2686" s="91">
        <v>2052</v>
      </c>
      <c r="I2686" s="91">
        <v>4</v>
      </c>
      <c r="J2686" s="91">
        <v>2</v>
      </c>
      <c r="K2686" s="91"/>
      <c r="L2686" s="91" t="s">
        <v>2175</v>
      </c>
      <c r="M2686" s="91" t="s">
        <v>4</v>
      </c>
      <c r="Q2686" s="91"/>
      <c r="S2686" s="91" t="s">
        <v>143</v>
      </c>
      <c r="T2686" s="91" t="s">
        <v>4225</v>
      </c>
      <c r="V2686" s="91" t="s">
        <v>155</v>
      </c>
      <c r="W2686" s="91" t="s">
        <v>180</v>
      </c>
    </row>
    <row r="2687" spans="1:23">
      <c r="A2687" s="93" t="str">
        <f>TEXT(tblProjectlist[[#This Row],[project-no]],"0")</f>
        <v>0</v>
      </c>
      <c r="H2687" s="91">
        <v>2052</v>
      </c>
      <c r="I2687" s="91">
        <v>3</v>
      </c>
      <c r="J2687" s="91">
        <v>2</v>
      </c>
      <c r="K2687" s="91"/>
      <c r="L2687" s="91" t="s">
        <v>2175</v>
      </c>
      <c r="M2687" s="91" t="s">
        <v>4</v>
      </c>
      <c r="Q2687" s="91"/>
      <c r="S2687" s="91" t="s">
        <v>143</v>
      </c>
      <c r="T2687" s="91" t="s">
        <v>4104</v>
      </c>
      <c r="V2687" s="91" t="s">
        <v>155</v>
      </c>
      <c r="W2687" s="91" t="s">
        <v>180</v>
      </c>
    </row>
    <row r="2688" spans="1:23">
      <c r="A2688" s="93" t="str">
        <f>TEXT(tblProjectlist[[#This Row],[project-no]],"0")</f>
        <v>0</v>
      </c>
      <c r="H2688" s="91">
        <v>2053</v>
      </c>
      <c r="I2688" s="91">
        <v>3</v>
      </c>
      <c r="J2688" s="91">
        <v>1</v>
      </c>
      <c r="K2688" s="91"/>
      <c r="L2688" s="91" t="s">
        <v>2175</v>
      </c>
      <c r="M2688" s="91" t="s">
        <v>0</v>
      </c>
      <c r="Q2688" s="91"/>
      <c r="S2688" s="91" t="s">
        <v>143</v>
      </c>
      <c r="T2688" s="91" t="s">
        <v>4105</v>
      </c>
      <c r="V2688" s="91" t="s">
        <v>168</v>
      </c>
      <c r="W2688" s="91" t="s">
        <v>180</v>
      </c>
    </row>
    <row r="2689" spans="1:23">
      <c r="A2689" s="93" t="str">
        <f>TEXT(tblProjectlist[[#This Row],[project-no]],"0")</f>
        <v>63130428</v>
      </c>
      <c r="H2689" s="91">
        <v>6313</v>
      </c>
      <c r="I2689" s="91">
        <v>4</v>
      </c>
      <c r="J2689" s="91">
        <v>2</v>
      </c>
      <c r="K2689" s="91" t="s">
        <v>843</v>
      </c>
      <c r="L2689" s="91" t="s">
        <v>2175</v>
      </c>
      <c r="M2689" s="91" t="s">
        <v>4</v>
      </c>
      <c r="Q2689" s="91"/>
      <c r="S2689" s="91" t="s">
        <v>143</v>
      </c>
      <c r="T2689" s="91" t="s">
        <v>2726</v>
      </c>
      <c r="V2689" s="91" t="s">
        <v>155</v>
      </c>
      <c r="W2689" s="91" t="s">
        <v>180</v>
      </c>
    </row>
    <row r="2690" spans="1:23">
      <c r="A2690" s="93" t="str">
        <f>TEXT(tblProjectlist[[#This Row],[project-no]],"0")</f>
        <v>63130528</v>
      </c>
      <c r="H2690" s="91">
        <v>6313</v>
      </c>
      <c r="I2690" s="91">
        <v>5</v>
      </c>
      <c r="J2690" s="91">
        <v>2</v>
      </c>
      <c r="K2690" s="91" t="s">
        <v>844</v>
      </c>
      <c r="L2690" s="91" t="s">
        <v>2175</v>
      </c>
      <c r="M2690" s="91" t="s">
        <v>4</v>
      </c>
      <c r="Q2690" s="91"/>
      <c r="S2690" s="91" t="s">
        <v>143</v>
      </c>
      <c r="T2690" s="91" t="s">
        <v>2727</v>
      </c>
      <c r="V2690" s="91" t="s">
        <v>155</v>
      </c>
      <c r="W2690" s="91" t="s">
        <v>180</v>
      </c>
    </row>
    <row r="2691" spans="1:23">
      <c r="A2691" s="93" t="str">
        <f>TEXT(tblProjectlist[[#This Row],[project-no]],"0")</f>
        <v>63130628</v>
      </c>
      <c r="H2691" s="91">
        <v>6313</v>
      </c>
      <c r="I2691" s="91">
        <v>6</v>
      </c>
      <c r="J2691" s="91">
        <v>2</v>
      </c>
      <c r="K2691" s="91" t="s">
        <v>845</v>
      </c>
      <c r="L2691" s="91" t="s">
        <v>2175</v>
      </c>
      <c r="M2691" s="91" t="s">
        <v>4</v>
      </c>
      <c r="Q2691" s="91"/>
      <c r="S2691" s="91" t="s">
        <v>143</v>
      </c>
      <c r="T2691" s="91" t="s">
        <v>2728</v>
      </c>
      <c r="V2691" s="91" t="s">
        <v>155</v>
      </c>
      <c r="W2691" s="91" t="s">
        <v>180</v>
      </c>
    </row>
    <row r="2692" spans="1:23">
      <c r="A2692" s="93" t="str">
        <f>TEXT(tblProjectlist[[#This Row],[project-no]],"0")</f>
        <v>63130728</v>
      </c>
      <c r="H2692" s="91">
        <v>6313</v>
      </c>
      <c r="I2692" s="91">
        <v>7</v>
      </c>
      <c r="J2692" s="91">
        <v>2</v>
      </c>
      <c r="K2692" s="91" t="s">
        <v>846</v>
      </c>
      <c r="L2692" s="91" t="s">
        <v>2175</v>
      </c>
      <c r="M2692" s="91" t="s">
        <v>4</v>
      </c>
      <c r="Q2692" s="91"/>
      <c r="S2692" s="91" t="s">
        <v>143</v>
      </c>
      <c r="T2692" s="91" t="s">
        <v>2729</v>
      </c>
      <c r="V2692" s="91" t="s">
        <v>155</v>
      </c>
      <c r="W2692" s="91" t="s">
        <v>180</v>
      </c>
    </row>
    <row r="2693" spans="1:23">
      <c r="A2693" s="93" t="str">
        <f>TEXT(tblProjectlist[[#This Row],[project-no]],"0")</f>
        <v>0</v>
      </c>
      <c r="H2693" s="91">
        <v>8108</v>
      </c>
      <c r="I2693" s="91">
        <v>25</v>
      </c>
      <c r="J2693" s="91">
        <v>2</v>
      </c>
      <c r="K2693" s="91"/>
      <c r="L2693" s="91" t="s">
        <v>2175</v>
      </c>
      <c r="M2693" s="91" t="s">
        <v>4</v>
      </c>
      <c r="Q2693" s="91"/>
      <c r="S2693" s="91" t="s">
        <v>143</v>
      </c>
      <c r="T2693" s="91" t="s">
        <v>3708</v>
      </c>
      <c r="V2693" s="91" t="s">
        <v>155</v>
      </c>
      <c r="W2693" s="91" t="s">
        <v>180</v>
      </c>
    </row>
    <row r="2694" spans="1:23">
      <c r="A2694" s="93" t="str">
        <f>TEXT(tblProjectlist[[#This Row],[project-no]],"0")</f>
        <v>0</v>
      </c>
      <c r="H2694" s="91">
        <v>8108</v>
      </c>
      <c r="I2694" s="91">
        <v>26</v>
      </c>
      <c r="J2694" s="91">
        <v>2</v>
      </c>
      <c r="K2694" s="91"/>
      <c r="L2694" s="91" t="s">
        <v>2175</v>
      </c>
      <c r="M2694" s="91" t="s">
        <v>4</v>
      </c>
      <c r="Q2694" s="91"/>
      <c r="S2694" s="91" t="s">
        <v>143</v>
      </c>
      <c r="T2694" s="91" t="s">
        <v>4301</v>
      </c>
      <c r="V2694" s="91" t="s">
        <v>155</v>
      </c>
      <c r="W2694" s="91" t="s">
        <v>180</v>
      </c>
    </row>
    <row r="2695" spans="1:23">
      <c r="A2695" s="93" t="str">
        <f>TEXT(tblProjectlist[[#This Row],[project-no]],"0")</f>
        <v>81081628</v>
      </c>
      <c r="H2695" s="91">
        <v>8108</v>
      </c>
      <c r="I2695" s="91">
        <v>16</v>
      </c>
      <c r="J2695" s="91">
        <v>2</v>
      </c>
      <c r="K2695" s="91" t="s">
        <v>1216</v>
      </c>
      <c r="L2695" s="91" t="s">
        <v>2175</v>
      </c>
      <c r="M2695" s="91" t="s">
        <v>4</v>
      </c>
      <c r="Q2695" s="91"/>
      <c r="S2695" s="91" t="s">
        <v>143</v>
      </c>
      <c r="T2695" s="91" t="s">
        <v>3067</v>
      </c>
      <c r="V2695" s="91" t="s">
        <v>155</v>
      </c>
      <c r="W2695" s="91" t="s">
        <v>180</v>
      </c>
    </row>
    <row r="2696" spans="1:23">
      <c r="A2696" s="93" t="str">
        <f>TEXT(tblProjectlist[[#This Row],[project-no]],"0")</f>
        <v>81081828</v>
      </c>
      <c r="H2696" s="91">
        <v>8108</v>
      </c>
      <c r="I2696" s="91">
        <v>18</v>
      </c>
      <c r="J2696" s="91">
        <v>2</v>
      </c>
      <c r="K2696" s="91" t="s">
        <v>1217</v>
      </c>
      <c r="L2696" s="91" t="s">
        <v>2175</v>
      </c>
      <c r="M2696" s="91" t="s">
        <v>4</v>
      </c>
      <c r="Q2696" s="91"/>
      <c r="S2696" s="91" t="s">
        <v>143</v>
      </c>
      <c r="T2696" s="91" t="s">
        <v>3068</v>
      </c>
      <c r="V2696" s="91" t="s">
        <v>155</v>
      </c>
      <c r="W2696" s="91" t="s">
        <v>180</v>
      </c>
    </row>
    <row r="2697" spans="1:23">
      <c r="A2697" s="93" t="str">
        <f>TEXT(tblProjectlist[[#This Row],[project-no]],"0")</f>
        <v>81081928</v>
      </c>
      <c r="H2697" s="91">
        <v>8108</v>
      </c>
      <c r="I2697" s="91">
        <v>19</v>
      </c>
      <c r="J2697" s="91">
        <v>2</v>
      </c>
      <c r="K2697" s="91" t="s">
        <v>1218</v>
      </c>
      <c r="L2697" s="91" t="s">
        <v>2175</v>
      </c>
      <c r="M2697" s="91" t="s">
        <v>4</v>
      </c>
      <c r="Q2697" s="91"/>
      <c r="S2697" s="91" t="s">
        <v>143</v>
      </c>
      <c r="T2697" s="91" t="s">
        <v>3069</v>
      </c>
      <c r="V2697" s="91" t="s">
        <v>155</v>
      </c>
      <c r="W2697" s="91" t="s">
        <v>180</v>
      </c>
    </row>
    <row r="2698" spans="1:23">
      <c r="A2698" s="93" t="str">
        <f>TEXT(tblProjectlist[[#This Row],[project-no]],"0")</f>
        <v>81082028</v>
      </c>
      <c r="H2698" s="91">
        <v>8108</v>
      </c>
      <c r="I2698" s="91">
        <v>20</v>
      </c>
      <c r="J2698" s="91">
        <v>2</v>
      </c>
      <c r="K2698" s="91" t="s">
        <v>1219</v>
      </c>
      <c r="L2698" s="91" t="s">
        <v>2175</v>
      </c>
      <c r="M2698" s="91" t="s">
        <v>4</v>
      </c>
      <c r="Q2698" s="91"/>
      <c r="S2698" s="91" t="s">
        <v>143</v>
      </c>
      <c r="T2698" s="91" t="s">
        <v>3070</v>
      </c>
      <c r="V2698" s="91" t="s">
        <v>155</v>
      </c>
      <c r="W2698" s="91" t="s">
        <v>180</v>
      </c>
    </row>
    <row r="2699" spans="1:23">
      <c r="A2699" s="93" t="str">
        <f>TEXT(tblProjectlist[[#This Row],[project-no]],"0")</f>
        <v>81082128</v>
      </c>
      <c r="H2699" s="91">
        <v>8108</v>
      </c>
      <c r="I2699" s="91">
        <v>21</v>
      </c>
      <c r="J2699" s="91">
        <v>2</v>
      </c>
      <c r="K2699" s="91" t="s">
        <v>1220</v>
      </c>
      <c r="L2699" s="91" t="s">
        <v>2175</v>
      </c>
      <c r="M2699" s="91" t="s">
        <v>4</v>
      </c>
      <c r="Q2699" s="91"/>
      <c r="S2699" s="91" t="s">
        <v>143</v>
      </c>
      <c r="T2699" s="91" t="s">
        <v>3071</v>
      </c>
      <c r="V2699" s="91" t="s">
        <v>155</v>
      </c>
      <c r="W2699" s="91" t="s">
        <v>180</v>
      </c>
    </row>
    <row r="2700" spans="1:23">
      <c r="A2700" s="93" t="str">
        <f>TEXT(tblProjectlist[[#This Row],[project-no]],"0")</f>
        <v>81082228</v>
      </c>
      <c r="H2700" s="91">
        <v>8108</v>
      </c>
      <c r="I2700" s="91">
        <v>22</v>
      </c>
      <c r="J2700" s="91">
        <v>2</v>
      </c>
      <c r="K2700" s="91" t="s">
        <v>1221</v>
      </c>
      <c r="L2700" s="91" t="s">
        <v>2175</v>
      </c>
      <c r="M2700" s="91" t="s">
        <v>4</v>
      </c>
      <c r="Q2700" s="91"/>
      <c r="S2700" s="91" t="s">
        <v>143</v>
      </c>
      <c r="T2700" s="91" t="s">
        <v>3072</v>
      </c>
      <c r="V2700" s="91" t="s">
        <v>155</v>
      </c>
      <c r="W2700" s="91" t="s">
        <v>180</v>
      </c>
    </row>
    <row r="2701" spans="1:23">
      <c r="A2701" s="93" t="str">
        <f>TEXT(tblProjectlist[[#This Row],[project-no]],"0")</f>
        <v>81082328</v>
      </c>
      <c r="H2701" s="91">
        <v>8108</v>
      </c>
      <c r="I2701" s="91">
        <v>23</v>
      </c>
      <c r="J2701" s="91">
        <v>2</v>
      </c>
      <c r="K2701" s="91" t="s">
        <v>1222</v>
      </c>
      <c r="L2701" s="91" t="s">
        <v>2175</v>
      </c>
      <c r="M2701" s="91" t="s">
        <v>4</v>
      </c>
      <c r="Q2701" s="91"/>
      <c r="S2701" s="91" t="s">
        <v>143</v>
      </c>
      <c r="T2701" s="91" t="s">
        <v>3073</v>
      </c>
      <c r="V2701" s="91" t="s">
        <v>155</v>
      </c>
      <c r="W2701" s="91" t="s">
        <v>180</v>
      </c>
    </row>
    <row r="2702" spans="1:23">
      <c r="A2702" s="93" t="str">
        <f>TEXT(tblProjectlist[[#This Row],[project-no]],"0")</f>
        <v>0</v>
      </c>
      <c r="H2702" s="91">
        <v>8108</v>
      </c>
      <c r="I2702" s="91">
        <v>24</v>
      </c>
      <c r="J2702" s="91">
        <v>2</v>
      </c>
      <c r="K2702" s="91"/>
      <c r="L2702" s="91" t="s">
        <v>2175</v>
      </c>
      <c r="M2702" s="91" t="s">
        <v>4</v>
      </c>
      <c r="Q2702" s="91"/>
      <c r="S2702" s="91" t="s">
        <v>143</v>
      </c>
      <c r="T2702" s="91" t="s">
        <v>3074</v>
      </c>
      <c r="V2702" s="91" t="s">
        <v>155</v>
      </c>
      <c r="W2702" s="91" t="s">
        <v>180</v>
      </c>
    </row>
    <row r="2703" spans="1:23">
      <c r="A2703" s="93" t="str">
        <f>TEXT(tblProjectlist[[#This Row],[project-no]],"0")</f>
        <v>99961528</v>
      </c>
      <c r="H2703" s="91">
        <v>8108</v>
      </c>
      <c r="I2703" s="91">
        <v>16</v>
      </c>
      <c r="J2703" s="91">
        <v>2</v>
      </c>
      <c r="K2703" s="91" t="s">
        <v>1736</v>
      </c>
      <c r="L2703" s="91" t="s">
        <v>2175</v>
      </c>
      <c r="M2703" s="91" t="s">
        <v>4</v>
      </c>
      <c r="Q2703" s="91"/>
      <c r="S2703" s="91" t="s">
        <v>143</v>
      </c>
      <c r="T2703" s="91" t="s">
        <v>3067</v>
      </c>
      <c r="W2703" s="91" t="s">
        <v>180</v>
      </c>
    </row>
    <row r="2704" spans="1:23">
      <c r="A2704" s="93" t="str">
        <f>TEXT(tblProjectlist[[#This Row],[project-no]],"0")</f>
        <v>99965928</v>
      </c>
      <c r="H2704" s="91">
        <v>8108</v>
      </c>
      <c r="I2704" s="91">
        <v>21</v>
      </c>
      <c r="J2704" s="91">
        <v>2</v>
      </c>
      <c r="K2704" s="91" t="s">
        <v>1777</v>
      </c>
      <c r="L2704" s="91" t="s">
        <v>2175</v>
      </c>
      <c r="M2704" s="91" t="s">
        <v>4</v>
      </c>
      <c r="Q2704" s="91"/>
      <c r="S2704" s="91" t="s">
        <v>143</v>
      </c>
      <c r="T2704" s="91" t="s">
        <v>3071</v>
      </c>
      <c r="W2704" s="91" t="s">
        <v>180</v>
      </c>
    </row>
    <row r="2705" spans="1:23">
      <c r="A2705" s="93" t="str">
        <f>TEXT(tblProjectlist[[#This Row],[project-no]],"0")</f>
        <v>0</v>
      </c>
      <c r="H2705" s="91">
        <v>7621</v>
      </c>
      <c r="I2705" s="91">
        <v>3</v>
      </c>
      <c r="J2705" s="91">
        <v>2</v>
      </c>
      <c r="K2705" s="91"/>
      <c r="L2705" s="91" t="s">
        <v>2175</v>
      </c>
      <c r="M2705" s="91" t="s">
        <v>4</v>
      </c>
      <c r="Q2705" s="91"/>
      <c r="S2705" s="91" t="s">
        <v>143</v>
      </c>
      <c r="T2705" s="91" t="s">
        <v>3868</v>
      </c>
      <c r="V2705" s="91" t="s">
        <v>155</v>
      </c>
      <c r="W2705" s="91" t="s">
        <v>180</v>
      </c>
    </row>
    <row r="2706" spans="1:23">
      <c r="A2706" s="93" t="str">
        <f>TEXT(tblProjectlist[[#This Row],[project-no]],"0")</f>
        <v>76210228</v>
      </c>
      <c r="H2706" s="91">
        <v>7621</v>
      </c>
      <c r="I2706" s="91">
        <v>2</v>
      </c>
      <c r="J2706" s="91">
        <v>2</v>
      </c>
      <c r="K2706" s="91" t="s">
        <v>1065</v>
      </c>
      <c r="L2706" s="91" t="s">
        <v>2175</v>
      </c>
      <c r="M2706" s="91" t="s">
        <v>4</v>
      </c>
      <c r="Q2706" s="91"/>
      <c r="S2706" s="91" t="s">
        <v>143</v>
      </c>
      <c r="T2706" s="91" t="s">
        <v>2931</v>
      </c>
      <c r="V2706" s="91" t="s">
        <v>155</v>
      </c>
      <c r="W2706" s="91" t="s">
        <v>180</v>
      </c>
    </row>
    <row r="2707" spans="1:23">
      <c r="A2707" s="93" t="str">
        <f>TEXT(tblProjectlist[[#This Row],[project-no]],"0")</f>
        <v>30630128</v>
      </c>
      <c r="H2707" s="91">
        <v>3063</v>
      </c>
      <c r="I2707" s="91">
        <v>1</v>
      </c>
      <c r="J2707" s="91">
        <v>2</v>
      </c>
      <c r="K2707" s="91" t="s">
        <v>682</v>
      </c>
      <c r="L2707" s="91" t="s">
        <v>2175</v>
      </c>
      <c r="M2707" s="91" t="s">
        <v>4</v>
      </c>
      <c r="Q2707" s="91"/>
      <c r="S2707" s="91" t="s">
        <v>143</v>
      </c>
      <c r="T2707" s="91" t="s">
        <v>2582</v>
      </c>
      <c r="V2707" s="91" t="s">
        <v>155</v>
      </c>
      <c r="W2707" s="91" t="s">
        <v>180</v>
      </c>
    </row>
    <row r="2708" spans="1:23">
      <c r="A2708" s="93" t="str">
        <f>TEXT(tblProjectlist[[#This Row],[project-no]],"0")</f>
        <v>30630228</v>
      </c>
      <c r="H2708" s="91">
        <v>3063</v>
      </c>
      <c r="I2708" s="91">
        <v>2</v>
      </c>
      <c r="J2708" s="91">
        <v>2</v>
      </c>
      <c r="K2708" s="91" t="s">
        <v>683</v>
      </c>
      <c r="L2708" s="91" t="s">
        <v>2175</v>
      </c>
      <c r="M2708" s="91" t="s">
        <v>4</v>
      </c>
      <c r="Q2708" s="91"/>
      <c r="S2708" s="91" t="s">
        <v>143</v>
      </c>
      <c r="T2708" s="91" t="s">
        <v>2583</v>
      </c>
      <c r="V2708" s="91" t="s">
        <v>155</v>
      </c>
      <c r="W2708" s="91" t="s">
        <v>180</v>
      </c>
    </row>
    <row r="2709" spans="1:23">
      <c r="A2709" s="93" t="str">
        <f>TEXT(tblProjectlist[[#This Row],[project-no]],"0")</f>
        <v>0</v>
      </c>
      <c r="H2709" s="91">
        <v>3179</v>
      </c>
      <c r="I2709" s="91">
        <v>2</v>
      </c>
      <c r="J2709" s="91">
        <v>2</v>
      </c>
      <c r="K2709" s="91"/>
      <c r="L2709" s="91" t="s">
        <v>2175</v>
      </c>
      <c r="M2709" s="91" t="s">
        <v>4</v>
      </c>
      <c r="Q2709" s="91"/>
      <c r="S2709" s="91" t="s">
        <v>143</v>
      </c>
      <c r="T2709" s="91" t="s">
        <v>4502</v>
      </c>
      <c r="V2709" s="91" t="s">
        <v>155</v>
      </c>
      <c r="W2709" s="91" t="s">
        <v>180</v>
      </c>
    </row>
    <row r="2710" spans="1:23">
      <c r="A2710" s="93" t="str">
        <f>TEXT(tblProjectlist[[#This Row],[project-no]],"0")</f>
        <v>60290228</v>
      </c>
      <c r="H2710" s="91">
        <v>6029</v>
      </c>
      <c r="I2710" s="91">
        <v>2</v>
      </c>
      <c r="J2710" s="91">
        <v>2</v>
      </c>
      <c r="K2710" s="91" t="s">
        <v>791</v>
      </c>
      <c r="L2710" s="91" t="s">
        <v>2175</v>
      </c>
      <c r="M2710" s="91" t="s">
        <v>4</v>
      </c>
      <c r="Q2710" s="91"/>
      <c r="S2710" s="91" t="s">
        <v>143</v>
      </c>
      <c r="T2710" s="91" t="s">
        <v>2687</v>
      </c>
      <c r="V2710" s="91" t="s">
        <v>155</v>
      </c>
      <c r="W2710" s="91" t="s">
        <v>180</v>
      </c>
    </row>
    <row r="2711" spans="1:23">
      <c r="A2711" s="93" t="str">
        <f>TEXT(tblProjectlist[[#This Row],[project-no]],"0")</f>
        <v>0</v>
      </c>
      <c r="H2711" s="91">
        <v>8106</v>
      </c>
      <c r="I2711" s="91">
        <v>4</v>
      </c>
      <c r="J2711" s="91">
        <v>2</v>
      </c>
      <c r="K2711" s="91"/>
      <c r="L2711" s="91" t="s">
        <v>2175</v>
      </c>
      <c r="M2711" s="91" t="s">
        <v>4</v>
      </c>
      <c r="Q2711" s="91"/>
      <c r="S2711" s="91" t="s">
        <v>143</v>
      </c>
      <c r="T2711" s="91" t="s">
        <v>4094</v>
      </c>
      <c r="V2711" s="91" t="s">
        <v>155</v>
      </c>
      <c r="W2711" s="91" t="s">
        <v>180</v>
      </c>
    </row>
    <row r="2712" spans="1:23">
      <c r="A2712" s="93" t="str">
        <f>TEXT(tblProjectlist[[#This Row],[project-no]],"0")</f>
        <v>0</v>
      </c>
      <c r="H2712" s="91">
        <v>8042</v>
      </c>
      <c r="I2712" s="91">
        <v>8</v>
      </c>
      <c r="J2712" s="91">
        <v>2</v>
      </c>
      <c r="K2712" s="91"/>
      <c r="L2712" s="91" t="s">
        <v>2175</v>
      </c>
      <c r="M2712" s="91" t="s">
        <v>4</v>
      </c>
      <c r="Q2712" s="91"/>
      <c r="S2712" s="91" t="s">
        <v>143</v>
      </c>
      <c r="T2712" s="91" t="s">
        <v>4516</v>
      </c>
      <c r="V2712" s="91" t="s">
        <v>155</v>
      </c>
      <c r="W2712" s="91" t="s">
        <v>180</v>
      </c>
    </row>
    <row r="2713" spans="1:23">
      <c r="A2713" s="93" t="str">
        <f>TEXT(tblProjectlist[[#This Row],[project-no]],"0")</f>
        <v>0</v>
      </c>
      <c r="H2713" s="91">
        <v>7568</v>
      </c>
      <c r="I2713" s="91">
        <v>4</v>
      </c>
      <c r="J2713" s="91">
        <v>2</v>
      </c>
      <c r="K2713" s="91"/>
      <c r="L2713" s="91" t="s">
        <v>2175</v>
      </c>
      <c r="M2713" s="91" t="s">
        <v>4</v>
      </c>
      <c r="Q2713" s="91"/>
      <c r="S2713" s="91" t="s">
        <v>143</v>
      </c>
      <c r="T2713" s="91" t="s">
        <v>4280</v>
      </c>
      <c r="V2713" s="91" t="s">
        <v>155</v>
      </c>
      <c r="W2713" s="91" t="s">
        <v>180</v>
      </c>
    </row>
    <row r="2714" spans="1:23">
      <c r="A2714" s="93" t="str">
        <f>TEXT(tblProjectlist[[#This Row],[project-no]],"0")</f>
        <v>75680128</v>
      </c>
      <c r="H2714" s="91">
        <v>7568</v>
      </c>
      <c r="I2714" s="91">
        <v>1</v>
      </c>
      <c r="J2714" s="91">
        <v>2</v>
      </c>
      <c r="K2714" s="91" t="s">
        <v>1026</v>
      </c>
      <c r="L2714" s="91" t="s">
        <v>43</v>
      </c>
      <c r="M2714" s="91" t="s">
        <v>4</v>
      </c>
      <c r="Q2714" s="91"/>
      <c r="S2714" s="91" t="s">
        <v>143</v>
      </c>
      <c r="T2714" s="91" t="s">
        <v>2893</v>
      </c>
      <c r="W2714" s="91" t="s">
        <v>180</v>
      </c>
    </row>
    <row r="2715" spans="1:23">
      <c r="A2715" s="93" t="str">
        <f>TEXT(tblProjectlist[[#This Row],[project-no]],"0")</f>
        <v>75680328</v>
      </c>
      <c r="H2715" s="91">
        <v>7568</v>
      </c>
      <c r="I2715" s="91">
        <v>3</v>
      </c>
      <c r="J2715" s="91">
        <v>2</v>
      </c>
      <c r="K2715" s="91" t="s">
        <v>1027</v>
      </c>
      <c r="L2715" s="91" t="s">
        <v>265</v>
      </c>
      <c r="M2715" s="91" t="s">
        <v>4</v>
      </c>
      <c r="Q2715" s="91"/>
      <c r="S2715" s="91" t="s">
        <v>143</v>
      </c>
      <c r="T2715" s="91" t="s">
        <v>2894</v>
      </c>
      <c r="W2715" s="91" t="s">
        <v>180</v>
      </c>
    </row>
    <row r="2716" spans="1:23">
      <c r="A2716" s="93" t="str">
        <f>TEXT(tblProjectlist[[#This Row],[project-no]],"0")</f>
        <v>0</v>
      </c>
      <c r="H2716" s="91">
        <v>2130</v>
      </c>
      <c r="I2716" s="91">
        <v>6</v>
      </c>
      <c r="J2716" s="91">
        <v>2</v>
      </c>
      <c r="K2716" s="91"/>
      <c r="L2716" s="91" t="s">
        <v>2175</v>
      </c>
      <c r="M2716" s="91" t="s">
        <v>4</v>
      </c>
      <c r="Q2716" s="91"/>
      <c r="S2716" s="91" t="s">
        <v>143</v>
      </c>
      <c r="T2716" s="91" t="s">
        <v>3771</v>
      </c>
      <c r="V2716" s="91" t="s">
        <v>155</v>
      </c>
      <c r="W2716" s="91" t="s">
        <v>180</v>
      </c>
    </row>
    <row r="2717" spans="1:23">
      <c r="A2717" s="93" t="str">
        <f>TEXT(tblProjectlist[[#This Row],[project-no]],"0")</f>
        <v>0</v>
      </c>
      <c r="H2717" s="91">
        <v>2130</v>
      </c>
      <c r="I2717" s="91">
        <v>7</v>
      </c>
      <c r="J2717" s="91">
        <v>2</v>
      </c>
      <c r="K2717" s="91"/>
      <c r="L2717" s="91" t="s">
        <v>2175</v>
      </c>
      <c r="M2717" s="91" t="s">
        <v>4</v>
      </c>
      <c r="Q2717" s="91"/>
      <c r="S2717" s="91" t="s">
        <v>143</v>
      </c>
      <c r="T2717" s="91" t="s">
        <v>4267</v>
      </c>
      <c r="V2717" s="91" t="s">
        <v>155</v>
      </c>
      <c r="W2717" s="91" t="s">
        <v>180</v>
      </c>
    </row>
    <row r="2718" spans="1:23">
      <c r="A2718" s="93" t="str">
        <f>TEXT(tblProjectlist[[#This Row],[project-no]],"0")</f>
        <v>30730428</v>
      </c>
      <c r="H2718" s="91">
        <v>3073</v>
      </c>
      <c r="I2718" s="91">
        <v>4</v>
      </c>
      <c r="J2718" s="91">
        <v>2</v>
      </c>
      <c r="K2718" s="91" t="s">
        <v>691</v>
      </c>
      <c r="L2718" s="91" t="s">
        <v>2175</v>
      </c>
      <c r="M2718" s="91" t="s">
        <v>4</v>
      </c>
      <c r="Q2718" s="91"/>
      <c r="S2718" s="91" t="s">
        <v>143</v>
      </c>
      <c r="T2718" s="91" t="s">
        <v>2591</v>
      </c>
      <c r="V2718" s="91" t="s">
        <v>155</v>
      </c>
      <c r="W2718" s="91" t="s">
        <v>180</v>
      </c>
    </row>
    <row r="2719" spans="1:23">
      <c r="A2719" s="93" t="str">
        <f>TEXT(tblProjectlist[[#This Row],[project-no]],"0")</f>
        <v>0</v>
      </c>
      <c r="H2719" s="91">
        <v>3157</v>
      </c>
      <c r="I2719" s="91">
        <v>2</v>
      </c>
      <c r="J2719" s="91">
        <v>2</v>
      </c>
      <c r="K2719" s="91"/>
      <c r="L2719" s="91" t="s">
        <v>2175</v>
      </c>
      <c r="M2719" s="91" t="s">
        <v>4</v>
      </c>
      <c r="Q2719" s="91"/>
      <c r="S2719" s="91" t="s">
        <v>143</v>
      </c>
      <c r="T2719" s="91" t="s">
        <v>3886</v>
      </c>
      <c r="V2719" s="91" t="s">
        <v>155</v>
      </c>
      <c r="W2719" s="91" t="s">
        <v>180</v>
      </c>
    </row>
    <row r="2720" spans="1:23">
      <c r="A2720" s="93" t="str">
        <f>TEXT(tblProjectlist[[#This Row],[project-no]],"0")</f>
        <v>0</v>
      </c>
      <c r="H2720" s="91">
        <v>2130</v>
      </c>
      <c r="I2720" s="91">
        <v>8</v>
      </c>
      <c r="J2720" s="91">
        <v>2</v>
      </c>
      <c r="K2720" s="91"/>
      <c r="L2720" s="91" t="s">
        <v>2175</v>
      </c>
      <c r="M2720" s="91" t="s">
        <v>4</v>
      </c>
      <c r="Q2720" s="91"/>
      <c r="S2720" s="91" t="s">
        <v>143</v>
      </c>
      <c r="T2720" s="91" t="s">
        <v>4590</v>
      </c>
      <c r="V2720" s="91" t="s">
        <v>155</v>
      </c>
      <c r="W2720" s="91" t="s">
        <v>180</v>
      </c>
    </row>
    <row r="2721" spans="1:23">
      <c r="A2721" s="93" t="str">
        <f>TEXT(tblProjectlist[[#This Row],[project-no]],"0")</f>
        <v>0</v>
      </c>
      <c r="H2721" s="91">
        <v>1005</v>
      </c>
      <c r="I2721" s="91">
        <v>3</v>
      </c>
      <c r="J2721" s="91">
        <v>2</v>
      </c>
      <c r="K2721" s="91"/>
      <c r="L2721" s="91" t="s">
        <v>62</v>
      </c>
      <c r="M2721" s="91" t="s">
        <v>4</v>
      </c>
      <c r="Q2721" s="91"/>
      <c r="S2721" s="91" t="s">
        <v>143</v>
      </c>
      <c r="T2721" s="91" t="s">
        <v>4302</v>
      </c>
      <c r="V2721" s="91" t="s">
        <v>155</v>
      </c>
      <c r="W2721" s="91" t="s">
        <v>180</v>
      </c>
    </row>
    <row r="2722" spans="1:23">
      <c r="A2722" s="93" t="str">
        <f>TEXT(tblProjectlist[[#This Row],[project-no]],"0")</f>
        <v>10050211</v>
      </c>
      <c r="H2722" s="91">
        <v>1005</v>
      </c>
      <c r="I2722" s="91">
        <v>2</v>
      </c>
      <c r="J2722" s="91">
        <v>1</v>
      </c>
      <c r="K2722" s="91">
        <v>10050211</v>
      </c>
      <c r="L2722" s="91" t="s">
        <v>2175</v>
      </c>
      <c r="M2722" s="91" t="s">
        <v>0</v>
      </c>
      <c r="Q2722" s="91"/>
      <c r="S2722" s="91" t="s">
        <v>143</v>
      </c>
      <c r="T2722" s="91" t="s">
        <v>4061</v>
      </c>
      <c r="V2722" s="91" t="s">
        <v>169</v>
      </c>
      <c r="W2722" s="91" t="s">
        <v>180</v>
      </c>
    </row>
    <row r="2723" spans="1:23">
      <c r="A2723" s="93" t="str">
        <f>TEXT(tblProjectlist[[#This Row],[project-no]],"0")</f>
        <v>10050216</v>
      </c>
      <c r="H2723" s="91">
        <v>1005</v>
      </c>
      <c r="I2723" s="91">
        <v>2</v>
      </c>
      <c r="J2723" s="91">
        <v>1</v>
      </c>
      <c r="K2723" s="91">
        <v>10050216</v>
      </c>
      <c r="L2723" s="91" t="s">
        <v>2175</v>
      </c>
      <c r="M2723" s="91" t="s">
        <v>0</v>
      </c>
      <c r="Q2723" s="91"/>
      <c r="S2723" s="91" t="s">
        <v>143</v>
      </c>
      <c r="T2723" s="91" t="s">
        <v>4061</v>
      </c>
      <c r="V2723" s="91" t="s">
        <v>168</v>
      </c>
      <c r="W2723" s="91" t="s">
        <v>180</v>
      </c>
    </row>
    <row r="2724" spans="1:23">
      <c r="A2724" s="93" t="str">
        <f>TEXT(tblProjectlist[[#This Row],[project-no]],"0")</f>
        <v>0</v>
      </c>
      <c r="H2724" s="91">
        <v>1005</v>
      </c>
      <c r="I2724" s="91">
        <v>3</v>
      </c>
      <c r="J2724" s="91">
        <v>1</v>
      </c>
      <c r="K2724" s="91"/>
      <c r="L2724" s="91" t="s">
        <v>2175</v>
      </c>
      <c r="M2724" s="91" t="s">
        <v>0</v>
      </c>
      <c r="Q2724" s="91"/>
      <c r="S2724" s="91" t="s">
        <v>143</v>
      </c>
      <c r="T2724" s="91" t="s">
        <v>4615</v>
      </c>
      <c r="V2724" s="91" t="s">
        <v>167</v>
      </c>
      <c r="W2724" s="91" t="s">
        <v>180</v>
      </c>
    </row>
    <row r="2725" spans="1:23">
      <c r="A2725" s="93" t="str">
        <f>TEXT(tblProjectlist[[#This Row],[project-no]],"0")</f>
        <v>0</v>
      </c>
      <c r="H2725" s="91">
        <v>1005</v>
      </c>
      <c r="I2725" s="91">
        <v>4</v>
      </c>
      <c r="J2725" s="91">
        <v>1</v>
      </c>
      <c r="K2725" s="91"/>
      <c r="L2725" s="91" t="s">
        <v>2175</v>
      </c>
      <c r="M2725" s="91" t="s">
        <v>0</v>
      </c>
      <c r="Q2725" s="91"/>
      <c r="S2725" s="91" t="s">
        <v>143</v>
      </c>
      <c r="T2725" s="91" t="s">
        <v>4616</v>
      </c>
      <c r="V2725" s="91" t="s">
        <v>167</v>
      </c>
      <c r="W2725" s="91" t="s">
        <v>180</v>
      </c>
    </row>
    <row r="2726" spans="1:23">
      <c r="A2726" s="93" t="str">
        <f>TEXT(tblProjectlist[[#This Row],[project-no]],"0")</f>
        <v>0</v>
      </c>
      <c r="H2726" s="91">
        <v>9990</v>
      </c>
      <c r="I2726" s="91">
        <v>93</v>
      </c>
      <c r="J2726" s="91">
        <v>2</v>
      </c>
      <c r="K2726" s="91"/>
      <c r="L2726" s="91" t="s">
        <v>265</v>
      </c>
      <c r="M2726" s="91" t="s">
        <v>4</v>
      </c>
      <c r="Q2726" s="91"/>
      <c r="S2726" s="91" t="s">
        <v>143</v>
      </c>
      <c r="T2726" s="91" t="s">
        <v>4393</v>
      </c>
      <c r="V2726" s="91" t="s">
        <v>156</v>
      </c>
      <c r="W2726" s="91" t="s">
        <v>180</v>
      </c>
    </row>
    <row r="2727" spans="1:23">
      <c r="A2727" s="93" t="str">
        <f>TEXT(tblProjectlist[[#This Row],[project-no]],"0")</f>
        <v>0</v>
      </c>
      <c r="H2727" s="91">
        <v>1575</v>
      </c>
      <c r="I2727" s="91">
        <v>2</v>
      </c>
      <c r="J2727" s="91">
        <v>2</v>
      </c>
      <c r="K2727" s="91"/>
      <c r="L2727" s="91" t="s">
        <v>2175</v>
      </c>
      <c r="M2727" s="91" t="s">
        <v>4</v>
      </c>
      <c r="Q2727" s="91"/>
      <c r="S2727" s="91" t="s">
        <v>143</v>
      </c>
      <c r="T2727" s="91" t="s">
        <v>4438</v>
      </c>
      <c r="V2727" s="91" t="s">
        <v>155</v>
      </c>
      <c r="W2727" s="91" t="s">
        <v>180</v>
      </c>
    </row>
    <row r="2728" spans="1:23">
      <c r="A2728" s="93" t="str">
        <f>TEXT(tblProjectlist[[#This Row],[project-no]],"0")</f>
        <v>0</v>
      </c>
      <c r="H2728" s="91">
        <v>1512</v>
      </c>
      <c r="I2728" s="91">
        <v>16</v>
      </c>
      <c r="J2728" s="91">
        <v>2</v>
      </c>
      <c r="K2728" s="91"/>
      <c r="L2728" s="91" t="s">
        <v>2175</v>
      </c>
      <c r="M2728" s="91" t="s">
        <v>4</v>
      </c>
      <c r="Q2728" s="91"/>
      <c r="S2728" s="91" t="s">
        <v>143</v>
      </c>
      <c r="T2728" s="91" t="s">
        <v>4603</v>
      </c>
      <c r="V2728" s="91" t="s">
        <v>155</v>
      </c>
      <c r="W2728" s="91" t="s">
        <v>180</v>
      </c>
    </row>
    <row r="2729" spans="1:23">
      <c r="A2729" s="93" t="str">
        <f>TEXT(tblProjectlist[[#This Row],[project-no]],"0")</f>
        <v>15121028</v>
      </c>
      <c r="H2729" s="91">
        <v>1512</v>
      </c>
      <c r="I2729" s="91">
        <v>10</v>
      </c>
      <c r="J2729" s="91">
        <v>2</v>
      </c>
      <c r="K2729" s="91" t="s">
        <v>3826</v>
      </c>
      <c r="L2729" s="91" t="s">
        <v>2175</v>
      </c>
      <c r="M2729" s="91" t="s">
        <v>4</v>
      </c>
      <c r="Q2729" s="91"/>
      <c r="S2729" s="91" t="s">
        <v>143</v>
      </c>
      <c r="T2729" s="91" t="s">
        <v>3833</v>
      </c>
      <c r="V2729" s="91" t="s">
        <v>155</v>
      </c>
      <c r="W2729" s="91" t="s">
        <v>180</v>
      </c>
    </row>
    <row r="2730" spans="1:23">
      <c r="A2730" s="93" t="str">
        <f>TEXT(tblProjectlist[[#This Row],[project-no]],"0")</f>
        <v>15121111</v>
      </c>
      <c r="H2730" s="91">
        <v>1512</v>
      </c>
      <c r="I2730" s="91">
        <v>11</v>
      </c>
      <c r="J2730" s="91">
        <v>1</v>
      </c>
      <c r="K2730" s="91" t="s">
        <v>311</v>
      </c>
      <c r="L2730" s="91" t="s">
        <v>2175</v>
      </c>
      <c r="M2730" s="91" t="s">
        <v>0</v>
      </c>
      <c r="Q2730" s="91"/>
      <c r="S2730" s="91" t="s">
        <v>143</v>
      </c>
      <c r="T2730" s="91" t="s">
        <v>2298</v>
      </c>
      <c r="V2730" s="91" t="s">
        <v>169</v>
      </c>
      <c r="W2730" s="91" t="s">
        <v>180</v>
      </c>
    </row>
    <row r="2731" spans="1:23">
      <c r="A2731" s="93" t="str">
        <f>TEXT(tblProjectlist[[#This Row],[project-no]],"0")</f>
        <v>15121116</v>
      </c>
      <c r="H2731" s="91">
        <v>1512</v>
      </c>
      <c r="I2731" s="91">
        <v>11</v>
      </c>
      <c r="J2731" s="91">
        <v>1</v>
      </c>
      <c r="K2731" s="91" t="s">
        <v>312</v>
      </c>
      <c r="L2731" s="91" t="s">
        <v>2175</v>
      </c>
      <c r="M2731" s="91" t="s">
        <v>0</v>
      </c>
      <c r="Q2731" s="91"/>
      <c r="S2731" s="91" t="s">
        <v>143</v>
      </c>
      <c r="T2731" s="91" t="s">
        <v>2298</v>
      </c>
      <c r="V2731" s="91" t="s">
        <v>168</v>
      </c>
      <c r="W2731" s="91" t="s">
        <v>180</v>
      </c>
    </row>
    <row r="2732" spans="1:23">
      <c r="A2732" s="93" t="str">
        <f>TEXT(tblProjectlist[[#This Row],[project-no]],"0")</f>
        <v>15121211</v>
      </c>
      <c r="H2732" s="91">
        <v>1512</v>
      </c>
      <c r="I2732" s="91">
        <v>12</v>
      </c>
      <c r="J2732" s="91">
        <v>1</v>
      </c>
      <c r="K2732" s="91" t="s">
        <v>313</v>
      </c>
      <c r="L2732" s="91" t="s">
        <v>2175</v>
      </c>
      <c r="M2732" s="91" t="s">
        <v>0</v>
      </c>
      <c r="Q2732" s="91"/>
      <c r="S2732" s="91" t="s">
        <v>143</v>
      </c>
      <c r="T2732" s="91" t="s">
        <v>2299</v>
      </c>
      <c r="V2732" s="91" t="s">
        <v>169</v>
      </c>
      <c r="W2732" s="91" t="s">
        <v>180</v>
      </c>
    </row>
    <row r="2733" spans="1:23">
      <c r="A2733" s="93" t="str">
        <f>TEXT(tblProjectlist[[#This Row],[project-no]],"0")</f>
        <v>15121216</v>
      </c>
      <c r="H2733" s="91">
        <v>1512</v>
      </c>
      <c r="I2733" s="91">
        <v>12</v>
      </c>
      <c r="J2733" s="91">
        <v>1</v>
      </c>
      <c r="K2733" s="91" t="s">
        <v>314</v>
      </c>
      <c r="L2733" s="91" t="s">
        <v>2175</v>
      </c>
      <c r="M2733" s="91" t="s">
        <v>0</v>
      </c>
      <c r="Q2733" s="91"/>
      <c r="S2733" s="91" t="s">
        <v>143</v>
      </c>
      <c r="T2733" s="91" t="s">
        <v>2299</v>
      </c>
      <c r="V2733" s="91" t="s">
        <v>168</v>
      </c>
      <c r="W2733" s="91" t="s">
        <v>180</v>
      </c>
    </row>
    <row r="2734" spans="1:23">
      <c r="A2734" s="93" t="str">
        <f>TEXT(tblProjectlist[[#This Row],[project-no]],"0")</f>
        <v>15121326</v>
      </c>
      <c r="H2734" s="91">
        <v>1512</v>
      </c>
      <c r="I2734" s="91">
        <v>13</v>
      </c>
      <c r="J2734" s="91">
        <v>2</v>
      </c>
      <c r="K2734" s="91" t="s">
        <v>315</v>
      </c>
      <c r="L2734" s="91" t="s">
        <v>2175</v>
      </c>
      <c r="M2734" s="91" t="s">
        <v>4</v>
      </c>
      <c r="Q2734" s="91"/>
      <c r="S2734" s="91" t="s">
        <v>143</v>
      </c>
      <c r="T2734" s="91" t="s">
        <v>2300</v>
      </c>
      <c r="V2734" s="91" t="s">
        <v>155</v>
      </c>
      <c r="W2734" s="91" t="s">
        <v>180</v>
      </c>
    </row>
    <row r="2735" spans="1:23">
      <c r="A2735" s="93" t="str">
        <f>TEXT(tblProjectlist[[#This Row],[project-no]],"0")</f>
        <v>15121428</v>
      </c>
      <c r="H2735" s="91">
        <v>1512</v>
      </c>
      <c r="I2735" s="91">
        <v>14</v>
      </c>
      <c r="J2735" s="91">
        <v>2</v>
      </c>
      <c r="K2735" s="91" t="s">
        <v>316</v>
      </c>
      <c r="L2735" s="91" t="s">
        <v>2175</v>
      </c>
      <c r="M2735" s="91" t="s">
        <v>4</v>
      </c>
      <c r="Q2735" s="91"/>
      <c r="S2735" s="91" t="s">
        <v>143</v>
      </c>
      <c r="T2735" s="91" t="s">
        <v>2301</v>
      </c>
      <c r="V2735" s="91" t="s">
        <v>155</v>
      </c>
      <c r="W2735" s="91" t="s">
        <v>180</v>
      </c>
    </row>
    <row r="2736" spans="1:23">
      <c r="A2736" s="93" t="str">
        <f>TEXT(tblProjectlist[[#This Row],[project-no]],"0")</f>
        <v>0</v>
      </c>
      <c r="H2736" s="91">
        <v>1512</v>
      </c>
      <c r="I2736" s="91">
        <v>15</v>
      </c>
      <c r="J2736" s="91">
        <v>2</v>
      </c>
      <c r="K2736" s="91"/>
      <c r="L2736" s="91" t="s">
        <v>2175</v>
      </c>
      <c r="M2736" s="91" t="s">
        <v>4</v>
      </c>
      <c r="Q2736" s="91"/>
      <c r="S2736" s="91" t="s">
        <v>143</v>
      </c>
      <c r="T2736" s="91" t="s">
        <v>4602</v>
      </c>
      <c r="V2736" s="91" t="s">
        <v>155</v>
      </c>
      <c r="W2736" s="91" t="s">
        <v>180</v>
      </c>
    </row>
    <row r="2737" spans="1:23">
      <c r="A2737" s="93" t="str">
        <f>TEXT(tblProjectlist[[#This Row],[project-no]],"0")</f>
        <v>15270628</v>
      </c>
      <c r="H2737" s="91">
        <v>1527</v>
      </c>
      <c r="I2737" s="91">
        <v>6</v>
      </c>
      <c r="J2737" s="91">
        <v>2</v>
      </c>
      <c r="K2737" s="91" t="s">
        <v>317</v>
      </c>
      <c r="L2737" s="91" t="s">
        <v>197</v>
      </c>
      <c r="M2737" s="91" t="s">
        <v>4</v>
      </c>
      <c r="Q2737" s="91"/>
      <c r="S2737" s="91" t="s">
        <v>143</v>
      </c>
      <c r="T2737" s="91" t="s">
        <v>2302</v>
      </c>
      <c r="W2737" s="91" t="s">
        <v>180</v>
      </c>
    </row>
    <row r="2738" spans="1:23">
      <c r="A2738" s="93" t="str">
        <f>TEXT(tblProjectlist[[#This Row],[project-no]],"0")</f>
        <v>15670428</v>
      </c>
      <c r="H2738" s="91">
        <v>1567</v>
      </c>
      <c r="I2738" s="91">
        <v>4</v>
      </c>
      <c r="J2738" s="91">
        <v>2</v>
      </c>
      <c r="K2738" s="91" t="s">
        <v>318</v>
      </c>
      <c r="L2738" s="91" t="s">
        <v>2175</v>
      </c>
      <c r="M2738" s="91" t="s">
        <v>4</v>
      </c>
      <c r="Q2738" s="91"/>
      <c r="S2738" s="91" t="s">
        <v>143</v>
      </c>
      <c r="T2738" s="91" t="s">
        <v>2303</v>
      </c>
      <c r="V2738" s="91" t="s">
        <v>155</v>
      </c>
      <c r="W2738" s="91" t="s">
        <v>180</v>
      </c>
    </row>
    <row r="2739" spans="1:23">
      <c r="A2739" s="93" t="str">
        <f>TEXT(tblProjectlist[[#This Row],[project-no]],"0")</f>
        <v>15670528</v>
      </c>
      <c r="H2739" s="91">
        <v>1567</v>
      </c>
      <c r="I2739" s="91">
        <v>5</v>
      </c>
      <c r="J2739" s="91">
        <v>2</v>
      </c>
      <c r="K2739" s="91" t="s">
        <v>319</v>
      </c>
      <c r="L2739" s="91" t="s">
        <v>2175</v>
      </c>
      <c r="M2739" s="91" t="s">
        <v>4</v>
      </c>
      <c r="Q2739" s="91"/>
      <c r="S2739" s="91" t="s">
        <v>143</v>
      </c>
      <c r="T2739" s="91" t="s">
        <v>2304</v>
      </c>
      <c r="V2739" s="91" t="s">
        <v>155</v>
      </c>
      <c r="W2739" s="91" t="s">
        <v>180</v>
      </c>
    </row>
    <row r="2740" spans="1:23">
      <c r="A2740" s="93" t="str">
        <f>TEXT(tblProjectlist[[#This Row],[project-no]],"0")</f>
        <v>15671328</v>
      </c>
      <c r="H2740" s="91">
        <v>1567</v>
      </c>
      <c r="I2740" s="91">
        <v>13</v>
      </c>
      <c r="J2740" s="91">
        <v>2</v>
      </c>
      <c r="K2740" s="91" t="s">
        <v>320</v>
      </c>
      <c r="L2740" s="91" t="s">
        <v>2175</v>
      </c>
      <c r="M2740" s="91" t="s">
        <v>4</v>
      </c>
      <c r="Q2740" s="91"/>
      <c r="S2740" s="91" t="s">
        <v>143</v>
      </c>
      <c r="T2740" s="91" t="s">
        <v>2305</v>
      </c>
      <c r="V2740" s="91" t="s">
        <v>155</v>
      </c>
      <c r="W2740" s="91" t="s">
        <v>180</v>
      </c>
    </row>
    <row r="2741" spans="1:23">
      <c r="A2741" s="93" t="str">
        <f>TEXT(tblProjectlist[[#This Row],[project-no]],"0")</f>
        <v>15671428</v>
      </c>
      <c r="H2741" s="91">
        <v>1567</v>
      </c>
      <c r="I2741" s="91">
        <v>14</v>
      </c>
      <c r="J2741" s="91">
        <v>2</v>
      </c>
      <c r="K2741" s="91" t="s">
        <v>321</v>
      </c>
      <c r="L2741" s="91" t="s">
        <v>2175</v>
      </c>
      <c r="M2741" s="91" t="s">
        <v>4</v>
      </c>
      <c r="Q2741" s="91"/>
      <c r="S2741" s="91" t="s">
        <v>143</v>
      </c>
      <c r="T2741" s="91" t="s">
        <v>2306</v>
      </c>
      <c r="V2741" s="91" t="s">
        <v>155</v>
      </c>
      <c r="W2741" s="91" t="s">
        <v>180</v>
      </c>
    </row>
    <row r="2742" spans="1:23">
      <c r="A2742" s="93" t="str">
        <f>TEXT(tblProjectlist[[#This Row],[project-no]],"0")</f>
        <v>15671628</v>
      </c>
      <c r="H2742" s="91">
        <v>1567</v>
      </c>
      <c r="I2742" s="91">
        <v>16</v>
      </c>
      <c r="J2742" s="91">
        <v>2</v>
      </c>
      <c r="K2742" s="91" t="s">
        <v>322</v>
      </c>
      <c r="L2742" s="91" t="s">
        <v>2175</v>
      </c>
      <c r="M2742" s="91" t="s">
        <v>4</v>
      </c>
      <c r="Q2742" s="91"/>
      <c r="S2742" s="91" t="s">
        <v>143</v>
      </c>
      <c r="T2742" s="91" t="s">
        <v>2307</v>
      </c>
      <c r="V2742" s="91" t="s">
        <v>155</v>
      </c>
      <c r="W2742" s="91" t="s">
        <v>180</v>
      </c>
    </row>
    <row r="2743" spans="1:23">
      <c r="A2743" s="93" t="str">
        <f>TEXT(tblProjectlist[[#This Row],[project-no]],"0")</f>
        <v>15671728</v>
      </c>
      <c r="H2743" s="91">
        <v>1567</v>
      </c>
      <c r="I2743" s="91">
        <v>17</v>
      </c>
      <c r="J2743" s="91">
        <v>2</v>
      </c>
      <c r="K2743" s="91" t="s">
        <v>323</v>
      </c>
      <c r="L2743" s="91" t="s">
        <v>2175</v>
      </c>
      <c r="M2743" s="91" t="s">
        <v>4</v>
      </c>
      <c r="Q2743" s="91"/>
      <c r="S2743" s="91" t="s">
        <v>143</v>
      </c>
      <c r="T2743" s="91" t="s">
        <v>2308</v>
      </c>
      <c r="V2743" s="91" t="s">
        <v>155</v>
      </c>
      <c r="W2743" s="91" t="s">
        <v>180</v>
      </c>
    </row>
    <row r="2744" spans="1:23">
      <c r="A2744" s="93" t="str">
        <f>TEXT(tblProjectlist[[#This Row],[project-no]],"0")</f>
        <v>15671828</v>
      </c>
      <c r="H2744" s="91">
        <v>1567</v>
      </c>
      <c r="I2744" s="91">
        <v>18</v>
      </c>
      <c r="J2744" s="91">
        <v>2</v>
      </c>
      <c r="K2744" s="91" t="s">
        <v>324</v>
      </c>
      <c r="L2744" s="91" t="s">
        <v>2175</v>
      </c>
      <c r="M2744" s="91" t="s">
        <v>4</v>
      </c>
      <c r="Q2744" s="91"/>
      <c r="S2744" s="91" t="s">
        <v>143</v>
      </c>
      <c r="T2744" s="91" t="s">
        <v>2309</v>
      </c>
      <c r="V2744" s="91" t="s">
        <v>155</v>
      </c>
      <c r="W2744" s="91" t="s">
        <v>180</v>
      </c>
    </row>
    <row r="2745" spans="1:23">
      <c r="A2745" s="93" t="str">
        <f>TEXT(tblProjectlist[[#This Row],[project-no]],"0")</f>
        <v>15671928</v>
      </c>
      <c r="H2745" s="91">
        <v>1567</v>
      </c>
      <c r="I2745" s="91">
        <v>19</v>
      </c>
      <c r="J2745" s="91">
        <v>2</v>
      </c>
      <c r="K2745" s="91" t="s">
        <v>325</v>
      </c>
      <c r="L2745" s="91" t="s">
        <v>2175</v>
      </c>
      <c r="M2745" s="91" t="s">
        <v>4</v>
      </c>
      <c r="Q2745" s="91"/>
      <c r="S2745" s="91" t="s">
        <v>143</v>
      </c>
      <c r="T2745" s="91" t="s">
        <v>2310</v>
      </c>
      <c r="V2745" s="91" t="s">
        <v>155</v>
      </c>
      <c r="W2745" s="91" t="s">
        <v>180</v>
      </c>
    </row>
    <row r="2746" spans="1:23">
      <c r="A2746" s="93" t="str">
        <f>TEXT(tblProjectlist[[#This Row],[project-no]],"0")</f>
        <v>15672042</v>
      </c>
      <c r="H2746" s="91">
        <v>1567</v>
      </c>
      <c r="I2746" s="91">
        <v>20</v>
      </c>
      <c r="J2746" s="91">
        <v>4</v>
      </c>
      <c r="K2746" s="91">
        <v>15672042</v>
      </c>
      <c r="L2746" s="91" t="s">
        <v>2175</v>
      </c>
      <c r="M2746" s="91" t="s">
        <v>1</v>
      </c>
      <c r="Q2746" s="91"/>
      <c r="S2746" s="91" t="s">
        <v>143</v>
      </c>
      <c r="T2746" s="91" t="s">
        <v>2311</v>
      </c>
      <c r="V2746" s="91" t="s">
        <v>163</v>
      </c>
      <c r="W2746" s="91" t="s">
        <v>180</v>
      </c>
    </row>
    <row r="2747" spans="1:23">
      <c r="A2747" s="93" t="str">
        <f>TEXT(tblProjectlist[[#This Row],[project-no]],"0")</f>
        <v>15672049</v>
      </c>
      <c r="H2747" s="91">
        <v>1567</v>
      </c>
      <c r="I2747" s="91">
        <v>20</v>
      </c>
      <c r="J2747" s="91">
        <v>4</v>
      </c>
      <c r="K2747" s="91" t="s">
        <v>326</v>
      </c>
      <c r="L2747" s="91" t="s">
        <v>2175</v>
      </c>
      <c r="M2747" s="91" t="s">
        <v>1</v>
      </c>
      <c r="Q2747" s="91"/>
      <c r="S2747" s="91" t="s">
        <v>143</v>
      </c>
      <c r="T2747" s="91" t="s">
        <v>2311</v>
      </c>
      <c r="V2747" s="91" t="s">
        <v>158</v>
      </c>
      <c r="W2747" s="91" t="s">
        <v>180</v>
      </c>
    </row>
    <row r="2748" spans="1:23">
      <c r="A2748" s="93" t="str">
        <f>TEXT(tblProjectlist[[#This Row],[project-no]],"0")</f>
        <v>15672128</v>
      </c>
      <c r="H2748" s="91">
        <v>1567</v>
      </c>
      <c r="I2748" s="91">
        <v>21</v>
      </c>
      <c r="J2748" s="91">
        <v>2</v>
      </c>
      <c r="K2748" s="91" t="s">
        <v>327</v>
      </c>
      <c r="L2748" s="91" t="s">
        <v>2175</v>
      </c>
      <c r="M2748" s="91" t="s">
        <v>4</v>
      </c>
      <c r="Q2748" s="91"/>
      <c r="S2748" s="91" t="s">
        <v>143</v>
      </c>
      <c r="T2748" s="91" t="s">
        <v>2312</v>
      </c>
      <c r="V2748" s="91" t="s">
        <v>155</v>
      </c>
      <c r="W2748" s="91" t="s">
        <v>180</v>
      </c>
    </row>
    <row r="2749" spans="1:23">
      <c r="A2749" s="93" t="str">
        <f>TEXT(tblProjectlist[[#This Row],[project-no]],"0")</f>
        <v>0</v>
      </c>
      <c r="H2749" s="91">
        <v>1567</v>
      </c>
      <c r="I2749" s="91">
        <v>22</v>
      </c>
      <c r="J2749" s="91">
        <v>2</v>
      </c>
      <c r="K2749" s="91"/>
      <c r="L2749" s="91" t="s">
        <v>2175</v>
      </c>
      <c r="M2749" s="91" t="s">
        <v>4</v>
      </c>
      <c r="Q2749" s="91"/>
      <c r="S2749" s="91" t="s">
        <v>143</v>
      </c>
      <c r="T2749" s="91" t="s">
        <v>3567</v>
      </c>
      <c r="V2749" s="91" t="s">
        <v>155</v>
      </c>
      <c r="W2749" s="91" t="s">
        <v>180</v>
      </c>
    </row>
    <row r="2750" spans="1:23">
      <c r="A2750" s="93" t="str">
        <f>TEXT(tblProjectlist[[#This Row],[project-no]],"0")</f>
        <v>0</v>
      </c>
      <c r="H2750" s="91">
        <v>1567</v>
      </c>
      <c r="I2750" s="91">
        <v>23</v>
      </c>
      <c r="J2750" s="91">
        <v>2</v>
      </c>
      <c r="K2750" s="91"/>
      <c r="L2750" s="91" t="s">
        <v>2175</v>
      </c>
      <c r="M2750" s="91" t="s">
        <v>4</v>
      </c>
      <c r="Q2750" s="91"/>
      <c r="S2750" s="91" t="s">
        <v>143</v>
      </c>
      <c r="T2750" s="91" t="s">
        <v>3905</v>
      </c>
      <c r="V2750" s="91" t="s">
        <v>155</v>
      </c>
      <c r="W2750" s="91" t="s">
        <v>180</v>
      </c>
    </row>
    <row r="2751" spans="1:23">
      <c r="A2751" s="93" t="str">
        <f>TEXT(tblProjectlist[[#This Row],[project-no]],"0")</f>
        <v>0</v>
      </c>
      <c r="H2751" s="91">
        <v>1567</v>
      </c>
      <c r="I2751" s="91">
        <v>25</v>
      </c>
      <c r="J2751" s="91">
        <v>2</v>
      </c>
      <c r="K2751" s="91"/>
      <c r="L2751" s="91" t="s">
        <v>2175</v>
      </c>
      <c r="M2751" s="91" t="s">
        <v>4</v>
      </c>
      <c r="Q2751" s="91"/>
      <c r="S2751" s="91" t="s">
        <v>143</v>
      </c>
      <c r="T2751" s="91" t="s">
        <v>4219</v>
      </c>
      <c r="V2751" s="91" t="s">
        <v>155</v>
      </c>
      <c r="W2751" s="91" t="s">
        <v>180</v>
      </c>
    </row>
    <row r="2752" spans="1:23">
      <c r="A2752" s="93" t="str">
        <f>TEXT(tblProjectlist[[#This Row],[project-no]],"0")</f>
        <v>15672644</v>
      </c>
      <c r="H2752" s="91">
        <v>1567</v>
      </c>
      <c r="I2752" s="91">
        <v>26</v>
      </c>
      <c r="J2752" s="91">
        <v>4</v>
      </c>
      <c r="K2752" s="91">
        <v>15672644</v>
      </c>
      <c r="L2752" s="91" t="s">
        <v>58</v>
      </c>
      <c r="M2752" s="91" t="s">
        <v>1</v>
      </c>
      <c r="Q2752" s="91"/>
      <c r="S2752" s="91" t="s">
        <v>143</v>
      </c>
      <c r="T2752" s="91" t="s">
        <v>4335</v>
      </c>
      <c r="V2752" s="91" t="s">
        <v>158</v>
      </c>
      <c r="W2752" s="91" t="s">
        <v>180</v>
      </c>
    </row>
    <row r="2753" spans="1:23">
      <c r="A2753" s="93" t="str">
        <f>TEXT(tblProjectlist[[#This Row],[project-no]],"0")</f>
        <v>0</v>
      </c>
      <c r="H2753" s="91">
        <v>1567</v>
      </c>
      <c r="I2753" s="91">
        <v>27</v>
      </c>
      <c r="J2753" s="91">
        <v>2</v>
      </c>
      <c r="K2753" s="91"/>
      <c r="L2753" s="91" t="s">
        <v>197</v>
      </c>
      <c r="M2753" s="91" t="s">
        <v>4</v>
      </c>
      <c r="Q2753" s="91"/>
      <c r="S2753" s="91" t="s">
        <v>143</v>
      </c>
      <c r="T2753" s="91" t="s">
        <v>4367</v>
      </c>
      <c r="V2753" s="91" t="s">
        <v>155</v>
      </c>
      <c r="W2753" s="91" t="s">
        <v>180</v>
      </c>
    </row>
    <row r="2754" spans="1:23">
      <c r="A2754" s="93" t="str">
        <f>TEXT(tblProjectlist[[#This Row],[project-no]],"0")</f>
        <v>0</v>
      </c>
      <c r="H2754" s="91">
        <v>1567</v>
      </c>
      <c r="I2754" s="91">
        <v>28</v>
      </c>
      <c r="J2754" s="91">
        <v>2</v>
      </c>
      <c r="K2754" s="91"/>
      <c r="L2754" s="91" t="s">
        <v>2175</v>
      </c>
      <c r="M2754" s="91" t="s">
        <v>4</v>
      </c>
      <c r="Q2754" s="91"/>
      <c r="S2754" s="91" t="s">
        <v>143</v>
      </c>
      <c r="T2754" s="91" t="s">
        <v>4368</v>
      </c>
      <c r="V2754" s="91" t="s">
        <v>155</v>
      </c>
      <c r="W2754" s="91" t="s">
        <v>180</v>
      </c>
    </row>
    <row r="2755" spans="1:23">
      <c r="A2755" s="93" t="str">
        <f>TEXT(tblProjectlist[[#This Row],[project-no]],"0")</f>
        <v>0</v>
      </c>
      <c r="H2755" s="91">
        <v>1567</v>
      </c>
      <c r="I2755" s="91">
        <v>29</v>
      </c>
      <c r="J2755" s="91">
        <v>2</v>
      </c>
      <c r="K2755" s="91"/>
      <c r="L2755" s="91" t="s">
        <v>2175</v>
      </c>
      <c r="M2755" s="91" t="s">
        <v>4</v>
      </c>
      <c r="Q2755" s="91"/>
      <c r="S2755" s="91" t="s">
        <v>143</v>
      </c>
      <c r="T2755" s="91" t="s">
        <v>4741</v>
      </c>
      <c r="V2755" s="91" t="s">
        <v>155</v>
      </c>
      <c r="W2755" s="91" t="s">
        <v>180</v>
      </c>
    </row>
    <row r="2756" spans="1:23">
      <c r="A2756" s="93" t="str">
        <f>TEXT(tblProjectlist[[#This Row],[project-no]],"0")</f>
        <v>0</v>
      </c>
      <c r="H2756" s="91">
        <v>1568</v>
      </c>
      <c r="I2756" s="91">
        <v>11</v>
      </c>
      <c r="J2756" s="91">
        <v>2</v>
      </c>
      <c r="K2756" s="91"/>
      <c r="L2756" s="91" t="s">
        <v>2175</v>
      </c>
      <c r="M2756" s="91" t="s">
        <v>4</v>
      </c>
      <c r="Q2756" s="91"/>
      <c r="S2756" s="91" t="s">
        <v>143</v>
      </c>
      <c r="T2756" s="91" t="s">
        <v>4496</v>
      </c>
      <c r="V2756" s="91" t="s">
        <v>155</v>
      </c>
      <c r="W2756" s="91" t="s">
        <v>180</v>
      </c>
    </row>
    <row r="2757" spans="1:23">
      <c r="A2757" s="93" t="str">
        <f>TEXT(tblProjectlist[[#This Row],[project-no]],"0")</f>
        <v>15680128</v>
      </c>
      <c r="H2757" s="91">
        <v>1568</v>
      </c>
      <c r="I2757" s="91">
        <v>1</v>
      </c>
      <c r="J2757" s="91">
        <v>2</v>
      </c>
      <c r="K2757" s="91" t="s">
        <v>328</v>
      </c>
      <c r="L2757" s="91" t="s">
        <v>2175</v>
      </c>
      <c r="M2757" s="91" t="s">
        <v>4</v>
      </c>
      <c r="Q2757" s="91"/>
      <c r="S2757" s="91" t="s">
        <v>143</v>
      </c>
      <c r="T2757" s="91" t="s">
        <v>2313</v>
      </c>
      <c r="V2757" s="91" t="s">
        <v>155</v>
      </c>
      <c r="W2757" s="91" t="s">
        <v>180</v>
      </c>
    </row>
    <row r="2758" spans="1:23">
      <c r="A2758" s="93" t="str">
        <f>TEXT(tblProjectlist[[#This Row],[project-no]],"0")</f>
        <v>15681028</v>
      </c>
      <c r="H2758" s="91">
        <v>1568</v>
      </c>
      <c r="I2758" s="91">
        <v>10</v>
      </c>
      <c r="J2758" s="91">
        <v>2</v>
      </c>
      <c r="K2758" s="91" t="s">
        <v>329</v>
      </c>
      <c r="L2758" s="91" t="s">
        <v>2175</v>
      </c>
      <c r="M2758" s="91" t="s">
        <v>4</v>
      </c>
      <c r="Q2758" s="91"/>
      <c r="S2758" s="91" t="s">
        <v>143</v>
      </c>
      <c r="T2758" s="91" t="s">
        <v>2314</v>
      </c>
      <c r="V2758" s="91" t="s">
        <v>155</v>
      </c>
      <c r="W2758" s="91" t="s">
        <v>180</v>
      </c>
    </row>
    <row r="2759" spans="1:23">
      <c r="A2759" s="93" t="str">
        <f>TEXT(tblProjectlist[[#This Row],[project-no]],"0")</f>
        <v>0</v>
      </c>
      <c r="H2759" s="91">
        <v>1572</v>
      </c>
      <c r="I2759" s="91">
        <v>8</v>
      </c>
      <c r="J2759" s="91">
        <v>2</v>
      </c>
      <c r="K2759" s="91"/>
      <c r="L2759" s="91" t="s">
        <v>2175</v>
      </c>
      <c r="M2759" s="91" t="s">
        <v>4</v>
      </c>
      <c r="Q2759" s="91"/>
      <c r="S2759" s="91" t="s">
        <v>143</v>
      </c>
      <c r="T2759" s="91" t="s">
        <v>3804</v>
      </c>
      <c r="V2759" s="91" t="s">
        <v>155</v>
      </c>
      <c r="W2759" s="91" t="s">
        <v>180</v>
      </c>
    </row>
    <row r="2760" spans="1:23">
      <c r="A2760" s="93" t="str">
        <f>TEXT(tblProjectlist[[#This Row],[project-no]],"0")</f>
        <v>0</v>
      </c>
      <c r="H2760" s="91">
        <v>1572</v>
      </c>
      <c r="I2760" s="91">
        <v>9</v>
      </c>
      <c r="J2760" s="91">
        <v>2</v>
      </c>
      <c r="K2760" s="91"/>
      <c r="L2760" s="91" t="s">
        <v>2175</v>
      </c>
      <c r="M2760" s="91" t="s">
        <v>4</v>
      </c>
      <c r="Q2760" s="91"/>
      <c r="S2760" s="91" t="s">
        <v>143</v>
      </c>
      <c r="T2760" s="91" t="s">
        <v>3834</v>
      </c>
      <c r="V2760" s="91" t="s">
        <v>155</v>
      </c>
      <c r="W2760" s="91" t="s">
        <v>180</v>
      </c>
    </row>
    <row r="2761" spans="1:23">
      <c r="A2761" s="93" t="str">
        <f>TEXT(tblProjectlist[[#This Row],[project-no]],"0")</f>
        <v>0</v>
      </c>
      <c r="H2761" s="91">
        <v>1572</v>
      </c>
      <c r="I2761" s="91">
        <v>10</v>
      </c>
      <c r="J2761" s="91">
        <v>2</v>
      </c>
      <c r="K2761" s="91"/>
      <c r="L2761" s="91" t="s">
        <v>2175</v>
      </c>
      <c r="M2761" s="91" t="s">
        <v>4</v>
      </c>
      <c r="Q2761" s="91"/>
      <c r="S2761" s="91" t="s">
        <v>143</v>
      </c>
      <c r="T2761" s="91" t="s">
        <v>3835</v>
      </c>
      <c r="V2761" s="91" t="s">
        <v>155</v>
      </c>
      <c r="W2761" s="91" t="s">
        <v>180</v>
      </c>
    </row>
    <row r="2762" spans="1:23">
      <c r="A2762" s="93" t="str">
        <f>TEXT(tblProjectlist[[#This Row],[project-no]],"0")</f>
        <v>15720511</v>
      </c>
      <c r="H2762" s="91">
        <v>1572</v>
      </c>
      <c r="I2762" s="91">
        <v>5</v>
      </c>
      <c r="J2762" s="91">
        <v>1</v>
      </c>
      <c r="K2762" s="91" t="s">
        <v>333</v>
      </c>
      <c r="L2762" s="91" t="s">
        <v>2175</v>
      </c>
      <c r="M2762" s="91" t="s">
        <v>0</v>
      </c>
      <c r="Q2762" s="91"/>
      <c r="S2762" s="91" t="s">
        <v>143</v>
      </c>
      <c r="T2762" s="91" t="s">
        <v>2318</v>
      </c>
      <c r="V2762" s="91" t="s">
        <v>169</v>
      </c>
      <c r="W2762" s="91" t="s">
        <v>180</v>
      </c>
    </row>
    <row r="2763" spans="1:23">
      <c r="A2763" s="93" t="str">
        <f>TEXT(tblProjectlist[[#This Row],[project-no]],"0")</f>
        <v>15720513</v>
      </c>
      <c r="H2763" s="91">
        <v>1572</v>
      </c>
      <c r="I2763" s="91">
        <v>5</v>
      </c>
      <c r="J2763" s="91">
        <v>1</v>
      </c>
      <c r="K2763" s="91" t="s">
        <v>334</v>
      </c>
      <c r="L2763" s="91" t="s">
        <v>2175</v>
      </c>
      <c r="M2763" s="91" t="s">
        <v>0</v>
      </c>
      <c r="Q2763" s="91"/>
      <c r="S2763" s="91" t="s">
        <v>143</v>
      </c>
      <c r="T2763" s="91" t="s">
        <v>2318</v>
      </c>
      <c r="V2763" s="91" t="s">
        <v>167</v>
      </c>
      <c r="W2763" s="91" t="s">
        <v>180</v>
      </c>
    </row>
    <row r="2764" spans="1:23">
      <c r="A2764" s="93" t="str">
        <f>TEXT(tblProjectlist[[#This Row],[project-no]],"0")</f>
        <v>15720516</v>
      </c>
      <c r="H2764" s="91">
        <v>1572</v>
      </c>
      <c r="I2764" s="91">
        <v>5</v>
      </c>
      <c r="J2764" s="91">
        <v>1</v>
      </c>
      <c r="K2764" s="91" t="s">
        <v>335</v>
      </c>
      <c r="L2764" s="91" t="s">
        <v>2175</v>
      </c>
      <c r="M2764" s="91" t="s">
        <v>0</v>
      </c>
      <c r="Q2764" s="91"/>
      <c r="S2764" s="91" t="s">
        <v>143</v>
      </c>
      <c r="T2764" s="91" t="s">
        <v>2318</v>
      </c>
      <c r="V2764" s="91" t="s">
        <v>168</v>
      </c>
      <c r="W2764" s="91" t="s">
        <v>180</v>
      </c>
    </row>
    <row r="2765" spans="1:23">
      <c r="A2765" s="93" t="str">
        <f>TEXT(tblProjectlist[[#This Row],[project-no]],"0")</f>
        <v>15720628</v>
      </c>
      <c r="H2765" s="91">
        <v>1572</v>
      </c>
      <c r="I2765" s="91">
        <v>6</v>
      </c>
      <c r="J2765" s="91">
        <v>2</v>
      </c>
      <c r="K2765" s="91" t="s">
        <v>336</v>
      </c>
      <c r="L2765" s="91" t="s">
        <v>2175</v>
      </c>
      <c r="M2765" s="91" t="s">
        <v>4</v>
      </c>
      <c r="Q2765" s="91"/>
      <c r="S2765" s="91" t="s">
        <v>143</v>
      </c>
      <c r="T2765" s="91" t="s">
        <v>2319</v>
      </c>
      <c r="V2765" s="91" t="s">
        <v>155</v>
      </c>
      <c r="W2765" s="91" t="s">
        <v>180</v>
      </c>
    </row>
    <row r="2766" spans="1:23">
      <c r="A2766" s="93" t="str">
        <f>TEXT(tblProjectlist[[#This Row],[project-no]],"0")</f>
        <v>15720728</v>
      </c>
      <c r="H2766" s="91">
        <v>1572</v>
      </c>
      <c r="I2766" s="91">
        <v>7</v>
      </c>
      <c r="J2766" s="91">
        <v>2</v>
      </c>
      <c r="K2766" s="91" t="s">
        <v>337</v>
      </c>
      <c r="L2766" s="91" t="s">
        <v>2175</v>
      </c>
      <c r="M2766" s="91" t="s">
        <v>4</v>
      </c>
      <c r="Q2766" s="91"/>
      <c r="S2766" s="91" t="s">
        <v>143</v>
      </c>
      <c r="T2766" s="91" t="s">
        <v>2320</v>
      </c>
      <c r="V2766" s="91" t="s">
        <v>155</v>
      </c>
      <c r="W2766" s="91" t="s">
        <v>180</v>
      </c>
    </row>
    <row r="2767" spans="1:23">
      <c r="A2767" s="93" t="str">
        <f>TEXT(tblProjectlist[[#This Row],[project-no]],"0")</f>
        <v>0</v>
      </c>
      <c r="H2767" s="91">
        <v>1572</v>
      </c>
      <c r="I2767" s="91">
        <v>11</v>
      </c>
      <c r="J2767" s="91">
        <v>2</v>
      </c>
      <c r="K2767" s="91"/>
      <c r="L2767" s="91" t="s">
        <v>2175</v>
      </c>
      <c r="M2767" s="91" t="s">
        <v>4</v>
      </c>
      <c r="Q2767" s="91"/>
      <c r="S2767" s="91" t="s">
        <v>143</v>
      </c>
      <c r="T2767" s="91" t="s">
        <v>4067</v>
      </c>
      <c r="V2767" s="91" t="s">
        <v>155</v>
      </c>
      <c r="W2767" s="91" t="s">
        <v>180</v>
      </c>
    </row>
    <row r="2768" spans="1:23">
      <c r="A2768" s="93" t="str">
        <f>TEXT(tblProjectlist[[#This Row],[project-no]],"0")</f>
        <v>0</v>
      </c>
      <c r="H2768" s="91">
        <v>1900</v>
      </c>
      <c r="I2768" s="91">
        <v>36</v>
      </c>
      <c r="J2768" s="91">
        <v>2</v>
      </c>
      <c r="K2768" s="91"/>
      <c r="L2768" s="91" t="s">
        <v>2175</v>
      </c>
      <c r="M2768" s="91" t="s">
        <v>4</v>
      </c>
      <c r="Q2768" s="91"/>
      <c r="S2768" s="91" t="s">
        <v>143</v>
      </c>
      <c r="T2768" s="91" t="s">
        <v>4551</v>
      </c>
      <c r="V2768" s="91" t="s">
        <v>155</v>
      </c>
      <c r="W2768" s="91" t="s">
        <v>180</v>
      </c>
    </row>
    <row r="2769" spans="1:23">
      <c r="A2769" s="93" t="str">
        <f>TEXT(tblProjectlist[[#This Row],[project-no]],"0")</f>
        <v>19000128</v>
      </c>
      <c r="H2769" s="91">
        <v>1900</v>
      </c>
      <c r="I2769" s="91">
        <v>1</v>
      </c>
      <c r="J2769" s="91">
        <v>2</v>
      </c>
      <c r="K2769" s="91" t="s">
        <v>368</v>
      </c>
      <c r="L2769" s="91" t="s">
        <v>2175</v>
      </c>
      <c r="M2769" s="91" t="s">
        <v>4</v>
      </c>
      <c r="Q2769" s="91"/>
      <c r="S2769" s="91" t="s">
        <v>143</v>
      </c>
      <c r="T2769" s="91" t="s">
        <v>2342</v>
      </c>
      <c r="V2769" s="91" t="s">
        <v>155</v>
      </c>
      <c r="W2769" s="91" t="s">
        <v>180</v>
      </c>
    </row>
    <row r="2770" spans="1:23">
      <c r="A2770" s="93" t="str">
        <f>TEXT(tblProjectlist[[#This Row],[project-no]],"0")</f>
        <v>19003316</v>
      </c>
      <c r="H2770" s="91">
        <v>1900</v>
      </c>
      <c r="I2770" s="91">
        <v>33</v>
      </c>
      <c r="J2770" s="91">
        <v>1</v>
      </c>
      <c r="K2770" s="91" t="s">
        <v>369</v>
      </c>
      <c r="L2770" s="91" t="s">
        <v>2175</v>
      </c>
      <c r="M2770" s="91" t="s">
        <v>0</v>
      </c>
      <c r="Q2770" s="91"/>
      <c r="S2770" s="91" t="s">
        <v>143</v>
      </c>
      <c r="T2770" s="91" t="s">
        <v>2343</v>
      </c>
      <c r="V2770" s="91" t="s">
        <v>168</v>
      </c>
      <c r="W2770" s="91" t="s">
        <v>180</v>
      </c>
    </row>
    <row r="2771" spans="1:23">
      <c r="A2771" s="93" t="str">
        <f>TEXT(tblProjectlist[[#This Row],[project-no]],"0")</f>
        <v>19003428</v>
      </c>
      <c r="H2771" s="91">
        <v>1900</v>
      </c>
      <c r="I2771" s="91">
        <v>34</v>
      </c>
      <c r="J2771" s="91">
        <v>2</v>
      </c>
      <c r="K2771" s="91" t="s">
        <v>370</v>
      </c>
      <c r="L2771" s="91" t="s">
        <v>2175</v>
      </c>
      <c r="M2771" s="91" t="s">
        <v>4</v>
      </c>
      <c r="Q2771" s="91"/>
      <c r="S2771" s="91" t="s">
        <v>143</v>
      </c>
      <c r="T2771" s="91" t="s">
        <v>2344</v>
      </c>
      <c r="V2771" s="91" t="s">
        <v>155</v>
      </c>
      <c r="W2771" s="91" t="s">
        <v>180</v>
      </c>
    </row>
    <row r="2772" spans="1:23">
      <c r="A2772" s="93" t="str">
        <f>TEXT(tblProjectlist[[#This Row],[project-no]],"0")</f>
        <v>19003528</v>
      </c>
      <c r="H2772" s="91">
        <v>1900</v>
      </c>
      <c r="I2772" s="91">
        <v>35</v>
      </c>
      <c r="J2772" s="91">
        <v>2</v>
      </c>
      <c r="K2772" s="91" t="s">
        <v>371</v>
      </c>
      <c r="L2772" s="91" t="s">
        <v>2175</v>
      </c>
      <c r="M2772" s="91" t="s">
        <v>4</v>
      </c>
      <c r="Q2772" s="91"/>
      <c r="S2772" s="91" t="s">
        <v>143</v>
      </c>
      <c r="T2772" s="91" t="s">
        <v>2345</v>
      </c>
      <c r="V2772" s="91" t="s">
        <v>155</v>
      </c>
      <c r="W2772" s="91" t="s">
        <v>180</v>
      </c>
    </row>
    <row r="2773" spans="1:23">
      <c r="A2773" s="93" t="str">
        <f>TEXT(tblProjectlist[[#This Row],[project-no]],"0")</f>
        <v>20250128</v>
      </c>
      <c r="H2773" s="91">
        <v>2025</v>
      </c>
      <c r="I2773" s="91">
        <v>1</v>
      </c>
      <c r="J2773" s="91">
        <v>2</v>
      </c>
      <c r="K2773" s="91" t="s">
        <v>468</v>
      </c>
      <c r="L2773" s="91" t="s">
        <v>2175</v>
      </c>
      <c r="M2773" s="91" t="s">
        <v>4</v>
      </c>
      <c r="Q2773" s="91"/>
      <c r="S2773" s="91" t="s">
        <v>143</v>
      </c>
      <c r="T2773" s="91" t="s">
        <v>2412</v>
      </c>
      <c r="V2773" s="91" t="s">
        <v>155</v>
      </c>
      <c r="W2773" s="91" t="s">
        <v>180</v>
      </c>
    </row>
    <row r="2774" spans="1:23">
      <c r="A2774" s="93" t="str">
        <f>TEXT(tblProjectlist[[#This Row],[project-no]],"0")</f>
        <v>20250228</v>
      </c>
      <c r="H2774" s="91">
        <v>2025</v>
      </c>
      <c r="I2774" s="91">
        <v>2</v>
      </c>
      <c r="J2774" s="91">
        <v>2</v>
      </c>
      <c r="K2774" s="91" t="s">
        <v>469</v>
      </c>
      <c r="L2774" s="91" t="s">
        <v>2175</v>
      </c>
      <c r="M2774" s="91" t="s">
        <v>4</v>
      </c>
      <c r="Q2774" s="91"/>
      <c r="S2774" s="91" t="s">
        <v>143</v>
      </c>
      <c r="T2774" s="91" t="s">
        <v>2413</v>
      </c>
      <c r="V2774" s="91" t="s">
        <v>155</v>
      </c>
      <c r="W2774" s="91" t="s">
        <v>180</v>
      </c>
    </row>
    <row r="2775" spans="1:23">
      <c r="A2775" s="93" t="str">
        <f>TEXT(tblProjectlist[[#This Row],[project-no]],"0")</f>
        <v>30290128</v>
      </c>
      <c r="H2775" s="91">
        <v>3029</v>
      </c>
      <c r="I2775" s="91">
        <v>1</v>
      </c>
      <c r="J2775" s="91">
        <v>2</v>
      </c>
      <c r="K2775" s="91" t="s">
        <v>644</v>
      </c>
      <c r="L2775" s="91" t="s">
        <v>2175</v>
      </c>
      <c r="M2775" s="91" t="s">
        <v>4</v>
      </c>
      <c r="Q2775" s="91"/>
      <c r="S2775" s="91" t="s">
        <v>143</v>
      </c>
      <c r="T2775" s="91" t="s">
        <v>2548</v>
      </c>
      <c r="V2775" s="91" t="s">
        <v>155</v>
      </c>
      <c r="W2775" s="91" t="s">
        <v>180</v>
      </c>
    </row>
    <row r="2776" spans="1:23">
      <c r="A2776" s="93" t="str">
        <f>TEXT(tblProjectlist[[#This Row],[project-no]],"0")</f>
        <v>0</v>
      </c>
      <c r="H2776" s="91">
        <v>3029</v>
      </c>
      <c r="I2776" s="91">
        <v>6</v>
      </c>
      <c r="J2776" s="91">
        <v>2</v>
      </c>
      <c r="K2776" s="91"/>
      <c r="L2776" s="91" t="s">
        <v>2175</v>
      </c>
      <c r="M2776" s="91" t="s">
        <v>4</v>
      </c>
      <c r="Q2776" s="91"/>
      <c r="S2776" s="91" t="s">
        <v>143</v>
      </c>
      <c r="T2776" s="91" t="s">
        <v>4718</v>
      </c>
      <c r="V2776" s="91" t="s">
        <v>155</v>
      </c>
      <c r="W2776" s="91" t="s">
        <v>180</v>
      </c>
    </row>
    <row r="2777" spans="1:23">
      <c r="A2777" s="93" t="str">
        <f>TEXT(tblProjectlist[[#This Row],[project-no]],"0")</f>
        <v>0</v>
      </c>
      <c r="H2777" s="91">
        <v>7047</v>
      </c>
      <c r="I2777" s="91">
        <v>2</v>
      </c>
      <c r="J2777" s="91">
        <v>2</v>
      </c>
      <c r="K2777" s="91"/>
      <c r="L2777" s="91" t="s">
        <v>2175</v>
      </c>
      <c r="M2777" s="91" t="s">
        <v>4</v>
      </c>
      <c r="Q2777" s="91"/>
      <c r="S2777" s="91" t="s">
        <v>143</v>
      </c>
      <c r="T2777" s="91" t="s">
        <v>3693</v>
      </c>
      <c r="V2777" s="91" t="s">
        <v>155</v>
      </c>
      <c r="W2777" s="91" t="s">
        <v>180</v>
      </c>
    </row>
    <row r="2778" spans="1:23">
      <c r="A2778" s="93" t="str">
        <f>TEXT(tblProjectlist[[#This Row],[project-no]],"0")</f>
        <v>0</v>
      </c>
      <c r="H2778" s="91">
        <v>9963</v>
      </c>
      <c r="I2778" s="91">
        <v>97</v>
      </c>
      <c r="J2778" s="91">
        <v>1</v>
      </c>
      <c r="K2778" s="91"/>
      <c r="L2778" s="91" t="s">
        <v>2175</v>
      </c>
      <c r="M2778" s="91" t="s">
        <v>0</v>
      </c>
      <c r="Q2778" s="91"/>
      <c r="S2778" s="91" t="s">
        <v>143</v>
      </c>
      <c r="T2778" s="91" t="s">
        <v>4612</v>
      </c>
      <c r="V2778" s="91" t="s">
        <v>167</v>
      </c>
      <c r="W2778" s="91" t="s">
        <v>180</v>
      </c>
    </row>
    <row r="2779" spans="1:23">
      <c r="A2779" s="93" t="str">
        <f>TEXT(tblProjectlist[[#This Row],[project-no]],"0")</f>
        <v>21508647</v>
      </c>
      <c r="H2779" s="91">
        <v>9963</v>
      </c>
      <c r="I2779" s="91">
        <v>98</v>
      </c>
      <c r="J2779" s="91">
        <v>1</v>
      </c>
      <c r="K2779" s="91" t="s">
        <v>551</v>
      </c>
      <c r="L2779" s="91" t="s">
        <v>2175</v>
      </c>
      <c r="M2779" s="91" t="s">
        <v>0</v>
      </c>
      <c r="Q2779" s="91"/>
      <c r="S2779" s="91" t="s">
        <v>143</v>
      </c>
      <c r="T2779" s="91" t="s">
        <v>4611</v>
      </c>
      <c r="V2779" s="91" t="s">
        <v>167</v>
      </c>
      <c r="W2779" s="91" t="s">
        <v>180</v>
      </c>
    </row>
    <row r="2780" spans="1:23">
      <c r="A2780" s="93" t="str">
        <f>TEXT(tblProjectlist[[#This Row],[project-no]],"0")</f>
        <v>0</v>
      </c>
      <c r="H2780" s="91">
        <v>9963</v>
      </c>
      <c r="I2780" s="91">
        <v>99</v>
      </c>
      <c r="J2780" s="91">
        <v>1</v>
      </c>
      <c r="K2780" s="91"/>
      <c r="L2780" s="91" t="s">
        <v>2175</v>
      </c>
      <c r="M2780" s="91" t="s">
        <v>0</v>
      </c>
      <c r="Q2780" s="91"/>
      <c r="S2780" s="91" t="s">
        <v>143</v>
      </c>
      <c r="T2780" s="91" t="s">
        <v>4608</v>
      </c>
      <c r="V2780" s="91" t="s">
        <v>168</v>
      </c>
      <c r="W2780" s="91" t="s">
        <v>180</v>
      </c>
    </row>
    <row r="2781" spans="1:23">
      <c r="A2781" s="93" t="str">
        <f>TEXT(tblProjectlist[[#This Row],[project-no]],"0")</f>
        <v>0</v>
      </c>
      <c r="H2781" s="91">
        <v>9996</v>
      </c>
      <c r="I2781" s="91">
        <v>88</v>
      </c>
      <c r="J2781" s="91">
        <v>1</v>
      </c>
      <c r="K2781" s="91"/>
      <c r="L2781" s="91" t="s">
        <v>2175</v>
      </c>
      <c r="M2781" s="91" t="s">
        <v>0</v>
      </c>
      <c r="Q2781" s="91"/>
      <c r="S2781" s="91" t="s">
        <v>143</v>
      </c>
      <c r="T2781" s="91" t="s">
        <v>4159</v>
      </c>
      <c r="V2781" s="91" t="s">
        <v>169</v>
      </c>
      <c r="W2781" s="91" t="s">
        <v>180</v>
      </c>
    </row>
    <row r="2782" spans="1:23">
      <c r="A2782" s="93" t="str">
        <f>TEXT(tblProjectlist[[#This Row],[project-no]],"0")</f>
        <v>0</v>
      </c>
      <c r="H2782" s="91">
        <v>9996</v>
      </c>
      <c r="I2782" s="91">
        <v>88</v>
      </c>
      <c r="J2782" s="91">
        <v>1</v>
      </c>
      <c r="L2782" s="91" t="s">
        <v>2175</v>
      </c>
      <c r="M2782" s="91" t="s">
        <v>0</v>
      </c>
      <c r="Q2782" s="91"/>
      <c r="S2782" s="91" t="s">
        <v>143</v>
      </c>
      <c r="T2782" s="91" t="s">
        <v>4159</v>
      </c>
      <c r="V2782" s="91" t="s">
        <v>167</v>
      </c>
      <c r="W2782" s="91" t="s">
        <v>180</v>
      </c>
    </row>
    <row r="2783" spans="1:23">
      <c r="A2783" s="93" t="str">
        <f>TEXT(tblProjectlist[[#This Row],[project-no]],"0")</f>
        <v>0</v>
      </c>
      <c r="H2783" s="91">
        <v>9996</v>
      </c>
      <c r="I2783" s="91">
        <v>88</v>
      </c>
      <c r="J2783" s="91">
        <v>1</v>
      </c>
      <c r="K2783" s="91"/>
      <c r="L2783" s="91" t="s">
        <v>2175</v>
      </c>
      <c r="M2783" s="91" t="s">
        <v>0</v>
      </c>
      <c r="Q2783" s="91"/>
      <c r="S2783" s="91" t="s">
        <v>143</v>
      </c>
      <c r="T2783" s="91" t="s">
        <v>4159</v>
      </c>
      <c r="V2783" s="91" t="s">
        <v>168</v>
      </c>
      <c r="W2783" s="91" t="s">
        <v>180</v>
      </c>
    </row>
    <row r="2784" spans="1:23">
      <c r="A2784" s="93" t="str">
        <f>TEXT(tblProjectlist[[#This Row],[project-no]],"0")</f>
        <v>0</v>
      </c>
      <c r="H2784" s="91">
        <v>9996</v>
      </c>
      <c r="I2784" s="91">
        <v>89</v>
      </c>
      <c r="J2784" s="91">
        <v>2</v>
      </c>
      <c r="K2784" s="91"/>
      <c r="L2784" s="91" t="s">
        <v>2175</v>
      </c>
      <c r="M2784" s="91" t="s">
        <v>4</v>
      </c>
      <c r="Q2784" s="91"/>
      <c r="S2784" s="91" t="s">
        <v>143</v>
      </c>
      <c r="T2784" s="91" t="s">
        <v>4291</v>
      </c>
      <c r="V2784" s="91" t="s">
        <v>155</v>
      </c>
      <c r="W2784" s="91" t="s">
        <v>180</v>
      </c>
    </row>
    <row r="2785" spans="1:23">
      <c r="A2785" s="93" t="str">
        <f>TEXT(tblProjectlist[[#This Row],[project-no]],"0")</f>
        <v>0</v>
      </c>
      <c r="H2785" s="91">
        <v>9996</v>
      </c>
      <c r="I2785" s="91">
        <v>90</v>
      </c>
      <c r="J2785" s="91">
        <v>1</v>
      </c>
      <c r="K2785" s="91"/>
      <c r="L2785" s="91" t="s">
        <v>2175</v>
      </c>
      <c r="M2785" s="91" t="s">
        <v>0</v>
      </c>
      <c r="Q2785" s="91"/>
      <c r="S2785" s="91" t="s">
        <v>143</v>
      </c>
      <c r="T2785" s="91" t="s">
        <v>4422</v>
      </c>
      <c r="V2785" s="91" t="s">
        <v>169</v>
      </c>
      <c r="W2785" s="91" t="s">
        <v>180</v>
      </c>
    </row>
    <row r="2786" spans="1:23">
      <c r="A2786" s="93" t="str">
        <f>TEXT(tblProjectlist[[#This Row],[project-no]],"0")</f>
        <v>0</v>
      </c>
      <c r="H2786" s="91">
        <v>9996</v>
      </c>
      <c r="I2786" s="91">
        <v>90</v>
      </c>
      <c r="J2786" s="91">
        <v>1</v>
      </c>
      <c r="K2786" s="91"/>
      <c r="L2786" s="91" t="s">
        <v>2175</v>
      </c>
      <c r="M2786" s="91" t="s">
        <v>0</v>
      </c>
      <c r="Q2786" s="91"/>
      <c r="S2786" s="91" t="s">
        <v>143</v>
      </c>
      <c r="T2786" s="91" t="s">
        <v>4422</v>
      </c>
      <c r="V2786" s="91" t="s">
        <v>167</v>
      </c>
      <c r="W2786" s="91" t="s">
        <v>180</v>
      </c>
    </row>
    <row r="2787" spans="1:23">
      <c r="A2787" s="93" t="str">
        <f>TEXT(tblProjectlist[[#This Row],[project-no]],"0")</f>
        <v>0</v>
      </c>
      <c r="H2787" s="91">
        <v>9996</v>
      </c>
      <c r="I2787" s="91">
        <v>90</v>
      </c>
      <c r="J2787" s="91">
        <v>1</v>
      </c>
      <c r="K2787" s="91"/>
      <c r="L2787" s="91" t="s">
        <v>2175</v>
      </c>
      <c r="M2787" s="91" t="s">
        <v>0</v>
      </c>
      <c r="Q2787" s="91"/>
      <c r="S2787" s="91" t="s">
        <v>143</v>
      </c>
      <c r="T2787" s="91" t="s">
        <v>4422</v>
      </c>
      <c r="V2787" s="91" t="s">
        <v>168</v>
      </c>
      <c r="W2787" s="91" t="s">
        <v>180</v>
      </c>
    </row>
    <row r="2788" spans="1:23">
      <c r="A2788" s="93" t="str">
        <f>TEXT(tblProjectlist[[#This Row],[project-no]],"0")</f>
        <v>19804726</v>
      </c>
      <c r="H2788" s="91">
        <v>1980</v>
      </c>
      <c r="I2788" s="91">
        <v>47</v>
      </c>
      <c r="J2788" s="91">
        <v>2</v>
      </c>
      <c r="K2788" s="91" t="s">
        <v>419</v>
      </c>
      <c r="L2788" s="91" t="s">
        <v>62</v>
      </c>
      <c r="M2788" s="91" t="s">
        <v>4</v>
      </c>
      <c r="Q2788" s="91"/>
      <c r="S2788" s="91" t="s">
        <v>143</v>
      </c>
      <c r="T2788" s="91" t="s">
        <v>2374</v>
      </c>
      <c r="V2788" s="91" t="s">
        <v>155</v>
      </c>
      <c r="W2788" s="91" t="s">
        <v>180</v>
      </c>
    </row>
    <row r="2789" spans="1:23">
      <c r="A2789" s="93" t="str">
        <f>TEXT(tblProjectlist[[#This Row],[project-no]],"0")</f>
        <v>19804828</v>
      </c>
      <c r="H2789" s="91">
        <v>1980</v>
      </c>
      <c r="I2789" s="91">
        <v>48</v>
      </c>
      <c r="J2789" s="91">
        <v>2</v>
      </c>
      <c r="K2789" s="91" t="s">
        <v>420</v>
      </c>
      <c r="L2789" s="91" t="s">
        <v>2175</v>
      </c>
      <c r="M2789" s="91" t="s">
        <v>4</v>
      </c>
      <c r="Q2789" s="91"/>
      <c r="S2789" s="91" t="s">
        <v>143</v>
      </c>
      <c r="T2789" s="91" t="s">
        <v>2375</v>
      </c>
      <c r="V2789" s="91" t="s">
        <v>155</v>
      </c>
      <c r="W2789" s="91" t="s">
        <v>180</v>
      </c>
    </row>
    <row r="2790" spans="1:23">
      <c r="A2790" s="93" t="str">
        <f>TEXT(tblProjectlist[[#This Row],[project-no]],"0")</f>
        <v>19804928</v>
      </c>
      <c r="H2790" s="91">
        <v>1980</v>
      </c>
      <c r="I2790" s="91">
        <v>49</v>
      </c>
      <c r="J2790" s="91">
        <v>2</v>
      </c>
      <c r="K2790" s="91" t="s">
        <v>421</v>
      </c>
      <c r="L2790" s="91" t="s">
        <v>2175</v>
      </c>
      <c r="M2790" s="91" t="s">
        <v>4</v>
      </c>
      <c r="Q2790" s="91"/>
      <c r="S2790" s="91" t="s">
        <v>143</v>
      </c>
      <c r="T2790" s="91" t="s">
        <v>2376</v>
      </c>
      <c r="V2790" s="91" t="s">
        <v>155</v>
      </c>
      <c r="W2790" s="91" t="s">
        <v>180</v>
      </c>
    </row>
    <row r="2791" spans="1:23">
      <c r="A2791" s="93" t="str">
        <f>TEXT(tblProjectlist[[#This Row],[project-no]],"0")</f>
        <v>19805026</v>
      </c>
      <c r="H2791" s="91">
        <v>1980</v>
      </c>
      <c r="I2791" s="91">
        <v>50</v>
      </c>
      <c r="J2791" s="91">
        <v>2</v>
      </c>
      <c r="K2791" s="91" t="s">
        <v>422</v>
      </c>
      <c r="L2791" s="91" t="s">
        <v>2175</v>
      </c>
      <c r="M2791" s="91" t="s">
        <v>4</v>
      </c>
      <c r="Q2791" s="91"/>
      <c r="S2791" s="91" t="s">
        <v>143</v>
      </c>
      <c r="T2791" s="91" t="s">
        <v>2377</v>
      </c>
      <c r="V2791" s="91" t="s">
        <v>155</v>
      </c>
      <c r="W2791" s="91" t="s">
        <v>180</v>
      </c>
    </row>
    <row r="2792" spans="1:23">
      <c r="A2792" s="93" t="str">
        <f>TEXT(tblProjectlist[[#This Row],[project-no]],"0")</f>
        <v>19805128</v>
      </c>
      <c r="H2792" s="91">
        <v>1980</v>
      </c>
      <c r="I2792" s="91">
        <v>51</v>
      </c>
      <c r="J2792" s="91">
        <v>2</v>
      </c>
      <c r="K2792" s="91" t="s">
        <v>423</v>
      </c>
      <c r="L2792" s="91" t="s">
        <v>2175</v>
      </c>
      <c r="M2792" s="91" t="s">
        <v>4</v>
      </c>
      <c r="Q2792" s="91"/>
      <c r="S2792" s="91" t="s">
        <v>143</v>
      </c>
      <c r="T2792" s="91" t="s">
        <v>2378</v>
      </c>
      <c r="V2792" s="91" t="s">
        <v>155</v>
      </c>
      <c r="W2792" s="91" t="s">
        <v>180</v>
      </c>
    </row>
    <row r="2793" spans="1:23">
      <c r="A2793" s="93" t="str">
        <f>TEXT(tblProjectlist[[#This Row],[project-no]],"0")</f>
        <v>0</v>
      </c>
      <c r="H2793" s="91">
        <v>1980</v>
      </c>
      <c r="I2793" s="91">
        <v>52</v>
      </c>
      <c r="J2793" s="91">
        <v>1</v>
      </c>
      <c r="K2793" s="91"/>
      <c r="L2793" s="91" t="s">
        <v>2175</v>
      </c>
      <c r="M2793" s="91" t="s">
        <v>0</v>
      </c>
      <c r="Q2793" s="91"/>
      <c r="S2793" s="91" t="s">
        <v>143</v>
      </c>
      <c r="T2793" s="91" t="s">
        <v>4610</v>
      </c>
      <c r="V2793" s="91" t="s">
        <v>168</v>
      </c>
      <c r="W2793" s="91" t="s">
        <v>180</v>
      </c>
    </row>
    <row r="2794" spans="1:23">
      <c r="A2794" s="93" t="str">
        <f>TEXT(tblProjectlist[[#This Row],[project-no]],"0")</f>
        <v>99868128</v>
      </c>
      <c r="H2794" s="91">
        <v>1980</v>
      </c>
      <c r="I2794" s="91">
        <v>47</v>
      </c>
      <c r="J2794" s="91">
        <v>2</v>
      </c>
      <c r="K2794" s="91" t="s">
        <v>1409</v>
      </c>
      <c r="L2794" s="91" t="s">
        <v>62</v>
      </c>
      <c r="M2794" s="91" t="s">
        <v>4</v>
      </c>
      <c r="Q2794" s="91"/>
      <c r="S2794" s="91" t="s">
        <v>143</v>
      </c>
      <c r="T2794" s="91" t="s">
        <v>2374</v>
      </c>
      <c r="V2794" s="91" t="s">
        <v>155</v>
      </c>
      <c r="W2794" s="91" t="s">
        <v>180</v>
      </c>
    </row>
    <row r="2795" spans="1:23">
      <c r="A2795" s="93" t="str">
        <f>TEXT(tblProjectlist[[#This Row],[project-no]],"0")</f>
        <v>99962428</v>
      </c>
      <c r="H2795" s="91">
        <v>1980</v>
      </c>
      <c r="I2795" s="91">
        <v>48</v>
      </c>
      <c r="J2795" s="91">
        <v>2</v>
      </c>
      <c r="K2795" s="91" t="s">
        <v>1745</v>
      </c>
      <c r="L2795" s="91" t="s">
        <v>2175</v>
      </c>
      <c r="M2795" s="91" t="s">
        <v>4</v>
      </c>
      <c r="Q2795" s="91"/>
      <c r="S2795" s="91" t="s">
        <v>143</v>
      </c>
      <c r="T2795" s="91" t="s">
        <v>2375</v>
      </c>
      <c r="W2795" s="91" t="s">
        <v>180</v>
      </c>
    </row>
    <row r="2796" spans="1:23">
      <c r="A2796" s="93" t="str">
        <f>TEXT(tblProjectlist[[#This Row],[project-no]],"0")</f>
        <v>78117412</v>
      </c>
      <c r="H2796" s="91">
        <v>7811</v>
      </c>
      <c r="I2796" s="91">
        <v>74</v>
      </c>
      <c r="J2796" s="91">
        <v>1</v>
      </c>
      <c r="K2796" s="91" t="s">
        <v>1125</v>
      </c>
      <c r="L2796" s="91" t="s">
        <v>2175</v>
      </c>
      <c r="M2796" s="91" t="s">
        <v>0</v>
      </c>
      <c r="Q2796" s="91"/>
      <c r="S2796" s="91" t="s">
        <v>143</v>
      </c>
      <c r="T2796" s="91" t="s">
        <v>2990</v>
      </c>
      <c r="V2796" s="91" t="s">
        <v>169</v>
      </c>
      <c r="W2796" s="91" t="s">
        <v>180</v>
      </c>
    </row>
    <row r="2797" spans="1:23">
      <c r="A2797" s="93" t="str">
        <f>TEXT(tblProjectlist[[#This Row],[project-no]],"0")</f>
        <v>78117712</v>
      </c>
      <c r="H2797" s="91">
        <v>7811</v>
      </c>
      <c r="I2797" s="91">
        <v>77</v>
      </c>
      <c r="J2797" s="91">
        <v>1</v>
      </c>
      <c r="K2797" s="91" t="s">
        <v>1127</v>
      </c>
      <c r="L2797" s="91" t="s">
        <v>2175</v>
      </c>
      <c r="M2797" s="91" t="s">
        <v>0</v>
      </c>
      <c r="Q2797" s="91"/>
      <c r="S2797" s="91" t="s">
        <v>143</v>
      </c>
      <c r="T2797" s="91" t="s">
        <v>2992</v>
      </c>
      <c r="V2797" s="91" t="s">
        <v>169</v>
      </c>
      <c r="W2797" s="91" t="s">
        <v>180</v>
      </c>
    </row>
    <row r="2798" spans="1:23">
      <c r="A2798" s="93" t="str">
        <f>TEXT(tblProjectlist[[#This Row],[project-no]],"0")</f>
        <v>78119012</v>
      </c>
      <c r="H2798" s="91">
        <v>7811</v>
      </c>
      <c r="I2798" s="91">
        <v>90</v>
      </c>
      <c r="J2798" s="91">
        <v>1</v>
      </c>
      <c r="K2798" s="91" t="s">
        <v>1129</v>
      </c>
      <c r="L2798" s="91" t="s">
        <v>2175</v>
      </c>
      <c r="M2798" s="91" t="s">
        <v>0</v>
      </c>
      <c r="Q2798" s="91"/>
      <c r="S2798" s="91" t="s">
        <v>143</v>
      </c>
      <c r="T2798" s="91" t="s">
        <v>2994</v>
      </c>
      <c r="V2798" s="91" t="s">
        <v>169</v>
      </c>
      <c r="W2798" s="91" t="s">
        <v>180</v>
      </c>
    </row>
    <row r="2799" spans="1:23">
      <c r="A2799" s="93" t="str">
        <f>TEXT(tblProjectlist[[#This Row],[project-no]],"0")</f>
        <v>78119112</v>
      </c>
      <c r="H2799" s="91">
        <v>7811</v>
      </c>
      <c r="I2799" s="91">
        <v>91</v>
      </c>
      <c r="J2799" s="91">
        <v>1</v>
      </c>
      <c r="K2799" s="91" t="s">
        <v>1130</v>
      </c>
      <c r="L2799" s="91" t="s">
        <v>2175</v>
      </c>
      <c r="M2799" s="91" t="s">
        <v>0</v>
      </c>
      <c r="Q2799" s="91"/>
      <c r="S2799" s="91" t="s">
        <v>143</v>
      </c>
      <c r="T2799" s="91" t="s">
        <v>2995</v>
      </c>
      <c r="V2799" s="91" t="s">
        <v>169</v>
      </c>
      <c r="W2799" s="91" t="s">
        <v>180</v>
      </c>
    </row>
    <row r="2800" spans="1:23">
      <c r="A2800" s="93" t="str">
        <f>TEXT(tblProjectlist[[#This Row],[project-no]],"0")</f>
        <v>99909512</v>
      </c>
      <c r="H2800" s="91">
        <v>7811</v>
      </c>
      <c r="I2800" s="91">
        <v>91</v>
      </c>
      <c r="J2800" s="91">
        <v>1</v>
      </c>
      <c r="K2800" s="91" t="s">
        <v>1496</v>
      </c>
      <c r="L2800" s="91" t="s">
        <v>2175</v>
      </c>
      <c r="M2800" s="91" t="s">
        <v>0</v>
      </c>
      <c r="Q2800" s="91"/>
      <c r="S2800" s="91" t="s">
        <v>143</v>
      </c>
      <c r="T2800" s="91" t="s">
        <v>2995</v>
      </c>
      <c r="V2800" s="91" t="s">
        <v>169</v>
      </c>
      <c r="W2800" s="91" t="s">
        <v>180</v>
      </c>
    </row>
    <row r="2801" spans="1:23">
      <c r="A2801" s="93" t="str">
        <f>TEXT(tblProjectlist[[#This Row],[project-no]],"0")</f>
        <v>99909712</v>
      </c>
      <c r="H2801" s="91">
        <v>7811</v>
      </c>
      <c r="I2801" s="91">
        <v>74</v>
      </c>
      <c r="J2801" s="91">
        <v>1</v>
      </c>
      <c r="K2801" s="91" t="s">
        <v>1497</v>
      </c>
      <c r="L2801" s="91" t="s">
        <v>2175</v>
      </c>
      <c r="M2801" s="91" t="s">
        <v>0</v>
      </c>
      <c r="Q2801" s="91"/>
      <c r="S2801" s="91" t="s">
        <v>143</v>
      </c>
      <c r="T2801" s="91" t="s">
        <v>2990</v>
      </c>
      <c r="V2801" s="91" t="s">
        <v>169</v>
      </c>
      <c r="W2801" s="91" t="s">
        <v>180</v>
      </c>
    </row>
    <row r="2802" spans="1:23">
      <c r="A2802" s="93" t="str">
        <f>TEXT(tblProjectlist[[#This Row],[project-no]],"0")</f>
        <v>78120916</v>
      </c>
      <c r="H2802" s="91">
        <v>7812</v>
      </c>
      <c r="I2802" s="91">
        <v>9</v>
      </c>
      <c r="J2802" s="91">
        <v>1</v>
      </c>
      <c r="K2802" s="91" t="s">
        <v>1135</v>
      </c>
      <c r="L2802" s="91" t="s">
        <v>2175</v>
      </c>
      <c r="M2802" s="91" t="s">
        <v>0</v>
      </c>
      <c r="Q2802" s="91"/>
      <c r="S2802" s="91" t="s">
        <v>143</v>
      </c>
      <c r="T2802" s="91" t="s">
        <v>3000</v>
      </c>
      <c r="V2802" s="91" t="s">
        <v>168</v>
      </c>
      <c r="W2802" s="91" t="s">
        <v>180</v>
      </c>
    </row>
    <row r="2803" spans="1:23">
      <c r="A2803" s="93" t="str">
        <f>TEXT(tblProjectlist[[#This Row],[project-no]],"0")</f>
        <v>78121011</v>
      </c>
      <c r="H2803" s="91">
        <v>7812</v>
      </c>
      <c r="I2803" s="91">
        <v>10</v>
      </c>
      <c r="J2803" s="91">
        <v>1</v>
      </c>
      <c r="K2803" s="91" t="s">
        <v>1136</v>
      </c>
      <c r="L2803" s="91" t="s">
        <v>2175</v>
      </c>
      <c r="M2803" s="91" t="s">
        <v>0</v>
      </c>
      <c r="Q2803" s="91"/>
      <c r="S2803" s="91" t="s">
        <v>143</v>
      </c>
      <c r="T2803" s="91" t="s">
        <v>3001</v>
      </c>
      <c r="V2803" s="91" t="s">
        <v>169</v>
      </c>
      <c r="W2803" s="91" t="s">
        <v>180</v>
      </c>
    </row>
    <row r="2804" spans="1:23">
      <c r="A2804" s="93" t="str">
        <f>TEXT(tblProjectlist[[#This Row],[project-no]],"0")</f>
        <v>78121016</v>
      </c>
      <c r="H2804" s="91">
        <v>7812</v>
      </c>
      <c r="I2804" s="91">
        <v>10</v>
      </c>
      <c r="J2804" s="91">
        <v>1</v>
      </c>
      <c r="K2804" s="91" t="s">
        <v>1137</v>
      </c>
      <c r="L2804" s="91" t="s">
        <v>2175</v>
      </c>
      <c r="M2804" s="91" t="s">
        <v>0</v>
      </c>
      <c r="Q2804" s="91"/>
      <c r="S2804" s="91" t="s">
        <v>143</v>
      </c>
      <c r="T2804" s="91" t="s">
        <v>3001</v>
      </c>
      <c r="V2804" s="91" t="s">
        <v>168</v>
      </c>
      <c r="W2804" s="91" t="s">
        <v>180</v>
      </c>
    </row>
    <row r="2805" spans="1:23">
      <c r="A2805" s="93" t="str">
        <f>TEXT(tblProjectlist[[#This Row],[project-no]],"0")</f>
        <v>0</v>
      </c>
      <c r="H2805" s="91">
        <v>8116</v>
      </c>
      <c r="I2805" s="91">
        <v>4</v>
      </c>
      <c r="J2805" s="91">
        <v>2</v>
      </c>
      <c r="K2805" s="91"/>
      <c r="L2805" s="91" t="s">
        <v>2175</v>
      </c>
      <c r="M2805" s="91" t="s">
        <v>4</v>
      </c>
      <c r="Q2805" s="91"/>
      <c r="S2805" s="91" t="s">
        <v>143</v>
      </c>
      <c r="T2805" s="91" t="s">
        <v>3822</v>
      </c>
      <c r="V2805" s="91" t="s">
        <v>155</v>
      </c>
      <c r="W2805" s="91" t="s">
        <v>180</v>
      </c>
    </row>
    <row r="2806" spans="1:23">
      <c r="A2806" s="93" t="str">
        <f>TEXT(tblProjectlist[[#This Row],[project-no]],"0")</f>
        <v>0</v>
      </c>
      <c r="H2806" s="91">
        <v>8116</v>
      </c>
      <c r="I2806" s="91">
        <v>6</v>
      </c>
      <c r="J2806" s="91">
        <v>2</v>
      </c>
      <c r="K2806" s="91"/>
      <c r="L2806" s="91" t="s">
        <v>2175</v>
      </c>
      <c r="M2806" s="91" t="s">
        <v>4</v>
      </c>
      <c r="Q2806" s="91"/>
      <c r="S2806" s="91" t="s">
        <v>143</v>
      </c>
      <c r="T2806" s="91" t="s">
        <v>4209</v>
      </c>
      <c r="V2806" s="91" t="s">
        <v>155</v>
      </c>
      <c r="W2806" s="91" t="s">
        <v>180</v>
      </c>
    </row>
    <row r="2807" spans="1:23">
      <c r="A2807" s="93" t="str">
        <f>TEXT(tblProjectlist[[#This Row],[project-no]],"0")</f>
        <v>81160326</v>
      </c>
      <c r="H2807" s="91">
        <v>8116</v>
      </c>
      <c r="I2807" s="91">
        <v>3</v>
      </c>
      <c r="J2807" s="91">
        <v>2</v>
      </c>
      <c r="K2807" s="91" t="s">
        <v>1223</v>
      </c>
      <c r="L2807" s="91" t="s">
        <v>2175</v>
      </c>
      <c r="M2807" s="91" t="s">
        <v>4</v>
      </c>
      <c r="Q2807" s="91"/>
      <c r="S2807" s="91" t="s">
        <v>143</v>
      </c>
      <c r="T2807" s="91" t="s">
        <v>3075</v>
      </c>
      <c r="V2807" s="91" t="s">
        <v>155</v>
      </c>
      <c r="W2807" s="91" t="s">
        <v>180</v>
      </c>
    </row>
    <row r="2808" spans="1:23">
      <c r="A2808" s="93" t="str">
        <f>TEXT(tblProjectlist[[#This Row],[project-no]],"0")</f>
        <v>0</v>
      </c>
      <c r="H2808" s="91">
        <v>8116</v>
      </c>
      <c r="I2808" s="91">
        <v>5</v>
      </c>
      <c r="J2808" s="91">
        <v>2</v>
      </c>
      <c r="K2808" s="91"/>
      <c r="L2808" s="91" t="s">
        <v>2175</v>
      </c>
      <c r="M2808" s="91" t="s">
        <v>4</v>
      </c>
      <c r="Q2808" s="91"/>
      <c r="S2808" s="91" t="s">
        <v>143</v>
      </c>
      <c r="T2808" s="91" t="s">
        <v>3951</v>
      </c>
      <c r="V2808" s="91" t="s">
        <v>155</v>
      </c>
      <c r="W2808" s="91" t="s">
        <v>180</v>
      </c>
    </row>
    <row r="2809" spans="1:23">
      <c r="A2809" s="93" t="str">
        <f>TEXT(tblProjectlist[[#This Row],[project-no]],"0")</f>
        <v>30930228</v>
      </c>
      <c r="H2809" s="91">
        <v>3093</v>
      </c>
      <c r="I2809" s="91">
        <v>2</v>
      </c>
      <c r="J2809" s="91">
        <v>2</v>
      </c>
      <c r="K2809" s="91" t="s">
        <v>713</v>
      </c>
      <c r="L2809" s="91" t="s">
        <v>2175</v>
      </c>
      <c r="M2809" s="91" t="s">
        <v>4</v>
      </c>
      <c r="Q2809" s="91"/>
      <c r="S2809" s="91" t="s">
        <v>143</v>
      </c>
      <c r="T2809" s="91" t="s">
        <v>2613</v>
      </c>
      <c r="V2809" s="91" t="s">
        <v>155</v>
      </c>
      <c r="W2809" s="91" t="s">
        <v>180</v>
      </c>
    </row>
    <row r="2810" spans="1:23">
      <c r="A2810" s="93" t="str">
        <f>TEXT(tblProjectlist[[#This Row],[project-no]],"0")</f>
        <v>0</v>
      </c>
      <c r="H2810" s="91">
        <v>6119</v>
      </c>
      <c r="I2810" s="91">
        <v>2</v>
      </c>
      <c r="J2810" s="91">
        <v>2</v>
      </c>
      <c r="K2810" s="91"/>
      <c r="L2810" s="91" t="s">
        <v>2175</v>
      </c>
      <c r="M2810" s="91" t="s">
        <v>4</v>
      </c>
      <c r="Q2810" s="91"/>
      <c r="S2810" s="91" t="s">
        <v>143</v>
      </c>
      <c r="T2810" s="91" t="s">
        <v>3998</v>
      </c>
      <c r="V2810" s="91" t="s">
        <v>155</v>
      </c>
      <c r="W2810" s="91" t="s">
        <v>180</v>
      </c>
    </row>
    <row r="2811" spans="1:23">
      <c r="A2811" s="93" t="str">
        <f>TEXT(tblProjectlist[[#This Row],[project-no]],"0")</f>
        <v>30920845</v>
      </c>
      <c r="H2811" s="91">
        <v>3092</v>
      </c>
      <c r="I2811" s="91">
        <v>8</v>
      </c>
      <c r="J2811" s="91">
        <v>4</v>
      </c>
      <c r="K2811" s="91" t="s">
        <v>712</v>
      </c>
      <c r="L2811" s="91" t="s">
        <v>58</v>
      </c>
      <c r="M2811" s="91" t="s">
        <v>1</v>
      </c>
      <c r="Q2811" s="91"/>
      <c r="S2811" s="91" t="s">
        <v>143</v>
      </c>
      <c r="T2811" s="91" t="s">
        <v>2612</v>
      </c>
      <c r="W2811" s="91" t="s">
        <v>180</v>
      </c>
    </row>
    <row r="2812" spans="1:23">
      <c r="A2812" s="93" t="str">
        <f>TEXT(tblProjectlist[[#This Row],[project-no]],"0")</f>
        <v>99917043</v>
      </c>
      <c r="H2812" s="91">
        <v>6619</v>
      </c>
      <c r="I2812" s="91">
        <v>5</v>
      </c>
      <c r="J2812" s="91">
        <v>4</v>
      </c>
      <c r="K2812" s="91" t="s">
        <v>1530</v>
      </c>
      <c r="L2812" s="91" t="s">
        <v>58</v>
      </c>
      <c r="M2812" s="91" t="s">
        <v>1</v>
      </c>
      <c r="Q2812" s="91"/>
      <c r="S2812" s="91" t="s">
        <v>143</v>
      </c>
      <c r="T2812" s="91" t="s">
        <v>2770</v>
      </c>
      <c r="V2812" s="91" t="s">
        <v>164</v>
      </c>
      <c r="W2812" s="91" t="s">
        <v>180</v>
      </c>
    </row>
    <row r="2813" spans="1:23">
      <c r="A2813" s="93" t="str">
        <f>TEXT(tblProjectlist[[#This Row],[project-no]],"0")</f>
        <v>0</v>
      </c>
      <c r="H2813" s="91">
        <v>7010</v>
      </c>
      <c r="I2813" s="91">
        <v>5</v>
      </c>
      <c r="J2813" s="91">
        <v>2</v>
      </c>
      <c r="K2813" s="91"/>
      <c r="L2813" s="91" t="s">
        <v>2175</v>
      </c>
      <c r="M2813" s="91" t="s">
        <v>4</v>
      </c>
      <c r="Q2813" s="91"/>
      <c r="S2813" s="91" t="s">
        <v>143</v>
      </c>
      <c r="T2813" s="91" t="s">
        <v>3691</v>
      </c>
      <c r="V2813" s="91" t="s">
        <v>155</v>
      </c>
      <c r="W2813" s="91" t="s">
        <v>180</v>
      </c>
    </row>
    <row r="2814" spans="1:23">
      <c r="A2814" s="93" t="str">
        <f>TEXT(tblProjectlist[[#This Row],[project-no]],"0")</f>
        <v>0</v>
      </c>
      <c r="H2814" s="91">
        <v>7010</v>
      </c>
      <c r="I2814" s="91">
        <v>6</v>
      </c>
      <c r="J2814" s="91">
        <v>2</v>
      </c>
      <c r="K2814" s="91"/>
      <c r="L2814" s="91" t="s">
        <v>2175</v>
      </c>
      <c r="M2814" s="91" t="s">
        <v>4</v>
      </c>
      <c r="Q2814" s="91"/>
      <c r="S2814" s="91" t="s">
        <v>143</v>
      </c>
      <c r="T2814" s="91" t="s">
        <v>3865</v>
      </c>
      <c r="V2814" s="91" t="s">
        <v>155</v>
      </c>
      <c r="W2814" s="91" t="s">
        <v>180</v>
      </c>
    </row>
    <row r="2815" spans="1:23">
      <c r="A2815" s="93" t="str">
        <f>TEXT(tblProjectlist[[#This Row],[project-no]],"0")</f>
        <v>0</v>
      </c>
      <c r="H2815" s="91">
        <v>7010</v>
      </c>
      <c r="I2815" s="91">
        <v>7</v>
      </c>
      <c r="J2815" s="91">
        <v>2</v>
      </c>
      <c r="K2815" s="91"/>
      <c r="L2815" s="91" t="s">
        <v>2175</v>
      </c>
      <c r="M2815" s="91" t="s">
        <v>4</v>
      </c>
      <c r="Q2815" s="91"/>
      <c r="S2815" s="91" t="s">
        <v>143</v>
      </c>
      <c r="T2815" s="91" t="s">
        <v>4277</v>
      </c>
      <c r="V2815" s="91" t="s">
        <v>155</v>
      </c>
      <c r="W2815" s="91" t="s">
        <v>180</v>
      </c>
    </row>
    <row r="2816" spans="1:23">
      <c r="A2816" s="93" t="str">
        <f>TEXT(tblProjectlist[[#This Row],[project-no]],"0")</f>
        <v>70100228</v>
      </c>
      <c r="H2816" s="91">
        <v>7010</v>
      </c>
      <c r="I2816" s="91">
        <v>2</v>
      </c>
      <c r="J2816" s="91">
        <v>2</v>
      </c>
      <c r="K2816" s="91" t="s">
        <v>922</v>
      </c>
      <c r="L2816" s="91" t="s">
        <v>2175</v>
      </c>
      <c r="M2816" s="91" t="s">
        <v>4</v>
      </c>
      <c r="Q2816" s="91"/>
      <c r="S2816" s="91" t="s">
        <v>143</v>
      </c>
      <c r="T2816" s="91" t="s">
        <v>2797</v>
      </c>
      <c r="V2816" s="91" t="s">
        <v>155</v>
      </c>
      <c r="W2816" s="91" t="s">
        <v>180</v>
      </c>
    </row>
    <row r="2817" spans="1:23">
      <c r="A2817" s="93" t="str">
        <f>TEXT(tblProjectlist[[#This Row],[project-no]],"0")</f>
        <v>70100328</v>
      </c>
      <c r="H2817" s="91">
        <v>7010</v>
      </c>
      <c r="I2817" s="91">
        <v>3</v>
      </c>
      <c r="J2817" s="91">
        <v>2</v>
      </c>
      <c r="K2817" s="91" t="s">
        <v>923</v>
      </c>
      <c r="L2817" s="91" t="s">
        <v>2175</v>
      </c>
      <c r="M2817" s="91" t="s">
        <v>4</v>
      </c>
      <c r="Q2817" s="91"/>
      <c r="S2817" s="91" t="s">
        <v>143</v>
      </c>
      <c r="T2817" s="91" t="s">
        <v>2798</v>
      </c>
      <c r="V2817" s="91" t="s">
        <v>155</v>
      </c>
      <c r="W2817" s="91" t="s">
        <v>180</v>
      </c>
    </row>
    <row r="2818" spans="1:23">
      <c r="A2818" s="93" t="str">
        <f>TEXT(tblProjectlist[[#This Row],[project-no]],"0")</f>
        <v>70100411</v>
      </c>
      <c r="H2818" s="91">
        <v>7010</v>
      </c>
      <c r="I2818" s="91">
        <v>4</v>
      </c>
      <c r="J2818" s="91">
        <v>1</v>
      </c>
      <c r="K2818" s="91" t="s">
        <v>924</v>
      </c>
      <c r="L2818" s="91" t="s">
        <v>2175</v>
      </c>
      <c r="M2818" s="91" t="s">
        <v>0</v>
      </c>
      <c r="Q2818" s="91"/>
      <c r="S2818" s="91" t="s">
        <v>143</v>
      </c>
      <c r="T2818" s="91" t="s">
        <v>2799</v>
      </c>
      <c r="V2818" s="91" t="s">
        <v>169</v>
      </c>
      <c r="W2818" s="91" t="s">
        <v>180</v>
      </c>
    </row>
    <row r="2819" spans="1:23">
      <c r="A2819" s="93" t="str">
        <f>TEXT(tblProjectlist[[#This Row],[project-no]],"0")</f>
        <v>99620216</v>
      </c>
      <c r="H2819" s="91">
        <v>9962</v>
      </c>
      <c r="I2819" s="91">
        <v>2</v>
      </c>
      <c r="J2819" s="91">
        <v>1</v>
      </c>
      <c r="K2819" s="91" t="s">
        <v>1288</v>
      </c>
      <c r="L2819" s="91" t="s">
        <v>2175</v>
      </c>
      <c r="M2819" s="91" t="s">
        <v>0</v>
      </c>
      <c r="Q2819" s="91"/>
      <c r="S2819" s="91" t="s">
        <v>143</v>
      </c>
      <c r="T2819" s="91" t="s">
        <v>3138</v>
      </c>
      <c r="V2819" s="91" t="s">
        <v>168</v>
      </c>
      <c r="W2819" s="91" t="s">
        <v>180</v>
      </c>
    </row>
    <row r="2820" spans="1:23">
      <c r="A2820" s="93" t="str">
        <f>TEXT(tblProjectlist[[#This Row],[project-no]],"0")</f>
        <v>0</v>
      </c>
      <c r="H2820" s="91">
        <v>7695</v>
      </c>
      <c r="I2820" s="91">
        <v>4</v>
      </c>
      <c r="J2820" s="91">
        <v>2</v>
      </c>
      <c r="K2820" s="91"/>
      <c r="L2820" s="91" t="s">
        <v>197</v>
      </c>
      <c r="M2820" s="91" t="s">
        <v>4</v>
      </c>
      <c r="Q2820" s="91"/>
      <c r="S2820" s="91" t="s">
        <v>143</v>
      </c>
      <c r="T2820" s="91" t="s">
        <v>3793</v>
      </c>
      <c r="V2820" s="91" t="s">
        <v>155</v>
      </c>
      <c r="W2820" s="91" t="s">
        <v>180</v>
      </c>
    </row>
    <row r="2821" spans="1:23">
      <c r="A2821" s="93" t="str">
        <f>TEXT(tblProjectlist[[#This Row],[project-no]],"0")</f>
        <v>76950228</v>
      </c>
      <c r="H2821" s="91">
        <v>7695</v>
      </c>
      <c r="I2821" s="91">
        <v>2</v>
      </c>
      <c r="J2821" s="91">
        <v>2</v>
      </c>
      <c r="K2821" s="91" t="s">
        <v>1091</v>
      </c>
      <c r="L2821" s="91" t="s">
        <v>197</v>
      </c>
      <c r="M2821" s="91" t="s">
        <v>4</v>
      </c>
      <c r="Q2821" s="91"/>
      <c r="S2821" s="91" t="s">
        <v>143</v>
      </c>
      <c r="T2821" s="91" t="s">
        <v>2957</v>
      </c>
      <c r="W2821" s="91" t="s">
        <v>180</v>
      </c>
    </row>
    <row r="2822" spans="1:23">
      <c r="A2822" s="93" t="str">
        <f>TEXT(tblProjectlist[[#This Row],[project-no]],"0")</f>
        <v>76950328</v>
      </c>
      <c r="H2822" s="91">
        <v>7695</v>
      </c>
      <c r="I2822" s="91">
        <v>3</v>
      </c>
      <c r="J2822" s="91">
        <v>2</v>
      </c>
      <c r="K2822" s="91" t="s">
        <v>1092</v>
      </c>
      <c r="L2822" s="91" t="s">
        <v>197</v>
      </c>
      <c r="M2822" s="91" t="s">
        <v>4</v>
      </c>
      <c r="Q2822" s="91"/>
      <c r="S2822" s="91" t="s">
        <v>143</v>
      </c>
      <c r="T2822" s="91" t="s">
        <v>2958</v>
      </c>
      <c r="V2822" s="91" t="s">
        <v>155</v>
      </c>
      <c r="W2822" s="91" t="s">
        <v>180</v>
      </c>
    </row>
    <row r="2823" spans="1:23">
      <c r="A2823" s="93" t="str">
        <f>TEXT(tblProjectlist[[#This Row],[project-no]],"0")</f>
        <v>0</v>
      </c>
      <c r="H2823" s="91">
        <v>6145</v>
      </c>
      <c r="I2823" s="91">
        <v>2</v>
      </c>
      <c r="J2823" s="91">
        <v>2</v>
      </c>
      <c r="K2823" s="91"/>
      <c r="L2823" s="91" t="s">
        <v>2175</v>
      </c>
      <c r="M2823" s="91" t="s">
        <v>4</v>
      </c>
      <c r="Q2823" s="91"/>
      <c r="S2823" s="91" t="s">
        <v>143</v>
      </c>
      <c r="T2823" s="91">
        <v>6145022</v>
      </c>
      <c r="V2823" s="91" t="s">
        <v>155</v>
      </c>
      <c r="W2823" s="91" t="s">
        <v>180</v>
      </c>
    </row>
    <row r="2824" spans="1:23">
      <c r="A2824" s="93" t="str">
        <f>TEXT(tblProjectlist[[#This Row],[project-no]],"0")</f>
        <v>40070243</v>
      </c>
      <c r="H2824" s="91">
        <v>4007</v>
      </c>
      <c r="I2824" s="91">
        <v>2</v>
      </c>
      <c r="J2824" s="91">
        <v>4</v>
      </c>
      <c r="K2824" s="91" t="s">
        <v>757</v>
      </c>
      <c r="L2824" s="91" t="s">
        <v>197</v>
      </c>
      <c r="M2824" s="91" t="s">
        <v>1</v>
      </c>
      <c r="Q2824" s="91"/>
      <c r="S2824" s="91" t="s">
        <v>143</v>
      </c>
      <c r="T2824" s="91" t="s">
        <v>2653</v>
      </c>
      <c r="W2824" s="91" t="s">
        <v>180</v>
      </c>
    </row>
    <row r="2825" spans="1:23">
      <c r="A2825" s="93" t="str">
        <f>TEXT(tblProjectlist[[#This Row],[project-no]],"0")</f>
        <v>99851811</v>
      </c>
      <c r="H2825" s="91">
        <v>9985</v>
      </c>
      <c r="I2825" s="91">
        <v>18</v>
      </c>
      <c r="J2825" s="91">
        <v>1</v>
      </c>
      <c r="K2825" s="91" t="s">
        <v>1370</v>
      </c>
      <c r="L2825" s="91" t="s">
        <v>197</v>
      </c>
      <c r="M2825" s="91" t="s">
        <v>0</v>
      </c>
      <c r="Q2825" s="91"/>
      <c r="S2825" s="91" t="s">
        <v>143</v>
      </c>
      <c r="T2825" s="91" t="s">
        <v>3198</v>
      </c>
      <c r="V2825" s="91" t="s">
        <v>169</v>
      </c>
      <c r="W2825" s="91" t="s">
        <v>180</v>
      </c>
    </row>
    <row r="2826" spans="1:23">
      <c r="A2826" s="93" t="str">
        <f>TEXT(tblProjectlist[[#This Row],[project-no]],"0")</f>
        <v>0</v>
      </c>
      <c r="H2826" s="91">
        <v>7682</v>
      </c>
      <c r="I2826" s="91">
        <v>2</v>
      </c>
      <c r="J2826" s="91">
        <v>2</v>
      </c>
      <c r="K2826" s="91"/>
      <c r="L2826" s="91" t="s">
        <v>2175</v>
      </c>
      <c r="M2826" s="91" t="s">
        <v>4</v>
      </c>
      <c r="Q2826" s="91"/>
      <c r="S2826" s="91" t="s">
        <v>143</v>
      </c>
      <c r="T2826" s="91" t="s">
        <v>4389</v>
      </c>
      <c r="V2826" s="91" t="s">
        <v>155</v>
      </c>
      <c r="W2826" s="91" t="s">
        <v>180</v>
      </c>
    </row>
    <row r="2827" spans="1:23">
      <c r="A2827" s="93" t="str">
        <f>TEXT(tblProjectlist[[#This Row],[project-no]],"0")</f>
        <v>0</v>
      </c>
      <c r="H2827" s="91">
        <v>2007</v>
      </c>
      <c r="I2827" s="91">
        <v>12</v>
      </c>
      <c r="J2827" s="91">
        <v>1</v>
      </c>
      <c r="K2827" s="91"/>
      <c r="L2827" s="91" t="s">
        <v>2175</v>
      </c>
      <c r="M2827" s="91" t="s">
        <v>0</v>
      </c>
      <c r="Q2827" s="91"/>
      <c r="S2827" s="91" t="s">
        <v>143</v>
      </c>
      <c r="T2827" s="91" t="s">
        <v>3649</v>
      </c>
      <c r="V2827" s="91" t="s">
        <v>169</v>
      </c>
      <c r="W2827" s="91" t="s">
        <v>180</v>
      </c>
    </row>
    <row r="2828" spans="1:23">
      <c r="A2828" s="93" t="str">
        <f>TEXT(tblProjectlist[[#This Row],[project-no]],"0")</f>
        <v>0</v>
      </c>
      <c r="H2828" s="91">
        <v>2007</v>
      </c>
      <c r="I2828" s="91">
        <v>13</v>
      </c>
      <c r="J2828" s="91">
        <v>1</v>
      </c>
      <c r="K2828" s="91"/>
      <c r="L2828" s="91" t="s">
        <v>2175</v>
      </c>
      <c r="M2828" s="91" t="s">
        <v>0</v>
      </c>
      <c r="Q2828" s="91"/>
      <c r="S2828" s="91" t="s">
        <v>143</v>
      </c>
      <c r="T2828" s="91" t="s">
        <v>3651</v>
      </c>
      <c r="W2828" s="91" t="s">
        <v>180</v>
      </c>
    </row>
    <row r="2829" spans="1:23">
      <c r="A2829" s="93" t="str">
        <f>TEXT(tblProjectlist[[#This Row],[project-no]],"0")</f>
        <v>0</v>
      </c>
      <c r="H2829" s="91">
        <v>2007</v>
      </c>
      <c r="I2829" s="91">
        <v>14</v>
      </c>
      <c r="J2829" s="91">
        <v>1</v>
      </c>
      <c r="K2829" s="91"/>
      <c r="L2829" s="91" t="s">
        <v>2175</v>
      </c>
      <c r="M2829" s="91" t="s">
        <v>0</v>
      </c>
      <c r="Q2829" s="91"/>
      <c r="S2829" s="91" t="s">
        <v>143</v>
      </c>
      <c r="T2829" s="91" t="s">
        <v>3650</v>
      </c>
      <c r="W2829" s="91" t="s">
        <v>180</v>
      </c>
    </row>
    <row r="2830" spans="1:23">
      <c r="A2830" s="93" t="str">
        <f>TEXT(tblProjectlist[[#This Row],[project-no]],"0")</f>
        <v>0</v>
      </c>
      <c r="H2830" s="91">
        <v>2007</v>
      </c>
      <c r="I2830" s="91">
        <v>15</v>
      </c>
      <c r="J2830" s="91">
        <v>1</v>
      </c>
      <c r="K2830" s="91"/>
      <c r="L2830" s="91" t="s">
        <v>2175</v>
      </c>
      <c r="M2830" s="91" t="s">
        <v>0</v>
      </c>
      <c r="Q2830" s="91"/>
      <c r="S2830" s="91" t="s">
        <v>143</v>
      </c>
      <c r="T2830" s="91" t="s">
        <v>3766</v>
      </c>
      <c r="V2830" s="91" t="s">
        <v>169</v>
      </c>
      <c r="W2830" s="91" t="s">
        <v>180</v>
      </c>
    </row>
    <row r="2831" spans="1:23">
      <c r="A2831" s="93" t="str">
        <f>TEXT(tblProjectlist[[#This Row],[project-no]],"0")</f>
        <v>20070742</v>
      </c>
      <c r="H2831" s="91">
        <v>2007</v>
      </c>
      <c r="I2831" s="91">
        <v>7</v>
      </c>
      <c r="J2831" s="91">
        <v>4</v>
      </c>
      <c r="K2831" s="91" t="s">
        <v>449</v>
      </c>
      <c r="L2831" s="91" t="s">
        <v>58</v>
      </c>
      <c r="M2831" s="91" t="s">
        <v>1</v>
      </c>
      <c r="Q2831" s="91"/>
      <c r="S2831" s="91" t="s">
        <v>143</v>
      </c>
      <c r="T2831" s="91" t="s">
        <v>2398</v>
      </c>
      <c r="V2831" s="91" t="s">
        <v>163</v>
      </c>
      <c r="W2831" s="91" t="s">
        <v>180</v>
      </c>
    </row>
    <row r="2832" spans="1:23">
      <c r="A2832" s="93" t="str">
        <f>TEXT(tblProjectlist[[#This Row],[project-no]],"0")</f>
        <v>20070743</v>
      </c>
      <c r="H2832" s="91">
        <v>2007</v>
      </c>
      <c r="I2832" s="91">
        <v>7</v>
      </c>
      <c r="J2832" s="91">
        <v>4</v>
      </c>
      <c r="K2832" s="91" t="s">
        <v>450</v>
      </c>
      <c r="L2832" s="91" t="s">
        <v>58</v>
      </c>
      <c r="M2832" s="91" t="s">
        <v>1</v>
      </c>
      <c r="Q2832" s="91"/>
      <c r="S2832" s="91" t="s">
        <v>143</v>
      </c>
      <c r="T2832" s="91" t="s">
        <v>2398</v>
      </c>
      <c r="V2832" s="91" t="s">
        <v>164</v>
      </c>
      <c r="W2832" s="91" t="s">
        <v>180</v>
      </c>
    </row>
    <row r="2833" spans="1:23">
      <c r="A2833" s="93" t="str">
        <f>TEXT(tblProjectlist[[#This Row],[project-no]],"0")</f>
        <v>20070744</v>
      </c>
      <c r="H2833" s="91">
        <v>2007</v>
      </c>
      <c r="I2833" s="91">
        <v>7</v>
      </c>
      <c r="J2833" s="91">
        <v>4</v>
      </c>
      <c r="K2833" s="91" t="s">
        <v>451</v>
      </c>
      <c r="L2833" s="91" t="s">
        <v>58</v>
      </c>
      <c r="M2833" s="91" t="s">
        <v>1</v>
      </c>
      <c r="Q2833" s="91"/>
      <c r="S2833" s="91" t="s">
        <v>143</v>
      </c>
      <c r="T2833" s="91" t="s">
        <v>2398</v>
      </c>
      <c r="V2833" s="91" t="s">
        <v>160</v>
      </c>
      <c r="W2833" s="91" t="s">
        <v>180</v>
      </c>
    </row>
    <row r="2834" spans="1:23">
      <c r="A2834" s="93" t="str">
        <f>TEXT(tblProjectlist[[#This Row],[project-no]],"0")</f>
        <v>20070747</v>
      </c>
      <c r="H2834" s="91">
        <v>2007</v>
      </c>
      <c r="I2834" s="91">
        <v>7</v>
      </c>
      <c r="J2834" s="91">
        <v>4</v>
      </c>
      <c r="K2834" s="91" t="s">
        <v>452</v>
      </c>
      <c r="L2834" s="91" t="s">
        <v>58</v>
      </c>
      <c r="M2834" s="91" t="s">
        <v>1</v>
      </c>
      <c r="Q2834" s="91"/>
      <c r="S2834" s="91" t="s">
        <v>143</v>
      </c>
      <c r="T2834" s="91" t="s">
        <v>2398</v>
      </c>
      <c r="V2834" s="91" t="s">
        <v>162</v>
      </c>
      <c r="W2834" s="91" t="s">
        <v>180</v>
      </c>
    </row>
    <row r="2835" spans="1:23">
      <c r="A2835" s="93" t="str">
        <f>TEXT(tblProjectlist[[#This Row],[project-no]],"0")</f>
        <v>20071011</v>
      </c>
      <c r="H2835" s="91">
        <v>2007</v>
      </c>
      <c r="I2835" s="91">
        <v>10</v>
      </c>
      <c r="J2835" s="91">
        <v>1</v>
      </c>
      <c r="K2835" s="91" t="s">
        <v>453</v>
      </c>
      <c r="L2835" s="91" t="s">
        <v>2175</v>
      </c>
      <c r="M2835" s="91" t="s">
        <v>0</v>
      </c>
      <c r="Q2835" s="91"/>
      <c r="S2835" s="91" t="s">
        <v>143</v>
      </c>
      <c r="T2835" s="91" t="s">
        <v>2399</v>
      </c>
      <c r="V2835" s="91" t="s">
        <v>169</v>
      </c>
      <c r="W2835" s="91" t="s">
        <v>180</v>
      </c>
    </row>
    <row r="2836" spans="1:23">
      <c r="A2836" s="93" t="str">
        <f>TEXT(tblProjectlist[[#This Row],[project-no]],"0")</f>
        <v>20071016</v>
      </c>
      <c r="H2836" s="91">
        <v>2007</v>
      </c>
      <c r="I2836" s="91">
        <v>10</v>
      </c>
      <c r="J2836" s="91">
        <v>1</v>
      </c>
      <c r="K2836" s="91" t="s">
        <v>454</v>
      </c>
      <c r="L2836" s="91" t="s">
        <v>2175</v>
      </c>
      <c r="M2836" s="91" t="s">
        <v>0</v>
      </c>
      <c r="Q2836" s="91"/>
      <c r="S2836" s="91" t="s">
        <v>143</v>
      </c>
      <c r="T2836" s="91" t="s">
        <v>2399</v>
      </c>
      <c r="V2836" s="91" t="s">
        <v>168</v>
      </c>
      <c r="W2836" s="91" t="s">
        <v>180</v>
      </c>
    </row>
    <row r="2837" spans="1:23">
      <c r="A2837" s="93" t="str">
        <f>TEXT(tblProjectlist[[#This Row],[project-no]],"0")</f>
        <v>20071149</v>
      </c>
      <c r="H2837" s="91">
        <v>2007</v>
      </c>
      <c r="I2837" s="91">
        <v>11</v>
      </c>
      <c r="J2837" s="91">
        <v>4</v>
      </c>
      <c r="K2837" s="91" t="s">
        <v>455</v>
      </c>
      <c r="L2837" s="91" t="s">
        <v>58</v>
      </c>
      <c r="M2837" s="91" t="s">
        <v>1</v>
      </c>
      <c r="Q2837" s="91"/>
      <c r="S2837" s="91" t="s">
        <v>143</v>
      </c>
      <c r="T2837" s="91" t="s">
        <v>2400</v>
      </c>
      <c r="W2837" s="91" t="s">
        <v>180</v>
      </c>
    </row>
    <row r="2838" spans="1:23">
      <c r="A2838" s="93" t="str">
        <f>TEXT(tblProjectlist[[#This Row],[project-no]],"0")</f>
        <v>99896042</v>
      </c>
      <c r="H2838" s="91">
        <v>2007</v>
      </c>
      <c r="I2838" s="91">
        <v>7</v>
      </c>
      <c r="J2838" s="91">
        <v>4</v>
      </c>
      <c r="K2838" s="91" t="s">
        <v>1472</v>
      </c>
      <c r="L2838" s="91" t="s">
        <v>58</v>
      </c>
      <c r="M2838" s="91" t="s">
        <v>1</v>
      </c>
      <c r="Q2838" s="91"/>
      <c r="S2838" s="91" t="s">
        <v>143</v>
      </c>
      <c r="T2838" s="91" t="s">
        <v>2398</v>
      </c>
      <c r="V2838" s="91" t="s">
        <v>163</v>
      </c>
      <c r="W2838" s="91" t="s">
        <v>180</v>
      </c>
    </row>
    <row r="2839" spans="1:23">
      <c r="A2839" s="93" t="str">
        <f>TEXT(tblProjectlist[[#This Row],[project-no]],"0")</f>
        <v>99896043</v>
      </c>
      <c r="H2839" s="91">
        <v>2007</v>
      </c>
      <c r="I2839" s="91">
        <v>7</v>
      </c>
      <c r="J2839" s="91">
        <v>4</v>
      </c>
      <c r="K2839" s="91" t="s">
        <v>1473</v>
      </c>
      <c r="L2839" s="91" t="s">
        <v>58</v>
      </c>
      <c r="M2839" s="91" t="s">
        <v>1</v>
      </c>
      <c r="Q2839" s="91"/>
      <c r="S2839" s="91" t="s">
        <v>143</v>
      </c>
      <c r="T2839" s="91" t="s">
        <v>2398</v>
      </c>
      <c r="V2839" s="91" t="s">
        <v>164</v>
      </c>
      <c r="W2839" s="91" t="s">
        <v>180</v>
      </c>
    </row>
    <row r="2840" spans="1:23">
      <c r="A2840" s="93" t="str">
        <f>TEXT(tblProjectlist[[#This Row],[project-no]],"0")</f>
        <v>99896044</v>
      </c>
      <c r="H2840" s="91">
        <v>2007</v>
      </c>
      <c r="I2840" s="91">
        <v>7</v>
      </c>
      <c r="J2840" s="91">
        <v>4</v>
      </c>
      <c r="K2840" s="91" t="s">
        <v>1474</v>
      </c>
      <c r="L2840" s="91" t="s">
        <v>58</v>
      </c>
      <c r="M2840" s="91" t="s">
        <v>1</v>
      </c>
      <c r="Q2840" s="91"/>
      <c r="S2840" s="91" t="s">
        <v>143</v>
      </c>
      <c r="T2840" s="91" t="s">
        <v>2398</v>
      </c>
      <c r="V2840" s="91" t="s">
        <v>160</v>
      </c>
      <c r="W2840" s="91" t="s">
        <v>180</v>
      </c>
    </row>
    <row r="2841" spans="1:23">
      <c r="A2841" s="93" t="str">
        <f>TEXT(tblProjectlist[[#This Row],[project-no]],"0")</f>
        <v>99966516</v>
      </c>
      <c r="H2841" s="91">
        <v>2007</v>
      </c>
      <c r="I2841" s="91">
        <v>10</v>
      </c>
      <c r="J2841" s="91">
        <v>1</v>
      </c>
      <c r="K2841" s="91" t="s">
        <v>1781</v>
      </c>
      <c r="L2841" s="91" t="s">
        <v>2175</v>
      </c>
      <c r="M2841" s="91" t="s">
        <v>0</v>
      </c>
      <c r="Q2841" s="91"/>
      <c r="S2841" s="91" t="s">
        <v>143</v>
      </c>
      <c r="T2841" s="91" t="s">
        <v>2399</v>
      </c>
      <c r="V2841" s="91" t="s">
        <v>168</v>
      </c>
      <c r="W2841" s="91" t="s">
        <v>180</v>
      </c>
    </row>
    <row r="2842" spans="1:23">
      <c r="A2842" s="93" t="str">
        <f>TEXT(tblProjectlist[[#This Row],[project-no]],"0")</f>
        <v>99896011</v>
      </c>
      <c r="H2842" s="91">
        <v>9989</v>
      </c>
      <c r="I2842" s="91">
        <v>60</v>
      </c>
      <c r="J2842" s="91">
        <v>1</v>
      </c>
      <c r="K2842" s="91" t="s">
        <v>1471</v>
      </c>
      <c r="L2842" s="91" t="s">
        <v>2175</v>
      </c>
      <c r="M2842" s="91" t="s">
        <v>0</v>
      </c>
      <c r="Q2842" s="91"/>
      <c r="S2842" s="91" t="s">
        <v>143</v>
      </c>
      <c r="T2842" s="91" t="s">
        <v>3232</v>
      </c>
      <c r="V2842" s="91" t="s">
        <v>169</v>
      </c>
      <c r="W2842" s="91" t="s">
        <v>180</v>
      </c>
    </row>
    <row r="2843" spans="1:23">
      <c r="A2843" s="93" t="str">
        <f>TEXT(tblProjectlist[[#This Row],[project-no]],"0")</f>
        <v>99915111</v>
      </c>
      <c r="H2843" s="91">
        <v>9991</v>
      </c>
      <c r="I2843" s="91">
        <v>51</v>
      </c>
      <c r="J2843" s="91">
        <v>1</v>
      </c>
      <c r="K2843" s="91" t="s">
        <v>1526</v>
      </c>
      <c r="L2843" s="91" t="s">
        <v>2175</v>
      </c>
      <c r="M2843" s="91" t="s">
        <v>0</v>
      </c>
      <c r="Q2843" s="91"/>
      <c r="S2843" s="91" t="s">
        <v>143</v>
      </c>
      <c r="T2843" s="91" t="s">
        <v>3253</v>
      </c>
      <c r="V2843" s="91" t="s">
        <v>169</v>
      </c>
      <c r="W2843" s="91" t="s">
        <v>180</v>
      </c>
    </row>
    <row r="2844" spans="1:23">
      <c r="A2844" s="93" t="str">
        <f>TEXT(tblProjectlist[[#This Row],[project-no]],"0")</f>
        <v>99946511</v>
      </c>
      <c r="H2844" s="91">
        <v>9991</v>
      </c>
      <c r="I2844" s="91">
        <v>51</v>
      </c>
      <c r="J2844" s="91">
        <v>1</v>
      </c>
      <c r="K2844" s="91" t="s">
        <v>1601</v>
      </c>
      <c r="L2844" s="91" t="s">
        <v>2175</v>
      </c>
      <c r="M2844" s="91" t="s">
        <v>0</v>
      </c>
      <c r="Q2844" s="91"/>
      <c r="S2844" s="91" t="s">
        <v>143</v>
      </c>
      <c r="T2844" s="91" t="s">
        <v>3253</v>
      </c>
      <c r="V2844" s="91" t="s">
        <v>169</v>
      </c>
      <c r="W2844" s="91" t="s">
        <v>180</v>
      </c>
    </row>
    <row r="2845" spans="1:23">
      <c r="A2845" s="93" t="str">
        <f>TEXT(tblProjectlist[[#This Row],[project-no]],"0")</f>
        <v>99966549</v>
      </c>
      <c r="H2845" s="91">
        <v>9996</v>
      </c>
      <c r="I2845" s="91">
        <v>65</v>
      </c>
      <c r="J2845" s="91">
        <v>4</v>
      </c>
      <c r="K2845" s="91" t="s">
        <v>1782</v>
      </c>
      <c r="L2845" s="91" t="s">
        <v>2175</v>
      </c>
      <c r="M2845" s="91" t="s">
        <v>1</v>
      </c>
      <c r="Q2845" s="91"/>
      <c r="S2845" s="91" t="s">
        <v>143</v>
      </c>
      <c r="T2845" s="91" t="s">
        <v>3351</v>
      </c>
      <c r="V2845" s="91" t="s">
        <v>158</v>
      </c>
      <c r="W2845" s="91" t="s">
        <v>180</v>
      </c>
    </row>
    <row r="2846" spans="1:23">
      <c r="A2846" s="93" t="str">
        <f>TEXT(tblProjectlist[[#This Row],[project-no]],"0")</f>
        <v>88660426</v>
      </c>
      <c r="H2846" s="91">
        <v>8866</v>
      </c>
      <c r="I2846" s="91">
        <v>4</v>
      </c>
      <c r="J2846" s="91">
        <v>2</v>
      </c>
      <c r="K2846" s="91" t="s">
        <v>1255</v>
      </c>
      <c r="L2846" s="91" t="s">
        <v>64</v>
      </c>
      <c r="M2846" s="91" t="s">
        <v>4</v>
      </c>
      <c r="Q2846" s="91"/>
      <c r="S2846" s="91" t="s">
        <v>143</v>
      </c>
      <c r="T2846" s="91" t="s">
        <v>3106</v>
      </c>
      <c r="W2846" s="91" t="s">
        <v>180</v>
      </c>
    </row>
    <row r="2847" spans="1:23">
      <c r="A2847" s="93" t="str">
        <f>TEXT(tblProjectlist[[#This Row],[project-no]],"0")</f>
        <v>75000211</v>
      </c>
      <c r="H2847" s="91">
        <v>7500</v>
      </c>
      <c r="I2847" s="91">
        <v>2</v>
      </c>
      <c r="J2847" s="91">
        <v>1</v>
      </c>
      <c r="K2847" s="91" t="s">
        <v>978</v>
      </c>
      <c r="L2847" s="91" t="s">
        <v>2175</v>
      </c>
      <c r="M2847" s="91" t="s">
        <v>0</v>
      </c>
      <c r="Q2847" s="91"/>
      <c r="S2847" s="91" t="s">
        <v>143</v>
      </c>
      <c r="T2847" s="91" t="s">
        <v>2848</v>
      </c>
      <c r="V2847" s="91" t="s">
        <v>169</v>
      </c>
      <c r="W2847" s="91" t="s">
        <v>180</v>
      </c>
    </row>
    <row r="2848" spans="1:23">
      <c r="A2848" s="93" t="str">
        <f>TEXT(tblProjectlist[[#This Row],[project-no]],"0")</f>
        <v>75000216</v>
      </c>
      <c r="H2848" s="91">
        <v>7500</v>
      </c>
      <c r="I2848" s="91">
        <v>2</v>
      </c>
      <c r="J2848" s="91">
        <v>1</v>
      </c>
      <c r="K2848" s="91" t="s">
        <v>979</v>
      </c>
      <c r="L2848" s="91" t="s">
        <v>2175</v>
      </c>
      <c r="M2848" s="91" t="s">
        <v>0</v>
      </c>
      <c r="Q2848" s="91"/>
      <c r="S2848" s="91" t="s">
        <v>143</v>
      </c>
      <c r="T2848" s="91" t="s">
        <v>2848</v>
      </c>
      <c r="V2848" s="91" t="s">
        <v>168</v>
      </c>
      <c r="W2848" s="91" t="s">
        <v>180</v>
      </c>
    </row>
    <row r="2849" spans="1:23">
      <c r="A2849" s="93" t="str">
        <f>TEXT(tblProjectlist[[#This Row],[project-no]],"0")</f>
        <v>0</v>
      </c>
      <c r="H2849" s="91">
        <v>3165</v>
      </c>
      <c r="I2849" s="91">
        <v>2</v>
      </c>
      <c r="J2849" s="91">
        <v>2</v>
      </c>
      <c r="K2849" s="91"/>
      <c r="L2849" s="91" t="s">
        <v>62</v>
      </c>
      <c r="M2849" s="91" t="s">
        <v>4</v>
      </c>
      <c r="Q2849" s="91"/>
      <c r="S2849" s="91" t="s">
        <v>143</v>
      </c>
      <c r="T2849" s="91" t="s">
        <v>4119</v>
      </c>
      <c r="V2849" s="91" t="s">
        <v>155</v>
      </c>
      <c r="W2849" s="91" t="s">
        <v>180</v>
      </c>
    </row>
    <row r="2850" spans="1:23">
      <c r="A2850" s="93" t="str">
        <f>TEXT(tblProjectlist[[#This Row],[project-no]],"0")</f>
        <v>31040211</v>
      </c>
      <c r="H2850" s="91">
        <v>3104</v>
      </c>
      <c r="I2850" s="91">
        <v>2</v>
      </c>
      <c r="J2850" s="91">
        <v>1</v>
      </c>
      <c r="K2850" s="91" t="s">
        <v>4211</v>
      </c>
      <c r="L2850" s="91" t="s">
        <v>2175</v>
      </c>
      <c r="M2850" s="91" t="s">
        <v>0</v>
      </c>
      <c r="Q2850" s="91"/>
      <c r="S2850" s="91" t="s">
        <v>143</v>
      </c>
      <c r="T2850" s="91" t="s">
        <v>4229</v>
      </c>
      <c r="V2850" s="91" t="s">
        <v>169</v>
      </c>
      <c r="W2850" s="91" t="s">
        <v>180</v>
      </c>
    </row>
    <row r="2851" spans="1:23">
      <c r="A2851" s="93" t="str">
        <f>TEXT(tblProjectlist[[#This Row],[project-no]],"0")</f>
        <v>31040211</v>
      </c>
      <c r="H2851" s="91">
        <v>3104</v>
      </c>
      <c r="I2851" s="91">
        <v>2</v>
      </c>
      <c r="J2851" s="91">
        <v>1</v>
      </c>
      <c r="K2851" s="91" t="s">
        <v>4211</v>
      </c>
      <c r="L2851" s="91" t="s">
        <v>2175</v>
      </c>
      <c r="M2851" s="91" t="s">
        <v>0</v>
      </c>
      <c r="Q2851" s="91"/>
      <c r="S2851" s="91" t="s">
        <v>143</v>
      </c>
      <c r="T2851" s="91" t="s">
        <v>4229</v>
      </c>
      <c r="V2851" s="91" t="s">
        <v>168</v>
      </c>
      <c r="W2851" s="91" t="s">
        <v>180</v>
      </c>
    </row>
    <row r="2852" spans="1:23">
      <c r="A2852" s="93" t="str">
        <f>TEXT(tblProjectlist[[#This Row],[project-no]],"0")</f>
        <v>0</v>
      </c>
      <c r="H2852" s="91">
        <v>2040</v>
      </c>
      <c r="I2852" s="91">
        <v>2</v>
      </c>
      <c r="J2852" s="91">
        <v>2</v>
      </c>
      <c r="K2852" s="91"/>
      <c r="L2852" s="91" t="s">
        <v>2175</v>
      </c>
      <c r="M2852" s="91" t="s">
        <v>4</v>
      </c>
      <c r="Q2852" s="91"/>
      <c r="S2852" s="91" t="s">
        <v>143</v>
      </c>
      <c r="T2852" s="91" t="s">
        <v>3654</v>
      </c>
      <c r="V2852" s="91" t="s">
        <v>155</v>
      </c>
      <c r="W2852" s="91" t="s">
        <v>180</v>
      </c>
    </row>
    <row r="2853" spans="1:23">
      <c r="A2853" s="93" t="str">
        <f>TEXT(tblProjectlist[[#This Row],[project-no]],"0")</f>
        <v>0</v>
      </c>
      <c r="H2853" s="91">
        <v>2040</v>
      </c>
      <c r="I2853" s="91">
        <v>3</v>
      </c>
      <c r="J2853" s="91">
        <v>1</v>
      </c>
      <c r="K2853" s="91"/>
      <c r="L2853" s="91" t="s">
        <v>2175</v>
      </c>
      <c r="M2853" s="91" t="s">
        <v>0</v>
      </c>
      <c r="Q2853" s="91"/>
      <c r="S2853" s="91" t="s">
        <v>143</v>
      </c>
      <c r="T2853" s="91" t="s">
        <v>3653</v>
      </c>
      <c r="W2853" s="91" t="s">
        <v>180</v>
      </c>
    </row>
    <row r="2854" spans="1:23">
      <c r="A2854" s="93" t="str">
        <f>TEXT(tblProjectlist[[#This Row],[project-no]],"0")</f>
        <v>80870243</v>
      </c>
      <c r="H2854" s="91">
        <v>8087</v>
      </c>
      <c r="I2854" s="91">
        <v>2</v>
      </c>
      <c r="J2854" s="91">
        <v>4</v>
      </c>
      <c r="K2854" s="91" t="s">
        <v>1208</v>
      </c>
      <c r="L2854" s="91" t="s">
        <v>58</v>
      </c>
      <c r="M2854" s="91" t="s">
        <v>1</v>
      </c>
      <c r="Q2854" s="91"/>
      <c r="S2854" s="91" t="s">
        <v>143</v>
      </c>
      <c r="T2854" s="91" t="s">
        <v>3061</v>
      </c>
      <c r="V2854" s="91" t="s">
        <v>164</v>
      </c>
      <c r="W2854" s="91" t="s">
        <v>180</v>
      </c>
    </row>
    <row r="2855" spans="1:23">
      <c r="A2855" s="93" t="str">
        <f>TEXT(tblProjectlist[[#This Row],[project-no]],"0")</f>
        <v>80870244</v>
      </c>
      <c r="H2855" s="91">
        <v>8087</v>
      </c>
      <c r="I2855" s="91">
        <v>2</v>
      </c>
      <c r="J2855" s="91">
        <v>4</v>
      </c>
      <c r="K2855" s="91" t="s">
        <v>1209</v>
      </c>
      <c r="L2855" s="91" t="s">
        <v>58</v>
      </c>
      <c r="M2855" s="91" t="s">
        <v>1</v>
      </c>
      <c r="Q2855" s="91"/>
      <c r="S2855" s="91" t="s">
        <v>143</v>
      </c>
      <c r="T2855" s="91" t="s">
        <v>3061</v>
      </c>
      <c r="V2855" s="91" t="s">
        <v>160</v>
      </c>
      <c r="W2855" s="91" t="s">
        <v>180</v>
      </c>
    </row>
    <row r="2856" spans="1:23">
      <c r="A2856" s="93" t="str">
        <f>TEXT(tblProjectlist[[#This Row],[project-no]],"0")</f>
        <v>80870247</v>
      </c>
      <c r="H2856" s="91">
        <v>8087</v>
      </c>
      <c r="I2856" s="91">
        <v>2</v>
      </c>
      <c r="J2856" s="91">
        <v>4</v>
      </c>
      <c r="K2856" s="91" t="s">
        <v>1210</v>
      </c>
      <c r="L2856" s="91" t="s">
        <v>58</v>
      </c>
      <c r="M2856" s="91" t="s">
        <v>1</v>
      </c>
      <c r="Q2856" s="91"/>
      <c r="S2856" s="91" t="s">
        <v>143</v>
      </c>
      <c r="T2856" s="91" t="s">
        <v>3061</v>
      </c>
      <c r="V2856" s="91" t="s">
        <v>162</v>
      </c>
      <c r="W2856" s="91" t="s">
        <v>180</v>
      </c>
    </row>
    <row r="2857" spans="1:23">
      <c r="A2857" s="93" t="str">
        <f>TEXT(tblProjectlist[[#This Row],[project-no]],"0")</f>
        <v>80872028</v>
      </c>
      <c r="H2857" s="91">
        <v>8087</v>
      </c>
      <c r="I2857" s="91">
        <v>20</v>
      </c>
      <c r="J2857" s="91">
        <v>2</v>
      </c>
      <c r="K2857" s="91" t="s">
        <v>1211</v>
      </c>
      <c r="L2857" s="91" t="s">
        <v>265</v>
      </c>
      <c r="M2857" s="91" t="s">
        <v>4</v>
      </c>
      <c r="Q2857" s="91"/>
      <c r="S2857" s="91" t="s">
        <v>143</v>
      </c>
      <c r="T2857" s="91" t="s">
        <v>3062</v>
      </c>
      <c r="W2857" s="91" t="s">
        <v>180</v>
      </c>
    </row>
    <row r="2858" spans="1:23">
      <c r="A2858" s="93" t="str">
        <f>TEXT(tblProjectlist[[#This Row],[project-no]],"0")</f>
        <v>80872143</v>
      </c>
      <c r="H2858" s="91">
        <v>8087</v>
      </c>
      <c r="I2858" s="91">
        <v>21</v>
      </c>
      <c r="J2858" s="91">
        <v>4</v>
      </c>
      <c r="K2858" s="91" t="s">
        <v>1212</v>
      </c>
      <c r="L2858" s="91" t="s">
        <v>58</v>
      </c>
      <c r="M2858" s="91" t="s">
        <v>1</v>
      </c>
      <c r="Q2858" s="91"/>
      <c r="S2858" s="91" t="s">
        <v>143</v>
      </c>
      <c r="T2858" s="91" t="s">
        <v>3063</v>
      </c>
      <c r="V2858" s="91" t="s">
        <v>164</v>
      </c>
      <c r="W2858" s="91" t="s">
        <v>180</v>
      </c>
    </row>
    <row r="2859" spans="1:23">
      <c r="A2859" s="93" t="str">
        <f>TEXT(tblProjectlist[[#This Row],[project-no]],"0")</f>
        <v>80872244</v>
      </c>
      <c r="H2859" s="91">
        <v>8087</v>
      </c>
      <c r="I2859" s="91">
        <v>22</v>
      </c>
      <c r="J2859" s="91">
        <v>4</v>
      </c>
      <c r="K2859" s="91" t="s">
        <v>1213</v>
      </c>
      <c r="L2859" s="91" t="s">
        <v>58</v>
      </c>
      <c r="M2859" s="91" t="s">
        <v>1</v>
      </c>
      <c r="Q2859" s="91"/>
      <c r="S2859" s="91" t="s">
        <v>143</v>
      </c>
      <c r="T2859" s="91" t="s">
        <v>3064</v>
      </c>
      <c r="W2859" s="91" t="s">
        <v>180</v>
      </c>
    </row>
    <row r="2860" spans="1:23">
      <c r="A2860" s="93" t="str">
        <f>TEXT(tblProjectlist[[#This Row],[project-no]],"0")</f>
        <v>99911444</v>
      </c>
      <c r="H2860" s="91">
        <v>8087</v>
      </c>
      <c r="I2860" s="91">
        <v>2</v>
      </c>
      <c r="J2860" s="91">
        <v>4</v>
      </c>
      <c r="K2860" s="91" t="s">
        <v>1508</v>
      </c>
      <c r="L2860" s="91" t="s">
        <v>58</v>
      </c>
      <c r="M2860" s="91" t="s">
        <v>1</v>
      </c>
      <c r="Q2860" s="91"/>
      <c r="S2860" s="91" t="s">
        <v>143</v>
      </c>
      <c r="T2860" s="91" t="s">
        <v>3061</v>
      </c>
      <c r="V2860" s="91" t="s">
        <v>160</v>
      </c>
      <c r="W2860" s="91" t="s">
        <v>180</v>
      </c>
    </row>
    <row r="2861" spans="1:23">
      <c r="A2861" s="93" t="str">
        <f>TEXT(tblProjectlist[[#This Row],[project-no]],"0")</f>
        <v>99894611</v>
      </c>
      <c r="H2861" s="91">
        <v>9989</v>
      </c>
      <c r="I2861" s="91">
        <v>46</v>
      </c>
      <c r="J2861" s="91">
        <v>1</v>
      </c>
      <c r="K2861" s="91" t="s">
        <v>1466</v>
      </c>
      <c r="L2861" s="91" t="s">
        <v>2175</v>
      </c>
      <c r="M2861" s="91" t="s">
        <v>0</v>
      </c>
      <c r="Q2861" s="91"/>
      <c r="S2861" s="91" t="s">
        <v>143</v>
      </c>
      <c r="T2861" s="91" t="s">
        <v>3231</v>
      </c>
      <c r="V2861" s="91" t="s">
        <v>169</v>
      </c>
      <c r="W2861" s="91" t="s">
        <v>180</v>
      </c>
    </row>
    <row r="2862" spans="1:23">
      <c r="A2862" s="93" t="str">
        <f>TEXT(tblProjectlist[[#This Row],[project-no]],"0")</f>
        <v>99932211</v>
      </c>
      <c r="H2862" s="91">
        <v>9989</v>
      </c>
      <c r="I2862" s="91">
        <v>46</v>
      </c>
      <c r="J2862" s="91">
        <v>1</v>
      </c>
      <c r="K2862" s="91" t="s">
        <v>1580</v>
      </c>
      <c r="L2862" s="91" t="s">
        <v>2175</v>
      </c>
      <c r="M2862" s="91" t="s">
        <v>0</v>
      </c>
      <c r="Q2862" s="91"/>
      <c r="S2862" s="91" t="s">
        <v>143</v>
      </c>
      <c r="T2862" s="91" t="s">
        <v>3231</v>
      </c>
      <c r="V2862" s="91" t="s">
        <v>169</v>
      </c>
      <c r="W2862" s="91" t="s">
        <v>180</v>
      </c>
    </row>
    <row r="2863" spans="1:23">
      <c r="A2863" s="93" t="str">
        <f>TEXT(tblProjectlist[[#This Row],[project-no]],"0")</f>
        <v>0</v>
      </c>
      <c r="H2863" s="91">
        <v>3169</v>
      </c>
      <c r="I2863" s="91">
        <v>2</v>
      </c>
      <c r="J2863" s="91">
        <v>2</v>
      </c>
      <c r="K2863" s="91"/>
      <c r="L2863" s="91" t="s">
        <v>2175</v>
      </c>
      <c r="M2863" s="91" t="s">
        <v>4</v>
      </c>
      <c r="Q2863" s="91"/>
      <c r="S2863" s="91" t="s">
        <v>143</v>
      </c>
      <c r="T2863" s="91" t="s">
        <v>4192</v>
      </c>
      <c r="V2863" s="91" t="s">
        <v>155</v>
      </c>
      <c r="W2863" s="91" t="s">
        <v>180</v>
      </c>
    </row>
    <row r="2864" spans="1:23">
      <c r="A2864" s="93" t="str">
        <f>TEXT(tblProjectlist[[#This Row],[project-no]],"0")</f>
        <v>30420328</v>
      </c>
      <c r="H2864" s="91">
        <v>3042</v>
      </c>
      <c r="I2864" s="91">
        <v>3</v>
      </c>
      <c r="J2864" s="91">
        <v>2</v>
      </c>
      <c r="K2864" s="91" t="s">
        <v>653</v>
      </c>
      <c r="L2864" s="91" t="s">
        <v>2175</v>
      </c>
      <c r="M2864" s="91" t="s">
        <v>4</v>
      </c>
      <c r="Q2864" s="91"/>
      <c r="S2864" s="91" t="s">
        <v>143</v>
      </c>
      <c r="T2864" s="91" t="s">
        <v>2557</v>
      </c>
      <c r="V2864" s="91" t="s">
        <v>155</v>
      </c>
      <c r="W2864" s="91" t="s">
        <v>180</v>
      </c>
    </row>
    <row r="2865" spans="1:23">
      <c r="A2865" s="93" t="str">
        <f>TEXT(tblProjectlist[[#This Row],[project-no]],"0")</f>
        <v>0</v>
      </c>
      <c r="H2865" s="91">
        <v>6081</v>
      </c>
      <c r="I2865" s="91">
        <v>3</v>
      </c>
      <c r="J2865" s="91">
        <v>2</v>
      </c>
      <c r="K2865" s="91"/>
      <c r="L2865" s="91" t="s">
        <v>2175</v>
      </c>
      <c r="M2865" s="91" t="s">
        <v>4</v>
      </c>
      <c r="Q2865" s="91"/>
      <c r="S2865" s="91" t="s">
        <v>143</v>
      </c>
      <c r="T2865" s="91" t="s">
        <v>4404</v>
      </c>
      <c r="V2865" s="91" t="s">
        <v>155</v>
      </c>
      <c r="W2865" s="91" t="s">
        <v>180</v>
      </c>
    </row>
    <row r="2866" spans="1:23">
      <c r="A2866" s="93" t="str">
        <f>TEXT(tblProjectlist[[#This Row],[project-no]],"0")</f>
        <v>0</v>
      </c>
      <c r="H2866" s="91">
        <v>7684</v>
      </c>
      <c r="I2866" s="91">
        <v>2</v>
      </c>
      <c r="J2866" s="91">
        <v>2</v>
      </c>
      <c r="K2866" s="91"/>
      <c r="L2866" s="91" t="s">
        <v>2175</v>
      </c>
      <c r="M2866" s="91" t="s">
        <v>4</v>
      </c>
      <c r="Q2866" s="91"/>
      <c r="S2866" s="91" t="s">
        <v>143</v>
      </c>
      <c r="T2866" s="91" t="s">
        <v>4362</v>
      </c>
      <c r="V2866" s="91" t="s">
        <v>155</v>
      </c>
      <c r="W2866" s="91" t="s">
        <v>180</v>
      </c>
    </row>
    <row r="2867" spans="1:23">
      <c r="A2867" s="93" t="str">
        <f>TEXT(tblProjectlist[[#This Row],[project-no]],"0")</f>
        <v>0</v>
      </c>
      <c r="H2867" s="91">
        <v>3156</v>
      </c>
      <c r="I2867" s="91">
        <v>2</v>
      </c>
      <c r="J2867" s="91">
        <v>4</v>
      </c>
      <c r="K2867" s="91"/>
      <c r="L2867" s="91" t="s">
        <v>197</v>
      </c>
      <c r="M2867" s="91" t="s">
        <v>1</v>
      </c>
      <c r="Q2867" s="91"/>
      <c r="S2867" s="91" t="s">
        <v>143</v>
      </c>
      <c r="T2867" s="91" t="s">
        <v>3671</v>
      </c>
      <c r="V2867" s="91" t="s">
        <v>164</v>
      </c>
      <c r="W2867" s="91" t="s">
        <v>180</v>
      </c>
    </row>
    <row r="2868" spans="1:23">
      <c r="A2868" s="93" t="str">
        <f>TEXT(tblProjectlist[[#This Row],[project-no]],"0")</f>
        <v>0</v>
      </c>
      <c r="H2868" s="91">
        <v>8823</v>
      </c>
      <c r="I2868" s="91">
        <v>6</v>
      </c>
      <c r="J2868" s="91">
        <v>2</v>
      </c>
      <c r="K2868" s="91"/>
      <c r="L2868" s="91" t="s">
        <v>2175</v>
      </c>
      <c r="M2868" s="91" t="s">
        <v>4</v>
      </c>
      <c r="Q2868" s="91"/>
      <c r="S2868" s="91" t="s">
        <v>143</v>
      </c>
      <c r="T2868" s="91" t="s">
        <v>3973</v>
      </c>
      <c r="V2868" s="91" t="s">
        <v>155</v>
      </c>
      <c r="W2868" s="91" t="s">
        <v>180</v>
      </c>
    </row>
    <row r="2869" spans="1:23">
      <c r="A2869" s="93" t="str">
        <f>TEXT(tblProjectlist[[#This Row],[project-no]],"0")</f>
        <v>76220228</v>
      </c>
      <c r="H2869" s="91">
        <v>7622</v>
      </c>
      <c r="I2869" s="91">
        <v>2</v>
      </c>
      <c r="J2869" s="91">
        <v>2</v>
      </c>
      <c r="K2869" s="91" t="s">
        <v>1066</v>
      </c>
      <c r="L2869" s="91" t="s">
        <v>197</v>
      </c>
      <c r="M2869" s="91" t="s">
        <v>4</v>
      </c>
      <c r="Q2869" s="91"/>
      <c r="S2869" s="91" t="s">
        <v>143</v>
      </c>
      <c r="T2869" s="91" t="s">
        <v>2932</v>
      </c>
      <c r="W2869" s="91" t="s">
        <v>180</v>
      </c>
    </row>
    <row r="2870" spans="1:23">
      <c r="A2870" s="93" t="str">
        <f>TEXT(tblProjectlist[[#This Row],[project-no]],"0")</f>
        <v>0</v>
      </c>
      <c r="H2870" s="91">
        <v>7070</v>
      </c>
      <c r="I2870" s="91">
        <v>2</v>
      </c>
      <c r="J2870" s="91">
        <v>1</v>
      </c>
      <c r="K2870" s="91"/>
      <c r="L2870" s="91" t="s">
        <v>197</v>
      </c>
      <c r="M2870" s="91" t="s">
        <v>0</v>
      </c>
      <c r="Q2870" s="91"/>
      <c r="S2870" s="91" t="s">
        <v>143</v>
      </c>
      <c r="T2870" s="91" t="s">
        <v>4650</v>
      </c>
      <c r="V2870" s="91" t="s">
        <v>169</v>
      </c>
      <c r="W2870" s="91" t="s">
        <v>180</v>
      </c>
    </row>
    <row r="2871" spans="1:23">
      <c r="A2871" s="93" t="str">
        <f>TEXT(tblProjectlist[[#This Row],[project-no]],"0")</f>
        <v>20440244</v>
      </c>
      <c r="H2871" s="91">
        <v>2044</v>
      </c>
      <c r="I2871" s="91">
        <v>2</v>
      </c>
      <c r="J2871" s="91">
        <v>4</v>
      </c>
      <c r="K2871" s="91" t="s">
        <v>488</v>
      </c>
      <c r="L2871" s="91" t="s">
        <v>58</v>
      </c>
      <c r="M2871" s="91" t="s">
        <v>1</v>
      </c>
      <c r="Q2871" s="91"/>
      <c r="S2871" s="91" t="s">
        <v>143</v>
      </c>
      <c r="T2871" s="91" t="s">
        <v>2431</v>
      </c>
      <c r="V2871" s="91" t="s">
        <v>160</v>
      </c>
      <c r="W2871" s="91" t="s">
        <v>180</v>
      </c>
    </row>
    <row r="2872" spans="1:23">
      <c r="A2872" s="93" t="str">
        <f>TEXT(tblProjectlist[[#This Row],[project-no]],"0")</f>
        <v>20440249</v>
      </c>
      <c r="H2872" s="91">
        <v>2044</v>
      </c>
      <c r="I2872" s="91">
        <v>2</v>
      </c>
      <c r="J2872" s="91">
        <v>4</v>
      </c>
      <c r="K2872" s="91" t="s">
        <v>489</v>
      </c>
      <c r="L2872" s="91" t="s">
        <v>58</v>
      </c>
      <c r="M2872" s="91" t="s">
        <v>1</v>
      </c>
      <c r="Q2872" s="91"/>
      <c r="S2872" s="91" t="s">
        <v>143</v>
      </c>
      <c r="T2872" s="91" t="s">
        <v>2431</v>
      </c>
      <c r="V2872" s="91" t="s">
        <v>158</v>
      </c>
      <c r="W2872" s="91" t="s">
        <v>180</v>
      </c>
    </row>
    <row r="2873" spans="1:23">
      <c r="A2873" s="93" t="str">
        <f>TEXT(tblProjectlist[[#This Row],[project-no]],"0")</f>
        <v>20441444</v>
      </c>
      <c r="H2873" s="91">
        <v>2044</v>
      </c>
      <c r="I2873" s="91">
        <v>14</v>
      </c>
      <c r="J2873" s="91">
        <v>4</v>
      </c>
      <c r="K2873" s="91" t="s">
        <v>490</v>
      </c>
      <c r="L2873" s="91" t="s">
        <v>58</v>
      </c>
      <c r="M2873" s="91" t="s">
        <v>1</v>
      </c>
      <c r="Q2873" s="91"/>
      <c r="S2873" s="91" t="s">
        <v>143</v>
      </c>
      <c r="T2873" s="91" t="s">
        <v>2432</v>
      </c>
      <c r="V2873" s="91" t="s">
        <v>160</v>
      </c>
      <c r="W2873" s="91" t="s">
        <v>180</v>
      </c>
    </row>
    <row r="2874" spans="1:23">
      <c r="A2874" s="93" t="str">
        <f>TEXT(tblProjectlist[[#This Row],[project-no]],"0")</f>
        <v>20441449</v>
      </c>
      <c r="H2874" s="91">
        <v>2044</v>
      </c>
      <c r="I2874" s="91">
        <v>14</v>
      </c>
      <c r="J2874" s="91">
        <v>4</v>
      </c>
      <c r="K2874" s="91" t="s">
        <v>491</v>
      </c>
      <c r="L2874" s="91" t="s">
        <v>58</v>
      </c>
      <c r="M2874" s="91" t="s">
        <v>1</v>
      </c>
      <c r="Q2874" s="91"/>
      <c r="S2874" s="91" t="s">
        <v>143</v>
      </c>
      <c r="T2874" s="91" t="s">
        <v>2432</v>
      </c>
      <c r="V2874" s="91" t="s">
        <v>158</v>
      </c>
      <c r="W2874" s="91" t="s">
        <v>180</v>
      </c>
    </row>
    <row r="2875" spans="1:23">
      <c r="A2875" s="93" t="str">
        <f>TEXT(tblProjectlist[[#This Row],[project-no]],"0")</f>
        <v>20441744</v>
      </c>
      <c r="H2875" s="91">
        <v>2044</v>
      </c>
      <c r="I2875" s="91">
        <v>17</v>
      </c>
      <c r="J2875" s="91">
        <v>4</v>
      </c>
      <c r="K2875" s="91" t="s">
        <v>492</v>
      </c>
      <c r="L2875" s="91" t="s">
        <v>58</v>
      </c>
      <c r="M2875" s="91" t="s">
        <v>1</v>
      </c>
      <c r="Q2875" s="91"/>
      <c r="S2875" s="91" t="s">
        <v>143</v>
      </c>
      <c r="T2875" s="91" t="s">
        <v>2433</v>
      </c>
      <c r="V2875" s="91" t="s">
        <v>160</v>
      </c>
      <c r="W2875" s="91" t="s">
        <v>180</v>
      </c>
    </row>
    <row r="2876" spans="1:23">
      <c r="A2876" s="93" t="str">
        <f>TEXT(tblProjectlist[[#This Row],[project-no]],"0")</f>
        <v>99630344</v>
      </c>
      <c r="H2876" s="91">
        <v>2044</v>
      </c>
      <c r="I2876" s="91">
        <v>2</v>
      </c>
      <c r="J2876" s="91">
        <v>4</v>
      </c>
      <c r="K2876" s="91" t="s">
        <v>1299</v>
      </c>
      <c r="L2876" s="91" t="s">
        <v>58</v>
      </c>
      <c r="M2876" s="91" t="s">
        <v>1</v>
      </c>
      <c r="Q2876" s="91"/>
      <c r="S2876" s="91" t="s">
        <v>143</v>
      </c>
      <c r="T2876" s="91" t="s">
        <v>2431</v>
      </c>
      <c r="V2876" s="91" t="s">
        <v>160</v>
      </c>
      <c r="W2876" s="91" t="s">
        <v>180</v>
      </c>
    </row>
    <row r="2877" spans="1:23">
      <c r="A2877" s="93" t="str">
        <f>TEXT(tblProjectlist[[#This Row],[project-no]],"0")</f>
        <v>99812844</v>
      </c>
      <c r="H2877" s="91">
        <v>2044</v>
      </c>
      <c r="I2877" s="91">
        <v>2</v>
      </c>
      <c r="J2877" s="91">
        <v>4</v>
      </c>
      <c r="K2877" s="91" t="s">
        <v>1349</v>
      </c>
      <c r="L2877" s="91" t="s">
        <v>58</v>
      </c>
      <c r="M2877" s="91" t="s">
        <v>1</v>
      </c>
      <c r="Q2877" s="91"/>
      <c r="S2877" s="91" t="s">
        <v>143</v>
      </c>
      <c r="T2877" s="91" t="s">
        <v>2431</v>
      </c>
      <c r="V2877" s="91" t="s">
        <v>160</v>
      </c>
      <c r="W2877" s="91" t="s">
        <v>180</v>
      </c>
    </row>
    <row r="2878" spans="1:23">
      <c r="A2878" s="93" t="str">
        <f>TEXT(tblProjectlist[[#This Row],[project-no]],"0")</f>
        <v>99911644</v>
      </c>
      <c r="H2878" s="91">
        <v>2044</v>
      </c>
      <c r="I2878" s="91">
        <v>2</v>
      </c>
      <c r="J2878" s="91">
        <v>4</v>
      </c>
      <c r="K2878" s="91" t="s">
        <v>1509</v>
      </c>
      <c r="L2878" s="91" t="s">
        <v>58</v>
      </c>
      <c r="M2878" s="91" t="s">
        <v>1</v>
      </c>
      <c r="Q2878" s="91"/>
      <c r="S2878" s="91" t="s">
        <v>143</v>
      </c>
      <c r="T2878" s="91" t="s">
        <v>2431</v>
      </c>
      <c r="V2878" s="91" t="s">
        <v>160</v>
      </c>
      <c r="W2878" s="91" t="s">
        <v>180</v>
      </c>
    </row>
    <row r="2879" spans="1:23">
      <c r="A2879" s="93" t="str">
        <f>TEXT(tblProjectlist[[#This Row],[project-no]],"0")</f>
        <v>99919344</v>
      </c>
      <c r="H2879" s="91">
        <v>2044</v>
      </c>
      <c r="I2879" s="91">
        <v>17</v>
      </c>
      <c r="J2879" s="91">
        <v>4</v>
      </c>
      <c r="K2879" s="91" t="s">
        <v>1538</v>
      </c>
      <c r="L2879" s="91" t="s">
        <v>58</v>
      </c>
      <c r="M2879" s="91" t="s">
        <v>1</v>
      </c>
      <c r="Q2879" s="91"/>
      <c r="S2879" s="91" t="s">
        <v>143</v>
      </c>
      <c r="T2879" s="91" t="s">
        <v>2433</v>
      </c>
      <c r="V2879" s="91" t="s">
        <v>160</v>
      </c>
      <c r="W2879" s="91" t="s">
        <v>180</v>
      </c>
    </row>
    <row r="2880" spans="1:23">
      <c r="A2880" s="93" t="str">
        <f>TEXT(tblProjectlist[[#This Row],[project-no]],"0")</f>
        <v>0</v>
      </c>
      <c r="H2880" s="91">
        <v>9995</v>
      </c>
      <c r="I2880" s="91">
        <v>98</v>
      </c>
      <c r="J2880" s="91">
        <v>1</v>
      </c>
      <c r="K2880" s="91"/>
      <c r="L2880" s="91" t="s">
        <v>2175</v>
      </c>
      <c r="M2880" s="91" t="s">
        <v>0</v>
      </c>
      <c r="Q2880" s="91"/>
      <c r="S2880" s="91" t="s">
        <v>143</v>
      </c>
      <c r="T2880" s="91" t="s">
        <v>4018</v>
      </c>
      <c r="V2880" s="91" t="s">
        <v>169</v>
      </c>
      <c r="W2880" s="91" t="s">
        <v>180</v>
      </c>
    </row>
    <row r="2881" spans="1:23">
      <c r="A2881" s="93" t="str">
        <f>TEXT(tblProjectlist[[#This Row],[project-no]],"0")</f>
        <v>0</v>
      </c>
      <c r="H2881" s="91">
        <v>9995</v>
      </c>
      <c r="I2881" s="91">
        <v>98</v>
      </c>
      <c r="J2881" s="91">
        <v>1</v>
      </c>
      <c r="K2881" s="91"/>
      <c r="L2881" s="91" t="s">
        <v>2175</v>
      </c>
      <c r="M2881" s="91" t="s">
        <v>0</v>
      </c>
      <c r="Q2881" s="91"/>
      <c r="S2881" s="91" t="s">
        <v>143</v>
      </c>
      <c r="T2881" s="91" t="s">
        <v>4018</v>
      </c>
      <c r="V2881" s="91" t="s">
        <v>167</v>
      </c>
      <c r="W2881" s="91" t="s">
        <v>180</v>
      </c>
    </row>
    <row r="2882" spans="1:23">
      <c r="A2882" s="93" t="str">
        <f>TEXT(tblProjectlist[[#This Row],[project-no]],"0")</f>
        <v>0</v>
      </c>
      <c r="H2882" s="91">
        <v>9995</v>
      </c>
      <c r="I2882" s="91">
        <v>98</v>
      </c>
      <c r="J2882" s="91">
        <v>1</v>
      </c>
      <c r="K2882" s="91"/>
      <c r="L2882" s="91" t="s">
        <v>2175</v>
      </c>
      <c r="M2882" s="91" t="s">
        <v>0</v>
      </c>
      <c r="Q2882" s="91"/>
      <c r="S2882" s="91" t="s">
        <v>143</v>
      </c>
      <c r="T2882" s="91" t="s">
        <v>4018</v>
      </c>
      <c r="V2882" s="91" t="s">
        <v>168</v>
      </c>
      <c r="W2882" s="91" t="s">
        <v>180</v>
      </c>
    </row>
    <row r="2883" spans="1:23">
      <c r="A2883" s="93" t="str">
        <f>TEXT(tblProjectlist[[#This Row],[project-no]],"0")</f>
        <v>99892611</v>
      </c>
      <c r="H2883" s="91">
        <v>9989</v>
      </c>
      <c r="I2883" s="91">
        <v>26</v>
      </c>
      <c r="J2883" s="91">
        <v>1</v>
      </c>
      <c r="K2883" s="91" t="s">
        <v>1458</v>
      </c>
      <c r="L2883" s="91" t="s">
        <v>2175</v>
      </c>
      <c r="M2883" s="91" t="s">
        <v>0</v>
      </c>
      <c r="Q2883" s="91"/>
      <c r="S2883" s="91" t="s">
        <v>143</v>
      </c>
      <c r="T2883" s="91" t="s">
        <v>3224</v>
      </c>
      <c r="V2883" s="91" t="s">
        <v>169</v>
      </c>
      <c r="W2883" s="91" t="s">
        <v>180</v>
      </c>
    </row>
    <row r="2884" spans="1:23">
      <c r="A2884" s="93" t="str">
        <f>TEXT(tblProjectlist[[#This Row],[project-no]],"0")</f>
        <v>99896811</v>
      </c>
      <c r="H2884" s="91">
        <v>9989</v>
      </c>
      <c r="I2884" s="91">
        <v>68</v>
      </c>
      <c r="J2884" s="91">
        <v>1</v>
      </c>
      <c r="K2884" s="91" t="s">
        <v>1481</v>
      </c>
      <c r="L2884" s="91" t="s">
        <v>2175</v>
      </c>
      <c r="M2884" s="91" t="s">
        <v>0</v>
      </c>
      <c r="Q2884" s="91"/>
      <c r="S2884" s="91" t="s">
        <v>143</v>
      </c>
      <c r="T2884" s="91" t="s">
        <v>3235</v>
      </c>
      <c r="V2884" s="91" t="s">
        <v>169</v>
      </c>
      <c r="W2884" s="91" t="s">
        <v>180</v>
      </c>
    </row>
    <row r="2885" spans="1:23">
      <c r="A2885" s="93" t="str">
        <f>TEXT(tblProjectlist[[#This Row],[project-no]],"0")</f>
        <v>99954313</v>
      </c>
      <c r="H2885" s="91">
        <v>9995</v>
      </c>
      <c r="I2885" s="91">
        <v>43</v>
      </c>
      <c r="J2885" s="91">
        <v>1</v>
      </c>
      <c r="K2885" s="91" t="s">
        <v>1655</v>
      </c>
      <c r="L2885" s="91" t="s">
        <v>2175</v>
      </c>
      <c r="M2885" s="91" t="s">
        <v>0</v>
      </c>
      <c r="Q2885" s="91"/>
      <c r="S2885" s="91" t="s">
        <v>143</v>
      </c>
      <c r="T2885" s="91" t="s">
        <v>3299</v>
      </c>
      <c r="V2885" s="91" t="s">
        <v>167</v>
      </c>
      <c r="W2885" s="91" t="s">
        <v>180</v>
      </c>
    </row>
    <row r="2886" spans="1:23">
      <c r="A2886" s="93" t="str">
        <f>TEXT(tblProjectlist[[#This Row],[project-no]],"0")</f>
        <v>99959513</v>
      </c>
      <c r="H2886" s="91">
        <v>9995</v>
      </c>
      <c r="I2886" s="91">
        <v>95</v>
      </c>
      <c r="J2886" s="91">
        <v>1</v>
      </c>
      <c r="K2886" s="91" t="s">
        <v>1719</v>
      </c>
      <c r="L2886" s="91" t="s">
        <v>2175</v>
      </c>
      <c r="M2886" s="91" t="s">
        <v>0</v>
      </c>
      <c r="Q2886" s="91"/>
      <c r="S2886" s="91" t="s">
        <v>143</v>
      </c>
      <c r="T2886" s="91" t="s">
        <v>3346</v>
      </c>
      <c r="V2886" s="91" t="s">
        <v>167</v>
      </c>
      <c r="W2886" s="91" t="s">
        <v>180</v>
      </c>
    </row>
    <row r="2887" spans="1:23">
      <c r="A2887" s="93" t="str">
        <f>TEXT(tblProjectlist[[#This Row],[project-no]],"0")</f>
        <v>74450711</v>
      </c>
      <c r="H2887" s="91">
        <v>7445</v>
      </c>
      <c r="I2887" s="91">
        <v>7</v>
      </c>
      <c r="J2887" s="91">
        <v>1</v>
      </c>
      <c r="K2887" s="91">
        <v>74450711</v>
      </c>
      <c r="L2887" s="91" t="s">
        <v>2175</v>
      </c>
      <c r="M2887" s="91" t="s">
        <v>0</v>
      </c>
      <c r="Q2887" s="91"/>
      <c r="S2887" s="91" t="s">
        <v>143</v>
      </c>
      <c r="T2887" s="91" t="s">
        <v>3942</v>
      </c>
      <c r="V2887" s="91" t="s">
        <v>169</v>
      </c>
      <c r="W2887" s="91" t="s">
        <v>180</v>
      </c>
    </row>
    <row r="2888" spans="1:23">
      <c r="A2888" s="93" t="str">
        <f>TEXT(tblProjectlist[[#This Row],[project-no]],"0")</f>
        <v>74510311</v>
      </c>
      <c r="H2888" s="91">
        <v>7451</v>
      </c>
      <c r="I2888" s="91">
        <v>3</v>
      </c>
      <c r="J2888" s="91">
        <v>1</v>
      </c>
      <c r="K2888" s="91" t="s">
        <v>976</v>
      </c>
      <c r="L2888" s="91" t="s">
        <v>2175</v>
      </c>
      <c r="M2888" s="91" t="s">
        <v>0</v>
      </c>
      <c r="Q2888" s="91"/>
      <c r="S2888" s="91" t="s">
        <v>143</v>
      </c>
      <c r="T2888" s="91" t="s">
        <v>2846</v>
      </c>
      <c r="V2888" s="91" t="s">
        <v>169</v>
      </c>
      <c r="W2888" s="91" t="s">
        <v>180</v>
      </c>
    </row>
    <row r="2889" spans="1:23">
      <c r="A2889" s="93" t="str">
        <f>TEXT(tblProjectlist[[#This Row],[project-no]],"0")</f>
        <v>0</v>
      </c>
      <c r="H2889" s="91">
        <v>7673</v>
      </c>
      <c r="I2889" s="91">
        <v>2</v>
      </c>
      <c r="J2889" s="91">
        <v>2</v>
      </c>
      <c r="K2889" s="91"/>
      <c r="L2889" s="91" t="s">
        <v>197</v>
      </c>
      <c r="M2889" s="91" t="s">
        <v>4</v>
      </c>
      <c r="Q2889" s="91"/>
      <c r="S2889" s="91" t="s">
        <v>143</v>
      </c>
      <c r="T2889" s="91" t="s">
        <v>4010</v>
      </c>
      <c r="V2889" s="91" t="s">
        <v>155</v>
      </c>
      <c r="W2889" s="91" t="s">
        <v>180</v>
      </c>
    </row>
    <row r="2890" spans="1:23">
      <c r="A2890" s="93" t="str">
        <f>TEXT(tblProjectlist[[#This Row],[project-no]],"0")</f>
        <v>30310228</v>
      </c>
      <c r="H2890" s="91">
        <v>3031</v>
      </c>
      <c r="I2890" s="91">
        <v>2</v>
      </c>
      <c r="J2890" s="91">
        <v>2</v>
      </c>
      <c r="K2890" s="91" t="s">
        <v>645</v>
      </c>
      <c r="L2890" s="91" t="s">
        <v>2175</v>
      </c>
      <c r="M2890" s="91" t="s">
        <v>4</v>
      </c>
      <c r="Q2890" s="91"/>
      <c r="S2890" s="91" t="s">
        <v>143</v>
      </c>
      <c r="T2890" s="91" t="s">
        <v>2549</v>
      </c>
      <c r="V2890" s="91" t="s">
        <v>155</v>
      </c>
      <c r="W2890" s="91" t="s">
        <v>180</v>
      </c>
    </row>
    <row r="2891" spans="1:23">
      <c r="A2891" s="93" t="str">
        <f>TEXT(tblProjectlist[[#This Row],[project-no]],"0")</f>
        <v>30310328</v>
      </c>
      <c r="H2891" s="91">
        <v>3031</v>
      </c>
      <c r="I2891" s="91">
        <v>3</v>
      </c>
      <c r="J2891" s="91">
        <v>2</v>
      </c>
      <c r="K2891" s="91" t="s">
        <v>646</v>
      </c>
      <c r="L2891" s="91" t="s">
        <v>2175</v>
      </c>
      <c r="M2891" s="91" t="s">
        <v>4</v>
      </c>
      <c r="Q2891" s="91"/>
      <c r="S2891" s="91" t="s">
        <v>143</v>
      </c>
      <c r="T2891" s="91" t="s">
        <v>2550</v>
      </c>
      <c r="V2891" s="91" t="s">
        <v>155</v>
      </c>
      <c r="W2891" s="91" t="s">
        <v>180</v>
      </c>
    </row>
    <row r="2892" spans="1:23">
      <c r="A2892" s="93" t="str">
        <f>TEXT(tblProjectlist[[#This Row],[project-no]],"0")</f>
        <v>30310428</v>
      </c>
      <c r="H2892" s="91">
        <v>3031</v>
      </c>
      <c r="I2892" s="91">
        <v>4</v>
      </c>
      <c r="J2892" s="91">
        <v>2</v>
      </c>
      <c r="K2892" s="91" t="s">
        <v>647</v>
      </c>
      <c r="L2892" s="91" t="s">
        <v>2175</v>
      </c>
      <c r="M2892" s="91" t="s">
        <v>4</v>
      </c>
      <c r="Q2892" s="91"/>
      <c r="S2892" s="91" t="s">
        <v>143</v>
      </c>
      <c r="T2892" s="91" t="s">
        <v>2551</v>
      </c>
      <c r="V2892" s="91" t="s">
        <v>155</v>
      </c>
      <c r="W2892" s="91" t="s">
        <v>180</v>
      </c>
    </row>
    <row r="2893" spans="1:23">
      <c r="A2893" s="93" t="str">
        <f>TEXT(tblProjectlist[[#This Row],[project-no]],"0")</f>
        <v>2250252</v>
      </c>
      <c r="H2893" s="91">
        <v>2250</v>
      </c>
      <c r="I2893" s="91">
        <v>25</v>
      </c>
      <c r="J2893" s="91">
        <v>2</v>
      </c>
      <c r="K2893" s="91">
        <v>2250252</v>
      </c>
      <c r="L2893" s="91" t="s">
        <v>2175</v>
      </c>
      <c r="M2893" s="91" t="s">
        <v>4</v>
      </c>
      <c r="Q2893" s="91"/>
      <c r="S2893" s="91" t="s">
        <v>143</v>
      </c>
      <c r="T2893" s="91" t="s">
        <v>3659</v>
      </c>
      <c r="V2893" s="91" t="s">
        <v>155</v>
      </c>
      <c r="W2893" s="91" t="s">
        <v>180</v>
      </c>
    </row>
    <row r="2894" spans="1:23">
      <c r="A2894" s="93" t="str">
        <f>TEXT(tblProjectlist[[#This Row],[project-no]],"0")</f>
        <v>0</v>
      </c>
      <c r="H2894" s="91">
        <v>2250</v>
      </c>
      <c r="I2894" s="91">
        <v>26</v>
      </c>
      <c r="J2894" s="91">
        <v>2</v>
      </c>
      <c r="K2894" s="91"/>
      <c r="L2894" s="91" t="s">
        <v>2175</v>
      </c>
      <c r="M2894" s="91" t="s">
        <v>4</v>
      </c>
      <c r="Q2894" s="91"/>
      <c r="S2894" s="91" t="s">
        <v>143</v>
      </c>
      <c r="T2894" s="91" t="s">
        <v>3913</v>
      </c>
      <c r="V2894" s="91" t="s">
        <v>155</v>
      </c>
      <c r="W2894" s="91" t="s">
        <v>180</v>
      </c>
    </row>
    <row r="2895" spans="1:23">
      <c r="A2895" s="93" t="str">
        <f>TEXT(tblProjectlist[[#This Row],[project-no]],"0")</f>
        <v>0</v>
      </c>
      <c r="H2895" s="91">
        <v>2250</v>
      </c>
      <c r="I2895" s="91">
        <v>27</v>
      </c>
      <c r="J2895" s="91">
        <v>2</v>
      </c>
      <c r="K2895" s="91"/>
      <c r="L2895" s="91" t="s">
        <v>2175</v>
      </c>
      <c r="M2895" s="91" t="s">
        <v>4</v>
      </c>
      <c r="Q2895" s="91"/>
      <c r="S2895" s="91" t="s">
        <v>143</v>
      </c>
      <c r="T2895" s="91" t="s">
        <v>4498</v>
      </c>
      <c r="V2895" s="91" t="s">
        <v>155</v>
      </c>
      <c r="W2895" s="91" t="s">
        <v>180</v>
      </c>
    </row>
    <row r="2896" spans="1:23">
      <c r="A2896" s="93" t="str">
        <f>TEXT(tblProjectlist[[#This Row],[project-no]],"0")</f>
        <v>0</v>
      </c>
      <c r="H2896" s="91">
        <v>2250</v>
      </c>
      <c r="I2896" s="91">
        <v>28</v>
      </c>
      <c r="J2896" s="91">
        <v>2</v>
      </c>
      <c r="K2896" s="91"/>
      <c r="L2896" s="91" t="s">
        <v>2175</v>
      </c>
      <c r="M2896" s="91" t="s">
        <v>4</v>
      </c>
      <c r="Q2896" s="91"/>
      <c r="S2896" s="91" t="s">
        <v>143</v>
      </c>
      <c r="T2896" s="91" t="s">
        <v>4499</v>
      </c>
      <c r="V2896" s="91" t="s">
        <v>155</v>
      </c>
      <c r="W2896" s="91" t="s">
        <v>180</v>
      </c>
    </row>
    <row r="2897" spans="1:23">
      <c r="A2897" s="93" t="str">
        <f>TEXT(tblProjectlist[[#This Row],[project-no]],"0")</f>
        <v>0</v>
      </c>
      <c r="H2897" s="91">
        <v>2250</v>
      </c>
      <c r="I2897" s="91">
        <v>29</v>
      </c>
      <c r="J2897" s="91">
        <v>2</v>
      </c>
      <c r="K2897" s="91"/>
      <c r="L2897" s="91" t="s">
        <v>2175</v>
      </c>
      <c r="M2897" s="91" t="s">
        <v>4</v>
      </c>
      <c r="Q2897" s="91"/>
      <c r="S2897" s="91" t="s">
        <v>143</v>
      </c>
      <c r="T2897" s="91" t="s">
        <v>4500</v>
      </c>
      <c r="V2897" s="91" t="s">
        <v>155</v>
      </c>
      <c r="W2897" s="91" t="s">
        <v>180</v>
      </c>
    </row>
    <row r="2898" spans="1:23">
      <c r="A2898" s="93" t="str">
        <f>TEXT(tblProjectlist[[#This Row],[project-no]],"0")</f>
        <v>22500128</v>
      </c>
      <c r="H2898" s="91">
        <v>2250</v>
      </c>
      <c r="I2898" s="91">
        <v>1</v>
      </c>
      <c r="J2898" s="91">
        <v>2</v>
      </c>
      <c r="K2898" s="91" t="s">
        <v>568</v>
      </c>
      <c r="L2898" s="91" t="s">
        <v>2175</v>
      </c>
      <c r="M2898" s="91" t="s">
        <v>4</v>
      </c>
      <c r="Q2898" s="91"/>
      <c r="S2898" s="91" t="s">
        <v>143</v>
      </c>
      <c r="T2898" s="91" t="s">
        <v>2486</v>
      </c>
      <c r="V2898" s="91" t="s">
        <v>155</v>
      </c>
      <c r="W2898" s="91" t="s">
        <v>180</v>
      </c>
    </row>
    <row r="2899" spans="1:23">
      <c r="A2899" s="93" t="str">
        <f>TEXT(tblProjectlist[[#This Row],[project-no]],"0")</f>
        <v>22502426</v>
      </c>
      <c r="H2899" s="91">
        <v>2250</v>
      </c>
      <c r="I2899" s="91">
        <v>24</v>
      </c>
      <c r="J2899" s="91">
        <v>2</v>
      </c>
      <c r="K2899" s="91" t="s">
        <v>569</v>
      </c>
      <c r="L2899" s="91" t="s">
        <v>2175</v>
      </c>
      <c r="M2899" s="91" t="s">
        <v>4</v>
      </c>
      <c r="Q2899" s="91"/>
      <c r="S2899" s="91" t="s">
        <v>143</v>
      </c>
      <c r="T2899" s="91" t="s">
        <v>2487</v>
      </c>
      <c r="V2899" s="91" t="s">
        <v>155</v>
      </c>
      <c r="W2899" s="91" t="s">
        <v>180</v>
      </c>
    </row>
    <row r="2900" spans="1:23">
      <c r="A2900" s="93" t="str">
        <f>TEXT(tblProjectlist[[#This Row],[project-no]],"0")</f>
        <v>99963028</v>
      </c>
      <c r="H2900" s="91">
        <v>2250</v>
      </c>
      <c r="I2900" s="91">
        <v>24</v>
      </c>
      <c r="J2900" s="91">
        <v>2</v>
      </c>
      <c r="K2900" s="91" t="s">
        <v>1751</v>
      </c>
      <c r="L2900" s="91" t="s">
        <v>2175</v>
      </c>
      <c r="M2900" s="91" t="s">
        <v>4</v>
      </c>
      <c r="Q2900" s="91"/>
      <c r="S2900" s="91" t="s">
        <v>143</v>
      </c>
      <c r="T2900" s="91" t="s">
        <v>2487</v>
      </c>
      <c r="W2900" s="91" t="s">
        <v>180</v>
      </c>
    </row>
    <row r="2901" spans="1:23">
      <c r="A2901" s="93" t="str">
        <f>TEXT(tblProjectlist[[#This Row],[project-no]],"0")</f>
        <v>20390226</v>
      </c>
      <c r="H2901" s="91">
        <v>2039</v>
      </c>
      <c r="I2901" s="91">
        <v>2</v>
      </c>
      <c r="J2901" s="91">
        <v>2</v>
      </c>
      <c r="K2901" s="91" t="s">
        <v>487</v>
      </c>
      <c r="L2901" s="91" t="s">
        <v>2175</v>
      </c>
      <c r="M2901" s="91" t="s">
        <v>4</v>
      </c>
      <c r="Q2901" s="91"/>
      <c r="S2901" s="91" t="s">
        <v>143</v>
      </c>
      <c r="T2901" s="91" t="s">
        <v>2430</v>
      </c>
      <c r="V2901" s="91" t="s">
        <v>155</v>
      </c>
      <c r="W2901" s="91" t="s">
        <v>180</v>
      </c>
    </row>
    <row r="2902" spans="1:23">
      <c r="A2902" s="93" t="str">
        <f>TEXT(tblProjectlist[[#This Row],[project-no]],"0")</f>
        <v>31390243</v>
      </c>
      <c r="H2902" s="91">
        <v>3139</v>
      </c>
      <c r="I2902" s="91">
        <v>2</v>
      </c>
      <c r="J2902" s="91">
        <v>4</v>
      </c>
      <c r="K2902" s="91" t="s">
        <v>737</v>
      </c>
      <c r="L2902" s="91" t="s">
        <v>197</v>
      </c>
      <c r="M2902" s="91" t="s">
        <v>1</v>
      </c>
      <c r="Q2902" s="91"/>
      <c r="S2902" s="91" t="s">
        <v>143</v>
      </c>
      <c r="T2902" s="91" t="s">
        <v>2635</v>
      </c>
      <c r="V2902" s="91" t="s">
        <v>164</v>
      </c>
      <c r="W2902" s="91" t="s">
        <v>180</v>
      </c>
    </row>
    <row r="2903" spans="1:23">
      <c r="A2903" s="93" t="str">
        <f>TEXT(tblProjectlist[[#This Row],[project-no]],"0")</f>
        <v>99850311</v>
      </c>
      <c r="H2903" s="91">
        <v>9985</v>
      </c>
      <c r="I2903" s="91">
        <v>3</v>
      </c>
      <c r="J2903" s="91">
        <v>1</v>
      </c>
      <c r="K2903" s="91" t="s">
        <v>1360</v>
      </c>
      <c r="L2903" s="91" t="s">
        <v>197</v>
      </c>
      <c r="M2903" s="91" t="s">
        <v>0</v>
      </c>
      <c r="Q2903" s="91"/>
      <c r="S2903" s="91" t="s">
        <v>143</v>
      </c>
      <c r="T2903" s="91" t="s">
        <v>3190</v>
      </c>
      <c r="V2903" s="91" t="s">
        <v>169</v>
      </c>
      <c r="W2903" s="91" t="s">
        <v>180</v>
      </c>
    </row>
    <row r="2904" spans="1:23">
      <c r="A2904" s="93" t="str">
        <f>TEXT(tblProjectlist[[#This Row],[project-no]],"0")</f>
        <v>99850911</v>
      </c>
      <c r="H2904" s="91">
        <v>9985</v>
      </c>
      <c r="I2904" s="91">
        <v>9</v>
      </c>
      <c r="J2904" s="91">
        <v>1</v>
      </c>
      <c r="K2904" s="91" t="s">
        <v>1363</v>
      </c>
      <c r="L2904" s="91" t="s">
        <v>197</v>
      </c>
      <c r="M2904" s="91" t="s">
        <v>0</v>
      </c>
      <c r="Q2904" s="91"/>
      <c r="S2904" s="91" t="s">
        <v>143</v>
      </c>
      <c r="T2904" s="91" t="s">
        <v>3193</v>
      </c>
      <c r="V2904" s="91" t="s">
        <v>169</v>
      </c>
      <c r="W2904" s="91" t="s">
        <v>180</v>
      </c>
    </row>
    <row r="2905" spans="1:23">
      <c r="A2905" s="93" t="str">
        <f>TEXT(tblProjectlist[[#This Row],[project-no]],"0")</f>
        <v>0</v>
      </c>
      <c r="H2905" s="91">
        <v>7704</v>
      </c>
      <c r="I2905" s="91">
        <v>2</v>
      </c>
      <c r="J2905" s="91">
        <v>2</v>
      </c>
      <c r="K2905" s="91"/>
      <c r="L2905" s="91" t="s">
        <v>2175</v>
      </c>
      <c r="M2905" s="91" t="s">
        <v>4</v>
      </c>
      <c r="Q2905" s="91"/>
      <c r="S2905" s="91" t="s">
        <v>143</v>
      </c>
      <c r="T2905" s="91" t="s">
        <v>4655</v>
      </c>
      <c r="V2905" s="91" t="s">
        <v>155</v>
      </c>
      <c r="W2905" s="91" t="s">
        <v>180</v>
      </c>
    </row>
    <row r="2906" spans="1:23">
      <c r="A2906" s="93" t="str">
        <f>TEXT(tblProjectlist[[#This Row],[project-no]],"0")</f>
        <v>99967228</v>
      </c>
      <c r="H2906" s="91">
        <v>6616</v>
      </c>
      <c r="I2906" s="91">
        <v>2</v>
      </c>
      <c r="J2906" s="91">
        <v>2</v>
      </c>
      <c r="K2906" s="91" t="s">
        <v>1789</v>
      </c>
      <c r="L2906" s="91" t="s">
        <v>2175</v>
      </c>
      <c r="M2906" s="91" t="s">
        <v>4</v>
      </c>
      <c r="Q2906" s="91"/>
      <c r="S2906" s="91" t="s">
        <v>143</v>
      </c>
      <c r="T2906" s="91" t="s">
        <v>2767</v>
      </c>
      <c r="W2906" s="91" t="s">
        <v>180</v>
      </c>
    </row>
    <row r="2907" spans="1:23">
      <c r="A2907" s="93" t="str">
        <f>TEXT(tblProjectlist[[#This Row],[project-no]],"0")</f>
        <v>60970228</v>
      </c>
      <c r="H2907" s="91">
        <v>6097</v>
      </c>
      <c r="I2907" s="91">
        <v>1</v>
      </c>
      <c r="J2907" s="91">
        <v>2</v>
      </c>
      <c r="K2907" s="91" t="s">
        <v>828</v>
      </c>
      <c r="L2907" s="91" t="s">
        <v>2175</v>
      </c>
      <c r="M2907" s="91" t="s">
        <v>4</v>
      </c>
      <c r="Q2907" s="91"/>
      <c r="S2907" s="91" t="s">
        <v>143</v>
      </c>
      <c r="T2907" s="91" t="s">
        <v>3674</v>
      </c>
      <c r="V2907" s="91" t="s">
        <v>155</v>
      </c>
    </row>
    <row r="2908" spans="1:23">
      <c r="A2908" s="93" t="str">
        <f>TEXT(tblProjectlist[[#This Row],[project-no]],"0")</f>
        <v>60970228</v>
      </c>
      <c r="H2908" s="91">
        <v>6097</v>
      </c>
      <c r="I2908" s="91">
        <v>2</v>
      </c>
      <c r="J2908" s="91">
        <v>2</v>
      </c>
      <c r="K2908" s="91" t="s">
        <v>828</v>
      </c>
      <c r="L2908" s="91" t="s">
        <v>2175</v>
      </c>
      <c r="M2908" s="91" t="s">
        <v>4</v>
      </c>
      <c r="Q2908" s="91"/>
      <c r="S2908" s="91" t="s">
        <v>143</v>
      </c>
      <c r="T2908" s="91" t="s">
        <v>2714</v>
      </c>
      <c r="V2908" s="91" t="s">
        <v>155</v>
      </c>
      <c r="W2908" s="91" t="s">
        <v>180</v>
      </c>
    </row>
    <row r="2909" spans="1:23">
      <c r="A2909" s="93" t="str">
        <f>TEXT(tblProjectlist[[#This Row],[project-no]],"0")</f>
        <v>0</v>
      </c>
      <c r="K2909" s="91"/>
      <c r="Q2909" s="91"/>
    </row>
    <row r="2910" spans="1:23">
      <c r="A2910" s="93" t="str">
        <f>TEXT(tblProjectlist[[#This Row],[project-no]],"0")</f>
        <v>0</v>
      </c>
      <c r="K2910" s="91"/>
      <c r="Q2910" s="91"/>
    </row>
    <row r="2911" spans="1:23">
      <c r="A2911" s="93" t="str">
        <f>TEXT(tblProjectlist[[#This Row],[project-no]],"0")</f>
        <v>0</v>
      </c>
      <c r="K2911" s="91"/>
      <c r="Q2911" s="91"/>
    </row>
    <row r="2912" spans="1:23">
      <c r="A2912" s="93" t="str">
        <f>TEXT(tblProjectlist[[#This Row],[project-no]],"0")</f>
        <v>0</v>
      </c>
      <c r="K2912" s="91"/>
      <c r="Q2912" s="91"/>
    </row>
    <row r="2913" spans="1:17">
      <c r="A2913" s="93" t="str">
        <f>TEXT(tblProjectlist[[#This Row],[project-no]],"0")</f>
        <v>0</v>
      </c>
      <c r="K2913" s="91"/>
      <c r="Q2913" s="91"/>
    </row>
    <row r="2914" spans="1:17">
      <c r="A2914" s="93" t="str">
        <f>TEXT(tblProjectlist[[#This Row],[project-no]],"0")</f>
        <v>0</v>
      </c>
      <c r="K2914" s="91"/>
      <c r="Q2914" s="91"/>
    </row>
    <row r="2915" spans="1:17">
      <c r="A2915" s="93" t="str">
        <f>TEXT(tblProjectlist[[#This Row],[project-no]],"0")</f>
        <v>0</v>
      </c>
      <c r="K2915" s="91"/>
      <c r="Q2915" s="91"/>
    </row>
    <row r="2916" spans="1:17">
      <c r="A2916" s="93" t="str">
        <f>TEXT(tblProjectlist[[#This Row],[project-no]],"0")</f>
        <v>0</v>
      </c>
      <c r="K2916" s="91"/>
      <c r="Q2916" s="91"/>
    </row>
    <row r="2917" spans="1:17">
      <c r="A2917" s="93" t="str">
        <f>TEXT(tblProjectlist[[#This Row],[project-no]],"0")</f>
        <v>0</v>
      </c>
      <c r="K2917" s="91"/>
      <c r="Q2917" s="91"/>
    </row>
    <row r="2918" spans="1:17">
      <c r="A2918" s="93" t="str">
        <f>TEXT(tblProjectlist[[#This Row],[project-no]],"0")</f>
        <v>0</v>
      </c>
      <c r="K2918" s="91"/>
      <c r="Q2918" s="91"/>
    </row>
    <row r="2919" spans="1:17">
      <c r="A2919" s="93" t="str">
        <f>TEXT(tblProjectlist[[#This Row],[project-no]],"0")</f>
        <v>0</v>
      </c>
      <c r="K2919" s="91"/>
      <c r="Q2919" s="91"/>
    </row>
    <row r="2920" spans="1:17">
      <c r="A2920" s="93" t="str">
        <f>TEXT(tblProjectlist[[#This Row],[project-no]],"0")</f>
        <v>0</v>
      </c>
      <c r="K2920" s="91"/>
      <c r="Q2920" s="91"/>
    </row>
    <row r="2921" spans="1:17">
      <c r="A2921" s="93" t="str">
        <f>TEXT(tblProjectlist[[#This Row],[project-no]],"0")</f>
        <v>0</v>
      </c>
      <c r="K2921" s="91"/>
      <c r="Q2921" s="91"/>
    </row>
    <row r="2922" spans="1:17">
      <c r="A2922" s="93" t="str">
        <f>TEXT(tblProjectlist[[#This Row],[project-no]],"0")</f>
        <v>0</v>
      </c>
      <c r="K2922" s="91"/>
      <c r="Q2922" s="91"/>
    </row>
    <row r="2923" spans="1:17">
      <c r="A2923" s="93" t="str">
        <f>TEXT(tblProjectlist[[#This Row],[project-no]],"0")</f>
        <v>0</v>
      </c>
      <c r="K2923" s="91"/>
      <c r="Q2923" s="91"/>
    </row>
    <row r="2924" spans="1:17">
      <c r="A2924" s="93" t="str">
        <f>TEXT(tblProjectlist[[#This Row],[project-no]],"0")</f>
        <v>0</v>
      </c>
      <c r="K2924" s="91"/>
      <c r="Q2924" s="91"/>
    </row>
    <row r="2925" spans="1:17">
      <c r="A2925" s="93" t="str">
        <f>TEXT(tblProjectlist[[#This Row],[project-no]],"0")</f>
        <v>0</v>
      </c>
      <c r="K2925" s="91"/>
      <c r="Q2925" s="91"/>
    </row>
    <row r="2926" spans="1:17">
      <c r="A2926" s="93" t="str">
        <f>TEXT(tblProjectlist[[#This Row],[project-no]],"0")</f>
        <v>0</v>
      </c>
      <c r="K2926" s="91"/>
      <c r="Q2926" s="91"/>
    </row>
    <row r="2927" spans="1:17">
      <c r="A2927" s="93" t="str">
        <f>TEXT(tblProjectlist[[#This Row],[project-no]],"0")</f>
        <v>0</v>
      </c>
      <c r="K2927" s="91"/>
      <c r="Q2927" s="91"/>
    </row>
    <row r="2928" spans="1:17">
      <c r="A2928" s="93" t="str">
        <f>TEXT(tblProjectlist[[#This Row],[project-no]],"0")</f>
        <v>0</v>
      </c>
      <c r="K2928" s="91"/>
      <c r="Q2928" s="91"/>
    </row>
    <row r="2929" spans="1:17">
      <c r="A2929" s="93" t="str">
        <f>TEXT(tblProjectlist[[#This Row],[project-no]],"0")</f>
        <v>0</v>
      </c>
      <c r="K2929" s="91"/>
      <c r="Q2929" s="91"/>
    </row>
    <row r="2930" spans="1:17">
      <c r="A2930" s="93" t="str">
        <f>TEXT(tblProjectlist[[#This Row],[project-no]],"0")</f>
        <v>0</v>
      </c>
      <c r="K2930" s="91"/>
      <c r="Q2930" s="91"/>
    </row>
    <row r="2931" spans="1:17">
      <c r="A2931" s="93" t="str">
        <f>TEXT(tblProjectlist[[#This Row],[project-no]],"0")</f>
        <v>0</v>
      </c>
      <c r="K2931" s="91"/>
      <c r="Q2931" s="91"/>
    </row>
    <row r="2932" spans="1:17">
      <c r="A2932" s="93" t="str">
        <f>TEXT(tblProjectlist[[#This Row],[project-no]],"0")</f>
        <v>0</v>
      </c>
      <c r="K2932" s="91"/>
      <c r="Q2932" s="91"/>
    </row>
    <row r="2933" spans="1:17">
      <c r="A2933" s="93" t="str">
        <f>TEXT(tblProjectlist[[#This Row],[project-no]],"0")</f>
        <v>0</v>
      </c>
      <c r="K2933" s="91"/>
      <c r="Q2933" s="91"/>
    </row>
    <row r="2934" spans="1:17">
      <c r="A2934" s="93" t="str">
        <f>TEXT(tblProjectlist[[#This Row],[project-no]],"0")</f>
        <v>0</v>
      </c>
      <c r="K2934" s="91"/>
      <c r="Q2934" s="91"/>
    </row>
    <row r="2935" spans="1:17">
      <c r="A2935" s="93" t="str">
        <f>TEXT(tblProjectlist[[#This Row],[project-no]],"0")</f>
        <v>0</v>
      </c>
      <c r="K2935" s="91"/>
      <c r="Q2935" s="91"/>
    </row>
    <row r="2936" spans="1:17">
      <c r="A2936" s="93" t="str">
        <f>TEXT(tblProjectlist[[#This Row],[project-no]],"0")</f>
        <v>0</v>
      </c>
      <c r="K2936" s="91"/>
      <c r="Q2936" s="91"/>
    </row>
    <row r="2937" spans="1:17">
      <c r="A2937" s="93" t="str">
        <f>TEXT(tblProjectlist[[#This Row],[project-no]],"0")</f>
        <v>0</v>
      </c>
      <c r="K2937" s="91"/>
      <c r="Q2937" s="91"/>
    </row>
    <row r="2938" spans="1:17">
      <c r="A2938" s="93" t="str">
        <f>TEXT(tblProjectlist[[#This Row],[project-no]],"0")</f>
        <v>0</v>
      </c>
      <c r="K2938" s="91"/>
      <c r="Q2938" s="91"/>
    </row>
    <row r="2939" spans="1:17">
      <c r="A2939" s="93" t="str">
        <f>TEXT(tblProjectlist[[#This Row],[project-no]],"0")</f>
        <v>0</v>
      </c>
      <c r="K2939" s="91"/>
      <c r="Q2939" s="91"/>
    </row>
    <row r="2940" spans="1:17">
      <c r="A2940" s="93" t="str">
        <f>TEXT(tblProjectlist[[#This Row],[project-no]],"0")</f>
        <v>0</v>
      </c>
      <c r="K2940" s="91"/>
      <c r="Q2940" s="91"/>
    </row>
    <row r="2941" spans="1:17">
      <c r="A2941" s="93" t="str">
        <f>TEXT(tblProjectlist[[#This Row],[project-no]],"0")</f>
        <v>0</v>
      </c>
      <c r="K2941" s="91"/>
      <c r="Q2941" s="91"/>
    </row>
    <row r="2942" spans="1:17">
      <c r="A2942" s="93" t="str">
        <f>TEXT(tblProjectlist[[#This Row],[project-no]],"0")</f>
        <v>0</v>
      </c>
      <c r="K2942" s="91"/>
      <c r="Q2942" s="91"/>
    </row>
    <row r="2943" spans="1:17">
      <c r="A2943" s="93" t="str">
        <f>TEXT(tblProjectlist[[#This Row],[project-no]],"0")</f>
        <v>0</v>
      </c>
      <c r="K2943" s="91"/>
      <c r="Q2943" s="91"/>
    </row>
    <row r="2944" spans="1:17">
      <c r="A2944" s="93" t="str">
        <f>TEXT(tblProjectlist[[#This Row],[project-no]],"0")</f>
        <v>0</v>
      </c>
      <c r="K2944" s="91"/>
      <c r="Q2944" s="91"/>
    </row>
    <row r="2945" spans="1:17">
      <c r="A2945" s="93" t="str">
        <f>TEXT(tblProjectlist[[#This Row],[project-no]],"0")</f>
        <v>0</v>
      </c>
      <c r="K2945" s="91"/>
      <c r="Q2945" s="91"/>
    </row>
    <row r="2946" spans="1:17">
      <c r="A2946" s="93" t="str">
        <f>TEXT(tblProjectlist[[#This Row],[project-no]],"0")</f>
        <v>0</v>
      </c>
      <c r="K2946" s="91"/>
      <c r="Q2946" s="91"/>
    </row>
    <row r="2947" spans="1:17">
      <c r="A2947" s="93" t="str">
        <f>TEXT(tblProjectlist[[#This Row],[project-no]],"0")</f>
        <v>0</v>
      </c>
      <c r="K2947" s="91"/>
      <c r="Q2947" s="91"/>
    </row>
    <row r="2948" spans="1:17">
      <c r="A2948" s="93" t="str">
        <f>TEXT(tblProjectlist[[#This Row],[project-no]],"0")</f>
        <v>0</v>
      </c>
      <c r="K2948" s="91"/>
      <c r="Q2948" s="91"/>
    </row>
    <row r="2949" spans="1:17">
      <c r="A2949" s="93" t="str">
        <f>TEXT(tblProjectlist[[#This Row],[project-no]],"0")</f>
        <v>0</v>
      </c>
      <c r="K2949" s="91"/>
      <c r="Q2949" s="91"/>
    </row>
    <row r="2950" spans="1:17">
      <c r="A2950" s="93" t="str">
        <f>TEXT(tblProjectlist[[#This Row],[project-no]],"0")</f>
        <v>0</v>
      </c>
      <c r="K2950" s="91"/>
      <c r="Q2950" s="91"/>
    </row>
    <row r="2951" spans="1:17">
      <c r="A2951" s="93" t="str">
        <f>TEXT(tblProjectlist[[#This Row],[project-no]],"0")</f>
        <v>0</v>
      </c>
      <c r="K2951" s="91"/>
      <c r="Q2951" s="91"/>
    </row>
    <row r="2952" spans="1:17">
      <c r="A2952" s="93" t="str">
        <f>TEXT(tblProjectlist[[#This Row],[project-no]],"0")</f>
        <v>0</v>
      </c>
      <c r="K2952" s="91"/>
      <c r="Q2952" s="91"/>
    </row>
    <row r="2953" spans="1:17">
      <c r="A2953" s="93" t="str">
        <f>TEXT(tblProjectlist[[#This Row],[project-no]],"0")</f>
        <v>0</v>
      </c>
      <c r="K2953" s="91"/>
      <c r="Q2953" s="91"/>
    </row>
    <row r="2954" spans="1:17">
      <c r="A2954" s="93" t="str">
        <f>TEXT(tblProjectlist[[#This Row],[project-no]],"0")</f>
        <v>0</v>
      </c>
      <c r="K2954" s="91"/>
      <c r="Q2954" s="91"/>
    </row>
    <row r="2955" spans="1:17">
      <c r="A2955" s="93" t="str">
        <f>TEXT(tblProjectlist[[#This Row],[project-no]],"0")</f>
        <v>0</v>
      </c>
      <c r="K2955" s="91"/>
      <c r="Q2955" s="91"/>
    </row>
    <row r="2956" spans="1:17">
      <c r="A2956" s="93" t="str">
        <f>TEXT(tblProjectlist[[#This Row],[project-no]],"0")</f>
        <v>0</v>
      </c>
      <c r="K2956" s="91"/>
      <c r="Q2956" s="91"/>
    </row>
    <row r="2957" spans="1:17">
      <c r="A2957" s="93" t="str">
        <f>TEXT(tblProjectlist[[#This Row],[project-no]],"0")</f>
        <v>0</v>
      </c>
      <c r="K2957" s="91"/>
      <c r="Q2957" s="91"/>
    </row>
    <row r="2958" spans="1:17">
      <c r="A2958" s="93" t="str">
        <f>TEXT(tblProjectlist[[#This Row],[project-no]],"0")</f>
        <v>0</v>
      </c>
      <c r="K2958" s="91"/>
      <c r="Q2958" s="91"/>
    </row>
    <row r="2959" spans="1:17">
      <c r="A2959" s="93" t="str">
        <f>TEXT(tblProjectlist[[#This Row],[project-no]],"0")</f>
        <v>0</v>
      </c>
      <c r="K2959" s="91"/>
      <c r="Q2959" s="91"/>
    </row>
    <row r="2960" spans="1:17">
      <c r="A2960" s="93" t="str">
        <f>TEXT(tblProjectlist[[#This Row],[project-no]],"0")</f>
        <v>0</v>
      </c>
      <c r="K2960" s="91"/>
      <c r="Q2960" s="91"/>
    </row>
    <row r="2961" spans="1:17">
      <c r="A2961" s="93" t="str">
        <f>TEXT(tblProjectlist[[#This Row],[project-no]],"0")</f>
        <v>0</v>
      </c>
      <c r="K2961" s="91"/>
      <c r="Q2961" s="91"/>
    </row>
    <row r="2962" spans="1:17">
      <c r="A2962" s="93" t="str">
        <f>TEXT(tblProjectlist[[#This Row],[project-no]],"0")</f>
        <v>0</v>
      </c>
      <c r="K2962" s="91"/>
      <c r="Q2962" s="91"/>
    </row>
    <row r="2963" spans="1:17">
      <c r="A2963" s="93" t="str">
        <f>TEXT(tblProjectlist[[#This Row],[project-no]],"0")</f>
        <v>0</v>
      </c>
      <c r="K2963" s="91"/>
      <c r="Q2963" s="91"/>
    </row>
    <row r="2964" spans="1:17">
      <c r="A2964" s="93" t="str">
        <f>TEXT(tblProjectlist[[#This Row],[project-no]],"0")</f>
        <v>0</v>
      </c>
      <c r="K2964" s="91"/>
      <c r="Q2964" s="91"/>
    </row>
    <row r="2965" spans="1:17">
      <c r="A2965" s="93" t="str">
        <f>TEXT(tblProjectlist[[#This Row],[project-no]],"0")</f>
        <v>0</v>
      </c>
      <c r="K2965" s="91"/>
      <c r="Q2965" s="91"/>
    </row>
    <row r="2966" spans="1:17">
      <c r="A2966" s="93" t="str">
        <f>TEXT(tblProjectlist[[#This Row],[project-no]],"0")</f>
        <v>0</v>
      </c>
      <c r="K2966" s="91"/>
      <c r="Q2966" s="91"/>
    </row>
    <row r="2967" spans="1:17">
      <c r="A2967" s="93" t="str">
        <f>TEXT(tblProjectlist[[#This Row],[project-no]],"0")</f>
        <v>0</v>
      </c>
      <c r="K2967" s="91"/>
      <c r="Q2967" s="91"/>
    </row>
    <row r="2968" spans="1:17">
      <c r="A2968" s="93" t="str">
        <f>TEXT(tblProjectlist[[#This Row],[project-no]],"0")</f>
        <v>0</v>
      </c>
      <c r="K2968" s="91"/>
      <c r="Q2968" s="91"/>
    </row>
    <row r="2969" spans="1:17">
      <c r="A2969" s="93" t="str">
        <f>TEXT(tblProjectlist[[#This Row],[project-no]],"0")</f>
        <v>0</v>
      </c>
      <c r="K2969" s="91"/>
      <c r="Q2969" s="91"/>
    </row>
    <row r="2970" spans="1:17">
      <c r="A2970" s="93" t="str">
        <f>TEXT(tblProjectlist[[#This Row],[project-no]],"0")</f>
        <v>0</v>
      </c>
      <c r="K2970" s="91"/>
      <c r="Q2970" s="91"/>
    </row>
    <row r="2971" spans="1:17">
      <c r="A2971" s="93" t="str">
        <f>TEXT(tblProjectlist[[#This Row],[project-no]],"0")</f>
        <v>0</v>
      </c>
      <c r="K2971" s="91"/>
      <c r="Q2971" s="91"/>
    </row>
    <row r="2972" spans="1:17">
      <c r="A2972" s="93" t="str">
        <f>TEXT(tblProjectlist[[#This Row],[project-no]],"0")</f>
        <v>0</v>
      </c>
      <c r="K2972" s="91"/>
      <c r="Q2972" s="91"/>
    </row>
    <row r="2973" spans="1:17">
      <c r="A2973" s="93" t="str">
        <f>TEXT(tblProjectlist[[#This Row],[project-no]],"0")</f>
        <v>0</v>
      </c>
      <c r="K2973" s="91"/>
      <c r="Q2973" s="91"/>
    </row>
    <row r="2974" spans="1:17">
      <c r="A2974" s="93" t="str">
        <f>TEXT(tblProjectlist[[#This Row],[project-no]],"0")</f>
        <v>0</v>
      </c>
      <c r="K2974" s="91"/>
      <c r="Q2974" s="91"/>
    </row>
    <row r="2975" spans="1:17">
      <c r="A2975" s="93" t="str">
        <f>TEXT(tblProjectlist[[#This Row],[project-no]],"0")</f>
        <v>0</v>
      </c>
      <c r="K2975" s="91"/>
      <c r="Q2975" s="91"/>
    </row>
    <row r="2976" spans="1:17">
      <c r="A2976" s="93" t="str">
        <f>TEXT(tblProjectlist[[#This Row],[project-no]],"0")</f>
        <v>0</v>
      </c>
      <c r="K2976" s="91"/>
      <c r="Q2976" s="91"/>
    </row>
    <row r="2977" spans="1:17">
      <c r="A2977" s="93" t="str">
        <f>TEXT(tblProjectlist[[#This Row],[project-no]],"0")</f>
        <v>0</v>
      </c>
      <c r="K2977" s="91"/>
      <c r="Q2977" s="91"/>
    </row>
    <row r="2978" spans="1:17">
      <c r="A2978" s="93" t="str">
        <f>TEXT(tblProjectlist[[#This Row],[project-no]],"0")</f>
        <v>0</v>
      </c>
      <c r="K2978" s="91"/>
      <c r="Q2978" s="91"/>
    </row>
    <row r="2979" spans="1:17">
      <c r="A2979" s="93" t="str">
        <f>TEXT(tblProjectlist[[#This Row],[project-no]],"0")</f>
        <v>0</v>
      </c>
      <c r="K2979" s="91"/>
      <c r="Q2979" s="91"/>
    </row>
    <row r="2980" spans="1:17">
      <c r="A2980" s="93" t="str">
        <f>TEXT(tblProjectlist[[#This Row],[project-no]],"0")</f>
        <v>0</v>
      </c>
      <c r="K2980" s="91"/>
      <c r="Q2980" s="91"/>
    </row>
    <row r="2981" spans="1:17">
      <c r="A2981" s="93" t="str">
        <f>TEXT(tblProjectlist[[#This Row],[project-no]],"0")</f>
        <v>0</v>
      </c>
      <c r="K2981" s="91"/>
      <c r="Q2981" s="91"/>
    </row>
    <row r="2982" spans="1:17">
      <c r="A2982" s="93" t="str">
        <f>TEXT(tblProjectlist[[#This Row],[project-no]],"0")</f>
        <v>0</v>
      </c>
      <c r="K2982" s="91"/>
      <c r="Q2982" s="91"/>
    </row>
    <row r="2983" spans="1:17">
      <c r="A2983" s="93" t="str">
        <f>TEXT(tblProjectlist[[#This Row],[project-no]],"0")</f>
        <v>0</v>
      </c>
      <c r="K2983" s="91"/>
      <c r="Q2983" s="91"/>
    </row>
    <row r="2984" spans="1:17">
      <c r="A2984" s="93" t="str">
        <f>TEXT(tblProjectlist[[#This Row],[project-no]],"0")</f>
        <v>0</v>
      </c>
      <c r="K2984" s="91"/>
      <c r="Q2984" s="91"/>
    </row>
    <row r="2985" spans="1:17">
      <c r="A2985" s="93" t="str">
        <f>TEXT(tblProjectlist[[#This Row],[project-no]],"0")</f>
        <v>0</v>
      </c>
      <c r="K2985" s="91"/>
      <c r="Q2985" s="91"/>
    </row>
    <row r="2986" spans="1:17">
      <c r="A2986" s="93" t="str">
        <f>TEXT(tblProjectlist[[#This Row],[project-no]],"0")</f>
        <v>0</v>
      </c>
      <c r="K2986" s="91"/>
      <c r="Q2986" s="91"/>
    </row>
    <row r="2987" spans="1:17">
      <c r="A2987" s="93" t="str">
        <f>TEXT(tblProjectlist[[#This Row],[project-no]],"0")</f>
        <v>0</v>
      </c>
      <c r="K2987" s="91"/>
      <c r="Q2987" s="91"/>
    </row>
    <row r="2988" spans="1:17">
      <c r="A2988" s="93" t="str">
        <f>TEXT(tblProjectlist[[#This Row],[project-no]],"0")</f>
        <v>0</v>
      </c>
      <c r="K2988" s="91"/>
      <c r="Q2988" s="91"/>
    </row>
    <row r="2989" spans="1:17">
      <c r="A2989" s="93" t="str">
        <f>TEXT(tblProjectlist[[#This Row],[project-no]],"0")</f>
        <v>0</v>
      </c>
      <c r="K2989" s="91"/>
      <c r="Q2989" s="91"/>
    </row>
    <row r="2990" spans="1:17">
      <c r="A2990" s="93" t="str">
        <f>TEXT(tblProjectlist[[#This Row],[project-no]],"0")</f>
        <v>0</v>
      </c>
      <c r="K2990" s="91"/>
      <c r="Q2990" s="91"/>
    </row>
    <row r="2991" spans="1:17">
      <c r="A2991" s="93" t="str">
        <f>TEXT(tblProjectlist[[#This Row],[project-no]],"0")</f>
        <v>0</v>
      </c>
      <c r="K2991" s="91"/>
      <c r="Q2991" s="91"/>
    </row>
    <row r="2992" spans="1:17">
      <c r="A2992" s="93" t="str">
        <f>TEXT(tblProjectlist[[#This Row],[project-no]],"0")</f>
        <v>0</v>
      </c>
      <c r="K2992" s="91"/>
      <c r="Q2992" s="91"/>
    </row>
    <row r="2993" spans="1:17">
      <c r="A2993" s="93" t="str">
        <f>TEXT(tblProjectlist[[#This Row],[project-no]],"0")</f>
        <v>0</v>
      </c>
      <c r="K2993" s="91"/>
      <c r="Q2993" s="91"/>
    </row>
    <row r="2994" spans="1:17">
      <c r="A2994" s="93" t="str">
        <f>TEXT(tblProjectlist[[#This Row],[project-no]],"0")</f>
        <v>0</v>
      </c>
      <c r="K2994" s="91"/>
      <c r="Q2994" s="91"/>
    </row>
    <row r="2995" spans="1:17">
      <c r="A2995" s="93" t="str">
        <f>TEXT(tblProjectlist[[#This Row],[project-no]],"0")</f>
        <v>0</v>
      </c>
      <c r="K2995" s="91"/>
      <c r="Q2995" s="91"/>
    </row>
    <row r="2996" spans="1:17">
      <c r="A2996" s="93" t="str">
        <f>TEXT(tblProjectlist[[#This Row],[project-no]],"0")</f>
        <v>0</v>
      </c>
      <c r="K2996" s="91"/>
      <c r="Q2996" s="91"/>
    </row>
    <row r="2997" spans="1:17">
      <c r="A2997" s="93" t="str">
        <f>TEXT(tblProjectlist[[#This Row],[project-no]],"0")</f>
        <v>0</v>
      </c>
      <c r="K2997" s="91"/>
      <c r="Q2997" s="91"/>
    </row>
    <row r="2998" spans="1:17">
      <c r="A2998" s="93" t="str">
        <f>TEXT(tblProjectlist[[#This Row],[project-no]],"0")</f>
        <v>0</v>
      </c>
      <c r="K2998" s="91"/>
      <c r="Q2998" s="91"/>
    </row>
    <row r="2999" spans="1:17">
      <c r="A2999" s="93" t="str">
        <f>TEXT(tblProjectlist[[#This Row],[project-no]],"0")</f>
        <v>0</v>
      </c>
      <c r="K2999" s="91"/>
      <c r="Q2999" s="91"/>
    </row>
    <row r="3000" spans="1:17">
      <c r="A3000" s="93" t="str">
        <f>TEXT(tblProjectlist[[#This Row],[project-no]],"0")</f>
        <v>0</v>
      </c>
      <c r="K3000" s="91"/>
      <c r="Q3000" s="91"/>
    </row>
    <row r="3001" spans="1:17">
      <c r="A3001" s="93" t="str">
        <f>TEXT(tblProjectlist[[#This Row],[project-no]],"0")</f>
        <v>0</v>
      </c>
      <c r="K3001" s="91"/>
      <c r="Q3001" s="91"/>
    </row>
    <row r="3002" spans="1:17">
      <c r="A3002" s="93" t="str">
        <f>TEXT(tblProjectlist[[#This Row],[project-no]],"0")</f>
        <v>0</v>
      </c>
      <c r="K3002" s="91"/>
      <c r="Q3002" s="91"/>
    </row>
    <row r="3003" spans="1:17">
      <c r="A3003" s="93" t="str">
        <f>TEXT(tblProjectlist[[#This Row],[project-no]],"0")</f>
        <v>0</v>
      </c>
      <c r="K3003" s="91"/>
      <c r="Q3003" s="91"/>
    </row>
    <row r="3004" spans="1:17">
      <c r="A3004" s="93" t="str">
        <f>TEXT(tblProjectlist[[#This Row],[project-no]],"0")</f>
        <v>0</v>
      </c>
      <c r="K3004" s="91"/>
      <c r="Q3004" s="91"/>
    </row>
    <row r="3005" spans="1:17">
      <c r="A3005" s="93" t="str">
        <f>TEXT(tblProjectlist[[#This Row],[project-no]],"0")</f>
        <v>0</v>
      </c>
      <c r="K3005" s="91"/>
      <c r="Q3005" s="91"/>
    </row>
    <row r="3006" spans="1:17">
      <c r="A3006" s="93" t="str">
        <f>TEXT(tblProjectlist[[#This Row],[project-no]],"0")</f>
        <v>0</v>
      </c>
      <c r="K3006" s="91"/>
      <c r="Q3006" s="91"/>
    </row>
    <row r="3007" spans="1:17">
      <c r="A3007" s="93" t="str">
        <f>TEXT(tblProjectlist[[#This Row],[project-no]],"0")</f>
        <v>0</v>
      </c>
      <c r="K3007" s="91"/>
      <c r="Q3007" s="91"/>
    </row>
    <row r="3008" spans="1:17">
      <c r="A3008" s="93" t="str">
        <f>TEXT(tblProjectlist[[#This Row],[project-no]],"0")</f>
        <v>0</v>
      </c>
      <c r="K3008" s="91"/>
      <c r="Q3008" s="91"/>
    </row>
    <row r="3009" spans="1:17">
      <c r="A3009" s="93" t="str">
        <f>TEXT(tblProjectlist[[#This Row],[project-no]],"0")</f>
        <v>0</v>
      </c>
      <c r="K3009" s="91"/>
      <c r="Q3009" s="91"/>
    </row>
    <row r="3010" spans="1:17">
      <c r="A3010" s="93" t="str">
        <f>TEXT(tblProjectlist[[#This Row],[project-no]],"0")</f>
        <v>0</v>
      </c>
      <c r="K3010" s="91"/>
      <c r="Q3010" s="91"/>
    </row>
    <row r="3011" spans="1:17">
      <c r="A3011" s="93" t="str">
        <f>TEXT(tblProjectlist[[#This Row],[project-no]],"0")</f>
        <v>0</v>
      </c>
      <c r="K3011" s="91"/>
      <c r="Q3011" s="91"/>
    </row>
    <row r="3012" spans="1:17">
      <c r="A3012" s="93" t="str">
        <f>TEXT(tblProjectlist[[#This Row],[project-no]],"0")</f>
        <v>0</v>
      </c>
      <c r="K3012" s="91"/>
      <c r="Q3012" s="91"/>
    </row>
    <row r="3013" spans="1:17">
      <c r="A3013" s="93" t="str">
        <f>TEXT(tblProjectlist[[#This Row],[project-no]],"0")</f>
        <v>0</v>
      </c>
      <c r="K3013" s="91"/>
      <c r="Q3013" s="91"/>
    </row>
    <row r="3014" spans="1:17">
      <c r="A3014" s="93" t="str">
        <f>TEXT(tblProjectlist[[#This Row],[project-no]],"0")</f>
        <v>0</v>
      </c>
      <c r="K3014" s="91"/>
      <c r="Q3014" s="91"/>
    </row>
    <row r="3015" spans="1:17">
      <c r="A3015" s="93" t="str">
        <f>TEXT(tblProjectlist[[#This Row],[project-no]],"0")</f>
        <v>0</v>
      </c>
      <c r="K3015" s="91"/>
      <c r="Q3015" s="91"/>
    </row>
    <row r="3016" spans="1:17">
      <c r="A3016" s="93" t="str">
        <f>TEXT(tblProjectlist[[#This Row],[project-no]],"0")</f>
        <v>0</v>
      </c>
      <c r="K3016" s="91"/>
      <c r="Q3016" s="91"/>
    </row>
    <row r="3017" spans="1:17">
      <c r="A3017" s="93" t="str">
        <f>TEXT(tblProjectlist[[#This Row],[project-no]],"0")</f>
        <v>0</v>
      </c>
      <c r="K3017" s="91"/>
      <c r="Q3017" s="91"/>
    </row>
    <row r="3018" spans="1:17">
      <c r="A3018" s="93" t="str">
        <f>TEXT(tblProjectlist[[#This Row],[project-no]],"0")</f>
        <v>0</v>
      </c>
      <c r="K3018" s="91"/>
      <c r="Q3018" s="91"/>
    </row>
    <row r="3019" spans="1:17">
      <c r="A3019" s="93" t="str">
        <f>TEXT(tblProjectlist[[#This Row],[project-no]],"0")</f>
        <v>0</v>
      </c>
      <c r="K3019" s="91"/>
      <c r="Q3019" s="91"/>
    </row>
    <row r="3020" spans="1:17">
      <c r="A3020" s="93" t="str">
        <f>TEXT(tblProjectlist[[#This Row],[project-no]],"0")</f>
        <v>0</v>
      </c>
      <c r="K3020" s="91"/>
      <c r="Q3020" s="91"/>
    </row>
    <row r="3021" spans="1:17">
      <c r="A3021" s="93" t="str">
        <f>TEXT(tblProjectlist[[#This Row],[project-no]],"0")</f>
        <v>0</v>
      </c>
      <c r="K3021" s="91"/>
      <c r="Q3021" s="91"/>
    </row>
    <row r="3022" spans="1:17">
      <c r="A3022" s="93" t="str">
        <f>TEXT(tblProjectlist[[#This Row],[project-no]],"0")</f>
        <v>0</v>
      </c>
      <c r="K3022" s="91"/>
      <c r="Q3022" s="91"/>
    </row>
    <row r="3023" spans="1:17">
      <c r="A3023" s="93" t="str">
        <f>TEXT(tblProjectlist[[#This Row],[project-no]],"0")</f>
        <v>0</v>
      </c>
      <c r="K3023" s="91"/>
      <c r="Q3023" s="91"/>
    </row>
    <row r="3024" spans="1:17">
      <c r="A3024" s="93" t="str">
        <f>TEXT(tblProjectlist[[#This Row],[project-no]],"0")</f>
        <v>0</v>
      </c>
      <c r="K3024" s="91"/>
      <c r="Q3024" s="91"/>
    </row>
    <row r="3025" spans="1:17">
      <c r="A3025" s="93" t="str">
        <f>TEXT(tblProjectlist[[#This Row],[project-no]],"0")</f>
        <v>0</v>
      </c>
      <c r="K3025" s="91"/>
      <c r="Q3025" s="91"/>
    </row>
    <row r="3026" spans="1:17">
      <c r="A3026" s="93" t="str">
        <f>TEXT(tblProjectlist[[#This Row],[project-no]],"0")</f>
        <v>0</v>
      </c>
      <c r="K3026" s="91"/>
      <c r="Q3026" s="91"/>
    </row>
    <row r="3027" spans="1:17">
      <c r="A3027" s="93" t="str">
        <f>TEXT(tblProjectlist[[#This Row],[project-no]],"0")</f>
        <v>0</v>
      </c>
      <c r="K3027" s="91"/>
      <c r="Q3027" s="91"/>
    </row>
    <row r="3028" spans="1:17">
      <c r="A3028" s="93" t="str">
        <f>TEXT(tblProjectlist[[#This Row],[project-no]],"0")</f>
        <v>0</v>
      </c>
      <c r="K3028" s="91"/>
      <c r="Q3028" s="91"/>
    </row>
    <row r="3029" spans="1:17">
      <c r="A3029" s="93" t="str">
        <f>TEXT(tblProjectlist[[#This Row],[project-no]],"0")</f>
        <v>0</v>
      </c>
      <c r="K3029" s="91"/>
      <c r="Q3029" s="91"/>
    </row>
    <row r="3030" spans="1:17">
      <c r="A3030" s="93" t="str">
        <f>TEXT(tblProjectlist[[#This Row],[project-no]],"0")</f>
        <v>0</v>
      </c>
      <c r="K3030" s="91"/>
      <c r="Q3030" s="91"/>
    </row>
    <row r="3031" spans="1:17">
      <c r="A3031" s="93" t="str">
        <f>TEXT(tblProjectlist[[#This Row],[project-no]],"0")</f>
        <v>0</v>
      </c>
      <c r="K3031" s="91"/>
      <c r="Q3031" s="91"/>
    </row>
    <row r="3032" spans="1:17">
      <c r="A3032" s="93" t="str">
        <f>TEXT(tblProjectlist[[#This Row],[project-no]],"0")</f>
        <v>0</v>
      </c>
      <c r="K3032" s="91"/>
      <c r="Q3032" s="91"/>
    </row>
    <row r="3033" spans="1:17">
      <c r="A3033" s="93" t="str">
        <f>TEXT(tblProjectlist[[#This Row],[project-no]],"0")</f>
        <v>0</v>
      </c>
      <c r="K3033" s="91"/>
      <c r="Q3033" s="91"/>
    </row>
    <row r="3034" spans="1:17">
      <c r="A3034" s="93" t="str">
        <f>TEXT(tblProjectlist[[#This Row],[project-no]],"0")</f>
        <v>0</v>
      </c>
      <c r="Q3034" s="91"/>
    </row>
    <row r="3035" spans="1:17">
      <c r="A3035" s="93" t="str">
        <f>TEXT(tblProjectlist[[#This Row],[project-no]],"0")</f>
        <v>0</v>
      </c>
      <c r="Q3035" s="91"/>
    </row>
    <row r="3036" spans="1:17">
      <c r="A3036" s="93" t="str">
        <f>TEXT(tblProjectlist[[#This Row],[project-no]],"0")</f>
        <v>0</v>
      </c>
      <c r="K3036" s="91"/>
      <c r="Q3036" s="91"/>
    </row>
    <row r="3037" spans="1:17">
      <c r="A3037" s="93" t="str">
        <f>TEXT(tblProjectlist[[#This Row],[project-no]],"0")</f>
        <v>0</v>
      </c>
      <c r="K3037" s="91"/>
      <c r="Q3037" s="91"/>
    </row>
    <row r="3038" spans="1:17">
      <c r="A3038" s="93" t="str">
        <f>TEXT(tblProjectlist[[#This Row],[project-no]],"0")</f>
        <v>0</v>
      </c>
      <c r="K3038" s="91"/>
      <c r="Q3038" s="91"/>
    </row>
    <row r="3039" spans="1:17">
      <c r="A3039" s="93" t="str">
        <f>TEXT(tblProjectlist[[#This Row],[project-no]],"0")</f>
        <v>0</v>
      </c>
      <c r="K3039" s="91"/>
      <c r="Q3039" s="91"/>
    </row>
    <row r="3040" spans="1:17">
      <c r="A3040" s="93" t="str">
        <f>TEXT(tblProjectlist[[#This Row],[project-no]],"0")</f>
        <v>0</v>
      </c>
      <c r="K3040" s="91"/>
      <c r="Q3040" s="91"/>
    </row>
    <row r="3041" spans="1:17">
      <c r="A3041" s="93" t="str">
        <f>TEXT(tblProjectlist[[#This Row],[project-no]],"0")</f>
        <v>0</v>
      </c>
      <c r="K3041" s="91"/>
      <c r="Q3041" s="91"/>
    </row>
    <row r="3042" spans="1:17">
      <c r="A3042" s="93" t="str">
        <f>TEXT(tblProjectlist[[#This Row],[project-no]],"0")</f>
        <v>0</v>
      </c>
      <c r="K3042" s="91"/>
      <c r="Q3042" s="91"/>
    </row>
    <row r="3043" spans="1:17">
      <c r="A3043" s="93" t="str">
        <f>TEXT(tblProjectlist[[#This Row],[project-no]],"0")</f>
        <v>0</v>
      </c>
      <c r="K3043" s="91"/>
      <c r="Q3043" s="91"/>
    </row>
    <row r="3044" spans="1:17">
      <c r="A3044" s="93" t="str">
        <f>TEXT(tblProjectlist[[#This Row],[project-no]],"0")</f>
        <v>0</v>
      </c>
      <c r="K3044" s="91"/>
      <c r="Q3044" s="91"/>
    </row>
    <row r="3045" spans="1:17">
      <c r="A3045" s="93" t="str">
        <f>TEXT(tblProjectlist[[#This Row],[project-no]],"0")</f>
        <v>0</v>
      </c>
      <c r="K3045" s="91"/>
      <c r="Q3045" s="91"/>
    </row>
    <row r="3046" spans="1:17">
      <c r="A3046" s="93" t="str">
        <f>TEXT(tblProjectlist[[#This Row],[project-no]],"0")</f>
        <v>0</v>
      </c>
      <c r="K3046" s="91"/>
      <c r="Q3046" s="91"/>
    </row>
    <row r="3047" spans="1:17">
      <c r="A3047" s="93" t="str">
        <f>TEXT(tblProjectlist[[#This Row],[project-no]],"0")</f>
        <v>0</v>
      </c>
      <c r="K3047" s="91"/>
      <c r="Q3047" s="91"/>
    </row>
    <row r="3048" spans="1:17">
      <c r="A3048" s="93" t="str">
        <f>TEXT(tblProjectlist[[#This Row],[project-no]],"0")</f>
        <v>0</v>
      </c>
      <c r="K3048" s="91"/>
      <c r="Q3048" s="91"/>
    </row>
    <row r="3049" spans="1:17">
      <c r="A3049" s="93" t="str">
        <f>TEXT(tblProjectlist[[#This Row],[project-no]],"0")</f>
        <v>0</v>
      </c>
      <c r="K3049" s="91"/>
      <c r="Q3049" s="91"/>
    </row>
    <row r="3050" spans="1:17">
      <c r="A3050" s="93" t="str">
        <f>TEXT(tblProjectlist[[#This Row],[project-no]],"0")</f>
        <v>0</v>
      </c>
      <c r="K3050" s="91"/>
      <c r="Q3050" s="91"/>
    </row>
    <row r="3051" spans="1:17">
      <c r="A3051" s="93" t="str">
        <f>TEXT(tblProjectlist[[#This Row],[project-no]],"0")</f>
        <v>0</v>
      </c>
      <c r="K3051" s="91"/>
      <c r="Q3051" s="91"/>
    </row>
    <row r="3052" spans="1:17">
      <c r="A3052" s="93" t="str">
        <f>TEXT(tblProjectlist[[#This Row],[project-no]],"0")</f>
        <v>0</v>
      </c>
      <c r="K3052" s="91"/>
      <c r="Q3052" s="91"/>
    </row>
    <row r="3053" spans="1:17">
      <c r="A3053" s="93" t="str">
        <f>TEXT(tblProjectlist[[#This Row],[project-no]],"0")</f>
        <v>0</v>
      </c>
      <c r="K3053" s="91"/>
      <c r="Q3053" s="91"/>
    </row>
    <row r="3054" spans="1:17">
      <c r="A3054" s="93" t="str">
        <f>TEXT(tblProjectlist[[#This Row],[project-no]],"0")</f>
        <v>0</v>
      </c>
      <c r="K3054" s="91"/>
      <c r="Q3054" s="91"/>
    </row>
    <row r="3055" spans="1:17">
      <c r="A3055" s="93" t="str">
        <f>TEXT(tblProjectlist[[#This Row],[project-no]],"0")</f>
        <v>0</v>
      </c>
      <c r="K3055" s="91"/>
      <c r="Q3055" s="91"/>
    </row>
    <row r="3056" spans="1:17">
      <c r="A3056" s="93" t="str">
        <f>TEXT(tblProjectlist[[#This Row],[project-no]],"0")</f>
        <v>0</v>
      </c>
      <c r="K3056" s="91"/>
      <c r="Q3056" s="91"/>
    </row>
    <row r="3057" spans="1:17">
      <c r="A3057" s="93" t="str">
        <f>TEXT(tblProjectlist[[#This Row],[project-no]],"0")</f>
        <v>0</v>
      </c>
      <c r="K3057" s="91"/>
      <c r="Q3057" s="91"/>
    </row>
    <row r="3058" spans="1:17">
      <c r="A3058" s="93" t="str">
        <f>TEXT(tblProjectlist[[#This Row],[project-no]],"0")</f>
        <v>0</v>
      </c>
      <c r="K3058" s="91"/>
      <c r="Q3058" s="91"/>
    </row>
    <row r="3059" spans="1:17">
      <c r="A3059" s="93" t="str">
        <f>TEXT(tblProjectlist[[#This Row],[project-no]],"0")</f>
        <v>0</v>
      </c>
      <c r="K3059" s="91"/>
      <c r="Q3059" s="91"/>
    </row>
    <row r="3060" spans="1:17">
      <c r="A3060" s="93" t="str">
        <f>TEXT(tblProjectlist[[#This Row],[project-no]],"0")</f>
        <v>0</v>
      </c>
      <c r="K3060" s="91"/>
      <c r="Q3060" s="91"/>
    </row>
    <row r="3061" spans="1:17">
      <c r="A3061" s="93" t="str">
        <f>TEXT(tblProjectlist[[#This Row],[project-no]],"0")</f>
        <v>0</v>
      </c>
      <c r="K3061" s="91"/>
      <c r="Q3061" s="91"/>
    </row>
    <row r="3062" spans="1:17">
      <c r="A3062" s="93" t="str">
        <f>TEXT(tblProjectlist[[#This Row],[project-no]],"0")</f>
        <v>0</v>
      </c>
      <c r="K3062" s="91"/>
      <c r="Q3062" s="91"/>
    </row>
    <row r="3063" spans="1:17">
      <c r="A3063" s="93" t="str">
        <f>TEXT(tblProjectlist[[#This Row],[project-no]],"0")</f>
        <v>0</v>
      </c>
      <c r="K3063" s="91"/>
      <c r="Q3063" s="91"/>
    </row>
    <row r="3064" spans="1:17">
      <c r="A3064" s="93" t="str">
        <f>TEXT(tblProjectlist[[#This Row],[project-no]],"0")</f>
        <v>0</v>
      </c>
      <c r="K3064" s="91"/>
      <c r="Q3064" s="91"/>
    </row>
    <row r="3065" spans="1:17">
      <c r="A3065" s="93" t="str">
        <f>TEXT(tblProjectlist[[#This Row],[project-no]],"0")</f>
        <v>0</v>
      </c>
      <c r="K3065" s="91"/>
      <c r="Q3065" s="91"/>
    </row>
    <row r="3066" spans="1:17">
      <c r="A3066" s="93" t="str">
        <f>TEXT(tblProjectlist[[#This Row],[project-no]],"0")</f>
        <v>0</v>
      </c>
      <c r="K3066" s="91"/>
      <c r="Q3066" s="91"/>
    </row>
    <row r="3067" spans="1:17">
      <c r="A3067" s="93" t="str">
        <f>TEXT(tblProjectlist[[#This Row],[project-no]],"0")</f>
        <v>0</v>
      </c>
      <c r="K3067" s="91"/>
      <c r="Q3067" s="91"/>
    </row>
    <row r="3068" spans="1:17">
      <c r="A3068" s="93" t="str">
        <f>TEXT(tblProjectlist[[#This Row],[project-no]],"0")</f>
        <v>0</v>
      </c>
      <c r="K3068" s="91"/>
      <c r="Q3068" s="91"/>
    </row>
    <row r="3069" spans="1:17">
      <c r="A3069" s="93" t="str">
        <f>TEXT(tblProjectlist[[#This Row],[project-no]],"0")</f>
        <v>0</v>
      </c>
      <c r="K3069" s="91"/>
      <c r="Q3069" s="91"/>
    </row>
    <row r="3070" spans="1:17">
      <c r="A3070" s="93" t="str">
        <f>TEXT(tblProjectlist[[#This Row],[project-no]],"0")</f>
        <v>0</v>
      </c>
      <c r="K3070" s="91"/>
      <c r="Q3070" s="91"/>
    </row>
    <row r="3071" spans="1:17">
      <c r="A3071" s="93" t="str">
        <f>TEXT(tblProjectlist[[#This Row],[project-no]],"0")</f>
        <v>0</v>
      </c>
      <c r="K3071" s="91"/>
      <c r="Q3071" s="91"/>
    </row>
    <row r="3072" spans="1:17">
      <c r="A3072" s="93" t="str">
        <f>TEXT(tblProjectlist[[#This Row],[project-no]],"0")</f>
        <v>0</v>
      </c>
      <c r="K3072" s="91"/>
      <c r="Q3072" s="91"/>
    </row>
    <row r="3073" spans="1:17">
      <c r="A3073" s="93" t="str">
        <f>TEXT(tblProjectlist[[#This Row],[project-no]],"0")</f>
        <v>0</v>
      </c>
      <c r="K3073" s="91"/>
      <c r="Q3073" s="91"/>
    </row>
    <row r="3074" spans="1:17">
      <c r="A3074" s="93" t="str">
        <f>TEXT(tblProjectlist[[#This Row],[project-no]],"0")</f>
        <v>0</v>
      </c>
      <c r="K3074" s="91"/>
      <c r="Q3074" s="91"/>
    </row>
    <row r="3075" spans="1:17">
      <c r="A3075" s="93" t="str">
        <f>TEXT(tblProjectlist[[#This Row],[project-no]],"0")</f>
        <v>0</v>
      </c>
      <c r="K3075" s="91"/>
      <c r="Q3075" s="91"/>
    </row>
    <row r="3076" spans="1:17">
      <c r="A3076" s="93" t="str">
        <f>TEXT(tblProjectlist[[#This Row],[project-no]],"0")</f>
        <v>0</v>
      </c>
      <c r="K3076" s="91"/>
      <c r="Q3076" s="91"/>
    </row>
    <row r="3077" spans="1:17">
      <c r="A3077" s="93" t="str">
        <f>TEXT(tblProjectlist[[#This Row],[project-no]],"0")</f>
        <v>0</v>
      </c>
      <c r="K3077" s="91"/>
      <c r="Q3077" s="91"/>
    </row>
    <row r="3078" spans="1:17">
      <c r="A3078" s="93" t="str">
        <f>TEXT(tblProjectlist[[#This Row],[project-no]],"0")</f>
        <v>0</v>
      </c>
      <c r="K3078" s="91"/>
      <c r="Q3078" s="91"/>
    </row>
    <row r="3079" spans="1:17">
      <c r="A3079" s="93" t="str">
        <f>TEXT(tblProjectlist[[#This Row],[project-no]],"0")</f>
        <v>0</v>
      </c>
      <c r="K3079" s="91"/>
      <c r="Q3079" s="91"/>
    </row>
    <row r="3080" spans="1:17">
      <c r="A3080" s="93" t="str">
        <f>TEXT(tblProjectlist[[#This Row],[project-no]],"0")</f>
        <v>0</v>
      </c>
      <c r="K3080" s="91"/>
      <c r="Q3080" s="91"/>
    </row>
    <row r="3081" spans="1:17">
      <c r="A3081" s="93" t="str">
        <f>TEXT(tblProjectlist[[#This Row],[project-no]],"0")</f>
        <v>0</v>
      </c>
      <c r="K3081" s="91"/>
      <c r="Q3081" s="91"/>
    </row>
    <row r="3082" spans="1:17">
      <c r="A3082" s="93" t="str">
        <f>TEXT(tblProjectlist[[#This Row],[project-no]],"0")</f>
        <v>0</v>
      </c>
      <c r="Q3082" s="91"/>
    </row>
    <row r="3083" spans="1:17">
      <c r="A3083" s="93" t="str">
        <f>TEXT(tblProjectlist[[#This Row],[project-no]],"0")</f>
        <v>0</v>
      </c>
      <c r="Q3083" s="91"/>
    </row>
    <row r="3084" spans="1:17">
      <c r="A3084" s="93" t="str">
        <f>TEXT(tblProjectlist[[#This Row],[project-no]],"0")</f>
        <v>0</v>
      </c>
      <c r="Q3084" s="91"/>
    </row>
    <row r="3085" spans="1:17">
      <c r="A3085" s="93" t="str">
        <f>TEXT(tblProjectlist[[#This Row],[project-no]],"0")</f>
        <v>0</v>
      </c>
      <c r="Q3085" s="91"/>
    </row>
    <row r="3086" spans="1:17">
      <c r="A3086" s="93" t="str">
        <f>TEXT(tblProjectlist[[#This Row],[project-no]],"0")</f>
        <v>0</v>
      </c>
      <c r="Q3086" s="91"/>
    </row>
    <row r="3087" spans="1:17">
      <c r="A3087" s="93" t="str">
        <f>TEXT(tblProjectlist[[#This Row],[project-no]],"0")</f>
        <v>0</v>
      </c>
      <c r="Q3087" s="91"/>
    </row>
    <row r="3088" spans="1:17">
      <c r="A3088" s="93" t="str">
        <f>TEXT(tblProjectlist[[#This Row],[project-no]],"0")</f>
        <v>0</v>
      </c>
      <c r="Q3088" s="91"/>
    </row>
    <row r="3089" spans="1:17">
      <c r="A3089" s="93" t="str">
        <f>TEXT(tblProjectlist[[#This Row],[project-no]],"0")</f>
        <v>0</v>
      </c>
      <c r="Q3089" s="91"/>
    </row>
    <row r="3090" spans="1:17">
      <c r="A3090" s="93" t="str">
        <f>TEXT(tblProjectlist[[#This Row],[project-no]],"0")</f>
        <v>0</v>
      </c>
      <c r="Q3090" s="91"/>
    </row>
    <row r="3091" spans="1:17">
      <c r="A3091" s="93" t="str">
        <f>TEXT(tblProjectlist[[#This Row],[project-no]],"0")</f>
        <v>0</v>
      </c>
      <c r="Q3091" s="91"/>
    </row>
    <row r="3092" spans="1:17">
      <c r="A3092" s="93" t="str">
        <f>TEXT(tblProjectlist[[#This Row],[project-no]],"0")</f>
        <v>0</v>
      </c>
      <c r="Q3092" s="91"/>
    </row>
    <row r="3093" spans="1:17">
      <c r="A3093" s="93" t="str">
        <f>TEXT(tblProjectlist[[#This Row],[project-no]],"0")</f>
        <v>0</v>
      </c>
      <c r="Q3093" s="91"/>
    </row>
    <row r="3094" spans="1:17">
      <c r="A3094" s="93" t="str">
        <f>TEXT(tblProjectlist[[#This Row],[project-no]],"0")</f>
        <v>0</v>
      </c>
      <c r="Q3094" s="91"/>
    </row>
    <row r="3095" spans="1:17">
      <c r="A3095" s="93" t="str">
        <f>TEXT(tblProjectlist[[#This Row],[project-no]],"0")</f>
        <v>0</v>
      </c>
      <c r="Q3095" s="91"/>
    </row>
    <row r="3096" spans="1:17">
      <c r="A3096" s="93" t="str">
        <f>TEXT(tblProjectlist[[#This Row],[project-no]],"0")</f>
        <v>0</v>
      </c>
      <c r="Q3096" s="91"/>
    </row>
    <row r="3097" spans="1:17">
      <c r="A3097" s="93" t="str">
        <f>TEXT(tblProjectlist[[#This Row],[project-no]],"0")</f>
        <v>0</v>
      </c>
      <c r="Q3097" s="91"/>
    </row>
    <row r="3098" spans="1:17">
      <c r="A3098" s="93" t="str">
        <f>TEXT(tblProjectlist[[#This Row],[project-no]],"0")</f>
        <v>0</v>
      </c>
      <c r="Q3098" s="91"/>
    </row>
    <row r="3099" spans="1:17">
      <c r="A3099" s="93" t="str">
        <f>TEXT(tblProjectlist[[#This Row],[project-no]],"0")</f>
        <v>0</v>
      </c>
      <c r="Q3099" s="91"/>
    </row>
    <row r="3100" spans="1:17">
      <c r="A3100" s="93" t="str">
        <f>TEXT(tblProjectlist[[#This Row],[project-no]],"0")</f>
        <v>0</v>
      </c>
      <c r="Q3100" s="91"/>
    </row>
    <row r="3101" spans="1:17">
      <c r="A3101" s="93" t="str">
        <f>TEXT(tblProjectlist[[#This Row],[project-no]],"0")</f>
        <v>0</v>
      </c>
      <c r="Q3101" s="91"/>
    </row>
    <row r="3102" spans="1:17">
      <c r="A3102" s="93" t="str">
        <f>TEXT(tblProjectlist[[#This Row],[project-no]],"0")</f>
        <v>0</v>
      </c>
      <c r="Q3102" s="91"/>
    </row>
    <row r="3103" spans="1:17">
      <c r="A3103" s="93" t="str">
        <f>TEXT(tblProjectlist[[#This Row],[project-no]],"0")</f>
        <v>0</v>
      </c>
      <c r="Q3103" s="91"/>
    </row>
    <row r="3104" spans="1:17">
      <c r="A3104" s="93" t="str">
        <f>TEXT(tblProjectlist[[#This Row],[project-no]],"0")</f>
        <v>0</v>
      </c>
      <c r="Q3104" s="91"/>
    </row>
    <row r="3105" spans="1:17">
      <c r="A3105" s="93" t="str">
        <f>TEXT(tblProjectlist[[#This Row],[project-no]],"0")</f>
        <v>0</v>
      </c>
      <c r="Q3105" s="91"/>
    </row>
    <row r="3106" spans="1:17">
      <c r="A3106" s="93" t="str">
        <f>TEXT(tblProjectlist[[#This Row],[project-no]],"0")</f>
        <v>0</v>
      </c>
      <c r="Q3106" s="91"/>
    </row>
    <row r="3107" spans="1:17">
      <c r="A3107" s="93" t="str">
        <f>TEXT(tblProjectlist[[#This Row],[project-no]],"0")</f>
        <v>0</v>
      </c>
      <c r="Q3107" s="91"/>
    </row>
    <row r="3108" spans="1:17">
      <c r="A3108" s="93" t="str">
        <f>TEXT(tblProjectlist[[#This Row],[project-no]],"0")</f>
        <v>0</v>
      </c>
      <c r="Q3108" s="91"/>
    </row>
    <row r="3109" spans="1:17">
      <c r="A3109" s="93" t="str">
        <f>TEXT(tblProjectlist[[#This Row],[project-no]],"0")</f>
        <v>0</v>
      </c>
      <c r="Q3109" s="91"/>
    </row>
    <row r="3110" spans="1:17">
      <c r="A3110" s="93" t="str">
        <f>TEXT(tblProjectlist[[#This Row],[project-no]],"0")</f>
        <v>0</v>
      </c>
      <c r="Q3110" s="91"/>
    </row>
    <row r="3111" spans="1:17">
      <c r="A3111" s="93" t="str">
        <f>TEXT(tblProjectlist[[#This Row],[project-no]],"0")</f>
        <v>0</v>
      </c>
      <c r="Q3111" s="91"/>
    </row>
    <row r="3112" spans="1:17">
      <c r="A3112" s="93" t="str">
        <f>TEXT(tblProjectlist[[#This Row],[project-no]],"0")</f>
        <v>0</v>
      </c>
      <c r="Q3112" s="91"/>
    </row>
    <row r="3113" spans="1:17">
      <c r="A3113" s="93" t="str">
        <f>TEXT(tblProjectlist[[#This Row],[project-no]],"0")</f>
        <v>0</v>
      </c>
      <c r="Q3113" s="91"/>
    </row>
    <row r="3114" spans="1:17">
      <c r="A3114" s="93" t="str">
        <f>TEXT(tblProjectlist[[#This Row],[project-no]],"0")</f>
        <v>0</v>
      </c>
      <c r="Q3114" s="91"/>
    </row>
    <row r="3115" spans="1:17">
      <c r="A3115" s="93" t="str">
        <f>TEXT(tblProjectlist[[#This Row],[project-no]],"0")</f>
        <v>0</v>
      </c>
      <c r="Q3115" s="91"/>
    </row>
    <row r="3116" spans="1:17">
      <c r="A3116" s="93" t="str">
        <f>TEXT(tblProjectlist[[#This Row],[project-no]],"0")</f>
        <v>0</v>
      </c>
      <c r="Q3116" s="91"/>
    </row>
    <row r="3117" spans="1:17">
      <c r="A3117" s="93" t="str">
        <f>TEXT(tblProjectlist[[#This Row],[project-no]],"0")</f>
        <v>0</v>
      </c>
      <c r="Q3117" s="91"/>
    </row>
    <row r="3118" spans="1:17">
      <c r="A3118" s="93" t="str">
        <f>TEXT(tblProjectlist[[#This Row],[project-no]],"0")</f>
        <v>0</v>
      </c>
      <c r="Q3118" s="91"/>
    </row>
    <row r="3119" spans="1:17">
      <c r="A3119" s="93" t="str">
        <f>TEXT(tblProjectlist[[#This Row],[project-no]],"0")</f>
        <v>0</v>
      </c>
      <c r="Q3119" s="91"/>
    </row>
    <row r="3120" spans="1:17">
      <c r="A3120" s="93" t="str">
        <f>TEXT(tblProjectlist[[#This Row],[project-no]],"0")</f>
        <v>0</v>
      </c>
      <c r="Q3120" s="91"/>
    </row>
    <row r="3121" spans="1:17">
      <c r="A3121" s="93" t="str">
        <f>TEXT(tblProjectlist[[#This Row],[project-no]],"0")</f>
        <v>0</v>
      </c>
      <c r="Q3121" s="91"/>
    </row>
    <row r="3122" spans="1:17">
      <c r="A3122" s="93" t="str">
        <f>TEXT(tblProjectlist[[#This Row],[project-no]],"0")</f>
        <v>0</v>
      </c>
      <c r="Q3122" s="91"/>
    </row>
    <row r="3123" spans="1:17">
      <c r="A3123" s="93" t="str">
        <f>TEXT(tblProjectlist[[#This Row],[project-no]],"0")</f>
        <v>0</v>
      </c>
      <c r="Q3123" s="91"/>
    </row>
    <row r="3124" spans="1:17">
      <c r="A3124" s="93" t="str">
        <f>TEXT(tblProjectlist[[#This Row],[project-no]],"0")</f>
        <v>0</v>
      </c>
      <c r="Q3124" s="91"/>
    </row>
    <row r="3125" spans="1:17">
      <c r="A3125" s="93" t="str">
        <f>TEXT(tblProjectlist[[#This Row],[project-no]],"0")</f>
        <v>0</v>
      </c>
      <c r="Q3125" s="91"/>
    </row>
    <row r="3126" spans="1:17">
      <c r="A3126" s="93" t="str">
        <f>TEXT(tblProjectlist[[#This Row],[project-no]],"0")</f>
        <v>0</v>
      </c>
      <c r="Q3126" s="91"/>
    </row>
    <row r="3127" spans="1:17">
      <c r="A3127" s="93" t="str">
        <f>TEXT(tblProjectlist[[#This Row],[project-no]],"0")</f>
        <v>0</v>
      </c>
      <c r="Q3127" s="91"/>
    </row>
    <row r="3128" spans="1:17">
      <c r="A3128" s="93" t="str">
        <f>TEXT(tblProjectlist[[#This Row],[project-no]],"0")</f>
        <v>0</v>
      </c>
      <c r="Q3128" s="91"/>
    </row>
    <row r="3129" spans="1:17">
      <c r="A3129" s="93" t="str">
        <f>TEXT(tblProjectlist[[#This Row],[project-no]],"0")</f>
        <v>0</v>
      </c>
      <c r="Q3129" s="91"/>
    </row>
    <row r="3130" spans="1:17">
      <c r="A3130" s="93" t="str">
        <f>TEXT(tblProjectlist[[#This Row],[project-no]],"0")</f>
        <v>0</v>
      </c>
      <c r="Q3130" s="91"/>
    </row>
    <row r="3131" spans="1:17">
      <c r="A3131" s="93" t="str">
        <f>TEXT(tblProjectlist[[#This Row],[project-no]],"0")</f>
        <v>0</v>
      </c>
      <c r="Q3131" s="91"/>
    </row>
    <row r="3132" spans="1:17">
      <c r="A3132" s="93" t="str">
        <f>TEXT(tblProjectlist[[#This Row],[project-no]],"0")</f>
        <v>0</v>
      </c>
      <c r="Q3132" s="91"/>
    </row>
    <row r="3133" spans="1:17">
      <c r="A3133" s="93" t="str">
        <f>TEXT(tblProjectlist[[#This Row],[project-no]],"0")</f>
        <v>0</v>
      </c>
      <c r="Q3133" s="91"/>
    </row>
    <row r="3134" spans="1:17">
      <c r="A3134" s="93" t="str">
        <f>TEXT(tblProjectlist[[#This Row],[project-no]],"0")</f>
        <v>0</v>
      </c>
      <c r="Q3134" s="91"/>
    </row>
    <row r="3135" spans="1:17">
      <c r="A3135" s="93" t="str">
        <f>TEXT(tblProjectlist[[#This Row],[project-no]],"0")</f>
        <v>0</v>
      </c>
      <c r="Q3135" s="91"/>
    </row>
    <row r="3136" spans="1:17">
      <c r="A3136" s="93" t="str">
        <f>TEXT(tblProjectlist[[#This Row],[project-no]],"0")</f>
        <v>0</v>
      </c>
      <c r="Q3136" s="91"/>
    </row>
    <row r="3137" spans="1:17">
      <c r="A3137" s="93" t="str">
        <f>TEXT(tblProjectlist[[#This Row],[project-no]],"0")</f>
        <v>0</v>
      </c>
      <c r="Q3137" s="91"/>
    </row>
    <row r="3138" spans="1:17">
      <c r="A3138" s="93" t="str">
        <f>TEXT(tblProjectlist[[#This Row],[project-no]],"0")</f>
        <v>0</v>
      </c>
      <c r="Q3138" s="91"/>
    </row>
    <row r="3139" spans="1:17">
      <c r="A3139" s="93" t="str">
        <f>TEXT(tblProjectlist[[#This Row],[project-no]],"0")</f>
        <v>0</v>
      </c>
      <c r="Q3139" s="91"/>
    </row>
    <row r="3140" spans="1:17">
      <c r="A3140" s="93" t="str">
        <f>TEXT(tblProjectlist[[#This Row],[project-no]],"0")</f>
        <v>0</v>
      </c>
      <c r="Q3140" s="91"/>
    </row>
    <row r="3141" spans="1:17">
      <c r="A3141" s="93" t="str">
        <f>TEXT(tblProjectlist[[#This Row],[project-no]],"0")</f>
        <v>0</v>
      </c>
      <c r="Q3141" s="91"/>
    </row>
    <row r="3142" spans="1:17">
      <c r="A3142" s="93" t="str">
        <f>TEXT(tblProjectlist[[#This Row],[project-no]],"0")</f>
        <v>0</v>
      </c>
      <c r="Q3142" s="91"/>
    </row>
    <row r="3143" spans="1:17">
      <c r="A3143" s="93" t="str">
        <f>TEXT(tblProjectlist[[#This Row],[project-no]],"0")</f>
        <v>0</v>
      </c>
      <c r="Q3143" s="91"/>
    </row>
    <row r="3144" spans="1:17">
      <c r="A3144" s="93" t="str">
        <f>TEXT(tblProjectlist[[#This Row],[project-no]],"0")</f>
        <v>0</v>
      </c>
      <c r="Q3144" s="91"/>
    </row>
    <row r="3145" spans="1:17">
      <c r="A3145" s="93" t="str">
        <f>TEXT(tblProjectlist[[#This Row],[project-no]],"0")</f>
        <v>0</v>
      </c>
      <c r="Q3145" s="91"/>
    </row>
    <row r="3146" spans="1:17">
      <c r="A3146" s="93" t="str">
        <f>TEXT(tblProjectlist[[#This Row],[project-no]],"0")</f>
        <v>0</v>
      </c>
      <c r="Q3146" s="91"/>
    </row>
    <row r="3147" spans="1:17">
      <c r="A3147" s="93" t="str">
        <f>TEXT(tblProjectlist[[#This Row],[project-no]],"0")</f>
        <v>0</v>
      </c>
      <c r="Q3147" s="91"/>
    </row>
    <row r="3148" spans="1:17">
      <c r="A3148" s="93" t="str">
        <f>TEXT(tblProjectlist[[#This Row],[project-no]],"0")</f>
        <v>0</v>
      </c>
      <c r="Q3148" s="91"/>
    </row>
    <row r="3149" spans="1:17">
      <c r="A3149" s="93" t="str">
        <f>TEXT(tblProjectlist[[#This Row],[project-no]],"0")</f>
        <v>0</v>
      </c>
      <c r="Q3149" s="91"/>
    </row>
    <row r="3150" spans="1:17">
      <c r="A3150" s="93" t="str">
        <f>TEXT(tblProjectlist[[#This Row],[project-no]],"0")</f>
        <v>0</v>
      </c>
      <c r="Q3150" s="91"/>
    </row>
    <row r="3151" spans="1:17">
      <c r="A3151" s="93" t="str">
        <f>TEXT(tblProjectlist[[#This Row],[project-no]],"0")</f>
        <v>0</v>
      </c>
      <c r="Q3151" s="91"/>
    </row>
    <row r="3152" spans="1:17">
      <c r="A3152" s="93" t="str">
        <f>TEXT(tblProjectlist[[#This Row],[project-no]],"0")</f>
        <v>0</v>
      </c>
      <c r="Q3152" s="91"/>
    </row>
    <row r="3153" spans="1:17">
      <c r="A3153" s="93" t="str">
        <f>TEXT(tblProjectlist[[#This Row],[project-no]],"0")</f>
        <v>0</v>
      </c>
      <c r="Q3153" s="91"/>
    </row>
    <row r="3154" spans="1:17">
      <c r="A3154" s="93" t="str">
        <f>TEXT(tblProjectlist[[#This Row],[project-no]],"0")</f>
        <v>0</v>
      </c>
      <c r="Q3154" s="91"/>
    </row>
    <row r="3155" spans="1:17">
      <c r="A3155" s="93" t="str">
        <f>TEXT(tblProjectlist[[#This Row],[project-no]],"0")</f>
        <v>0</v>
      </c>
      <c r="Q3155" s="91"/>
    </row>
    <row r="3156" spans="1:17">
      <c r="A3156" s="93" t="str">
        <f>TEXT(tblProjectlist[[#This Row],[project-no]],"0")</f>
        <v>0</v>
      </c>
      <c r="Q3156" s="91"/>
    </row>
    <row r="3157" spans="1:17">
      <c r="A3157" s="93" t="str">
        <f>TEXT(tblProjectlist[[#This Row],[project-no]],"0")</f>
        <v>0</v>
      </c>
      <c r="Q3157" s="91"/>
    </row>
    <row r="3158" spans="1:17">
      <c r="A3158" s="93" t="str">
        <f>TEXT(tblProjectlist[[#This Row],[project-no]],"0")</f>
        <v>0</v>
      </c>
      <c r="Q3158" s="91"/>
    </row>
    <row r="3159" spans="1:17">
      <c r="A3159" s="93" t="str">
        <f>TEXT(tblProjectlist[[#This Row],[project-no]],"0")</f>
        <v>0</v>
      </c>
      <c r="Q3159" s="91"/>
    </row>
    <row r="3160" spans="1:17">
      <c r="A3160" s="93" t="str">
        <f>TEXT(tblProjectlist[[#This Row],[project-no]],"0")</f>
        <v>0</v>
      </c>
      <c r="Q3160" s="91"/>
    </row>
    <row r="3161" spans="1:17">
      <c r="A3161" s="93" t="str">
        <f>TEXT(tblProjectlist[[#This Row],[project-no]],"0")</f>
        <v>0</v>
      </c>
      <c r="Q3161" s="91"/>
    </row>
    <row r="3162" spans="1:17">
      <c r="A3162" s="93" t="str">
        <f>TEXT(tblProjectlist[[#This Row],[project-no]],"0")</f>
        <v>0</v>
      </c>
      <c r="Q3162" s="91"/>
    </row>
    <row r="3163" spans="1:17">
      <c r="A3163" s="93" t="str">
        <f>TEXT(tblProjectlist[[#This Row],[project-no]],"0")</f>
        <v>0</v>
      </c>
      <c r="Q3163" s="91"/>
    </row>
    <row r="3164" spans="1:17">
      <c r="A3164" s="93" t="str">
        <f>TEXT(tblProjectlist[[#This Row],[project-no]],"0")</f>
        <v>0</v>
      </c>
      <c r="Q3164" s="91"/>
    </row>
    <row r="3165" spans="1:17">
      <c r="A3165" s="93" t="str">
        <f>TEXT(tblProjectlist[[#This Row],[project-no]],"0")</f>
        <v>0</v>
      </c>
      <c r="Q3165" s="91"/>
    </row>
    <row r="3166" spans="1:17">
      <c r="A3166" s="93" t="str">
        <f>TEXT(tblProjectlist[[#This Row],[project-no]],"0")</f>
        <v>0</v>
      </c>
      <c r="Q3166" s="91"/>
    </row>
    <row r="3167" spans="1:17">
      <c r="A3167" s="93" t="str">
        <f>TEXT(tblProjectlist[[#This Row],[project-no]],"0")</f>
        <v>0</v>
      </c>
      <c r="Q3167" s="91"/>
    </row>
    <row r="3168" spans="1:17">
      <c r="A3168" s="93" t="str">
        <f>TEXT(tblProjectlist[[#This Row],[project-no]],"0")</f>
        <v>0</v>
      </c>
      <c r="Q3168" s="91"/>
    </row>
    <row r="3169" spans="1:17">
      <c r="A3169" s="93" t="str">
        <f>TEXT(tblProjectlist[[#This Row],[project-no]],"0")</f>
        <v>0</v>
      </c>
      <c r="Q3169" s="91"/>
    </row>
    <row r="3170" spans="1:17">
      <c r="A3170" s="93" t="str">
        <f>TEXT(tblProjectlist[[#This Row],[project-no]],"0")</f>
        <v>0</v>
      </c>
      <c r="Q3170" s="91"/>
    </row>
    <row r="3171" spans="1:17">
      <c r="A3171" s="93" t="str">
        <f>TEXT(tblProjectlist[[#This Row],[project-no]],"0")</f>
        <v>0</v>
      </c>
      <c r="Q3171" s="91"/>
    </row>
    <row r="3172" spans="1:17">
      <c r="A3172" s="93" t="str">
        <f>TEXT(tblProjectlist[[#This Row],[project-no]],"0")</f>
        <v>0</v>
      </c>
      <c r="Q3172" s="91"/>
    </row>
    <row r="3173" spans="1:17">
      <c r="A3173" s="93" t="str">
        <f>TEXT(tblProjectlist[[#This Row],[project-no]],"0")</f>
        <v>0</v>
      </c>
      <c r="Q3173" s="91"/>
    </row>
    <row r="3174" spans="1:17">
      <c r="A3174" s="93" t="str">
        <f>TEXT(tblProjectlist[[#This Row],[project-no]],"0")</f>
        <v>0</v>
      </c>
      <c r="Q3174" s="91"/>
    </row>
    <row r="3175" spans="1:17">
      <c r="A3175" s="93" t="str">
        <f>TEXT(tblProjectlist[[#This Row],[project-no]],"0")</f>
        <v>0</v>
      </c>
      <c r="Q3175" s="91"/>
    </row>
    <row r="3176" spans="1:17">
      <c r="A3176" s="93" t="str">
        <f>TEXT(tblProjectlist[[#This Row],[project-no]],"0")</f>
        <v>0</v>
      </c>
      <c r="Q3176" s="91"/>
    </row>
    <row r="3177" spans="1:17">
      <c r="A3177" s="93" t="str">
        <f>TEXT(tblProjectlist[[#This Row],[project-no]],"0")</f>
        <v>0</v>
      </c>
      <c r="Q3177" s="91"/>
    </row>
    <row r="3178" spans="1:17">
      <c r="A3178" s="93" t="str">
        <f>TEXT(tblProjectlist[[#This Row],[project-no]],"0")</f>
        <v>0</v>
      </c>
      <c r="Q3178" s="91"/>
    </row>
    <row r="3179" spans="1:17">
      <c r="A3179" s="93" t="str">
        <f>TEXT(tblProjectlist[[#This Row],[project-no]],"0")</f>
        <v>0</v>
      </c>
      <c r="Q3179" s="91"/>
    </row>
    <row r="3180" spans="1:17">
      <c r="A3180" s="93" t="str">
        <f>TEXT(tblProjectlist[[#This Row],[project-no]],"0")</f>
        <v>0</v>
      </c>
      <c r="Q3180" s="91"/>
    </row>
    <row r="3181" spans="1:17">
      <c r="A3181" s="93" t="str">
        <f>TEXT(tblProjectlist[[#This Row],[project-no]],"0")</f>
        <v>0</v>
      </c>
      <c r="Q3181" s="91"/>
    </row>
    <row r="3182" spans="1:17">
      <c r="A3182" s="93" t="str">
        <f>TEXT(tblProjectlist[[#This Row],[project-no]],"0")</f>
        <v>0</v>
      </c>
      <c r="Q3182" s="91"/>
    </row>
    <row r="3183" spans="1:17">
      <c r="A3183" s="93" t="str">
        <f>TEXT(tblProjectlist[[#This Row],[project-no]],"0")</f>
        <v>0</v>
      </c>
      <c r="Q3183" s="91"/>
    </row>
    <row r="3184" spans="1:17">
      <c r="A3184" s="93" t="str">
        <f>TEXT(tblProjectlist[[#This Row],[project-no]],"0")</f>
        <v>0</v>
      </c>
      <c r="Q3184" s="91"/>
    </row>
    <row r="3185" spans="1:17">
      <c r="A3185" s="93" t="str">
        <f>TEXT(tblProjectlist[[#This Row],[project-no]],"0")</f>
        <v>0</v>
      </c>
      <c r="Q3185" s="91"/>
    </row>
    <row r="3186" spans="1:17">
      <c r="A3186" s="93" t="str">
        <f>TEXT(tblProjectlist[[#This Row],[project-no]],"0")</f>
        <v>0</v>
      </c>
      <c r="Q3186" s="91"/>
    </row>
    <row r="3187" spans="1:17">
      <c r="A3187" s="93" t="str">
        <f>TEXT(tblProjectlist[[#This Row],[project-no]],"0")</f>
        <v>0</v>
      </c>
      <c r="Q3187" s="91"/>
    </row>
    <row r="3188" spans="1:17">
      <c r="A3188" s="93" t="str">
        <f>TEXT(tblProjectlist[[#This Row],[project-no]],"0")</f>
        <v>0</v>
      </c>
      <c r="Q3188" s="91"/>
    </row>
    <row r="3189" spans="1:17">
      <c r="A3189" s="93" t="str">
        <f>TEXT(tblProjectlist[[#This Row],[project-no]],"0")</f>
        <v>0</v>
      </c>
      <c r="Q3189" s="91"/>
    </row>
    <row r="3190" spans="1:17">
      <c r="A3190" s="93" t="str">
        <f>TEXT(tblProjectlist[[#This Row],[project-no]],"0")</f>
        <v>0</v>
      </c>
      <c r="Q3190" s="91"/>
    </row>
    <row r="3191" spans="1:17">
      <c r="A3191" s="93" t="str">
        <f>TEXT(tblProjectlist[[#This Row],[project-no]],"0")</f>
        <v>0</v>
      </c>
      <c r="Q3191" s="91"/>
    </row>
    <row r="3192" spans="1:17">
      <c r="A3192" s="93" t="str">
        <f>TEXT(tblProjectlist[[#This Row],[project-no]],"0")</f>
        <v>0</v>
      </c>
      <c r="Q3192" s="91"/>
    </row>
    <row r="3193" spans="1:17">
      <c r="A3193" s="93" t="str">
        <f>TEXT(tblProjectlist[[#This Row],[project-no]],"0")</f>
        <v>0</v>
      </c>
      <c r="Q3193" s="91"/>
    </row>
    <row r="3194" spans="1:17">
      <c r="A3194" s="93" t="str">
        <f>TEXT(tblProjectlist[[#This Row],[project-no]],"0")</f>
        <v>0</v>
      </c>
      <c r="Q3194" s="91"/>
    </row>
    <row r="3195" spans="1:17">
      <c r="A3195" s="93" t="str">
        <f>TEXT(tblProjectlist[[#This Row],[project-no]],"0")</f>
        <v>0</v>
      </c>
      <c r="Q3195" s="91"/>
    </row>
    <row r="3196" spans="1:17">
      <c r="A3196" s="93" t="str">
        <f>TEXT(tblProjectlist[[#This Row],[project-no]],"0")</f>
        <v>0</v>
      </c>
      <c r="Q3196" s="91"/>
    </row>
    <row r="3197" spans="1:17">
      <c r="A3197" s="93" t="str">
        <f>TEXT(tblProjectlist[[#This Row],[project-no]],"0")</f>
        <v>0</v>
      </c>
      <c r="Q3197" s="91"/>
    </row>
    <row r="3198" spans="1:17">
      <c r="A3198" s="93" t="str">
        <f>TEXT(tblProjectlist[[#This Row],[project-no]],"0")</f>
        <v>0</v>
      </c>
      <c r="Q3198" s="91"/>
    </row>
    <row r="3199" spans="1:17">
      <c r="A3199" s="93" t="str">
        <f>TEXT(tblProjectlist[[#This Row],[project-no]],"0")</f>
        <v>0</v>
      </c>
      <c r="Q3199" s="91"/>
    </row>
    <row r="3200" spans="1:17">
      <c r="A3200" s="93" t="str">
        <f>TEXT(tblProjectlist[[#This Row],[project-no]],"0")</f>
        <v>0</v>
      </c>
      <c r="Q3200" s="91"/>
    </row>
    <row r="3201" spans="1:17">
      <c r="A3201" s="93" t="str">
        <f>TEXT(tblProjectlist[[#This Row],[project-no]],"0")</f>
        <v>0</v>
      </c>
      <c r="Q3201" s="91"/>
    </row>
    <row r="3202" spans="1:17">
      <c r="A3202" s="93" t="str">
        <f>TEXT(tblProjectlist[[#This Row],[project-no]],"0")</f>
        <v>0</v>
      </c>
      <c r="Q3202" s="91"/>
    </row>
    <row r="3203" spans="1:17">
      <c r="A3203" s="93" t="str">
        <f>TEXT(tblProjectlist[[#This Row],[project-no]],"0")</f>
        <v>0</v>
      </c>
      <c r="Q3203" s="91"/>
    </row>
    <row r="3204" spans="1:17">
      <c r="A3204" s="93" t="str">
        <f>TEXT(tblProjectlist[[#This Row],[project-no]],"0")</f>
        <v>0</v>
      </c>
      <c r="Q3204" s="91"/>
    </row>
    <row r="3205" spans="1:17">
      <c r="A3205" s="93" t="str">
        <f>TEXT(tblProjectlist[[#This Row],[project-no]],"0")</f>
        <v>0</v>
      </c>
      <c r="Q3205" s="91"/>
    </row>
    <row r="3206" spans="1:17">
      <c r="A3206" s="93" t="str">
        <f>TEXT(tblProjectlist[[#This Row],[project-no]],"0")</f>
        <v>0</v>
      </c>
      <c r="Q3206" s="91"/>
    </row>
    <row r="3207" spans="1:17">
      <c r="A3207" s="93" t="str">
        <f>TEXT(tblProjectlist[[#This Row],[project-no]],"0")</f>
        <v>0</v>
      </c>
      <c r="Q3207" s="91"/>
    </row>
    <row r="3208" spans="1:17">
      <c r="A3208" s="93" t="str">
        <f>TEXT(tblProjectlist[[#This Row],[project-no]],"0")</f>
        <v>0</v>
      </c>
      <c r="Q3208" s="91"/>
    </row>
    <row r="3209" spans="1:17">
      <c r="A3209" s="93" t="str">
        <f>TEXT(tblProjectlist[[#This Row],[project-no]],"0")</f>
        <v>0</v>
      </c>
      <c r="Q3209" s="91"/>
    </row>
    <row r="3210" spans="1:17">
      <c r="A3210" s="93" t="str">
        <f>TEXT(tblProjectlist[[#This Row],[project-no]],"0")</f>
        <v>0</v>
      </c>
      <c r="Q3210" s="91"/>
    </row>
    <row r="3211" spans="1:17">
      <c r="A3211" s="93" t="str">
        <f>TEXT(tblProjectlist[[#This Row],[project-no]],"0")</f>
        <v>0</v>
      </c>
      <c r="Q3211" s="91"/>
    </row>
    <row r="3212" spans="1:17">
      <c r="A3212" s="93" t="str">
        <f>TEXT(tblProjectlist[[#This Row],[project-no]],"0")</f>
        <v>0</v>
      </c>
      <c r="Q3212" s="91"/>
    </row>
    <row r="3213" spans="1:17">
      <c r="A3213" s="93" t="str">
        <f>TEXT(tblProjectlist[[#This Row],[project-no]],"0")</f>
        <v>0</v>
      </c>
      <c r="Q3213" s="91"/>
    </row>
    <row r="3214" spans="1:17">
      <c r="A3214" s="93" t="str">
        <f>TEXT(tblProjectlist[[#This Row],[project-no]],"0")</f>
        <v>0</v>
      </c>
      <c r="Q3214" s="91"/>
    </row>
    <row r="3215" spans="1:17">
      <c r="A3215" s="93" t="str">
        <f>TEXT(tblProjectlist[[#This Row],[project-no]],"0")</f>
        <v>0</v>
      </c>
      <c r="Q3215" s="91"/>
    </row>
    <row r="3216" spans="1:17">
      <c r="A3216" s="93" t="str">
        <f>TEXT(tblProjectlist[[#This Row],[project-no]],"0")</f>
        <v>0</v>
      </c>
      <c r="Q3216" s="91"/>
    </row>
    <row r="3217" spans="1:17">
      <c r="A3217" s="93" t="str">
        <f>TEXT(tblProjectlist[[#This Row],[project-no]],"0")</f>
        <v>0</v>
      </c>
      <c r="Q3217" s="91"/>
    </row>
    <row r="3218" spans="1:17">
      <c r="A3218" s="93" t="str">
        <f>TEXT(tblProjectlist[[#This Row],[project-no]],"0")</f>
        <v>0</v>
      </c>
      <c r="Q3218" s="91"/>
    </row>
    <row r="3219" spans="1:17">
      <c r="A3219" s="93" t="str">
        <f>TEXT(tblProjectlist[[#This Row],[project-no]],"0")</f>
        <v>0</v>
      </c>
      <c r="Q3219" s="91"/>
    </row>
    <row r="3220" spans="1:17">
      <c r="A3220" s="93" t="str">
        <f>TEXT(tblProjectlist[[#This Row],[project-no]],"0")</f>
        <v>0</v>
      </c>
      <c r="Q3220" s="91"/>
    </row>
    <row r="3221" spans="1:17">
      <c r="A3221" s="93" t="str">
        <f>TEXT(tblProjectlist[[#This Row],[project-no]],"0")</f>
        <v>0</v>
      </c>
      <c r="Q3221" s="91"/>
    </row>
    <row r="3222" spans="1:17">
      <c r="A3222" s="93" t="str">
        <f>TEXT(tblProjectlist[[#This Row],[project-no]],"0")</f>
        <v>0</v>
      </c>
      <c r="Q3222" s="91"/>
    </row>
    <row r="3223" spans="1:17">
      <c r="A3223" s="93" t="str">
        <f>TEXT(tblProjectlist[[#This Row],[project-no]],"0")</f>
        <v>0</v>
      </c>
      <c r="Q3223" s="91"/>
    </row>
    <row r="3224" spans="1:17">
      <c r="A3224" s="93" t="str">
        <f>TEXT(tblProjectlist[[#This Row],[project-no]],"0")</f>
        <v>0</v>
      </c>
      <c r="Q3224" s="91"/>
    </row>
    <row r="3225" spans="1:17">
      <c r="A3225" s="93" t="str">
        <f>TEXT(tblProjectlist[[#This Row],[project-no]],"0")</f>
        <v>0</v>
      </c>
      <c r="Q3225" s="91"/>
    </row>
    <row r="3226" spans="1:17">
      <c r="A3226" s="93" t="str">
        <f>TEXT(tblProjectlist[[#This Row],[project-no]],"0")</f>
        <v>0</v>
      </c>
      <c r="Q3226" s="91"/>
    </row>
    <row r="3227" spans="1:17">
      <c r="A3227" s="93" t="str">
        <f>TEXT(tblProjectlist[[#This Row],[project-no]],"0")</f>
        <v>0</v>
      </c>
      <c r="Q3227" s="91"/>
    </row>
    <row r="3228" spans="1:17">
      <c r="A3228" s="93" t="str">
        <f>TEXT(tblProjectlist[[#This Row],[project-no]],"0")</f>
        <v>0</v>
      </c>
      <c r="Q3228" s="91"/>
    </row>
    <row r="3229" spans="1:17">
      <c r="A3229" s="93" t="str">
        <f>TEXT(tblProjectlist[[#This Row],[project-no]],"0")</f>
        <v>0</v>
      </c>
      <c r="Q3229" s="91"/>
    </row>
    <row r="3230" spans="1:17">
      <c r="A3230" s="93" t="str">
        <f>TEXT(tblProjectlist[[#This Row],[project-no]],"0")</f>
        <v>0</v>
      </c>
      <c r="Q3230" s="91"/>
    </row>
    <row r="3231" spans="1:17">
      <c r="A3231" s="93" t="str">
        <f>TEXT(tblProjectlist[[#This Row],[project-no]],"0")</f>
        <v>0</v>
      </c>
      <c r="Q3231" s="91"/>
    </row>
    <row r="3232" spans="1:17">
      <c r="A3232" s="93" t="str">
        <f>TEXT(tblProjectlist[[#This Row],[project-no]],"0")</f>
        <v>0</v>
      </c>
      <c r="Q3232" s="91"/>
    </row>
    <row r="3233" spans="1:17">
      <c r="A3233" s="93" t="str">
        <f>TEXT(tblProjectlist[[#This Row],[project-no]],"0")</f>
        <v>0</v>
      </c>
      <c r="Q3233" s="91"/>
    </row>
    <row r="3234" spans="1:17">
      <c r="A3234" s="93" t="str">
        <f>TEXT(tblProjectlist[[#This Row],[project-no]],"0")</f>
        <v>0</v>
      </c>
      <c r="Q3234" s="91"/>
    </row>
    <row r="3235" spans="1:17">
      <c r="A3235" s="93" t="str">
        <f>TEXT(tblProjectlist[[#This Row],[project-no]],"0")</f>
        <v>0</v>
      </c>
      <c r="Q3235" s="91"/>
    </row>
    <row r="3236" spans="1:17">
      <c r="A3236" s="93" t="str">
        <f>TEXT(tblProjectlist[[#This Row],[project-no]],"0")</f>
        <v>0</v>
      </c>
      <c r="Q3236" s="91"/>
    </row>
    <row r="3237" spans="1:17">
      <c r="A3237" s="93" t="str">
        <f>TEXT(tblProjectlist[[#This Row],[project-no]],"0")</f>
        <v>0</v>
      </c>
      <c r="Q3237" s="91"/>
    </row>
    <row r="3238" spans="1:17">
      <c r="A3238" s="93" t="str">
        <f>TEXT(tblProjectlist[[#This Row],[project-no]],"0")</f>
        <v>0</v>
      </c>
      <c r="Q3238" s="91"/>
    </row>
    <row r="3239" spans="1:17">
      <c r="A3239" s="93" t="str">
        <f>TEXT(tblProjectlist[[#This Row],[project-no]],"0")</f>
        <v>0</v>
      </c>
      <c r="Q3239" s="91"/>
    </row>
    <row r="3240" spans="1:17">
      <c r="A3240" s="93" t="str">
        <f>TEXT(tblProjectlist[[#This Row],[project-no]],"0")</f>
        <v>0</v>
      </c>
      <c r="Q3240" s="91"/>
    </row>
    <row r="3241" spans="1:17">
      <c r="A3241" s="93" t="str">
        <f>TEXT(tblProjectlist[[#This Row],[project-no]],"0")</f>
        <v>0</v>
      </c>
      <c r="Q3241" s="91"/>
    </row>
    <row r="3242" spans="1:17">
      <c r="A3242" s="93" t="str">
        <f>TEXT(tblProjectlist[[#This Row],[project-no]],"0")</f>
        <v>0</v>
      </c>
      <c r="Q3242" s="91"/>
    </row>
    <row r="3243" spans="1:17">
      <c r="A3243" s="93" t="str">
        <f>TEXT(tblProjectlist[[#This Row],[project-no]],"0")</f>
        <v>0</v>
      </c>
      <c r="Q3243" s="91"/>
    </row>
    <row r="3244" spans="1:17">
      <c r="A3244" s="93" t="str">
        <f>TEXT(tblProjectlist[[#This Row],[project-no]],"0")</f>
        <v>0</v>
      </c>
      <c r="Q3244" s="91"/>
    </row>
    <row r="3245" spans="1:17">
      <c r="A3245" s="93" t="str">
        <f>TEXT(tblProjectlist[[#This Row],[project-no]],"0")</f>
        <v>0</v>
      </c>
      <c r="Q3245" s="91"/>
    </row>
    <row r="3246" spans="1:17">
      <c r="A3246" s="93" t="str">
        <f>TEXT(tblProjectlist[[#This Row],[project-no]],"0")</f>
        <v>0</v>
      </c>
      <c r="Q3246" s="91"/>
    </row>
    <row r="3247" spans="1:17">
      <c r="A3247" s="93" t="str">
        <f>TEXT(tblProjectlist[[#This Row],[project-no]],"0")</f>
        <v>0</v>
      </c>
      <c r="Q3247" s="91"/>
    </row>
    <row r="3248" spans="1:17">
      <c r="A3248" s="93" t="str">
        <f>TEXT(tblProjectlist[[#This Row],[project-no]],"0")</f>
        <v>0</v>
      </c>
      <c r="Q3248" s="91"/>
    </row>
    <row r="3249" spans="1:17">
      <c r="A3249" s="93" t="str">
        <f>TEXT(tblProjectlist[[#This Row],[project-no]],"0")</f>
        <v>0</v>
      </c>
      <c r="Q3249" s="91"/>
    </row>
    <row r="3250" spans="1:17">
      <c r="A3250" s="93" t="str">
        <f>TEXT(tblProjectlist[[#This Row],[project-no]],"0")</f>
        <v>0</v>
      </c>
      <c r="Q3250" s="91"/>
    </row>
    <row r="3251" spans="1:17">
      <c r="A3251" s="93" t="str">
        <f>TEXT(tblProjectlist[[#This Row],[project-no]],"0")</f>
        <v>0</v>
      </c>
      <c r="Q3251" s="91"/>
    </row>
    <row r="3252" spans="1:17">
      <c r="A3252" s="93" t="str">
        <f>TEXT(tblProjectlist[[#This Row],[project-no]],"0")</f>
        <v>0</v>
      </c>
      <c r="Q3252" s="91"/>
    </row>
    <row r="3253" spans="1:17">
      <c r="A3253" s="93" t="str">
        <f>TEXT(tblProjectlist[[#This Row],[project-no]],"0")</f>
        <v>0</v>
      </c>
      <c r="Q3253" s="91"/>
    </row>
    <row r="3254" spans="1:17">
      <c r="A3254" s="93" t="str">
        <f>TEXT(tblProjectlist[[#This Row],[project-no]],"0")</f>
        <v>0</v>
      </c>
      <c r="Q3254" s="91"/>
    </row>
    <row r="3255" spans="1:17">
      <c r="A3255" s="93" t="str">
        <f>TEXT(tblProjectlist[[#This Row],[project-no]],"0")</f>
        <v>0</v>
      </c>
      <c r="Q3255" s="91"/>
    </row>
    <row r="3256" spans="1:17">
      <c r="A3256" s="93" t="str">
        <f>TEXT(tblProjectlist[[#This Row],[project-no]],"0")</f>
        <v>0</v>
      </c>
      <c r="Q3256" s="91"/>
    </row>
    <row r="3257" spans="1:17">
      <c r="A3257" s="93" t="str">
        <f>TEXT(tblProjectlist[[#This Row],[project-no]],"0")</f>
        <v>0</v>
      </c>
      <c r="Q3257" s="91"/>
    </row>
    <row r="3258" spans="1:17">
      <c r="A3258" s="93" t="str">
        <f>TEXT(tblProjectlist[[#This Row],[project-no]],"0")</f>
        <v>0</v>
      </c>
      <c r="Q3258" s="91"/>
    </row>
    <row r="3259" spans="1:17">
      <c r="A3259" s="93" t="str">
        <f>TEXT(tblProjectlist[[#This Row],[project-no]],"0")</f>
        <v>0</v>
      </c>
      <c r="Q3259" s="91"/>
    </row>
    <row r="3260" spans="1:17">
      <c r="A3260" s="93" t="str">
        <f>TEXT(tblProjectlist[[#This Row],[project-no]],"0")</f>
        <v>0</v>
      </c>
      <c r="Q3260" s="91"/>
    </row>
    <row r="3261" spans="1:17">
      <c r="A3261" s="93" t="str">
        <f>TEXT(tblProjectlist[[#This Row],[project-no]],"0")</f>
        <v>0</v>
      </c>
      <c r="Q3261" s="91"/>
    </row>
    <row r="3262" spans="1:17">
      <c r="A3262" s="93" t="str">
        <f>TEXT(tblProjectlist[[#This Row],[project-no]],"0")</f>
        <v>0</v>
      </c>
      <c r="Q3262" s="91"/>
    </row>
    <row r="3263" spans="1:17">
      <c r="A3263" s="93" t="str">
        <f>TEXT(tblProjectlist[[#This Row],[project-no]],"0")</f>
        <v>0</v>
      </c>
      <c r="Q3263" s="91"/>
    </row>
    <row r="3264" spans="1:17">
      <c r="A3264" s="93" t="str">
        <f>TEXT(tblProjectlist[[#This Row],[project-no]],"0")</f>
        <v>0</v>
      </c>
      <c r="Q3264" s="91"/>
    </row>
    <row r="3265" spans="1:17">
      <c r="A3265" s="93" t="str">
        <f>TEXT(tblProjectlist[[#This Row],[project-no]],"0")</f>
        <v>0</v>
      </c>
      <c r="Q3265" s="91"/>
    </row>
    <row r="3266" spans="1:17">
      <c r="A3266" s="93" t="str">
        <f>TEXT(tblProjectlist[[#This Row],[project-no]],"0")</f>
        <v>0</v>
      </c>
      <c r="Q3266" s="91"/>
    </row>
    <row r="3267" spans="1:17">
      <c r="A3267" s="93" t="str">
        <f>TEXT(tblProjectlist[[#This Row],[project-no]],"0")</f>
        <v>0</v>
      </c>
      <c r="Q3267" s="91"/>
    </row>
    <row r="3268" spans="1:17">
      <c r="A3268" s="93" t="str">
        <f>TEXT(tblProjectlist[[#This Row],[project-no]],"0")</f>
        <v>0</v>
      </c>
      <c r="Q3268" s="91"/>
    </row>
    <row r="3269" spans="1:17">
      <c r="A3269" s="93" t="str">
        <f>TEXT(tblProjectlist[[#This Row],[project-no]],"0")</f>
        <v>0</v>
      </c>
      <c r="Q3269" s="91"/>
    </row>
    <row r="3270" spans="1:17">
      <c r="A3270" s="93" t="str">
        <f>TEXT(tblProjectlist[[#This Row],[project-no]],"0")</f>
        <v>0</v>
      </c>
      <c r="Q3270" s="91"/>
    </row>
    <row r="3271" spans="1:17">
      <c r="A3271" s="93" t="str">
        <f>TEXT(tblProjectlist[[#This Row],[project-no]],"0")</f>
        <v>0</v>
      </c>
      <c r="Q3271" s="91"/>
    </row>
    <row r="3272" spans="1:17">
      <c r="A3272" s="93" t="str">
        <f>TEXT(tblProjectlist[[#This Row],[project-no]],"0")</f>
        <v>0</v>
      </c>
      <c r="Q3272" s="91"/>
    </row>
    <row r="3273" spans="1:17">
      <c r="A3273" s="93" t="str">
        <f>TEXT(tblProjectlist[[#This Row],[project-no]],"0")</f>
        <v>0</v>
      </c>
      <c r="Q3273" s="91"/>
    </row>
    <row r="3274" spans="1:17">
      <c r="A3274" s="93" t="str">
        <f>TEXT(tblProjectlist[[#This Row],[project-no]],"0")</f>
        <v>0</v>
      </c>
      <c r="Q3274" s="91"/>
    </row>
    <row r="3275" spans="1:17">
      <c r="A3275" s="93" t="str">
        <f>TEXT(tblProjectlist[[#This Row],[project-no]],"0")</f>
        <v>0</v>
      </c>
      <c r="Q3275" s="91"/>
    </row>
    <row r="3276" spans="1:17">
      <c r="A3276" s="93" t="str">
        <f>TEXT(tblProjectlist[[#This Row],[project-no]],"0")</f>
        <v>0</v>
      </c>
      <c r="Q3276" s="91"/>
    </row>
    <row r="3277" spans="1:17">
      <c r="A3277" s="93" t="str">
        <f>TEXT(tblProjectlist[[#This Row],[project-no]],"0")</f>
        <v>0</v>
      </c>
      <c r="Q3277" s="91"/>
    </row>
    <row r="3278" spans="1:17">
      <c r="A3278" s="93" t="str">
        <f>TEXT(tblProjectlist[[#This Row],[project-no]],"0")</f>
        <v>0</v>
      </c>
      <c r="Q3278" s="91"/>
    </row>
    <row r="3279" spans="1:17">
      <c r="A3279" s="93" t="str">
        <f>TEXT(tblProjectlist[[#This Row],[project-no]],"0")</f>
        <v>0</v>
      </c>
      <c r="Q3279" s="91"/>
    </row>
    <row r="3280" spans="1:17">
      <c r="A3280" s="93" t="str">
        <f>TEXT(tblProjectlist[[#This Row],[project-no]],"0")</f>
        <v>0</v>
      </c>
      <c r="Q3280" s="91"/>
    </row>
    <row r="3281" spans="1:17">
      <c r="A3281" s="93" t="str">
        <f>TEXT(tblProjectlist[[#This Row],[project-no]],"0")</f>
        <v>0</v>
      </c>
      <c r="Q3281" s="91"/>
    </row>
    <row r="3282" spans="1:17">
      <c r="A3282" s="93" t="str">
        <f>TEXT(tblProjectlist[[#This Row],[project-no]],"0")</f>
        <v>0</v>
      </c>
      <c r="Q3282" s="91"/>
    </row>
    <row r="3283" spans="1:17">
      <c r="A3283" s="93" t="str">
        <f>TEXT(tblProjectlist[[#This Row],[project-no]],"0")</f>
        <v>0</v>
      </c>
      <c r="Q3283" s="91"/>
    </row>
    <row r="3284" spans="1:17">
      <c r="A3284" s="93" t="str">
        <f>TEXT(tblProjectlist[[#This Row],[project-no]],"0")</f>
        <v>0</v>
      </c>
      <c r="Q3284" s="91"/>
    </row>
    <row r="3285" spans="1:17">
      <c r="A3285" s="93" t="str">
        <f>TEXT(tblProjectlist[[#This Row],[project-no]],"0")</f>
        <v>0</v>
      </c>
      <c r="Q3285" s="91"/>
    </row>
    <row r="3286" spans="1:17">
      <c r="A3286" s="93" t="str">
        <f>TEXT(tblProjectlist[[#This Row],[project-no]],"0")</f>
        <v>0</v>
      </c>
      <c r="Q3286" s="91"/>
    </row>
    <row r="3287" spans="1:17">
      <c r="A3287" s="93" t="str">
        <f>TEXT(tblProjectlist[[#This Row],[project-no]],"0")</f>
        <v>0</v>
      </c>
      <c r="Q3287" s="91"/>
    </row>
    <row r="3288" spans="1:17">
      <c r="A3288" s="93" t="str">
        <f>TEXT(tblProjectlist[[#This Row],[project-no]],"0")</f>
        <v>0</v>
      </c>
      <c r="Q3288" s="91"/>
    </row>
    <row r="3289" spans="1:17">
      <c r="A3289" s="93" t="str">
        <f>TEXT(tblProjectlist[[#This Row],[project-no]],"0")</f>
        <v>0</v>
      </c>
      <c r="Q3289" s="91"/>
    </row>
    <row r="3290" spans="1:17">
      <c r="A3290" s="93" t="str">
        <f>TEXT(tblProjectlist[[#This Row],[project-no]],"0")</f>
        <v>0</v>
      </c>
      <c r="Q3290" s="91"/>
    </row>
    <row r="3291" spans="1:17">
      <c r="A3291" s="93" t="str">
        <f>TEXT(tblProjectlist[[#This Row],[project-no]],"0")</f>
        <v>0</v>
      </c>
      <c r="Q3291" s="91"/>
    </row>
    <row r="3292" spans="1:17">
      <c r="A3292" s="93" t="str">
        <f>TEXT(tblProjectlist[[#This Row],[project-no]],"0")</f>
        <v>0</v>
      </c>
      <c r="Q3292" s="91"/>
    </row>
    <row r="3293" spans="1:17">
      <c r="A3293" s="93" t="str">
        <f>TEXT(tblProjectlist[[#This Row],[project-no]],"0")</f>
        <v>0</v>
      </c>
      <c r="Q3293" s="91"/>
    </row>
    <row r="3294" spans="1:17">
      <c r="A3294" s="93" t="str">
        <f>TEXT(tblProjectlist[[#This Row],[project-no]],"0")</f>
        <v>0</v>
      </c>
      <c r="Q3294" s="91"/>
    </row>
    <row r="3295" spans="1:17">
      <c r="A3295" s="93" t="str">
        <f>TEXT(tblProjectlist[[#This Row],[project-no]],"0")</f>
        <v>0</v>
      </c>
      <c r="Q3295" s="91"/>
    </row>
    <row r="3296" spans="1:17">
      <c r="A3296" s="93" t="str">
        <f>TEXT(tblProjectlist[[#This Row],[project-no]],"0")</f>
        <v>0</v>
      </c>
      <c r="Q3296" s="91"/>
    </row>
    <row r="3297" spans="1:17">
      <c r="A3297" s="93" t="str">
        <f>TEXT(tblProjectlist[[#This Row],[project-no]],"0")</f>
        <v>0</v>
      </c>
      <c r="Q3297" s="91"/>
    </row>
    <row r="3298" spans="1:17">
      <c r="A3298" s="93" t="str">
        <f>TEXT(tblProjectlist[[#This Row],[project-no]],"0")</f>
        <v>0</v>
      </c>
      <c r="Q3298" s="91"/>
    </row>
    <row r="3299" spans="1:17">
      <c r="A3299" s="93" t="str">
        <f>TEXT(tblProjectlist[[#This Row],[project-no]],"0")</f>
        <v>0</v>
      </c>
      <c r="Q3299" s="91"/>
    </row>
    <row r="3300" spans="1:17">
      <c r="A3300" s="93" t="str">
        <f>TEXT(tblProjectlist[[#This Row],[project-no]],"0")</f>
        <v>0</v>
      </c>
      <c r="Q3300" s="91"/>
    </row>
    <row r="3301" spans="1:17">
      <c r="A3301" s="93" t="str">
        <f>TEXT(tblProjectlist[[#This Row],[project-no]],"0")</f>
        <v>0</v>
      </c>
      <c r="Q3301" s="91"/>
    </row>
    <row r="3302" spans="1:17">
      <c r="A3302" s="93" t="str">
        <f>TEXT(tblProjectlist[[#This Row],[project-no]],"0")</f>
        <v>0</v>
      </c>
      <c r="Q3302" s="91"/>
    </row>
    <row r="3303" spans="1:17">
      <c r="A3303" s="93" t="str">
        <f>TEXT(tblProjectlist[[#This Row],[project-no]],"0")</f>
        <v>0</v>
      </c>
      <c r="Q3303" s="91"/>
    </row>
    <row r="3304" spans="1:17">
      <c r="A3304" s="93" t="str">
        <f>TEXT(tblProjectlist[[#This Row],[project-no]],"0")</f>
        <v>0</v>
      </c>
      <c r="Q3304" s="91"/>
    </row>
    <row r="3305" spans="1:17">
      <c r="A3305" s="93" t="str">
        <f>TEXT(tblProjectlist[[#This Row],[project-no]],"0")</f>
        <v>0</v>
      </c>
      <c r="Q3305" s="91"/>
    </row>
    <row r="3306" spans="1:17">
      <c r="A3306" s="93" t="str">
        <f>TEXT(tblProjectlist[[#This Row],[project-no]],"0")</f>
        <v>0</v>
      </c>
      <c r="Q3306" s="91"/>
    </row>
    <row r="3307" spans="1:17">
      <c r="A3307" s="93" t="str">
        <f>TEXT(tblProjectlist[[#This Row],[project-no]],"0")</f>
        <v>0</v>
      </c>
      <c r="Q3307" s="91"/>
    </row>
    <row r="3308" spans="1:17">
      <c r="A3308" s="93" t="str">
        <f>TEXT(tblProjectlist[[#This Row],[project-no]],"0")</f>
        <v>0</v>
      </c>
      <c r="Q3308" s="91"/>
    </row>
    <row r="3309" spans="1:17">
      <c r="A3309" s="93" t="str">
        <f>TEXT(tblProjectlist[[#This Row],[project-no]],"0")</f>
        <v>0</v>
      </c>
      <c r="Q3309" s="91"/>
    </row>
    <row r="3310" spans="1:17">
      <c r="A3310" s="93" t="str">
        <f>TEXT(tblProjectlist[[#This Row],[project-no]],"0")</f>
        <v>0</v>
      </c>
      <c r="Q3310" s="91"/>
    </row>
    <row r="3311" spans="1:17">
      <c r="A3311" s="93" t="str">
        <f>TEXT(tblProjectlist[[#This Row],[project-no]],"0")</f>
        <v>0</v>
      </c>
      <c r="Q3311" s="91"/>
    </row>
    <row r="3312" spans="1:17">
      <c r="A3312" s="93" t="str">
        <f>TEXT(tblProjectlist[[#This Row],[project-no]],"0")</f>
        <v>0</v>
      </c>
      <c r="Q3312" s="91"/>
    </row>
    <row r="3313" spans="1:17">
      <c r="A3313" s="93" t="str">
        <f>TEXT(tblProjectlist[[#This Row],[project-no]],"0")</f>
        <v>0</v>
      </c>
      <c r="Q3313" s="91"/>
    </row>
    <row r="3314" spans="1:17">
      <c r="A3314" s="93" t="str">
        <f>TEXT(tblProjectlist[[#This Row],[project-no]],"0")</f>
        <v>0</v>
      </c>
      <c r="Q3314" s="91"/>
    </row>
    <row r="3315" spans="1:17">
      <c r="A3315" s="93" t="str">
        <f>TEXT(tblProjectlist[[#This Row],[project-no]],"0")</f>
        <v>0</v>
      </c>
      <c r="Q3315" s="91"/>
    </row>
    <row r="3316" spans="1:17">
      <c r="A3316" s="93" t="str">
        <f>TEXT(tblProjectlist[[#This Row],[project-no]],"0")</f>
        <v>0</v>
      </c>
      <c r="Q3316" s="91"/>
    </row>
    <row r="3317" spans="1:17">
      <c r="A3317" s="93" t="str">
        <f>TEXT(tblProjectlist[[#This Row],[project-no]],"0")</f>
        <v>0</v>
      </c>
      <c r="Q3317" s="91"/>
    </row>
    <row r="3318" spans="1:17">
      <c r="A3318" s="93" t="str">
        <f>TEXT(tblProjectlist[[#This Row],[project-no]],"0")</f>
        <v>0</v>
      </c>
      <c r="Q3318" s="91"/>
    </row>
    <row r="3319" spans="1:17">
      <c r="A3319" s="93" t="str">
        <f>TEXT(tblProjectlist[[#This Row],[project-no]],"0")</f>
        <v>0</v>
      </c>
      <c r="Q3319" s="91"/>
    </row>
    <row r="3320" spans="1:17">
      <c r="A3320" s="93" t="str">
        <f>TEXT(tblProjectlist[[#This Row],[project-no]],"0")</f>
        <v>0</v>
      </c>
      <c r="Q3320" s="91"/>
    </row>
    <row r="3321" spans="1:17">
      <c r="A3321" s="93" t="str">
        <f>TEXT(tblProjectlist[[#This Row],[project-no]],"0")</f>
        <v>0</v>
      </c>
      <c r="Q3321" s="91"/>
    </row>
    <row r="3322" spans="1:17">
      <c r="A3322" s="93" t="str">
        <f>TEXT(tblProjectlist[[#This Row],[project-no]],"0")</f>
        <v>0</v>
      </c>
      <c r="Q3322" s="91"/>
    </row>
    <row r="3323" spans="1:17">
      <c r="A3323" s="93" t="str">
        <f>TEXT(tblProjectlist[[#This Row],[project-no]],"0")</f>
        <v>0</v>
      </c>
      <c r="Q3323" s="91"/>
    </row>
    <row r="3324" spans="1:17">
      <c r="A3324" s="93" t="str">
        <f>TEXT(tblProjectlist[[#This Row],[project-no]],"0")</f>
        <v>0</v>
      </c>
      <c r="Q3324" s="91"/>
    </row>
    <row r="3325" spans="1:17">
      <c r="A3325" s="93" t="str">
        <f>TEXT(tblProjectlist[[#This Row],[project-no]],"0")</f>
        <v>0</v>
      </c>
      <c r="Q3325" s="91"/>
    </row>
    <row r="3326" spans="1:17">
      <c r="A3326" s="93" t="str">
        <f>TEXT(tblProjectlist[[#This Row],[project-no]],"0")</f>
        <v>0</v>
      </c>
      <c r="Q3326" s="91"/>
    </row>
    <row r="3327" spans="1:17">
      <c r="A3327" s="93" t="str">
        <f>TEXT(tblProjectlist[[#This Row],[project-no]],"0")</f>
        <v>0</v>
      </c>
      <c r="Q3327" s="91"/>
    </row>
    <row r="3328" spans="1:17">
      <c r="A3328" s="93" t="str">
        <f>TEXT(tblProjectlist[[#This Row],[project-no]],"0")</f>
        <v>0</v>
      </c>
      <c r="Q3328" s="91"/>
    </row>
    <row r="3329" spans="1:17">
      <c r="A3329" s="93" t="str">
        <f>TEXT(tblProjectlist[[#This Row],[project-no]],"0")</f>
        <v>0</v>
      </c>
      <c r="Q3329" s="91"/>
    </row>
    <row r="3330" spans="1:17">
      <c r="A3330" s="93" t="str">
        <f>TEXT(tblProjectlist[[#This Row],[project-no]],"0")</f>
        <v>0</v>
      </c>
      <c r="Q3330" s="91"/>
    </row>
    <row r="3331" spans="1:17">
      <c r="A3331" s="93" t="str">
        <f>TEXT(tblProjectlist[[#This Row],[project-no]],"0")</f>
        <v>0</v>
      </c>
      <c r="Q3331" s="91"/>
    </row>
    <row r="3332" spans="1:17">
      <c r="A3332" s="93" t="str">
        <f>TEXT(tblProjectlist[[#This Row],[project-no]],"0")</f>
        <v>0</v>
      </c>
      <c r="Q3332" s="91"/>
    </row>
    <row r="3333" spans="1:17">
      <c r="A3333" s="93" t="str">
        <f>TEXT(tblProjectlist[[#This Row],[project-no]],"0")</f>
        <v>0</v>
      </c>
      <c r="Q3333" s="91"/>
    </row>
    <row r="3334" spans="1:17">
      <c r="A3334" s="93" t="str">
        <f>TEXT(tblProjectlist[[#This Row],[project-no]],"0")</f>
        <v>0</v>
      </c>
      <c r="Q3334" s="91"/>
    </row>
    <row r="3335" spans="1:17">
      <c r="A3335" s="93" t="str">
        <f>TEXT(tblProjectlist[[#This Row],[project-no]],"0")</f>
        <v>0</v>
      </c>
      <c r="Q3335" s="91"/>
    </row>
    <row r="3336" spans="1:17">
      <c r="A3336" s="93" t="str">
        <f>TEXT(tblProjectlist[[#This Row],[project-no]],"0")</f>
        <v>0</v>
      </c>
      <c r="Q3336" s="91"/>
    </row>
    <row r="3337" spans="1:17">
      <c r="A3337" s="93" t="str">
        <f>TEXT(tblProjectlist[[#This Row],[project-no]],"0")</f>
        <v>0</v>
      </c>
      <c r="Q3337" s="91"/>
    </row>
    <row r="3338" spans="1:17">
      <c r="A3338" s="93" t="str">
        <f>TEXT(tblProjectlist[[#This Row],[project-no]],"0")</f>
        <v>0</v>
      </c>
      <c r="Q3338" s="91"/>
    </row>
    <row r="3339" spans="1:17">
      <c r="A3339" s="93" t="str">
        <f>TEXT(tblProjectlist[[#This Row],[project-no]],"0")</f>
        <v>0</v>
      </c>
      <c r="Q3339" s="91"/>
    </row>
    <row r="3340" spans="1:17">
      <c r="A3340" s="93" t="str">
        <f>TEXT(tblProjectlist[[#This Row],[project-no]],"0")</f>
        <v>0</v>
      </c>
      <c r="Q3340" s="91"/>
    </row>
    <row r="3341" spans="1:17">
      <c r="A3341" s="93" t="str">
        <f>TEXT(tblProjectlist[[#This Row],[project-no]],"0")</f>
        <v>0</v>
      </c>
      <c r="Q3341" s="91"/>
    </row>
    <row r="3342" spans="1:17">
      <c r="A3342" s="93" t="str">
        <f>TEXT(tblProjectlist[[#This Row],[project-no]],"0")</f>
        <v>0</v>
      </c>
      <c r="Q3342" s="91"/>
    </row>
    <row r="3343" spans="1:17">
      <c r="A3343" s="93" t="str">
        <f>TEXT(tblProjectlist[[#This Row],[project-no]],"0")</f>
        <v>0</v>
      </c>
      <c r="Q3343" s="91"/>
    </row>
    <row r="3344" spans="1:17">
      <c r="A3344" s="93" t="str">
        <f>TEXT(tblProjectlist[[#This Row],[project-no]],"0")</f>
        <v>0</v>
      </c>
      <c r="Q3344" s="91"/>
    </row>
    <row r="3345" spans="1:17">
      <c r="A3345" s="93" t="str">
        <f>TEXT(tblProjectlist[[#This Row],[project-no]],"0")</f>
        <v>0</v>
      </c>
      <c r="Q3345" s="91"/>
    </row>
    <row r="3346" spans="1:17">
      <c r="A3346" s="93" t="str">
        <f>TEXT(tblProjectlist[[#This Row],[project-no]],"0")</f>
        <v>0</v>
      </c>
      <c r="Q3346" s="91"/>
    </row>
    <row r="3347" spans="1:17">
      <c r="A3347" s="93" t="str">
        <f>TEXT(tblProjectlist[[#This Row],[project-no]],"0")</f>
        <v>0</v>
      </c>
      <c r="Q3347" s="91"/>
    </row>
    <row r="3348" spans="1:17">
      <c r="A3348" s="93" t="str">
        <f>TEXT(tblProjectlist[[#This Row],[project-no]],"0")</f>
        <v>0</v>
      </c>
      <c r="Q3348" s="91"/>
    </row>
    <row r="3349" spans="1:17">
      <c r="A3349" s="93" t="str">
        <f>TEXT(tblProjectlist[[#This Row],[project-no]],"0")</f>
        <v>0</v>
      </c>
      <c r="Q3349" s="91"/>
    </row>
    <row r="3350" spans="1:17">
      <c r="A3350" s="93" t="str">
        <f>TEXT(tblProjectlist[[#This Row],[project-no]],"0")</f>
        <v>0</v>
      </c>
      <c r="Q3350" s="91"/>
    </row>
    <row r="3351" spans="1:17">
      <c r="A3351" s="93" t="str">
        <f>TEXT(tblProjectlist[[#This Row],[project-no]],"0")</f>
        <v>0</v>
      </c>
      <c r="L3351" s="112"/>
      <c r="M3351" s="112"/>
      <c r="O3351" s="112"/>
      <c r="Q3351" s="91"/>
    </row>
    <row r="3352" spans="1:17">
      <c r="A3352" s="93" t="str">
        <f>TEXT(tblProjectlist[[#This Row],[project-no]],"0")</f>
        <v>0</v>
      </c>
      <c r="L3352" s="112"/>
      <c r="M3352" s="112"/>
      <c r="O3352" s="112"/>
      <c r="Q3352" s="91"/>
    </row>
    <row r="3353" spans="1:17">
      <c r="A3353" s="93" t="str">
        <f>TEXT(tblProjectlist[[#This Row],[project-no]],"0")</f>
        <v>0</v>
      </c>
      <c r="Q3353" s="91"/>
    </row>
    <row r="3354" spans="1:17">
      <c r="A3354" s="93" t="str">
        <f>TEXT(tblProjectlist[[#This Row],[project-no]],"0")</f>
        <v>0</v>
      </c>
      <c r="Q3354" s="91"/>
    </row>
    <row r="3355" spans="1:17">
      <c r="A3355" s="93" t="str">
        <f>TEXT(tblProjectlist[[#This Row],[project-no]],"0")</f>
        <v>0</v>
      </c>
      <c r="Q3355" s="91"/>
    </row>
    <row r="3356" spans="1:17">
      <c r="A3356" s="93" t="str">
        <f>TEXT(tblProjectlist[[#This Row],[project-no]],"0")</f>
        <v>0</v>
      </c>
      <c r="Q3356" s="91"/>
    </row>
    <row r="3357" spans="1:17">
      <c r="A3357" s="93" t="str">
        <f>TEXT(tblProjectlist[[#This Row],[project-no]],"0")</f>
        <v>0</v>
      </c>
      <c r="Q3357" s="91"/>
    </row>
    <row r="3358" spans="1:17">
      <c r="A3358" s="93" t="str">
        <f>TEXT(tblProjectlist[[#This Row],[project-no]],"0")</f>
        <v>0</v>
      </c>
      <c r="Q3358" s="91"/>
    </row>
    <row r="3359" spans="1:17">
      <c r="A3359" s="93" t="str">
        <f>TEXT(tblProjectlist[[#This Row],[project-no]],"0")</f>
        <v>0</v>
      </c>
      <c r="Q3359" s="91"/>
    </row>
    <row r="3360" spans="1:17">
      <c r="A3360" s="93" t="str">
        <f>TEXT(tblProjectlist[[#This Row],[project-no]],"0")</f>
        <v>0</v>
      </c>
      <c r="Q3360" s="91"/>
    </row>
    <row r="3361" spans="1:17">
      <c r="A3361" s="93" t="str">
        <f>TEXT(tblProjectlist[[#This Row],[project-no]],"0")</f>
        <v>0</v>
      </c>
      <c r="Q3361" s="91"/>
    </row>
    <row r="3362" spans="1:17">
      <c r="A3362" s="93" t="str">
        <f>TEXT(tblProjectlist[[#This Row],[project-no]],"0")</f>
        <v>0</v>
      </c>
      <c r="Q3362" s="91"/>
    </row>
    <row r="3363" spans="1:17">
      <c r="A3363" s="93" t="str">
        <f>TEXT(tblProjectlist[[#This Row],[project-no]],"0")</f>
        <v>0</v>
      </c>
      <c r="Q3363" s="91"/>
    </row>
    <row r="3364" spans="1:17">
      <c r="A3364" s="93" t="str">
        <f>TEXT(tblProjectlist[[#This Row],[project-no]],"0")</f>
        <v>0</v>
      </c>
      <c r="Q3364" s="91"/>
    </row>
    <row r="3365" spans="1:17">
      <c r="A3365" s="93" t="str">
        <f>TEXT(tblProjectlist[[#This Row],[project-no]],"0")</f>
        <v>0</v>
      </c>
      <c r="Q3365" s="91"/>
    </row>
    <row r="3366" spans="1:17">
      <c r="A3366" s="93" t="str">
        <f>TEXT(tblProjectlist[[#This Row],[project-no]],"0")</f>
        <v>0</v>
      </c>
      <c r="Q3366" s="91"/>
    </row>
    <row r="3367" spans="1:17">
      <c r="A3367" s="93" t="str">
        <f>TEXT(tblProjectlist[[#This Row],[project-no]],"0")</f>
        <v>0</v>
      </c>
      <c r="Q3367" s="91"/>
    </row>
    <row r="3368" spans="1:17">
      <c r="A3368" s="93" t="str">
        <f>TEXT(tblProjectlist[[#This Row],[project-no]],"0")</f>
        <v>0</v>
      </c>
      <c r="Q3368" s="91"/>
    </row>
    <row r="3369" spans="1:17">
      <c r="A3369" s="93" t="str">
        <f>TEXT(tblProjectlist[[#This Row],[project-no]],"0")</f>
        <v>0</v>
      </c>
      <c r="Q3369" s="91"/>
    </row>
    <row r="3370" spans="1:17">
      <c r="A3370" s="93" t="str">
        <f>TEXT(tblProjectlist[[#This Row],[project-no]],"0")</f>
        <v>0</v>
      </c>
      <c r="Q3370" s="91"/>
    </row>
    <row r="3371" spans="1:17">
      <c r="A3371" s="93" t="str">
        <f>TEXT(tblProjectlist[[#This Row],[project-no]],"0")</f>
        <v>0</v>
      </c>
      <c r="Q3371" s="91"/>
    </row>
    <row r="3372" spans="1:17">
      <c r="A3372" s="93" t="str">
        <f>TEXT(tblProjectlist[[#This Row],[project-no]],"0")</f>
        <v>0</v>
      </c>
      <c r="Q3372" s="91"/>
    </row>
    <row r="3373" spans="1:17">
      <c r="A3373" s="93" t="str">
        <f>TEXT(tblProjectlist[[#This Row],[project-no]],"0")</f>
        <v>0</v>
      </c>
      <c r="Q3373" s="91"/>
    </row>
    <row r="3374" spans="1:17">
      <c r="A3374" s="93" t="str">
        <f>TEXT(tblProjectlist[[#This Row],[project-no]],"0")</f>
        <v>0</v>
      </c>
      <c r="Q3374" s="91"/>
    </row>
    <row r="3375" spans="1:17">
      <c r="A3375" s="93" t="str">
        <f>TEXT(tblProjectlist[[#This Row],[project-no]],"0")</f>
        <v>0</v>
      </c>
      <c r="Q3375" s="91"/>
    </row>
    <row r="3376" spans="1:17">
      <c r="A3376" s="93" t="str">
        <f>TEXT(tblProjectlist[[#This Row],[project-no]],"0")</f>
        <v>0</v>
      </c>
      <c r="Q3376" s="91"/>
    </row>
    <row r="3377" spans="1:17">
      <c r="A3377" s="93" t="str">
        <f>TEXT(tblProjectlist[[#This Row],[project-no]],"0")</f>
        <v>0</v>
      </c>
      <c r="Q3377" s="91"/>
    </row>
    <row r="3378" spans="1:17">
      <c r="A3378" s="93" t="str">
        <f>TEXT(tblProjectlist[[#This Row],[project-no]],"0")</f>
        <v>0</v>
      </c>
      <c r="Q3378" s="91"/>
    </row>
    <row r="3379" spans="1:17">
      <c r="A3379" s="93" t="str">
        <f>TEXT(tblProjectlist[[#This Row],[project-no]],"0")</f>
        <v>0</v>
      </c>
      <c r="Q3379" s="91"/>
    </row>
    <row r="3380" spans="1:17">
      <c r="A3380" s="93" t="str">
        <f>TEXT(tblProjectlist[[#This Row],[project-no]],"0")</f>
        <v>0</v>
      </c>
      <c r="Q3380" s="91"/>
    </row>
    <row r="3381" spans="1:17">
      <c r="A3381" s="93" t="str">
        <f>TEXT(tblProjectlist[[#This Row],[project-no]],"0")</f>
        <v>0</v>
      </c>
      <c r="Q3381" s="91"/>
    </row>
    <row r="3382" spans="1:17">
      <c r="A3382" s="93" t="str">
        <f>TEXT(tblProjectlist[[#This Row],[project-no]],"0")</f>
        <v>0</v>
      </c>
      <c r="Q3382" s="91"/>
    </row>
    <row r="3383" spans="1:17">
      <c r="A3383" s="93" t="str">
        <f>TEXT(tblProjectlist[[#This Row],[project-no]],"0")</f>
        <v>0</v>
      </c>
      <c r="Q3383" s="91"/>
    </row>
    <row r="3384" spans="1:17">
      <c r="A3384" s="93" t="str">
        <f>TEXT(tblProjectlist[[#This Row],[project-no]],"0")</f>
        <v>0</v>
      </c>
      <c r="Q3384" s="91"/>
    </row>
    <row r="3385" spans="1:17">
      <c r="A3385" s="93" t="str">
        <f>TEXT(tblProjectlist[[#This Row],[project-no]],"0")</f>
        <v>0</v>
      </c>
      <c r="Q3385" s="91"/>
    </row>
    <row r="3386" spans="1:17">
      <c r="A3386" s="93" t="str">
        <f>TEXT(tblProjectlist[[#This Row],[project-no]],"0")</f>
        <v>0</v>
      </c>
      <c r="Q3386" s="91"/>
    </row>
    <row r="3387" spans="1:17">
      <c r="A3387" s="93" t="str">
        <f>TEXT(tblProjectlist[[#This Row],[project-no]],"0")</f>
        <v>0</v>
      </c>
      <c r="Q3387" s="91"/>
    </row>
    <row r="3388" spans="1:17">
      <c r="A3388" s="93" t="str">
        <f>TEXT(tblProjectlist[[#This Row],[project-no]],"0")</f>
        <v>0</v>
      </c>
      <c r="Q3388" s="91"/>
    </row>
    <row r="3389" spans="1:17">
      <c r="A3389" s="93" t="str">
        <f>TEXT(tblProjectlist[[#This Row],[project-no]],"0")</f>
        <v>0</v>
      </c>
      <c r="Q3389" s="91"/>
    </row>
    <row r="3390" spans="1:17">
      <c r="A3390" s="93" t="str">
        <f>TEXT(tblProjectlist[[#This Row],[project-no]],"0")</f>
        <v>0</v>
      </c>
      <c r="Q3390" s="91"/>
    </row>
    <row r="3391" spans="1:17">
      <c r="A3391" s="93" t="str">
        <f>TEXT(tblProjectlist[[#This Row],[project-no]],"0")</f>
        <v>0</v>
      </c>
      <c r="Q3391" s="91"/>
    </row>
    <row r="3392" spans="1:17">
      <c r="A3392" s="93" t="str">
        <f>TEXT(tblProjectlist[[#This Row],[project-no]],"0")</f>
        <v>0</v>
      </c>
      <c r="L3392" s="112"/>
      <c r="M3392" s="112"/>
      <c r="O3392" s="112"/>
      <c r="Q3392" s="91"/>
    </row>
    <row r="3393" spans="1:17">
      <c r="A3393" s="93" t="str">
        <f>TEXT(tblProjectlist[[#This Row],[project-no]],"0")</f>
        <v>0</v>
      </c>
      <c r="L3393" s="112"/>
      <c r="M3393" s="112"/>
      <c r="O3393" s="112"/>
      <c r="Q3393" s="91"/>
    </row>
    <row r="3394" spans="1:17">
      <c r="A3394" s="93" t="str">
        <f>TEXT(tblProjectlist[[#This Row],[project-no]],"0")</f>
        <v>0</v>
      </c>
      <c r="Q3394" s="91"/>
    </row>
    <row r="3395" spans="1:17">
      <c r="A3395" s="93" t="str">
        <f>TEXT(tblProjectlist[[#This Row],[project-no]],"0")</f>
        <v>0</v>
      </c>
      <c r="Q3395" s="91"/>
    </row>
    <row r="3396" spans="1:17">
      <c r="A3396" s="93" t="str">
        <f>TEXT(tblProjectlist[[#This Row],[project-no]],"0")</f>
        <v>0</v>
      </c>
      <c r="Q3396" s="91"/>
    </row>
    <row r="3397" spans="1:17">
      <c r="A3397" s="93" t="str">
        <f>TEXT(tblProjectlist[[#This Row],[project-no]],"0")</f>
        <v>0</v>
      </c>
      <c r="Q3397" s="91"/>
    </row>
    <row r="3398" spans="1:17">
      <c r="A3398" s="93" t="str">
        <f>TEXT(tblProjectlist[[#This Row],[project-no]],"0")</f>
        <v>0</v>
      </c>
      <c r="L3398" s="112"/>
      <c r="M3398" s="112"/>
      <c r="N3398" s="112"/>
      <c r="O3398" s="112"/>
      <c r="Q3398" s="91"/>
    </row>
    <row r="3399" spans="1:17">
      <c r="A3399" s="93" t="str">
        <f>TEXT(tblProjectlist[[#This Row],[project-no]],"0")</f>
        <v>0</v>
      </c>
      <c r="L3399" s="112"/>
      <c r="M3399" s="112"/>
      <c r="N3399" s="112"/>
      <c r="O3399" s="112"/>
      <c r="Q3399" s="91"/>
    </row>
    <row r="3400" spans="1:17">
      <c r="A3400" s="93" t="str">
        <f>TEXT(tblProjectlist[[#This Row],[project-no]],"0")</f>
        <v>0</v>
      </c>
      <c r="Q3400" s="91"/>
    </row>
    <row r="3401" spans="1:17">
      <c r="A3401" s="93" t="str">
        <f>TEXT(tblProjectlist[[#This Row],[project-no]],"0")</f>
        <v>0</v>
      </c>
      <c r="Q3401" s="91"/>
    </row>
    <row r="3402" spans="1:17">
      <c r="A3402" s="93" t="str">
        <f>TEXT(tblProjectlist[[#This Row],[project-no]],"0")</f>
        <v>0</v>
      </c>
      <c r="Q3402" s="91"/>
    </row>
    <row r="3403" spans="1:17">
      <c r="A3403" s="93" t="str">
        <f>TEXT(tblProjectlist[[#This Row],[project-no]],"0")</f>
        <v>0</v>
      </c>
      <c r="Q3403" s="91"/>
    </row>
    <row r="3404" spans="1:17">
      <c r="A3404" s="93" t="str">
        <f>TEXT(tblProjectlist[[#This Row],[project-no]],"0")</f>
        <v>0</v>
      </c>
      <c r="Q3404" s="91"/>
    </row>
    <row r="3405" spans="1:17">
      <c r="A3405" s="93" t="str">
        <f>TEXT(tblProjectlist[[#This Row],[project-no]],"0")</f>
        <v>0</v>
      </c>
      <c r="Q3405" s="91"/>
    </row>
    <row r="3406" spans="1:17">
      <c r="A3406" s="93" t="str">
        <f>TEXT(tblProjectlist[[#This Row],[project-no]],"0")</f>
        <v>0</v>
      </c>
      <c r="Q3406" s="91"/>
    </row>
    <row r="3407" spans="1:17">
      <c r="A3407" s="93" t="str">
        <f>TEXT(tblProjectlist[[#This Row],[project-no]],"0")</f>
        <v>0</v>
      </c>
      <c r="Q3407" s="91"/>
    </row>
    <row r="3408" spans="1:17">
      <c r="A3408" s="93" t="str">
        <f>TEXT(tblProjectlist[[#This Row],[project-no]],"0")</f>
        <v>0</v>
      </c>
      <c r="Q3408" s="91"/>
    </row>
    <row r="3409" spans="1:17">
      <c r="A3409" s="93" t="str">
        <f>TEXT(tblProjectlist[[#This Row],[project-no]],"0")</f>
        <v>0</v>
      </c>
      <c r="Q3409" s="91"/>
    </row>
    <row r="3410" spans="1:17">
      <c r="A3410" s="93" t="str">
        <f>TEXT(tblProjectlist[[#This Row],[project-no]],"0")</f>
        <v>0</v>
      </c>
      <c r="Q3410" s="91"/>
    </row>
    <row r="3411" spans="1:17">
      <c r="A3411" s="93" t="str">
        <f>TEXT(tblProjectlist[[#This Row],[project-no]],"0")</f>
        <v>0</v>
      </c>
      <c r="Q3411" s="91"/>
    </row>
    <row r="3412" spans="1:17">
      <c r="A3412" s="93" t="str">
        <f>TEXT(tblProjectlist[[#This Row],[project-no]],"0")</f>
        <v>0</v>
      </c>
      <c r="Q3412" s="91"/>
    </row>
    <row r="3413" spans="1:17">
      <c r="A3413" s="93" t="str">
        <f>TEXT(tblProjectlist[[#This Row],[project-no]],"0")</f>
        <v>0</v>
      </c>
      <c r="Q3413" s="91"/>
    </row>
    <row r="3414" spans="1:17">
      <c r="A3414" s="93" t="str">
        <f>TEXT(tblProjectlist[[#This Row],[project-no]],"0")</f>
        <v>0</v>
      </c>
      <c r="Q3414" s="91"/>
    </row>
    <row r="3415" spans="1:17">
      <c r="A3415" s="93" t="str">
        <f>TEXT(tblProjectlist[[#This Row],[project-no]],"0")</f>
        <v>0</v>
      </c>
      <c r="Q3415" s="91"/>
    </row>
    <row r="3416" spans="1:17">
      <c r="A3416" s="93" t="str">
        <f>TEXT(tblProjectlist[[#This Row],[project-no]],"0")</f>
        <v>0</v>
      </c>
      <c r="Q3416" s="91"/>
    </row>
    <row r="3417" spans="1:17">
      <c r="A3417" s="93" t="str">
        <f>TEXT(tblProjectlist[[#This Row],[project-no]],"0")</f>
        <v>0</v>
      </c>
      <c r="Q3417" s="91"/>
    </row>
    <row r="3418" spans="1:17">
      <c r="A3418" s="93" t="str">
        <f>TEXT(tblProjectlist[[#This Row],[project-no]],"0")</f>
        <v>0</v>
      </c>
      <c r="Q3418" s="91"/>
    </row>
    <row r="3419" spans="1:17">
      <c r="A3419" s="93" t="str">
        <f>TEXT(tblProjectlist[[#This Row],[project-no]],"0")</f>
        <v>0</v>
      </c>
      <c r="Q3419" s="91"/>
    </row>
    <row r="3420" spans="1:17">
      <c r="A3420" s="93" t="str">
        <f>TEXT(tblProjectlist[[#This Row],[project-no]],"0")</f>
        <v>0</v>
      </c>
      <c r="Q3420" s="91"/>
    </row>
    <row r="3421" spans="1:17">
      <c r="A3421" s="93" t="str">
        <f>TEXT(tblProjectlist[[#This Row],[project-no]],"0")</f>
        <v>0</v>
      </c>
      <c r="Q3421" s="91"/>
    </row>
    <row r="3422" spans="1:17">
      <c r="A3422" s="93" t="str">
        <f>TEXT(tblProjectlist[[#This Row],[project-no]],"0")</f>
        <v>0</v>
      </c>
      <c r="Q3422" s="91"/>
    </row>
    <row r="3423" spans="1:17">
      <c r="A3423" s="93" t="str">
        <f>TEXT(tblProjectlist[[#This Row],[project-no]],"0")</f>
        <v>0</v>
      </c>
      <c r="Q3423" s="91"/>
    </row>
    <row r="3424" spans="1:17">
      <c r="A3424" s="93" t="str">
        <f>TEXT(tblProjectlist[[#This Row],[project-no]],"0")</f>
        <v>0</v>
      </c>
      <c r="Q3424" s="91"/>
    </row>
    <row r="3425" spans="1:17">
      <c r="A3425" s="93" t="str">
        <f>TEXT(tblProjectlist[[#This Row],[project-no]],"0")</f>
        <v>0</v>
      </c>
      <c r="Q3425" s="91"/>
    </row>
    <row r="3426" spans="1:17">
      <c r="A3426" s="93" t="str">
        <f>TEXT(tblProjectlist[[#This Row],[project-no]],"0")</f>
        <v>0</v>
      </c>
      <c r="Q3426" s="91"/>
    </row>
    <row r="3427" spans="1:17">
      <c r="A3427" s="93" t="str">
        <f>TEXT(tblProjectlist[[#This Row],[project-no]],"0")</f>
        <v>0</v>
      </c>
      <c r="Q3427" s="91"/>
    </row>
    <row r="3428" spans="1:17">
      <c r="A3428" s="93" t="str">
        <f>TEXT(tblProjectlist[[#This Row],[project-no]],"0")</f>
        <v>0</v>
      </c>
      <c r="Q3428" s="91"/>
    </row>
    <row r="3429" spans="1:17">
      <c r="A3429" s="93" t="str">
        <f>TEXT(tblProjectlist[[#This Row],[project-no]],"0")</f>
        <v>0</v>
      </c>
      <c r="Q3429" s="91"/>
    </row>
    <row r="3430" spans="1:17">
      <c r="A3430" s="93" t="str">
        <f>TEXT(tblProjectlist[[#This Row],[project-no]],"0")</f>
        <v>0</v>
      </c>
      <c r="Q3430" s="91"/>
    </row>
    <row r="3431" spans="1:17">
      <c r="A3431" s="93" t="str">
        <f>TEXT(tblProjectlist[[#This Row],[project-no]],"0")</f>
        <v>0</v>
      </c>
      <c r="Q3431" s="91"/>
    </row>
    <row r="3432" spans="1:17">
      <c r="A3432" s="93" t="str">
        <f>TEXT(tblProjectlist[[#This Row],[project-no]],"0")</f>
        <v>0</v>
      </c>
      <c r="Q3432" s="91"/>
    </row>
    <row r="3433" spans="1:17">
      <c r="A3433" s="93" t="str">
        <f>TEXT(tblProjectlist[[#This Row],[project-no]],"0")</f>
        <v>0</v>
      </c>
      <c r="Q3433" s="91"/>
    </row>
    <row r="3434" spans="1:17">
      <c r="A3434" s="93" t="str">
        <f>TEXT(tblProjectlist[[#This Row],[project-no]],"0")</f>
        <v>0</v>
      </c>
      <c r="Q3434" s="91"/>
    </row>
    <row r="3435" spans="1:17">
      <c r="A3435" s="93" t="str">
        <f>TEXT(tblProjectlist[[#This Row],[project-no]],"0")</f>
        <v>0</v>
      </c>
      <c r="Q3435" s="91"/>
    </row>
    <row r="3436" spans="1:17">
      <c r="A3436" s="93" t="str">
        <f>TEXT(tblProjectlist[[#This Row],[project-no]],"0")</f>
        <v>0</v>
      </c>
      <c r="Q3436" s="91"/>
    </row>
    <row r="3437" spans="1:17">
      <c r="A3437" s="93" t="str">
        <f>TEXT(tblProjectlist[[#This Row],[project-no]],"0")</f>
        <v>0</v>
      </c>
      <c r="Q3437" s="91"/>
    </row>
    <row r="3438" spans="1:17">
      <c r="A3438" s="93" t="str">
        <f>TEXT(tblProjectlist[[#This Row],[project-no]],"0")</f>
        <v>0</v>
      </c>
      <c r="Q3438" s="91"/>
    </row>
    <row r="3439" spans="1:17">
      <c r="A3439" s="93" t="str">
        <f>TEXT(tblProjectlist[[#This Row],[project-no]],"0")</f>
        <v>0</v>
      </c>
      <c r="Q3439" s="91"/>
    </row>
    <row r="3440" spans="1:17">
      <c r="A3440" s="93" t="str">
        <f>TEXT(tblProjectlist[[#This Row],[project-no]],"0")</f>
        <v>0</v>
      </c>
      <c r="Q3440" s="91"/>
    </row>
    <row r="3441" spans="1:17">
      <c r="A3441" s="93" t="str">
        <f>TEXT(tblProjectlist[[#This Row],[project-no]],"0")</f>
        <v>0</v>
      </c>
      <c r="Q3441" s="91"/>
    </row>
    <row r="3442" spans="1:17">
      <c r="A3442" s="93" t="str">
        <f>TEXT(tblProjectlist[[#This Row],[project-no]],"0")</f>
        <v>0</v>
      </c>
      <c r="Q3442" s="91"/>
    </row>
    <row r="3443" spans="1:17">
      <c r="A3443" s="93" t="str">
        <f>TEXT(tblProjectlist[[#This Row],[project-no]],"0")</f>
        <v>0</v>
      </c>
      <c r="Q3443" s="91"/>
    </row>
    <row r="3444" spans="1:17">
      <c r="A3444" s="93" t="str">
        <f>TEXT(tblProjectlist[[#This Row],[project-no]],"0")</f>
        <v>0</v>
      </c>
      <c r="Q3444" s="91"/>
    </row>
    <row r="3445" spans="1:17">
      <c r="A3445" s="93" t="str">
        <f>TEXT(tblProjectlist[[#This Row],[project-no]],"0")</f>
        <v>0</v>
      </c>
      <c r="Q3445" s="91"/>
    </row>
    <row r="3446" spans="1:17">
      <c r="A3446" s="93" t="str">
        <f>TEXT(tblProjectlist[[#This Row],[project-no]],"0")</f>
        <v>0</v>
      </c>
      <c r="Q3446" s="91"/>
    </row>
    <row r="3447" spans="1:17">
      <c r="A3447" s="93" t="str">
        <f>TEXT(tblProjectlist[[#This Row],[project-no]],"0")</f>
        <v>0</v>
      </c>
      <c r="Q3447" s="91"/>
    </row>
    <row r="3448" spans="1:17">
      <c r="A3448" s="93" t="str">
        <f>TEXT(tblProjectlist[[#This Row],[project-no]],"0")</f>
        <v>0</v>
      </c>
      <c r="Q3448" s="91"/>
    </row>
    <row r="3449" spans="1:17">
      <c r="A3449" s="93" t="str">
        <f>TEXT(tblProjectlist[[#This Row],[project-no]],"0")</f>
        <v>0</v>
      </c>
      <c r="Q3449" s="91"/>
    </row>
    <row r="3450" spans="1:17">
      <c r="A3450" s="93" t="str">
        <f>TEXT(tblProjectlist[[#This Row],[project-no]],"0")</f>
        <v>0</v>
      </c>
      <c r="Q3450" s="91"/>
    </row>
    <row r="3451" spans="1:17">
      <c r="A3451" s="93" t="str">
        <f>TEXT(tblProjectlist[[#This Row],[project-no]],"0")</f>
        <v>0</v>
      </c>
      <c r="Q3451" s="91"/>
    </row>
    <row r="3452" spans="1:17">
      <c r="A3452" s="93" t="str">
        <f>TEXT(tblProjectlist[[#This Row],[project-no]],"0")</f>
        <v>0</v>
      </c>
      <c r="Q3452" s="91"/>
    </row>
    <row r="3453" spans="1:17">
      <c r="A3453" s="93" t="str">
        <f>TEXT(tblProjectlist[[#This Row],[project-no]],"0")</f>
        <v>0</v>
      </c>
      <c r="Q3453" s="91"/>
    </row>
    <row r="3454" spans="1:17">
      <c r="A3454" s="93" t="str">
        <f>TEXT(tblProjectlist[[#This Row],[project-no]],"0")</f>
        <v>0</v>
      </c>
      <c r="Q3454" s="91"/>
    </row>
    <row r="3455" spans="1:17">
      <c r="A3455" s="93" t="str">
        <f>TEXT(tblProjectlist[[#This Row],[project-no]],"0")</f>
        <v>0</v>
      </c>
      <c r="Q3455" s="91"/>
    </row>
    <row r="3456" spans="1:17">
      <c r="A3456" s="93" t="str">
        <f>TEXT(tblProjectlist[[#This Row],[project-no]],"0")</f>
        <v>0</v>
      </c>
      <c r="Q3456" s="91"/>
    </row>
    <row r="3457" spans="1:17">
      <c r="A3457" s="93" t="str">
        <f>TEXT(tblProjectlist[[#This Row],[project-no]],"0")</f>
        <v>0</v>
      </c>
      <c r="Q3457" s="91"/>
    </row>
    <row r="3458" spans="1:17">
      <c r="A3458" s="93" t="str">
        <f>TEXT(tblProjectlist[[#This Row],[project-no]],"0")</f>
        <v>0</v>
      </c>
      <c r="Q3458" s="91"/>
    </row>
    <row r="3459" spans="1:17">
      <c r="A3459" s="93" t="str">
        <f>TEXT(tblProjectlist[[#This Row],[project-no]],"0")</f>
        <v>0</v>
      </c>
      <c r="Q3459" s="91"/>
    </row>
    <row r="3460" spans="1:17">
      <c r="A3460" s="93" t="str">
        <f>TEXT(tblProjectlist[[#This Row],[project-no]],"0")</f>
        <v>0</v>
      </c>
      <c r="Q3460" s="91"/>
    </row>
    <row r="3461" spans="1:17">
      <c r="A3461" s="93" t="str">
        <f>TEXT(tblProjectlist[[#This Row],[project-no]],"0")</f>
        <v>0</v>
      </c>
      <c r="Q3461" s="91"/>
    </row>
    <row r="3462" spans="1:17">
      <c r="A3462" s="93" t="str">
        <f>TEXT(tblProjectlist[[#This Row],[project-no]],"0")</f>
        <v>0</v>
      </c>
      <c r="Q3462" s="91"/>
    </row>
    <row r="3463" spans="1:17">
      <c r="A3463" s="93" t="str">
        <f>TEXT(tblProjectlist[[#This Row],[project-no]],"0")</f>
        <v>0</v>
      </c>
      <c r="Q3463" s="91"/>
    </row>
    <row r="3464" spans="1:17">
      <c r="A3464" s="93" t="str">
        <f>TEXT(tblProjectlist[[#This Row],[project-no]],"0")</f>
        <v>0</v>
      </c>
      <c r="Q3464" s="91"/>
    </row>
    <row r="3465" spans="1:17">
      <c r="A3465" s="93" t="str">
        <f>TEXT(tblProjectlist[[#This Row],[project-no]],"0")</f>
        <v>0</v>
      </c>
      <c r="Q3465" s="91"/>
    </row>
    <row r="3466" spans="1:17">
      <c r="A3466" s="93" t="str">
        <f>TEXT(tblProjectlist[[#This Row],[project-no]],"0")</f>
        <v>0</v>
      </c>
      <c r="Q3466" s="91"/>
    </row>
    <row r="3467" spans="1:17">
      <c r="A3467" s="93" t="str">
        <f>TEXT(tblProjectlist[[#This Row],[project-no]],"0")</f>
        <v>0</v>
      </c>
      <c r="Q3467" s="91"/>
    </row>
    <row r="3468" spans="1:17">
      <c r="A3468" s="93" t="str">
        <f>TEXT(tblProjectlist[[#This Row],[project-no]],"0")</f>
        <v>0</v>
      </c>
      <c r="Q3468" s="91"/>
    </row>
    <row r="3469" spans="1:17">
      <c r="A3469" s="93" t="str">
        <f>TEXT(tblProjectlist[[#This Row],[project-no]],"0")</f>
        <v>0</v>
      </c>
      <c r="Q3469" s="91"/>
    </row>
    <row r="3470" spans="1:17">
      <c r="A3470" s="93" t="str">
        <f>TEXT(tblProjectlist[[#This Row],[project-no]],"0")</f>
        <v>0</v>
      </c>
      <c r="Q3470" s="91"/>
    </row>
    <row r="3471" spans="1:17">
      <c r="A3471" s="93" t="str">
        <f>TEXT(tblProjectlist[[#This Row],[project-no]],"0")</f>
        <v>0</v>
      </c>
      <c r="Q3471" s="91"/>
    </row>
    <row r="3472" spans="1:17">
      <c r="A3472" s="93" t="str">
        <f>TEXT(tblProjectlist[[#This Row],[project-no]],"0")</f>
        <v>0</v>
      </c>
      <c r="Q3472" s="91"/>
    </row>
    <row r="3473" spans="1:17">
      <c r="A3473" s="93" t="str">
        <f>TEXT(tblProjectlist[[#This Row],[project-no]],"0")</f>
        <v>0</v>
      </c>
      <c r="Q3473" s="91"/>
    </row>
    <row r="3474" spans="1:17">
      <c r="A3474" s="93" t="str">
        <f>TEXT(tblProjectlist[[#This Row],[project-no]],"0")</f>
        <v>0</v>
      </c>
      <c r="Q3474" s="91"/>
    </row>
    <row r="3475" spans="1:17">
      <c r="A3475" s="93" t="str">
        <f>TEXT(tblProjectlist[[#This Row],[project-no]],"0")</f>
        <v>0</v>
      </c>
      <c r="Q3475" s="91"/>
    </row>
    <row r="3476" spans="1:17">
      <c r="A3476" s="93" t="str">
        <f>TEXT(tblProjectlist[[#This Row],[project-no]],"0")</f>
        <v>0</v>
      </c>
      <c r="Q3476" s="91"/>
    </row>
    <row r="3477" spans="1:17">
      <c r="A3477" s="93" t="str">
        <f>TEXT(tblProjectlist[[#This Row],[project-no]],"0")</f>
        <v>0</v>
      </c>
      <c r="Q3477" s="91"/>
    </row>
    <row r="3478" spans="1:17">
      <c r="A3478" s="93" t="str">
        <f>TEXT(tblProjectlist[[#This Row],[project-no]],"0")</f>
        <v>0</v>
      </c>
      <c r="Q3478" s="91"/>
    </row>
    <row r="3479" spans="1:17">
      <c r="A3479" s="93" t="str">
        <f>TEXT(tblProjectlist[[#This Row],[project-no]],"0")</f>
        <v>0</v>
      </c>
      <c r="Q3479" s="91"/>
    </row>
    <row r="3480" spans="1:17">
      <c r="A3480" s="93" t="str">
        <f>TEXT(tblProjectlist[[#This Row],[project-no]],"0")</f>
        <v>0</v>
      </c>
      <c r="Q3480" s="91"/>
    </row>
    <row r="3481" spans="1:17">
      <c r="A3481" s="93" t="str">
        <f>TEXT(tblProjectlist[[#This Row],[project-no]],"0")</f>
        <v>0</v>
      </c>
      <c r="Q3481" s="91"/>
    </row>
    <row r="3482" spans="1:17">
      <c r="A3482" s="93" t="str">
        <f>TEXT(tblProjectlist[[#This Row],[project-no]],"0")</f>
        <v>0</v>
      </c>
      <c r="Q3482" s="91"/>
    </row>
    <row r="3483" spans="1:17">
      <c r="A3483" s="93" t="str">
        <f>TEXT(tblProjectlist[[#This Row],[project-no]],"0")</f>
        <v>0</v>
      </c>
      <c r="Q3483" s="91"/>
    </row>
    <row r="3484" spans="1:17">
      <c r="A3484" s="93" t="str">
        <f>TEXT(tblProjectlist[[#This Row],[project-no]],"0")</f>
        <v>0</v>
      </c>
      <c r="Q3484" s="91"/>
    </row>
    <row r="3485" spans="1:17">
      <c r="A3485" s="93" t="str">
        <f>TEXT(tblProjectlist[[#This Row],[project-no]],"0")</f>
        <v>0</v>
      </c>
      <c r="Q3485" s="91"/>
    </row>
    <row r="3486" spans="1:17">
      <c r="A3486" s="93" t="str">
        <f>TEXT(tblProjectlist[[#This Row],[project-no]],"0")</f>
        <v>0</v>
      </c>
      <c r="Q3486" s="91"/>
    </row>
    <row r="3487" spans="1:17">
      <c r="A3487" s="93" t="str">
        <f>TEXT(tblProjectlist[[#This Row],[project-no]],"0")</f>
        <v>0</v>
      </c>
      <c r="Q3487" s="91"/>
    </row>
    <row r="3488" spans="1:17">
      <c r="A3488" s="93" t="str">
        <f>TEXT(tblProjectlist[[#This Row],[project-no]],"0")</f>
        <v>0</v>
      </c>
      <c r="Q3488" s="91"/>
    </row>
    <row r="3489" spans="1:17">
      <c r="A3489" s="93" t="str">
        <f>TEXT(tblProjectlist[[#This Row],[project-no]],"0")</f>
        <v>0</v>
      </c>
      <c r="Q3489" s="91"/>
    </row>
    <row r="3490" spans="1:17">
      <c r="A3490" s="93" t="str">
        <f>TEXT(tblProjectlist[[#This Row],[project-no]],"0")</f>
        <v>0</v>
      </c>
      <c r="Q3490" s="91"/>
    </row>
    <row r="3491" spans="1:17">
      <c r="A3491" s="93" t="str">
        <f>TEXT(tblProjectlist[[#This Row],[project-no]],"0")</f>
        <v>0</v>
      </c>
      <c r="Q3491" s="91"/>
    </row>
    <row r="3492" spans="1:17">
      <c r="A3492" s="93" t="str">
        <f>TEXT(tblProjectlist[[#This Row],[project-no]],"0")</f>
        <v>0</v>
      </c>
      <c r="Q3492" s="91"/>
    </row>
    <row r="3493" spans="1:17">
      <c r="A3493" s="93" t="str">
        <f>TEXT(tblProjectlist[[#This Row],[project-no]],"0")</f>
        <v>0</v>
      </c>
      <c r="Q3493" s="91"/>
    </row>
    <row r="3494" spans="1:17">
      <c r="A3494" s="93" t="str">
        <f>TEXT(tblProjectlist[[#This Row],[project-no]],"0")</f>
        <v>0</v>
      </c>
      <c r="Q3494" s="91"/>
    </row>
    <row r="3495" spans="1:17">
      <c r="A3495" s="93" t="str">
        <f>TEXT(tblProjectlist[[#This Row],[project-no]],"0")</f>
        <v>0</v>
      </c>
      <c r="Q3495" s="91"/>
    </row>
    <row r="3496" spans="1:17">
      <c r="A3496" s="93" t="str">
        <f>TEXT(tblProjectlist[[#This Row],[project-no]],"0")</f>
        <v>0</v>
      </c>
      <c r="Q3496" s="91"/>
    </row>
    <row r="3497" spans="1:17">
      <c r="A3497" s="93" t="str">
        <f>TEXT(tblProjectlist[[#This Row],[project-no]],"0")</f>
        <v>0</v>
      </c>
      <c r="Q3497" s="91"/>
    </row>
    <row r="3498" spans="1:17">
      <c r="A3498" s="93" t="str">
        <f>TEXT(tblProjectlist[[#This Row],[project-no]],"0")</f>
        <v>0</v>
      </c>
      <c r="Q3498" s="91"/>
    </row>
    <row r="3499" spans="1:17">
      <c r="A3499" s="93" t="str">
        <f>TEXT(tblProjectlist[[#This Row],[project-no]],"0")</f>
        <v>0</v>
      </c>
      <c r="Q3499" s="91"/>
    </row>
    <row r="3500" spans="1:17">
      <c r="A3500" s="93" t="str">
        <f>TEXT(tblProjectlist[[#This Row],[project-no]],"0")</f>
        <v>0</v>
      </c>
      <c r="Q3500" s="91"/>
    </row>
    <row r="3501" spans="1:17">
      <c r="A3501" s="93" t="str">
        <f>TEXT(tblProjectlist[[#This Row],[project-no]],"0")</f>
        <v>0</v>
      </c>
      <c r="Q3501" s="91"/>
    </row>
    <row r="3502" spans="1:17">
      <c r="A3502" s="93" t="str">
        <f>TEXT(tblProjectlist[[#This Row],[project-no]],"0")</f>
        <v>0</v>
      </c>
      <c r="Q3502" s="91"/>
    </row>
    <row r="3503" spans="1:17">
      <c r="A3503" s="93" t="str">
        <f>TEXT(tblProjectlist[[#This Row],[project-no]],"0")</f>
        <v>0</v>
      </c>
      <c r="Q3503" s="91"/>
    </row>
    <row r="3504" spans="1:17">
      <c r="A3504" s="93" t="str">
        <f>TEXT(tblProjectlist[[#This Row],[project-no]],"0")</f>
        <v>0</v>
      </c>
      <c r="Q3504" s="91"/>
    </row>
    <row r="3505" spans="1:17">
      <c r="A3505" s="93" t="str">
        <f>TEXT(tblProjectlist[[#This Row],[project-no]],"0")</f>
        <v>0</v>
      </c>
      <c r="Q3505" s="91"/>
    </row>
    <row r="3506" spans="1:17">
      <c r="A3506" s="93" t="str">
        <f>TEXT(tblProjectlist[[#This Row],[project-no]],"0")</f>
        <v>0</v>
      </c>
      <c r="Q3506" s="91"/>
    </row>
    <row r="3507" spans="1:17">
      <c r="A3507" s="93" t="str">
        <f>TEXT(tblProjectlist[[#This Row],[project-no]],"0")</f>
        <v>0</v>
      </c>
      <c r="Q3507" s="91"/>
    </row>
    <row r="3508" spans="1:17">
      <c r="A3508" s="93" t="str">
        <f>TEXT(tblProjectlist[[#This Row],[project-no]],"0")</f>
        <v>0</v>
      </c>
      <c r="Q3508" s="91"/>
    </row>
    <row r="3509" spans="1:17">
      <c r="A3509" s="93" t="str">
        <f>TEXT(tblProjectlist[[#This Row],[project-no]],"0")</f>
        <v>0</v>
      </c>
      <c r="Q3509" s="91"/>
    </row>
    <row r="3510" spans="1:17">
      <c r="A3510" s="93" t="str">
        <f>TEXT(tblProjectlist[[#This Row],[project-no]],"0")</f>
        <v>0</v>
      </c>
      <c r="Q3510" s="91"/>
    </row>
    <row r="3511" spans="1:17">
      <c r="A3511" s="93" t="str">
        <f>TEXT(tblProjectlist[[#This Row],[project-no]],"0")</f>
        <v>0</v>
      </c>
      <c r="Q3511" s="91"/>
    </row>
    <row r="3512" spans="1:17">
      <c r="A3512" s="93" t="str">
        <f>TEXT(tblProjectlist[[#This Row],[project-no]],"0")</f>
        <v>0</v>
      </c>
      <c r="Q3512" s="91"/>
    </row>
    <row r="3513" spans="1:17">
      <c r="A3513" s="93" t="str">
        <f>TEXT(tblProjectlist[[#This Row],[project-no]],"0")</f>
        <v>0</v>
      </c>
      <c r="Q3513" s="91"/>
    </row>
    <row r="3514" spans="1:17">
      <c r="A3514" s="93" t="str">
        <f>TEXT(tblProjectlist[[#This Row],[project-no]],"0")</f>
        <v>0</v>
      </c>
      <c r="Q3514" s="91"/>
    </row>
    <row r="3515" spans="1:17">
      <c r="A3515" s="93" t="str">
        <f>TEXT(tblProjectlist[[#This Row],[project-no]],"0")</f>
        <v>0</v>
      </c>
      <c r="Q3515" s="91"/>
    </row>
    <row r="3516" spans="1:17">
      <c r="A3516" s="93" t="str">
        <f>TEXT(tblProjectlist[[#This Row],[project-no]],"0")</f>
        <v>0</v>
      </c>
      <c r="Q3516" s="91"/>
    </row>
    <row r="3517" spans="1:17">
      <c r="A3517" s="93" t="str">
        <f>TEXT(tblProjectlist[[#This Row],[project-no]],"0")</f>
        <v>0</v>
      </c>
      <c r="Q3517" s="91"/>
    </row>
    <row r="3518" spans="1:17">
      <c r="A3518" s="93" t="str">
        <f>TEXT(tblProjectlist[[#This Row],[project-no]],"0")</f>
        <v>0</v>
      </c>
      <c r="Q3518" s="91"/>
    </row>
    <row r="3519" spans="1:17">
      <c r="A3519" s="93" t="str">
        <f>TEXT(tblProjectlist[[#This Row],[project-no]],"0")</f>
        <v>0</v>
      </c>
      <c r="Q3519" s="91"/>
    </row>
    <row r="3520" spans="1:17">
      <c r="A3520" s="93" t="str">
        <f>TEXT(tblProjectlist[[#This Row],[project-no]],"0")</f>
        <v>0</v>
      </c>
      <c r="Q3520" s="91"/>
    </row>
    <row r="3521" spans="1:17">
      <c r="A3521" s="93" t="str">
        <f>TEXT(tblProjectlist[[#This Row],[project-no]],"0")</f>
        <v>0</v>
      </c>
      <c r="Q3521" s="91"/>
    </row>
    <row r="3522" spans="1:17">
      <c r="A3522" s="93" t="str">
        <f>TEXT(tblProjectlist[[#This Row],[project-no]],"0")</f>
        <v>0</v>
      </c>
      <c r="Q3522" s="91"/>
    </row>
    <row r="3523" spans="1:17">
      <c r="A3523" s="93" t="str">
        <f>TEXT(tblProjectlist[[#This Row],[project-no]],"0")</f>
        <v>0</v>
      </c>
      <c r="Q3523" s="91"/>
    </row>
    <row r="3524" spans="1:17">
      <c r="A3524" s="93" t="str">
        <f>TEXT(tblProjectlist[[#This Row],[project-no]],"0")</f>
        <v>0</v>
      </c>
      <c r="Q3524" s="91"/>
    </row>
    <row r="3525" spans="1:17">
      <c r="A3525" s="93" t="str">
        <f>TEXT(tblProjectlist[[#This Row],[project-no]],"0")</f>
        <v>0</v>
      </c>
      <c r="Q3525" s="91"/>
    </row>
    <row r="3526" spans="1:17">
      <c r="A3526" s="93" t="str">
        <f>TEXT(tblProjectlist[[#This Row],[project-no]],"0")</f>
        <v>0</v>
      </c>
      <c r="Q3526" s="91"/>
    </row>
    <row r="3527" spans="1:17">
      <c r="A3527" s="93" t="str">
        <f>TEXT(tblProjectlist[[#This Row],[project-no]],"0")</f>
        <v>0</v>
      </c>
      <c r="Q3527" s="91"/>
    </row>
    <row r="3528" spans="1:17">
      <c r="A3528" s="93" t="str">
        <f>TEXT(tblProjectlist[[#This Row],[project-no]],"0")</f>
        <v>0</v>
      </c>
      <c r="Q3528" s="91"/>
    </row>
    <row r="3529" spans="1:17">
      <c r="A3529" s="93" t="str">
        <f>TEXT(tblProjectlist[[#This Row],[project-no]],"0")</f>
        <v>0</v>
      </c>
      <c r="Q3529" s="91"/>
    </row>
    <row r="3530" spans="1:17">
      <c r="A3530" s="93" t="str">
        <f>TEXT(tblProjectlist[[#This Row],[project-no]],"0")</f>
        <v>0</v>
      </c>
      <c r="Q3530" s="91"/>
    </row>
    <row r="3531" spans="1:17">
      <c r="A3531" s="93" t="str">
        <f>TEXT(tblProjectlist[[#This Row],[project-no]],"0")</f>
        <v>0</v>
      </c>
      <c r="Q3531" s="91"/>
    </row>
    <row r="3532" spans="1:17">
      <c r="A3532" s="93" t="str">
        <f>TEXT(tblProjectlist[[#This Row],[project-no]],"0")</f>
        <v>0</v>
      </c>
      <c r="Q3532" s="91"/>
    </row>
    <row r="3533" spans="1:17">
      <c r="A3533" s="93" t="str">
        <f>TEXT(tblProjectlist[[#This Row],[project-no]],"0")</f>
        <v>0</v>
      </c>
      <c r="Q3533" s="91"/>
    </row>
    <row r="3534" spans="1:17">
      <c r="A3534" s="93" t="str">
        <f>TEXT(tblProjectlist[[#This Row],[project-no]],"0")</f>
        <v>0</v>
      </c>
      <c r="Q3534" s="91"/>
    </row>
    <row r="3535" spans="1:17">
      <c r="A3535" s="93" t="str">
        <f>TEXT(tblProjectlist[[#This Row],[project-no]],"0")</f>
        <v>0</v>
      </c>
      <c r="Q3535" s="91"/>
    </row>
    <row r="3536" spans="1:17">
      <c r="A3536" s="93" t="str">
        <f>TEXT(tblProjectlist[[#This Row],[project-no]],"0")</f>
        <v>0</v>
      </c>
      <c r="Q3536" s="91"/>
    </row>
    <row r="3537" spans="1:17">
      <c r="A3537" s="93" t="str">
        <f>TEXT(tblProjectlist[[#This Row],[project-no]],"0")</f>
        <v>0</v>
      </c>
      <c r="Q3537" s="91"/>
    </row>
    <row r="3538" spans="1:17">
      <c r="A3538" s="93" t="str">
        <f>TEXT(tblProjectlist[[#This Row],[project-no]],"0")</f>
        <v>0</v>
      </c>
      <c r="Q3538" s="91"/>
    </row>
    <row r="3539" spans="1:17">
      <c r="A3539" s="93" t="str">
        <f>TEXT(tblProjectlist[[#This Row],[project-no]],"0")</f>
        <v>0</v>
      </c>
      <c r="Q3539" s="91"/>
    </row>
    <row r="3540" spans="1:17">
      <c r="A3540" s="93" t="str">
        <f>TEXT(tblProjectlist[[#This Row],[project-no]],"0")</f>
        <v>0</v>
      </c>
      <c r="Q3540" s="91"/>
    </row>
    <row r="3541" spans="1:17">
      <c r="A3541" s="93" t="str">
        <f>TEXT(tblProjectlist[[#This Row],[project-no]],"0")</f>
        <v>0</v>
      </c>
      <c r="Q3541" s="91"/>
    </row>
    <row r="3542" spans="1:17">
      <c r="A3542" s="93" t="str">
        <f>TEXT(tblProjectlist[[#This Row],[project-no]],"0")</f>
        <v>0</v>
      </c>
      <c r="Q3542" s="91"/>
    </row>
    <row r="3543" spans="1:17">
      <c r="A3543" s="93" t="str">
        <f>TEXT(tblProjectlist[[#This Row],[project-no]],"0")</f>
        <v>0</v>
      </c>
      <c r="Q3543" s="91"/>
    </row>
    <row r="3544" spans="1:17">
      <c r="A3544" s="93" t="str">
        <f>TEXT(tblProjectlist[[#This Row],[project-no]],"0")</f>
        <v>0</v>
      </c>
      <c r="Q3544" s="91"/>
    </row>
    <row r="3545" spans="1:17">
      <c r="A3545" s="93" t="str">
        <f>TEXT(tblProjectlist[[#This Row],[project-no]],"0")</f>
        <v>0</v>
      </c>
      <c r="Q3545" s="91"/>
    </row>
    <row r="3546" spans="1:17">
      <c r="A3546" s="93" t="str">
        <f>TEXT(tblProjectlist[[#This Row],[project-no]],"0")</f>
        <v>0</v>
      </c>
      <c r="Q3546" s="91"/>
    </row>
    <row r="3547" spans="1:17">
      <c r="A3547" s="93" t="str">
        <f>TEXT(tblProjectlist[[#This Row],[project-no]],"0")</f>
        <v>0</v>
      </c>
      <c r="Q3547" s="91"/>
    </row>
    <row r="3548" spans="1:17">
      <c r="A3548" s="93" t="str">
        <f>TEXT(tblProjectlist[[#This Row],[project-no]],"0")</f>
        <v>0</v>
      </c>
      <c r="Q3548" s="91"/>
    </row>
    <row r="3549" spans="1:17">
      <c r="A3549" s="93" t="str">
        <f>TEXT(tblProjectlist[[#This Row],[project-no]],"0")</f>
        <v>0</v>
      </c>
      <c r="Q3549" s="91"/>
    </row>
    <row r="3550" spans="1:17">
      <c r="A3550" s="93" t="str">
        <f>TEXT(tblProjectlist[[#This Row],[project-no]],"0")</f>
        <v>0</v>
      </c>
      <c r="Q3550" s="91"/>
    </row>
    <row r="3551" spans="1:17">
      <c r="A3551" s="93" t="str">
        <f>TEXT(tblProjectlist[[#This Row],[project-no]],"0")</f>
        <v>0</v>
      </c>
      <c r="Q3551" s="91"/>
    </row>
    <row r="3552" spans="1:17">
      <c r="A3552" s="93" t="str">
        <f>TEXT(tblProjectlist[[#This Row],[project-no]],"0")</f>
        <v>0</v>
      </c>
      <c r="Q3552" s="91"/>
    </row>
    <row r="3553" spans="1:17">
      <c r="A3553" s="93" t="str">
        <f>TEXT(tblProjectlist[[#This Row],[project-no]],"0")</f>
        <v>0</v>
      </c>
      <c r="Q3553" s="91"/>
    </row>
    <row r="3554" spans="1:17">
      <c r="A3554" s="93" t="str">
        <f>TEXT(tblProjectlist[[#This Row],[project-no]],"0")</f>
        <v>0</v>
      </c>
      <c r="Q3554" s="91"/>
    </row>
    <row r="3555" spans="1:17">
      <c r="A3555" s="93" t="str">
        <f>TEXT(tblProjectlist[[#This Row],[project-no]],"0")</f>
        <v>0</v>
      </c>
      <c r="Q3555" s="91"/>
    </row>
    <row r="3556" spans="1:17">
      <c r="A3556" s="93" t="str">
        <f>TEXT(tblProjectlist[[#This Row],[project-no]],"0")</f>
        <v>0</v>
      </c>
      <c r="Q3556" s="91"/>
    </row>
    <row r="3557" spans="1:17">
      <c r="A3557" s="93" t="str">
        <f>TEXT(tblProjectlist[[#This Row],[project-no]],"0")</f>
        <v>0</v>
      </c>
      <c r="Q3557" s="91"/>
    </row>
    <row r="3558" spans="1:17">
      <c r="A3558" s="93" t="str">
        <f>TEXT(tblProjectlist[[#This Row],[project-no]],"0")</f>
        <v>0</v>
      </c>
      <c r="Q3558" s="91"/>
    </row>
    <row r="3559" spans="1:17">
      <c r="A3559" s="93" t="str">
        <f>TEXT(tblProjectlist[[#This Row],[project-no]],"0")</f>
        <v>0</v>
      </c>
      <c r="Q3559" s="91"/>
    </row>
    <row r="3560" spans="1:17">
      <c r="A3560" s="93" t="str">
        <f>TEXT(tblProjectlist[[#This Row],[project-no]],"0")</f>
        <v>0</v>
      </c>
      <c r="Q3560" s="91"/>
    </row>
    <row r="3561" spans="1:17">
      <c r="A3561" s="93" t="str">
        <f>TEXT(tblProjectlist[[#This Row],[project-no]],"0")</f>
        <v>0</v>
      </c>
      <c r="Q3561" s="91"/>
    </row>
    <row r="3562" spans="1:17">
      <c r="A3562" s="93" t="str">
        <f>TEXT(tblProjectlist[[#This Row],[project-no]],"0")</f>
        <v>0</v>
      </c>
      <c r="Q3562" s="91"/>
    </row>
    <row r="3563" spans="1:17">
      <c r="A3563" s="93" t="str">
        <f>TEXT(tblProjectlist[[#This Row],[project-no]],"0")</f>
        <v>0</v>
      </c>
      <c r="Q3563" s="91"/>
    </row>
    <row r="3564" spans="1:17">
      <c r="A3564" s="93" t="str">
        <f>TEXT(tblProjectlist[[#This Row],[project-no]],"0")</f>
        <v>0</v>
      </c>
      <c r="Q3564" s="91"/>
    </row>
    <row r="3565" spans="1:17">
      <c r="A3565" s="93" t="str">
        <f>TEXT(tblProjectlist[[#This Row],[project-no]],"0")</f>
        <v>0</v>
      </c>
      <c r="Q3565" s="91"/>
    </row>
    <row r="3566" spans="1:17">
      <c r="A3566" s="93" t="str">
        <f>TEXT(tblProjectlist[[#This Row],[project-no]],"0")</f>
        <v>0</v>
      </c>
      <c r="Q3566" s="91"/>
    </row>
    <row r="3567" spans="1:17">
      <c r="A3567" s="93" t="str">
        <f>TEXT(tblProjectlist[[#This Row],[project-no]],"0")</f>
        <v>0</v>
      </c>
      <c r="Q3567" s="91"/>
    </row>
    <row r="3568" spans="1:17">
      <c r="A3568" s="93" t="str">
        <f>TEXT(tblProjectlist[[#This Row],[project-no]],"0")</f>
        <v>0</v>
      </c>
      <c r="Q3568" s="91"/>
    </row>
    <row r="3569" spans="1:17">
      <c r="A3569" s="93" t="str">
        <f>TEXT(tblProjectlist[[#This Row],[project-no]],"0")</f>
        <v>0</v>
      </c>
      <c r="Q3569" s="91"/>
    </row>
    <row r="3570" spans="1:17">
      <c r="A3570" s="93" t="str">
        <f>TEXT(tblProjectlist[[#This Row],[project-no]],"0")</f>
        <v>0</v>
      </c>
      <c r="Q3570" s="91"/>
    </row>
    <row r="3571" spans="1:17">
      <c r="A3571" s="93" t="str">
        <f>TEXT(tblProjectlist[[#This Row],[project-no]],"0")</f>
        <v>0</v>
      </c>
      <c r="Q3571" s="91"/>
    </row>
    <row r="3572" spans="1:17">
      <c r="A3572" s="93" t="str">
        <f>TEXT(tblProjectlist[[#This Row],[project-no]],"0")</f>
        <v>0</v>
      </c>
      <c r="Q3572" s="91"/>
    </row>
    <row r="3573" spans="1:17">
      <c r="A3573" s="93" t="str">
        <f>TEXT(tblProjectlist[[#This Row],[project-no]],"0")</f>
        <v>0</v>
      </c>
      <c r="Q3573" s="91"/>
    </row>
    <row r="3574" spans="1:17">
      <c r="A3574" s="93" t="str">
        <f>TEXT(tblProjectlist[[#This Row],[project-no]],"0")</f>
        <v>0</v>
      </c>
      <c r="Q3574" s="91"/>
    </row>
    <row r="3575" spans="1:17">
      <c r="A3575" s="93" t="str">
        <f>TEXT(tblProjectlist[[#This Row],[project-no]],"0")</f>
        <v>0</v>
      </c>
      <c r="Q3575" s="91"/>
    </row>
    <row r="3576" spans="1:17">
      <c r="A3576" s="93" t="str">
        <f>TEXT(tblProjectlist[[#This Row],[project-no]],"0")</f>
        <v>0</v>
      </c>
      <c r="Q3576" s="91"/>
    </row>
    <row r="3577" spans="1:17">
      <c r="A3577" s="93" t="str">
        <f>TEXT(tblProjectlist[[#This Row],[project-no]],"0")</f>
        <v>0</v>
      </c>
      <c r="Q3577" s="91"/>
    </row>
    <row r="3578" spans="1:17">
      <c r="A3578" s="93" t="str">
        <f>TEXT(tblProjectlist[[#This Row],[project-no]],"0")</f>
        <v>0</v>
      </c>
      <c r="Q3578" s="91"/>
    </row>
    <row r="3579" spans="1:17">
      <c r="A3579" s="93" t="str">
        <f>TEXT(tblProjectlist[[#This Row],[project-no]],"0")</f>
        <v>0</v>
      </c>
      <c r="Q3579" s="91"/>
    </row>
    <row r="3580" spans="1:17">
      <c r="A3580" s="93" t="str">
        <f>TEXT(tblProjectlist[[#This Row],[project-no]],"0")</f>
        <v>0</v>
      </c>
      <c r="Q3580" s="91"/>
    </row>
    <row r="3581" spans="1:17">
      <c r="A3581" s="93" t="str">
        <f>TEXT(tblProjectlist[[#This Row],[project-no]],"0")</f>
        <v>0</v>
      </c>
      <c r="Q3581" s="91"/>
    </row>
    <row r="3582" spans="1:17">
      <c r="A3582" s="93" t="str">
        <f>TEXT(tblProjectlist[[#This Row],[project-no]],"0")</f>
        <v>0</v>
      </c>
      <c r="Q3582" s="91"/>
    </row>
    <row r="3583" spans="1:17">
      <c r="A3583" s="93" t="str">
        <f>TEXT(tblProjectlist[[#This Row],[project-no]],"0")</f>
        <v>0</v>
      </c>
      <c r="Q3583" s="91"/>
    </row>
    <row r="3584" spans="1:17">
      <c r="A3584" s="93" t="str">
        <f>TEXT(tblProjectlist[[#This Row],[project-no]],"0")</f>
        <v>0</v>
      </c>
      <c r="Q3584" s="91"/>
    </row>
    <row r="3585" spans="1:17">
      <c r="A3585" s="93" t="str">
        <f>TEXT(tblProjectlist[[#This Row],[project-no]],"0")</f>
        <v>0</v>
      </c>
      <c r="Q3585" s="91"/>
    </row>
    <row r="3586" spans="1:17">
      <c r="A3586" s="93" t="str">
        <f>TEXT(tblProjectlist[[#This Row],[project-no]],"0")</f>
        <v>0</v>
      </c>
      <c r="Q3586" s="91"/>
    </row>
    <row r="3587" spans="1:17">
      <c r="A3587" s="93" t="str">
        <f>TEXT(tblProjectlist[[#This Row],[project-no]],"0")</f>
        <v>0</v>
      </c>
      <c r="Q3587" s="91"/>
    </row>
    <row r="3588" spans="1:17">
      <c r="A3588" s="93" t="str">
        <f>TEXT(tblProjectlist[[#This Row],[project-no]],"0")</f>
        <v>0</v>
      </c>
      <c r="Q3588" s="91"/>
    </row>
    <row r="3589" spans="1:17">
      <c r="A3589" s="93" t="str">
        <f>TEXT(tblProjectlist[[#This Row],[project-no]],"0")</f>
        <v>0</v>
      </c>
      <c r="Q3589" s="91"/>
    </row>
    <row r="3590" spans="1:17">
      <c r="A3590" s="93" t="str">
        <f>TEXT(tblProjectlist[[#This Row],[project-no]],"0")</f>
        <v>0</v>
      </c>
      <c r="Q3590" s="91"/>
    </row>
    <row r="3591" spans="1:17">
      <c r="A3591" s="93" t="str">
        <f>TEXT(tblProjectlist[[#This Row],[project-no]],"0")</f>
        <v>0</v>
      </c>
      <c r="Q3591" s="91"/>
    </row>
    <row r="3592" spans="1:17">
      <c r="A3592" s="93" t="str">
        <f>TEXT(tblProjectlist[[#This Row],[project-no]],"0")</f>
        <v>0</v>
      </c>
      <c r="Q3592" s="91"/>
    </row>
    <row r="3593" spans="1:17">
      <c r="A3593" s="93" t="str">
        <f>TEXT(tblProjectlist[[#This Row],[project-no]],"0")</f>
        <v>0</v>
      </c>
      <c r="Q3593" s="91"/>
    </row>
    <row r="3594" spans="1:17">
      <c r="A3594" s="93" t="str">
        <f>TEXT(tblProjectlist[[#This Row],[project-no]],"0")</f>
        <v>0</v>
      </c>
      <c r="Q3594" s="91"/>
    </row>
    <row r="3595" spans="1:17">
      <c r="A3595" s="93" t="str">
        <f>TEXT(tblProjectlist[[#This Row],[project-no]],"0")</f>
        <v>0</v>
      </c>
      <c r="Q3595" s="91"/>
    </row>
    <row r="3596" spans="1:17">
      <c r="A3596" s="93" t="str">
        <f>TEXT(tblProjectlist[[#This Row],[project-no]],"0")</f>
        <v>0</v>
      </c>
      <c r="Q3596" s="91"/>
    </row>
    <row r="3597" spans="1:17">
      <c r="A3597" s="93" t="str">
        <f>TEXT(tblProjectlist[[#This Row],[project-no]],"0")</f>
        <v>0</v>
      </c>
      <c r="Q3597" s="91"/>
    </row>
    <row r="3598" spans="1:17">
      <c r="A3598" s="93" t="str">
        <f>TEXT(tblProjectlist[[#This Row],[project-no]],"0")</f>
        <v>0</v>
      </c>
      <c r="Q3598" s="91"/>
    </row>
    <row r="3599" spans="1:17">
      <c r="A3599" s="93" t="str">
        <f>TEXT(tblProjectlist[[#This Row],[project-no]],"0")</f>
        <v>0</v>
      </c>
      <c r="Q3599" s="91"/>
    </row>
    <row r="3600" spans="1:17">
      <c r="A3600" s="93" t="str">
        <f>TEXT(tblProjectlist[[#This Row],[project-no]],"0")</f>
        <v>0</v>
      </c>
      <c r="Q3600" s="91"/>
    </row>
    <row r="3601" spans="1:17">
      <c r="A3601" s="93" t="str">
        <f>TEXT(tblProjectlist[[#This Row],[project-no]],"0")</f>
        <v>0</v>
      </c>
      <c r="Q3601" s="91"/>
    </row>
    <row r="3602" spans="1:17">
      <c r="A3602" s="93" t="str">
        <f>TEXT(tblProjectlist[[#This Row],[project-no]],"0")</f>
        <v>0</v>
      </c>
      <c r="Q3602" s="91"/>
    </row>
    <row r="3603" spans="1:17">
      <c r="A3603" s="93" t="str">
        <f>TEXT(tblProjectlist[[#This Row],[project-no]],"0")</f>
        <v>0</v>
      </c>
      <c r="Q3603" s="91"/>
    </row>
    <row r="3604" spans="1:17">
      <c r="A3604" s="93" t="str">
        <f>TEXT(tblProjectlist[[#This Row],[project-no]],"0")</f>
        <v>0</v>
      </c>
      <c r="Q3604" s="91"/>
    </row>
    <row r="3605" spans="1:17">
      <c r="A3605" s="93" t="str">
        <f>TEXT(tblProjectlist[[#This Row],[project-no]],"0")</f>
        <v>0</v>
      </c>
      <c r="Q3605" s="91"/>
    </row>
    <row r="3606" spans="1:17">
      <c r="A3606" s="93" t="str">
        <f>TEXT(tblProjectlist[[#This Row],[project-no]],"0")</f>
        <v>0</v>
      </c>
      <c r="Q3606" s="91"/>
    </row>
    <row r="3607" spans="1:17">
      <c r="A3607" s="93" t="str">
        <f>TEXT(tblProjectlist[[#This Row],[project-no]],"0")</f>
        <v>0</v>
      </c>
      <c r="Q3607" s="91"/>
    </row>
    <row r="3608" spans="1:17">
      <c r="A3608" s="93" t="str">
        <f>TEXT(tblProjectlist[[#This Row],[project-no]],"0")</f>
        <v>0</v>
      </c>
      <c r="Q3608" s="91"/>
    </row>
    <row r="3609" spans="1:17">
      <c r="A3609" s="93" t="str">
        <f>TEXT(tblProjectlist[[#This Row],[project-no]],"0")</f>
        <v>0</v>
      </c>
      <c r="Q3609" s="91"/>
    </row>
    <row r="3610" spans="1:17">
      <c r="A3610" s="93" t="str">
        <f>TEXT(tblProjectlist[[#This Row],[project-no]],"0")</f>
        <v>0</v>
      </c>
      <c r="Q3610" s="91"/>
    </row>
    <row r="3611" spans="1:17">
      <c r="A3611" s="93" t="str">
        <f>TEXT(tblProjectlist[[#This Row],[project-no]],"0")</f>
        <v>0</v>
      </c>
      <c r="Q3611" s="91"/>
    </row>
    <row r="3612" spans="1:17">
      <c r="A3612" s="93" t="str">
        <f>TEXT(tblProjectlist[[#This Row],[project-no]],"0")</f>
        <v>0</v>
      </c>
      <c r="Q3612" s="91"/>
    </row>
    <row r="3613" spans="1:17">
      <c r="A3613" s="93" t="str">
        <f>TEXT(tblProjectlist[[#This Row],[project-no]],"0")</f>
        <v>0</v>
      </c>
      <c r="Q3613" s="91"/>
    </row>
    <row r="3614" spans="1:17">
      <c r="A3614" s="93" t="str">
        <f>TEXT(tblProjectlist[[#This Row],[project-no]],"0")</f>
        <v>0</v>
      </c>
      <c r="Q3614" s="91"/>
    </row>
    <row r="3615" spans="1:17">
      <c r="A3615" s="93" t="str">
        <f>TEXT(tblProjectlist[[#This Row],[project-no]],"0")</f>
        <v>0</v>
      </c>
      <c r="Q3615" s="91"/>
    </row>
    <row r="3616" spans="1:17">
      <c r="A3616" s="93" t="str">
        <f>TEXT(tblProjectlist[[#This Row],[project-no]],"0")</f>
        <v>0</v>
      </c>
      <c r="Q3616" s="91"/>
    </row>
    <row r="3617" spans="1:17">
      <c r="A3617" s="93" t="str">
        <f>TEXT(tblProjectlist[[#This Row],[project-no]],"0")</f>
        <v>0</v>
      </c>
      <c r="Q3617" s="91"/>
    </row>
    <row r="3618" spans="1:17">
      <c r="A3618" s="93" t="str">
        <f>TEXT(tblProjectlist[[#This Row],[project-no]],"0")</f>
        <v>0</v>
      </c>
      <c r="Q3618" s="91"/>
    </row>
    <row r="3619" spans="1:17">
      <c r="A3619" s="93" t="str">
        <f>TEXT(tblProjectlist[[#This Row],[project-no]],"0")</f>
        <v>0</v>
      </c>
      <c r="Q3619" s="91"/>
    </row>
    <row r="3620" spans="1:17">
      <c r="A3620" s="93" t="str">
        <f>TEXT(tblProjectlist[[#This Row],[project-no]],"0")</f>
        <v>0</v>
      </c>
      <c r="Q3620" s="91"/>
    </row>
    <row r="3621" spans="1:17">
      <c r="A3621" s="93" t="str">
        <f>TEXT(tblProjectlist[[#This Row],[project-no]],"0")</f>
        <v>0</v>
      </c>
      <c r="Q3621" s="91"/>
    </row>
    <row r="3622" spans="1:17">
      <c r="A3622" s="93" t="str">
        <f>TEXT(tblProjectlist[[#This Row],[project-no]],"0")</f>
        <v>0</v>
      </c>
      <c r="Q3622" s="91"/>
    </row>
    <row r="3623" spans="1:17">
      <c r="A3623" s="93" t="str">
        <f>TEXT(tblProjectlist[[#This Row],[project-no]],"0")</f>
        <v>0</v>
      </c>
      <c r="Q3623" s="91"/>
    </row>
    <row r="3624" spans="1:17">
      <c r="A3624" s="93" t="str">
        <f>TEXT(tblProjectlist[[#This Row],[project-no]],"0")</f>
        <v>0</v>
      </c>
      <c r="Q3624" s="91"/>
    </row>
    <row r="3625" spans="1:17">
      <c r="A3625" s="93" t="str">
        <f>TEXT(tblProjectlist[[#This Row],[project-no]],"0")</f>
        <v>0</v>
      </c>
      <c r="Q3625" s="91"/>
    </row>
    <row r="3626" spans="1:17">
      <c r="A3626" s="93" t="str">
        <f>TEXT(tblProjectlist[[#This Row],[project-no]],"0")</f>
        <v>0</v>
      </c>
      <c r="Q3626" s="91"/>
    </row>
    <row r="3627" spans="1:17">
      <c r="A3627" s="93" t="str">
        <f>TEXT(tblProjectlist[[#This Row],[project-no]],"0")</f>
        <v>0</v>
      </c>
      <c r="Q3627" s="91"/>
    </row>
    <row r="3628" spans="1:17">
      <c r="A3628" s="93" t="str">
        <f>TEXT(tblProjectlist[[#This Row],[project-no]],"0")</f>
        <v>0</v>
      </c>
      <c r="Q3628" s="91"/>
    </row>
    <row r="3629" spans="1:17">
      <c r="A3629" s="93" t="str">
        <f>TEXT(tblProjectlist[[#This Row],[project-no]],"0")</f>
        <v>0</v>
      </c>
      <c r="Q3629" s="91"/>
    </row>
    <row r="3630" spans="1:17">
      <c r="A3630" s="93" t="str">
        <f>TEXT(tblProjectlist[[#This Row],[project-no]],"0")</f>
        <v>0</v>
      </c>
      <c r="Q3630" s="91"/>
    </row>
    <row r="3631" spans="1:17">
      <c r="A3631" s="93" t="str">
        <f>TEXT(tblProjectlist[[#This Row],[project-no]],"0")</f>
        <v>0</v>
      </c>
      <c r="Q3631" s="91"/>
    </row>
    <row r="3632" spans="1:17">
      <c r="A3632" s="93" t="str">
        <f>TEXT(tblProjectlist[[#This Row],[project-no]],"0")</f>
        <v>0</v>
      </c>
      <c r="Q3632" s="91"/>
    </row>
    <row r="3633" spans="1:17">
      <c r="A3633" s="93" t="str">
        <f>TEXT(tblProjectlist[[#This Row],[project-no]],"0")</f>
        <v>0</v>
      </c>
      <c r="Q3633" s="91"/>
    </row>
    <row r="3634" spans="1:17">
      <c r="A3634" s="93" t="str">
        <f>TEXT(tblProjectlist[[#This Row],[project-no]],"0")</f>
        <v>0</v>
      </c>
      <c r="Q3634" s="91"/>
    </row>
    <row r="3635" spans="1:17">
      <c r="A3635" s="93" t="str">
        <f>TEXT(tblProjectlist[[#This Row],[project-no]],"0")</f>
        <v>0</v>
      </c>
      <c r="Q3635" s="91"/>
    </row>
    <row r="3636" spans="1:17">
      <c r="A3636" s="93" t="str">
        <f>TEXT(tblProjectlist[[#This Row],[project-no]],"0")</f>
        <v>0</v>
      </c>
      <c r="Q3636" s="91"/>
    </row>
    <row r="3637" spans="1:17">
      <c r="A3637" s="93" t="str">
        <f>TEXT(tblProjectlist[[#This Row],[project-no]],"0")</f>
        <v>0</v>
      </c>
      <c r="Q3637" s="91"/>
    </row>
    <row r="3638" spans="1:17">
      <c r="A3638" s="93" t="str">
        <f>TEXT(tblProjectlist[[#This Row],[project-no]],"0")</f>
        <v>0</v>
      </c>
      <c r="Q3638" s="91"/>
    </row>
    <row r="3639" spans="1:17">
      <c r="A3639" s="93" t="str">
        <f>TEXT(tblProjectlist[[#This Row],[project-no]],"0")</f>
        <v>0</v>
      </c>
      <c r="Q3639" s="91"/>
    </row>
    <row r="3640" spans="1:17">
      <c r="A3640" s="93" t="str">
        <f>TEXT(tblProjectlist[[#This Row],[project-no]],"0")</f>
        <v>0</v>
      </c>
      <c r="Q3640" s="91"/>
    </row>
    <row r="3641" spans="1:17">
      <c r="A3641" s="93" t="str">
        <f>TEXT(tblProjectlist[[#This Row],[project-no]],"0")</f>
        <v>0</v>
      </c>
      <c r="Q3641" s="91"/>
    </row>
    <row r="3642" spans="1:17">
      <c r="A3642" s="93" t="str">
        <f>TEXT(tblProjectlist[[#This Row],[project-no]],"0")</f>
        <v>0</v>
      </c>
      <c r="Q3642" s="91"/>
    </row>
    <row r="3643" spans="1:17">
      <c r="A3643" s="93" t="str">
        <f>TEXT(tblProjectlist[[#This Row],[project-no]],"0")</f>
        <v>0</v>
      </c>
      <c r="Q3643" s="91"/>
    </row>
    <row r="3644" spans="1:17">
      <c r="A3644" s="93" t="str">
        <f>TEXT(tblProjectlist[[#This Row],[project-no]],"0")</f>
        <v>0</v>
      </c>
      <c r="Q3644" s="91"/>
    </row>
    <row r="3645" spans="1:17">
      <c r="A3645" s="93" t="str">
        <f>TEXT(tblProjectlist[[#This Row],[project-no]],"0")</f>
        <v>0</v>
      </c>
      <c r="Q3645" s="91"/>
    </row>
    <row r="3646" spans="1:17">
      <c r="A3646" s="93" t="str">
        <f>TEXT(tblProjectlist[[#This Row],[project-no]],"0")</f>
        <v>0</v>
      </c>
      <c r="Q3646" s="91"/>
    </row>
    <row r="3647" spans="1:17">
      <c r="A3647" s="93" t="str">
        <f>TEXT(tblProjectlist[[#This Row],[project-no]],"0")</f>
        <v>0</v>
      </c>
      <c r="Q3647" s="91"/>
    </row>
    <row r="3648" spans="1:17">
      <c r="A3648" s="93" t="str">
        <f>TEXT(tblProjectlist[[#This Row],[project-no]],"0")</f>
        <v>0</v>
      </c>
      <c r="Q3648" s="91"/>
    </row>
    <row r="3649" spans="1:17">
      <c r="A3649" s="93" t="str">
        <f>TEXT(tblProjectlist[[#This Row],[project-no]],"0")</f>
        <v>0</v>
      </c>
      <c r="Q3649" s="91"/>
    </row>
    <row r="3650" spans="1:17">
      <c r="A3650" s="93" t="str">
        <f>TEXT(tblProjectlist[[#This Row],[project-no]],"0")</f>
        <v>0</v>
      </c>
      <c r="Q3650" s="91"/>
    </row>
    <row r="3651" spans="1:17">
      <c r="A3651" s="93" t="str">
        <f>TEXT(tblProjectlist[[#This Row],[project-no]],"0")</f>
        <v>0</v>
      </c>
      <c r="Q3651" s="91"/>
    </row>
    <row r="3652" spans="1:17">
      <c r="A3652" s="93" t="str">
        <f>TEXT(tblProjectlist[[#This Row],[project-no]],"0")</f>
        <v>0</v>
      </c>
      <c r="Q3652" s="91"/>
    </row>
    <row r="3653" spans="1:17">
      <c r="A3653" s="93" t="str">
        <f>TEXT(tblProjectlist[[#This Row],[project-no]],"0")</f>
        <v>0</v>
      </c>
      <c r="Q3653" s="91"/>
    </row>
    <row r="3654" spans="1:17">
      <c r="A3654" s="93" t="str">
        <f>TEXT(tblProjectlist[[#This Row],[project-no]],"0")</f>
        <v>0</v>
      </c>
      <c r="Q3654" s="91"/>
    </row>
    <row r="3655" spans="1:17">
      <c r="A3655" s="93" t="str">
        <f>TEXT(tblProjectlist[[#This Row],[project-no]],"0")</f>
        <v>0</v>
      </c>
      <c r="Q3655" s="91"/>
    </row>
    <row r="3656" spans="1:17">
      <c r="A3656" s="93" t="str">
        <f>TEXT(tblProjectlist[[#This Row],[project-no]],"0")</f>
        <v>0</v>
      </c>
      <c r="Q3656" s="91"/>
    </row>
    <row r="3657" spans="1:17">
      <c r="A3657" s="93" t="str">
        <f>TEXT(tblProjectlist[[#This Row],[project-no]],"0")</f>
        <v>0</v>
      </c>
      <c r="Q3657" s="91"/>
    </row>
    <row r="3658" spans="1:17">
      <c r="A3658" s="93" t="str">
        <f>TEXT(tblProjectlist[[#This Row],[project-no]],"0")</f>
        <v>0</v>
      </c>
      <c r="Q3658" s="91"/>
    </row>
    <row r="3659" spans="1:17">
      <c r="A3659" s="93" t="str">
        <f>TEXT(tblProjectlist[[#This Row],[project-no]],"0")</f>
        <v>0</v>
      </c>
      <c r="Q3659" s="91"/>
    </row>
    <row r="3660" spans="1:17">
      <c r="A3660" s="93" t="str">
        <f>TEXT(tblProjectlist[[#This Row],[project-no]],"0")</f>
        <v>0</v>
      </c>
      <c r="Q3660" s="91"/>
    </row>
    <row r="3661" spans="1:17">
      <c r="A3661" s="93" t="str">
        <f>TEXT(tblProjectlist[[#This Row],[project-no]],"0")</f>
        <v>0</v>
      </c>
      <c r="Q3661" s="91"/>
    </row>
    <row r="3662" spans="1:17">
      <c r="A3662" s="93" t="str">
        <f>TEXT(tblProjectlist[[#This Row],[project-no]],"0")</f>
        <v>0</v>
      </c>
      <c r="Q3662" s="91"/>
    </row>
    <row r="3663" spans="1:17">
      <c r="A3663" s="93" t="str">
        <f>TEXT(tblProjectlist[[#This Row],[project-no]],"0")</f>
        <v>0</v>
      </c>
      <c r="Q3663" s="91"/>
    </row>
    <row r="3664" spans="1:17">
      <c r="A3664" s="93" t="str">
        <f>TEXT(tblProjectlist[[#This Row],[project-no]],"0")</f>
        <v>0</v>
      </c>
      <c r="Q3664" s="91"/>
    </row>
    <row r="3665" spans="1:17">
      <c r="A3665" s="93" t="str">
        <f>TEXT(tblProjectlist[[#This Row],[project-no]],"0")</f>
        <v>0</v>
      </c>
      <c r="Q3665" s="91"/>
    </row>
    <row r="3666" spans="1:17">
      <c r="A3666" s="93" t="str">
        <f>TEXT(tblProjectlist[[#This Row],[project-no]],"0")</f>
        <v>0</v>
      </c>
      <c r="Q3666" s="91"/>
    </row>
    <row r="3667" spans="1:17">
      <c r="A3667" s="93" t="str">
        <f>TEXT(tblProjectlist[[#This Row],[project-no]],"0")</f>
        <v>0</v>
      </c>
      <c r="Q3667" s="91"/>
    </row>
    <row r="3668" spans="1:17">
      <c r="A3668" s="93" t="str">
        <f>TEXT(tblProjectlist[[#This Row],[project-no]],"0")</f>
        <v>0</v>
      </c>
      <c r="Q3668" s="91"/>
    </row>
    <row r="3669" spans="1:17">
      <c r="A3669" s="93" t="str">
        <f>TEXT(tblProjectlist[[#This Row],[project-no]],"0")</f>
        <v>0</v>
      </c>
      <c r="Q3669" s="91"/>
    </row>
    <row r="3670" spans="1:17">
      <c r="A3670" s="93" t="str">
        <f>TEXT(tblProjectlist[[#This Row],[project-no]],"0")</f>
        <v>0</v>
      </c>
      <c r="Q3670" s="91"/>
    </row>
    <row r="3671" spans="1:17">
      <c r="A3671" s="93" t="str">
        <f>TEXT(tblProjectlist[[#This Row],[project-no]],"0")</f>
        <v>0</v>
      </c>
      <c r="Q3671" s="91"/>
    </row>
    <row r="3672" spans="1:17">
      <c r="A3672" s="93" t="str">
        <f>TEXT(tblProjectlist[[#This Row],[project-no]],"0")</f>
        <v>0</v>
      </c>
      <c r="Q3672" s="91"/>
    </row>
    <row r="3673" spans="1:17">
      <c r="A3673" s="93" t="str">
        <f>TEXT(tblProjectlist[[#This Row],[project-no]],"0")</f>
        <v>0</v>
      </c>
      <c r="Q3673" s="91"/>
    </row>
    <row r="3674" spans="1:17">
      <c r="A3674" s="93" t="str">
        <f>TEXT(tblProjectlist[[#This Row],[project-no]],"0")</f>
        <v>0</v>
      </c>
      <c r="Q3674" s="91"/>
    </row>
    <row r="3675" spans="1:17">
      <c r="A3675" s="93" t="str">
        <f>TEXT(tblProjectlist[[#This Row],[project-no]],"0")</f>
        <v>0</v>
      </c>
      <c r="Q3675" s="91"/>
    </row>
    <row r="3676" spans="1:17">
      <c r="A3676" s="93" t="str">
        <f>TEXT(tblProjectlist[[#This Row],[project-no]],"0")</f>
        <v>0</v>
      </c>
      <c r="Q3676" s="91"/>
    </row>
    <row r="3677" spans="1:17">
      <c r="A3677" s="93" t="str">
        <f>TEXT(tblProjectlist[[#This Row],[project-no]],"0")</f>
        <v>0</v>
      </c>
      <c r="Q3677" s="91"/>
    </row>
    <row r="3678" spans="1:17">
      <c r="A3678" s="93" t="str">
        <f>TEXT(tblProjectlist[[#This Row],[project-no]],"0")</f>
        <v>0</v>
      </c>
      <c r="Q3678" s="91"/>
    </row>
    <row r="3679" spans="1:17">
      <c r="A3679" s="93" t="str">
        <f>TEXT(tblProjectlist[[#This Row],[project-no]],"0")</f>
        <v>0</v>
      </c>
      <c r="Q3679" s="91"/>
    </row>
    <row r="3680" spans="1:17">
      <c r="A3680" s="93" t="str">
        <f>TEXT(tblProjectlist[[#This Row],[project-no]],"0")</f>
        <v>0</v>
      </c>
      <c r="Q3680" s="91"/>
    </row>
    <row r="3681" spans="1:17">
      <c r="A3681" s="93" t="str">
        <f>TEXT(tblProjectlist[[#This Row],[project-no]],"0")</f>
        <v>0</v>
      </c>
      <c r="Q3681" s="91"/>
    </row>
    <row r="3682" spans="1:17">
      <c r="A3682" s="93" t="str">
        <f>TEXT(tblProjectlist[[#This Row],[project-no]],"0")</f>
        <v>0</v>
      </c>
      <c r="Q3682" s="91"/>
    </row>
    <row r="3683" spans="1:17">
      <c r="A3683" s="93" t="str">
        <f>TEXT(tblProjectlist[[#This Row],[project-no]],"0")</f>
        <v>0</v>
      </c>
      <c r="Q3683" s="91"/>
    </row>
    <row r="3684" spans="1:17">
      <c r="A3684" s="93" t="str">
        <f>TEXT(tblProjectlist[[#This Row],[project-no]],"0")</f>
        <v>0</v>
      </c>
      <c r="Q3684" s="91"/>
    </row>
    <row r="3685" spans="1:17">
      <c r="A3685" s="93" t="str">
        <f>TEXT(tblProjectlist[[#This Row],[project-no]],"0")</f>
        <v>0</v>
      </c>
      <c r="Q3685" s="91"/>
    </row>
    <row r="3686" spans="1:17">
      <c r="A3686" s="93" t="str">
        <f>TEXT(tblProjectlist[[#This Row],[project-no]],"0")</f>
        <v>0</v>
      </c>
      <c r="Q3686" s="91"/>
    </row>
    <row r="3687" spans="1:17">
      <c r="A3687" s="93" t="str">
        <f>TEXT(tblProjectlist[[#This Row],[project-no]],"0")</f>
        <v>0</v>
      </c>
      <c r="Q3687" s="91"/>
    </row>
    <row r="3688" spans="1:17">
      <c r="A3688" s="93" t="str">
        <f>TEXT(tblProjectlist[[#This Row],[project-no]],"0")</f>
        <v>0</v>
      </c>
      <c r="Q3688" s="91"/>
    </row>
    <row r="3689" spans="1:17">
      <c r="A3689" s="93" t="str">
        <f>TEXT(tblProjectlist[[#This Row],[project-no]],"0")</f>
        <v>0</v>
      </c>
      <c r="Q3689" s="91"/>
    </row>
    <row r="3690" spans="1:17">
      <c r="A3690" s="93" t="str">
        <f>TEXT(tblProjectlist[[#This Row],[project-no]],"0")</f>
        <v>0</v>
      </c>
      <c r="Q3690" s="91"/>
    </row>
    <row r="3691" spans="1:17">
      <c r="A3691" s="93" t="str">
        <f>TEXT(tblProjectlist[[#This Row],[project-no]],"0")</f>
        <v>0</v>
      </c>
      <c r="Q3691" s="91"/>
    </row>
    <row r="3692" spans="1:17">
      <c r="A3692" s="93" t="str">
        <f>TEXT(tblProjectlist[[#This Row],[project-no]],"0")</f>
        <v>0</v>
      </c>
      <c r="Q3692" s="91"/>
    </row>
    <row r="3693" spans="1:17">
      <c r="A3693" s="93" t="str">
        <f>TEXT(tblProjectlist[[#This Row],[project-no]],"0")</f>
        <v>0</v>
      </c>
      <c r="Q3693" s="91"/>
    </row>
    <row r="3694" spans="1:17">
      <c r="A3694" s="93" t="str">
        <f>TEXT(tblProjectlist[[#This Row],[project-no]],"0")</f>
        <v>0</v>
      </c>
      <c r="Q3694" s="91"/>
    </row>
    <row r="3695" spans="1:17">
      <c r="A3695" s="93" t="str">
        <f>TEXT(tblProjectlist[[#This Row],[project-no]],"0")</f>
        <v>0</v>
      </c>
      <c r="Q3695" s="91"/>
    </row>
    <row r="3696" spans="1:17">
      <c r="A3696" s="93" t="str">
        <f>TEXT(tblProjectlist[[#This Row],[project-no]],"0")</f>
        <v>0</v>
      </c>
      <c r="Q3696" s="91"/>
    </row>
    <row r="3697" spans="1:17">
      <c r="A3697" s="93" t="str">
        <f>TEXT(tblProjectlist[[#This Row],[project-no]],"0")</f>
        <v>0</v>
      </c>
      <c r="Q3697" s="91"/>
    </row>
    <row r="3698" spans="1:17">
      <c r="A3698" s="93" t="str">
        <f>TEXT(tblProjectlist[[#This Row],[project-no]],"0")</f>
        <v>0</v>
      </c>
      <c r="Q3698" s="91"/>
    </row>
    <row r="3699" spans="1:17">
      <c r="A3699" s="93" t="str">
        <f>TEXT(tblProjectlist[[#This Row],[project-no]],"0")</f>
        <v>0</v>
      </c>
      <c r="Q3699" s="91"/>
    </row>
    <row r="3700" spans="1:17">
      <c r="A3700" s="93" t="str">
        <f>TEXT(tblProjectlist[[#This Row],[project-no]],"0")</f>
        <v>0</v>
      </c>
      <c r="Q3700" s="91"/>
    </row>
    <row r="3701" spans="1:17">
      <c r="A3701" s="93" t="str">
        <f>TEXT(tblProjectlist[[#This Row],[project-no]],"0")</f>
        <v>0</v>
      </c>
      <c r="Q3701" s="91"/>
    </row>
    <row r="3702" spans="1:17">
      <c r="A3702" s="93" t="str">
        <f>TEXT(tblProjectlist[[#This Row],[project-no]],"0")</f>
        <v>0</v>
      </c>
      <c r="Q3702" s="91"/>
    </row>
    <row r="3703" spans="1:17">
      <c r="A3703" s="93" t="str">
        <f>TEXT(tblProjectlist[[#This Row],[project-no]],"0")</f>
        <v>0</v>
      </c>
      <c r="Q3703" s="91"/>
    </row>
    <row r="3704" spans="1:17">
      <c r="A3704" s="93" t="str">
        <f>TEXT(tblProjectlist[[#This Row],[project-no]],"0")</f>
        <v>0</v>
      </c>
      <c r="Q3704" s="91"/>
    </row>
    <row r="3705" spans="1:17">
      <c r="A3705" s="93" t="str">
        <f>TEXT(tblProjectlist[[#This Row],[project-no]],"0")</f>
        <v>0</v>
      </c>
      <c r="Q3705" s="91"/>
    </row>
    <row r="3706" spans="1:17">
      <c r="A3706" s="93" t="str">
        <f>TEXT(tblProjectlist[[#This Row],[project-no]],"0")</f>
        <v>0</v>
      </c>
      <c r="Q3706" s="91"/>
    </row>
    <row r="3707" spans="1:17">
      <c r="A3707" s="93" t="str">
        <f>TEXT(tblProjectlist[[#This Row],[project-no]],"0")</f>
        <v>0</v>
      </c>
      <c r="Q3707" s="91"/>
    </row>
    <row r="3708" spans="1:17">
      <c r="A3708" s="93" t="str">
        <f>TEXT(tblProjectlist[[#This Row],[project-no]],"0")</f>
        <v>0</v>
      </c>
      <c r="Q3708" s="91"/>
    </row>
    <row r="3709" spans="1:17">
      <c r="A3709" s="93" t="str">
        <f>TEXT(tblProjectlist[[#This Row],[project-no]],"0")</f>
        <v>0</v>
      </c>
      <c r="Q3709" s="91"/>
    </row>
    <row r="3710" spans="1:17">
      <c r="A3710" s="93" t="str">
        <f>TEXT(tblProjectlist[[#This Row],[project-no]],"0")</f>
        <v>0</v>
      </c>
      <c r="Q3710" s="91"/>
    </row>
    <row r="3711" spans="1:17">
      <c r="A3711" s="93" t="str">
        <f>TEXT(tblProjectlist[[#This Row],[project-no]],"0")</f>
        <v>0</v>
      </c>
      <c r="Q3711" s="91"/>
    </row>
    <row r="3712" spans="1:17">
      <c r="A3712" s="93" t="str">
        <f>TEXT(tblProjectlist[[#This Row],[project-no]],"0")</f>
        <v>0</v>
      </c>
      <c r="Q3712" s="91"/>
    </row>
    <row r="3713" spans="1:17">
      <c r="A3713" s="93" t="str">
        <f>TEXT(tblProjectlist[[#This Row],[project-no]],"0")</f>
        <v>0</v>
      </c>
      <c r="Q3713" s="91"/>
    </row>
    <row r="3714" spans="1:17">
      <c r="A3714" s="93" t="str">
        <f>TEXT(tblProjectlist[[#This Row],[project-no]],"0")</f>
        <v>0</v>
      </c>
      <c r="Q3714" s="91"/>
    </row>
    <row r="3715" spans="1:17">
      <c r="A3715" s="93" t="str">
        <f>TEXT(tblProjectlist[[#This Row],[project-no]],"0")</f>
        <v>0</v>
      </c>
      <c r="Q3715" s="91"/>
    </row>
    <row r="3716" spans="1:17">
      <c r="A3716" s="93" t="str">
        <f>TEXT(tblProjectlist[[#This Row],[project-no]],"0")</f>
        <v>0</v>
      </c>
      <c r="Q3716" s="91"/>
    </row>
    <row r="3717" spans="1:17">
      <c r="A3717" s="93" t="str">
        <f>TEXT(tblProjectlist[[#This Row],[project-no]],"0")</f>
        <v>0</v>
      </c>
      <c r="Q3717" s="91"/>
    </row>
    <row r="3718" spans="1:17">
      <c r="A3718" s="93" t="str">
        <f>TEXT(tblProjectlist[[#This Row],[project-no]],"0")</f>
        <v>0</v>
      </c>
      <c r="Q3718" s="91"/>
    </row>
    <row r="3719" spans="1:17">
      <c r="A3719" s="93" t="str">
        <f>TEXT(tblProjectlist[[#This Row],[project-no]],"0")</f>
        <v>0</v>
      </c>
      <c r="Q3719" s="91"/>
    </row>
    <row r="3720" spans="1:17">
      <c r="A3720" s="93" t="str">
        <f>TEXT(tblProjectlist[[#This Row],[project-no]],"0")</f>
        <v>0</v>
      </c>
      <c r="Q3720" s="91"/>
    </row>
    <row r="3721" spans="1:17">
      <c r="A3721" s="93" t="str">
        <f>TEXT(tblProjectlist[[#This Row],[project-no]],"0")</f>
        <v>0</v>
      </c>
      <c r="Q3721" s="91"/>
    </row>
    <row r="3722" spans="1:17">
      <c r="A3722" s="93" t="str">
        <f>TEXT(tblProjectlist[[#This Row],[project-no]],"0")</f>
        <v>0</v>
      </c>
      <c r="Q3722" s="91"/>
    </row>
    <row r="3723" spans="1:17">
      <c r="A3723" s="93" t="str">
        <f>TEXT(tblProjectlist[[#This Row],[project-no]],"0")</f>
        <v>0</v>
      </c>
      <c r="Q3723" s="91"/>
    </row>
    <row r="3724" spans="1:17">
      <c r="A3724" s="93" t="str">
        <f>TEXT(tblProjectlist[[#This Row],[project-no]],"0")</f>
        <v>0</v>
      </c>
      <c r="Q3724" s="91"/>
    </row>
    <row r="3725" spans="1:17">
      <c r="A3725" s="93" t="str">
        <f>TEXT(tblProjectlist[[#This Row],[project-no]],"0")</f>
        <v>0</v>
      </c>
      <c r="Q3725" s="91"/>
    </row>
    <row r="3726" spans="1:17">
      <c r="A3726" s="93" t="str">
        <f>TEXT(tblProjectlist[[#This Row],[project-no]],"0")</f>
        <v>0</v>
      </c>
      <c r="Q3726" s="91"/>
    </row>
    <row r="3727" spans="1:17">
      <c r="A3727" s="93" t="str">
        <f>TEXT(tblProjectlist[[#This Row],[project-no]],"0")</f>
        <v>0</v>
      </c>
      <c r="Q3727" s="91"/>
    </row>
    <row r="3728" spans="1:17">
      <c r="A3728" s="93" t="str">
        <f>TEXT(tblProjectlist[[#This Row],[project-no]],"0")</f>
        <v>0</v>
      </c>
      <c r="Q3728" s="91"/>
    </row>
    <row r="3729" spans="1:17">
      <c r="A3729" s="93" t="str">
        <f>TEXT(tblProjectlist[[#This Row],[project-no]],"0")</f>
        <v>0</v>
      </c>
      <c r="Q3729" s="91"/>
    </row>
    <row r="3730" spans="1:17">
      <c r="A3730" s="93" t="str">
        <f>TEXT(tblProjectlist[[#This Row],[project-no]],"0")</f>
        <v>0</v>
      </c>
      <c r="Q3730" s="91"/>
    </row>
    <row r="3731" spans="1:17">
      <c r="A3731" s="93" t="str">
        <f>TEXT(tblProjectlist[[#This Row],[project-no]],"0")</f>
        <v>0</v>
      </c>
      <c r="Q3731" s="91"/>
    </row>
    <row r="3732" spans="1:17">
      <c r="A3732" s="93" t="str">
        <f>TEXT(tblProjectlist[[#This Row],[project-no]],"0")</f>
        <v>0</v>
      </c>
      <c r="Q3732" s="91"/>
    </row>
    <row r="3733" spans="1:17">
      <c r="A3733" s="93" t="str">
        <f>TEXT(tblProjectlist[[#This Row],[project-no]],"0")</f>
        <v>0</v>
      </c>
      <c r="Q3733" s="91"/>
    </row>
    <row r="3734" spans="1:17">
      <c r="A3734" s="93" t="str">
        <f>TEXT(tblProjectlist[[#This Row],[project-no]],"0")</f>
        <v>0</v>
      </c>
      <c r="Q3734" s="91"/>
    </row>
    <row r="3735" spans="1:17">
      <c r="A3735" s="93" t="str">
        <f>TEXT(tblProjectlist[[#This Row],[project-no]],"0")</f>
        <v>0</v>
      </c>
      <c r="Q3735" s="91"/>
    </row>
    <row r="3736" spans="1:17">
      <c r="A3736" s="93" t="str">
        <f>TEXT(tblProjectlist[[#This Row],[project-no]],"0")</f>
        <v>0</v>
      </c>
      <c r="Q3736" s="91"/>
    </row>
    <row r="3737" spans="1:17">
      <c r="A3737" s="93" t="str">
        <f>TEXT(tblProjectlist[[#This Row],[project-no]],"0")</f>
        <v>0</v>
      </c>
      <c r="Q3737" s="91"/>
    </row>
    <row r="3738" spans="1:17">
      <c r="A3738" s="93" t="str">
        <f>TEXT(tblProjectlist[[#This Row],[project-no]],"0")</f>
        <v>0</v>
      </c>
      <c r="Q3738" s="91"/>
    </row>
    <row r="3739" spans="1:17">
      <c r="A3739" s="93" t="str">
        <f>TEXT(tblProjectlist[[#This Row],[project-no]],"0")</f>
        <v>0</v>
      </c>
      <c r="Q3739" s="91"/>
    </row>
    <row r="3740" spans="1:17">
      <c r="A3740" s="93" t="str">
        <f>TEXT(tblProjectlist[[#This Row],[project-no]],"0")</f>
        <v>0</v>
      </c>
      <c r="Q3740" s="91"/>
    </row>
    <row r="3741" spans="1:17">
      <c r="A3741" s="93" t="str">
        <f>TEXT(tblProjectlist[[#This Row],[project-no]],"0")</f>
        <v>0</v>
      </c>
      <c r="Q3741" s="91"/>
    </row>
    <row r="3742" spans="1:17">
      <c r="A3742" s="93" t="str">
        <f>TEXT(tblProjectlist[[#This Row],[project-no]],"0")</f>
        <v>0</v>
      </c>
      <c r="Q3742" s="91"/>
    </row>
    <row r="3743" spans="1:17">
      <c r="A3743" s="93" t="str">
        <f>TEXT(tblProjectlist[[#This Row],[project-no]],"0")</f>
        <v>0</v>
      </c>
      <c r="Q3743" s="91"/>
    </row>
    <row r="3744" spans="1:17">
      <c r="A3744" s="93" t="str">
        <f>TEXT(tblProjectlist[[#This Row],[project-no]],"0")</f>
        <v>0</v>
      </c>
      <c r="Q3744" s="91"/>
    </row>
    <row r="3745" spans="1:17">
      <c r="A3745" s="93" t="str">
        <f>TEXT(tblProjectlist[[#This Row],[project-no]],"0")</f>
        <v>0</v>
      </c>
      <c r="Q3745" s="91"/>
    </row>
    <row r="3746" spans="1:17">
      <c r="A3746" s="93" t="str">
        <f>TEXT(tblProjectlist[[#This Row],[project-no]],"0")</f>
        <v>0</v>
      </c>
      <c r="Q3746" s="91"/>
    </row>
    <row r="3747" spans="1:17">
      <c r="A3747" s="93" t="str">
        <f>TEXT(tblProjectlist[[#This Row],[project-no]],"0")</f>
        <v>0</v>
      </c>
      <c r="Q3747" s="91"/>
    </row>
    <row r="3748" spans="1:17">
      <c r="A3748" s="93" t="str">
        <f>TEXT(tblProjectlist[[#This Row],[project-no]],"0")</f>
        <v>0</v>
      </c>
      <c r="Q3748" s="91"/>
    </row>
    <row r="3749" spans="1:17">
      <c r="A3749" s="93" t="str">
        <f>TEXT(tblProjectlist[[#This Row],[project-no]],"0")</f>
        <v>0</v>
      </c>
      <c r="Q3749" s="91"/>
    </row>
    <row r="3750" spans="1:17">
      <c r="A3750" s="93" t="str">
        <f>TEXT(tblProjectlist[[#This Row],[project-no]],"0")</f>
        <v>0</v>
      </c>
      <c r="Q3750" s="91"/>
    </row>
    <row r="3751" spans="1:17">
      <c r="A3751" s="93" t="str">
        <f>TEXT(tblProjectlist[[#This Row],[project-no]],"0")</f>
        <v>0</v>
      </c>
      <c r="Q3751" s="91"/>
    </row>
    <row r="3752" spans="1:17">
      <c r="A3752" s="93" t="str">
        <f>TEXT(tblProjectlist[[#This Row],[project-no]],"0")</f>
        <v>0</v>
      </c>
      <c r="Q3752" s="91"/>
    </row>
    <row r="3753" spans="1:17">
      <c r="A3753" s="93" t="str">
        <f>TEXT(tblProjectlist[[#This Row],[project-no]],"0")</f>
        <v>0</v>
      </c>
      <c r="Q3753" s="91"/>
    </row>
    <row r="3754" spans="1:17">
      <c r="A3754" s="93" t="str">
        <f>TEXT(tblProjectlist[[#This Row],[project-no]],"0")</f>
        <v>0</v>
      </c>
      <c r="Q3754" s="91"/>
    </row>
    <row r="3755" spans="1:17">
      <c r="A3755" s="93" t="str">
        <f>TEXT(tblProjectlist[[#This Row],[project-no]],"0")</f>
        <v>0</v>
      </c>
      <c r="Q3755" s="91"/>
    </row>
    <row r="3756" spans="1:17">
      <c r="A3756" s="93" t="str">
        <f>TEXT(tblProjectlist[[#This Row],[project-no]],"0")</f>
        <v>0</v>
      </c>
      <c r="Q3756" s="91"/>
    </row>
    <row r="3757" spans="1:17">
      <c r="A3757" s="93" t="str">
        <f>TEXT(tblProjectlist[[#This Row],[project-no]],"0")</f>
        <v>0</v>
      </c>
      <c r="Q3757" s="91"/>
    </row>
    <row r="3758" spans="1:17">
      <c r="A3758" s="93" t="str">
        <f>TEXT(tblProjectlist[[#This Row],[project-no]],"0")</f>
        <v>0</v>
      </c>
      <c r="Q3758" s="91"/>
    </row>
    <row r="3759" spans="1:17">
      <c r="A3759" s="93" t="str">
        <f>TEXT(tblProjectlist[[#This Row],[project-no]],"0")</f>
        <v>0</v>
      </c>
      <c r="Q3759" s="91"/>
    </row>
    <row r="3760" spans="1:17">
      <c r="A3760" s="93" t="str">
        <f>TEXT(tblProjectlist[[#This Row],[project-no]],"0")</f>
        <v>0</v>
      </c>
      <c r="Q3760" s="91"/>
    </row>
    <row r="3761" spans="1:17">
      <c r="A3761" s="93" t="str">
        <f>TEXT(tblProjectlist[[#This Row],[project-no]],"0")</f>
        <v>0</v>
      </c>
      <c r="Q3761" s="91"/>
    </row>
    <row r="3762" spans="1:17">
      <c r="A3762" s="93" t="str">
        <f>TEXT(tblProjectlist[[#This Row],[project-no]],"0")</f>
        <v>0</v>
      </c>
      <c r="Q3762" s="91"/>
    </row>
    <row r="3763" spans="1:17">
      <c r="A3763" s="93" t="str">
        <f>TEXT(tblProjectlist[[#This Row],[project-no]],"0")</f>
        <v>0</v>
      </c>
      <c r="Q3763" s="91"/>
    </row>
    <row r="3764" spans="1:17">
      <c r="A3764" s="93" t="str">
        <f>TEXT(tblProjectlist[[#This Row],[project-no]],"0")</f>
        <v>0</v>
      </c>
      <c r="Q3764" s="91"/>
    </row>
    <row r="3765" spans="1:17">
      <c r="A3765" s="93" t="str">
        <f>TEXT(tblProjectlist[[#This Row],[project-no]],"0")</f>
        <v>0</v>
      </c>
      <c r="Q3765" s="91"/>
    </row>
    <row r="3766" spans="1:17">
      <c r="A3766" s="93" t="str">
        <f>TEXT(tblProjectlist[[#This Row],[project-no]],"0")</f>
        <v>0</v>
      </c>
      <c r="Q3766" s="91"/>
    </row>
    <row r="3767" spans="1:17">
      <c r="A3767" s="93" t="str">
        <f>TEXT(tblProjectlist[[#This Row],[project-no]],"0")</f>
        <v>0</v>
      </c>
      <c r="Q3767" s="91"/>
    </row>
    <row r="3768" spans="1:17">
      <c r="A3768" s="93" t="str">
        <f>TEXT(tblProjectlist[[#This Row],[project-no]],"0")</f>
        <v>0</v>
      </c>
      <c r="Q3768" s="91"/>
    </row>
    <row r="3769" spans="1:17">
      <c r="A3769" s="93" t="str">
        <f>TEXT(tblProjectlist[[#This Row],[project-no]],"0")</f>
        <v>0</v>
      </c>
      <c r="Q3769" s="91"/>
    </row>
    <row r="3770" spans="1:17">
      <c r="A3770" s="93" t="str">
        <f>TEXT(tblProjectlist[[#This Row],[project-no]],"0")</f>
        <v>0</v>
      </c>
      <c r="Q3770" s="91"/>
    </row>
    <row r="3771" spans="1:17">
      <c r="A3771" s="93" t="str">
        <f>TEXT(tblProjectlist[[#This Row],[project-no]],"0")</f>
        <v>0</v>
      </c>
      <c r="Q3771" s="91"/>
    </row>
    <row r="3772" spans="1:17">
      <c r="A3772" s="93" t="str">
        <f>TEXT(tblProjectlist[[#This Row],[project-no]],"0")</f>
        <v>0</v>
      </c>
      <c r="Q3772" s="91"/>
    </row>
    <row r="3773" spans="1:17">
      <c r="A3773" s="93" t="str">
        <f>TEXT(tblProjectlist[[#This Row],[project-no]],"0")</f>
        <v>0</v>
      </c>
      <c r="Q3773" s="91"/>
    </row>
    <row r="3774" spans="1:17">
      <c r="A3774" s="93" t="str">
        <f>TEXT(tblProjectlist[[#This Row],[project-no]],"0")</f>
        <v>0</v>
      </c>
      <c r="Q3774" s="91"/>
    </row>
    <row r="3775" spans="1:17">
      <c r="A3775" s="93" t="str">
        <f>TEXT(tblProjectlist[[#This Row],[project-no]],"0")</f>
        <v>0</v>
      </c>
      <c r="Q3775" s="91"/>
    </row>
    <row r="3776" spans="1:17">
      <c r="A3776" s="93" t="str">
        <f>TEXT(tblProjectlist[[#This Row],[project-no]],"0")</f>
        <v>0</v>
      </c>
      <c r="Q3776" s="91"/>
    </row>
    <row r="3777" spans="1:17">
      <c r="A3777" s="93" t="str">
        <f>TEXT(tblProjectlist[[#This Row],[project-no]],"0")</f>
        <v>0</v>
      </c>
      <c r="Q3777" s="91"/>
    </row>
    <row r="3778" spans="1:17">
      <c r="A3778" s="93" t="str">
        <f>TEXT(tblProjectlist[[#This Row],[project-no]],"0")</f>
        <v>0</v>
      </c>
      <c r="Q3778" s="91"/>
    </row>
    <row r="3779" spans="1:17">
      <c r="A3779" s="93" t="str">
        <f>TEXT(tblProjectlist[[#This Row],[project-no]],"0")</f>
        <v>0</v>
      </c>
      <c r="Q3779" s="91"/>
    </row>
    <row r="3780" spans="1:17">
      <c r="A3780" s="93" t="str">
        <f>TEXT(tblProjectlist[[#This Row],[project-no]],"0")</f>
        <v>0</v>
      </c>
      <c r="Q3780" s="91"/>
    </row>
    <row r="3781" spans="1:17">
      <c r="A3781" s="93" t="str">
        <f>TEXT(tblProjectlist[[#This Row],[project-no]],"0")</f>
        <v>0</v>
      </c>
      <c r="Q3781" s="91"/>
    </row>
    <row r="3782" spans="1:17">
      <c r="A3782" s="93" t="str">
        <f>TEXT(tblProjectlist[[#This Row],[project-no]],"0")</f>
        <v>0</v>
      </c>
      <c r="Q3782" s="91"/>
    </row>
    <row r="3783" spans="1:17">
      <c r="A3783" s="93" t="str">
        <f>TEXT(tblProjectlist[[#This Row],[project-no]],"0")</f>
        <v>0</v>
      </c>
      <c r="Q3783" s="91"/>
    </row>
    <row r="3784" spans="1:17">
      <c r="A3784" s="93" t="str">
        <f>TEXT(tblProjectlist[[#This Row],[project-no]],"0")</f>
        <v>0</v>
      </c>
      <c r="Q3784" s="91"/>
    </row>
    <row r="3785" spans="1:17">
      <c r="A3785" s="93" t="str">
        <f>TEXT(tblProjectlist[[#This Row],[project-no]],"0")</f>
        <v>0</v>
      </c>
      <c r="Q3785" s="91"/>
    </row>
    <row r="3786" spans="1:17">
      <c r="A3786" s="93" t="str">
        <f>TEXT(tblProjectlist[[#This Row],[project-no]],"0")</f>
        <v>0</v>
      </c>
      <c r="Q3786" s="91"/>
    </row>
    <row r="3787" spans="1:17">
      <c r="A3787" s="93" t="str">
        <f>TEXT(tblProjectlist[[#This Row],[project-no]],"0")</f>
        <v>0</v>
      </c>
      <c r="Q3787" s="91"/>
    </row>
    <row r="3788" spans="1:17">
      <c r="A3788" s="93" t="str">
        <f>TEXT(tblProjectlist[[#This Row],[project-no]],"0")</f>
        <v>0</v>
      </c>
      <c r="Q3788" s="91"/>
    </row>
    <row r="3789" spans="1:17">
      <c r="A3789" s="93" t="str">
        <f>TEXT(tblProjectlist[[#This Row],[project-no]],"0")</f>
        <v>0</v>
      </c>
      <c r="Q3789" s="91"/>
    </row>
    <row r="3790" spans="1:17">
      <c r="A3790" s="93" t="str">
        <f>TEXT(tblProjectlist[[#This Row],[project-no]],"0")</f>
        <v>0</v>
      </c>
      <c r="Q3790" s="91"/>
    </row>
    <row r="3791" spans="1:17">
      <c r="A3791" s="93" t="str">
        <f>TEXT(tblProjectlist[[#This Row],[project-no]],"0")</f>
        <v>0</v>
      </c>
      <c r="Q3791" s="91"/>
    </row>
    <row r="3792" spans="1:17">
      <c r="A3792" s="93" t="str">
        <f>TEXT(tblProjectlist[[#This Row],[project-no]],"0")</f>
        <v>0</v>
      </c>
      <c r="Q3792" s="91"/>
    </row>
    <row r="3793" spans="1:17">
      <c r="A3793" s="93" t="str">
        <f>TEXT(tblProjectlist[[#This Row],[project-no]],"0")</f>
        <v>0</v>
      </c>
      <c r="Q3793" s="91"/>
    </row>
    <row r="3794" spans="1:17">
      <c r="A3794" s="93" t="str">
        <f>TEXT(tblProjectlist[[#This Row],[project-no]],"0")</f>
        <v>0</v>
      </c>
      <c r="Q3794" s="91"/>
    </row>
    <row r="3795" spans="1:17">
      <c r="A3795" s="93" t="str">
        <f>TEXT(tblProjectlist[[#This Row],[project-no]],"0")</f>
        <v>0</v>
      </c>
      <c r="Q3795" s="91"/>
    </row>
    <row r="3796" spans="1:17">
      <c r="A3796" s="93" t="str">
        <f>TEXT(tblProjectlist[[#This Row],[project-no]],"0")</f>
        <v>0</v>
      </c>
      <c r="Q3796" s="91"/>
    </row>
    <row r="3797" spans="1:17">
      <c r="A3797" s="93" t="str">
        <f>TEXT(tblProjectlist[[#This Row],[project-no]],"0")</f>
        <v>0</v>
      </c>
      <c r="Q3797" s="91"/>
    </row>
    <row r="3798" spans="1:17">
      <c r="A3798" s="93" t="str">
        <f>TEXT(tblProjectlist[[#This Row],[project-no]],"0")</f>
        <v>0</v>
      </c>
      <c r="Q3798" s="91"/>
    </row>
    <row r="3799" spans="1:17">
      <c r="A3799" s="93" t="str">
        <f>TEXT(tblProjectlist[[#This Row],[project-no]],"0")</f>
        <v>0</v>
      </c>
      <c r="Q3799" s="91"/>
    </row>
    <row r="3800" spans="1:17">
      <c r="A3800" s="93" t="str">
        <f>TEXT(tblProjectlist[[#This Row],[project-no]],"0")</f>
        <v>0</v>
      </c>
      <c r="Q3800" s="91"/>
    </row>
    <row r="3801" spans="1:17">
      <c r="A3801" s="93" t="str">
        <f>TEXT(tblProjectlist[[#This Row],[project-no]],"0")</f>
        <v>0</v>
      </c>
      <c r="Q3801" s="91"/>
    </row>
    <row r="3802" spans="1:17">
      <c r="A3802" s="93" t="str">
        <f>TEXT(tblProjectlist[[#This Row],[project-no]],"0")</f>
        <v>0</v>
      </c>
      <c r="Q3802" s="91"/>
    </row>
    <row r="3803" spans="1:17">
      <c r="A3803" s="93" t="str">
        <f>TEXT(tblProjectlist[[#This Row],[project-no]],"0")</f>
        <v>0</v>
      </c>
      <c r="Q3803" s="91"/>
    </row>
    <row r="3804" spans="1:17">
      <c r="A3804" s="93" t="str">
        <f>TEXT(tblProjectlist[[#This Row],[project-no]],"0")</f>
        <v>0</v>
      </c>
      <c r="Q3804" s="91"/>
    </row>
    <row r="3805" spans="1:17">
      <c r="A3805" s="93" t="str">
        <f>TEXT(tblProjectlist[[#This Row],[project-no]],"0")</f>
        <v>0</v>
      </c>
      <c r="Q3805" s="91"/>
    </row>
    <row r="3806" spans="1:17">
      <c r="A3806" s="93" t="str">
        <f>TEXT(tblProjectlist[[#This Row],[project-no]],"0")</f>
        <v>0</v>
      </c>
      <c r="Q3806" s="91"/>
    </row>
    <row r="3807" spans="1:17">
      <c r="A3807" s="93" t="str">
        <f>TEXT(tblProjectlist[[#This Row],[project-no]],"0")</f>
        <v>0</v>
      </c>
      <c r="Q3807" s="91"/>
    </row>
    <row r="3808" spans="1:17">
      <c r="A3808" s="93" t="str">
        <f>TEXT(tblProjectlist[[#This Row],[project-no]],"0")</f>
        <v>0</v>
      </c>
      <c r="Q3808" s="91"/>
    </row>
    <row r="3809" spans="1:17">
      <c r="A3809" s="93" t="str">
        <f>TEXT(tblProjectlist[[#This Row],[project-no]],"0")</f>
        <v>0</v>
      </c>
      <c r="Q3809" s="91"/>
    </row>
    <row r="3810" spans="1:17">
      <c r="A3810" s="93" t="str">
        <f>TEXT(tblProjectlist[[#This Row],[project-no]],"0")</f>
        <v>0</v>
      </c>
      <c r="Q3810" s="91"/>
    </row>
    <row r="3811" spans="1:17">
      <c r="A3811" s="93" t="str">
        <f>TEXT(tblProjectlist[[#This Row],[project-no]],"0")</f>
        <v>0</v>
      </c>
      <c r="Q3811" s="91"/>
    </row>
    <row r="3812" spans="1:17">
      <c r="A3812" s="93" t="str">
        <f>TEXT(tblProjectlist[[#This Row],[project-no]],"0")</f>
        <v>0</v>
      </c>
      <c r="Q3812" s="91"/>
    </row>
    <row r="3813" spans="1:17">
      <c r="A3813" s="93" t="str">
        <f>TEXT(tblProjectlist[[#This Row],[project-no]],"0")</f>
        <v>0</v>
      </c>
      <c r="Q3813" s="91"/>
    </row>
    <row r="3814" spans="1:17">
      <c r="A3814" s="93" t="str">
        <f>TEXT(tblProjectlist[[#This Row],[project-no]],"0")</f>
        <v>0</v>
      </c>
      <c r="Q3814" s="91"/>
    </row>
    <row r="3815" spans="1:17">
      <c r="A3815" s="93" t="str">
        <f>TEXT(tblProjectlist[[#This Row],[project-no]],"0")</f>
        <v>0</v>
      </c>
      <c r="Q3815" s="91"/>
    </row>
    <row r="3816" spans="1:17">
      <c r="A3816" s="93" t="str">
        <f>TEXT(tblProjectlist[[#This Row],[project-no]],"0")</f>
        <v>0</v>
      </c>
      <c r="Q3816" s="91"/>
    </row>
    <row r="3817" spans="1:17">
      <c r="A3817" s="93" t="str">
        <f>TEXT(tblProjectlist[[#This Row],[project-no]],"0")</f>
        <v>0</v>
      </c>
      <c r="Q3817" s="91"/>
    </row>
    <row r="3818" spans="1:17">
      <c r="A3818" s="93" t="str">
        <f>TEXT(tblProjectlist[[#This Row],[project-no]],"0")</f>
        <v>0</v>
      </c>
      <c r="Q3818" s="91"/>
    </row>
    <row r="3819" spans="1:17">
      <c r="A3819" s="93" t="str">
        <f>TEXT(tblProjectlist[[#This Row],[project-no]],"0")</f>
        <v>0</v>
      </c>
      <c r="Q3819" s="91"/>
    </row>
    <row r="3820" spans="1:17">
      <c r="A3820" s="93" t="str">
        <f>TEXT(tblProjectlist[[#This Row],[project-no]],"0")</f>
        <v>0</v>
      </c>
      <c r="Q3820" s="91"/>
    </row>
    <row r="3821" spans="1:17">
      <c r="A3821" s="93" t="str">
        <f>TEXT(tblProjectlist[[#This Row],[project-no]],"0")</f>
        <v>0</v>
      </c>
      <c r="Q3821" s="91"/>
    </row>
    <row r="3822" spans="1:17">
      <c r="A3822" s="93" t="str">
        <f>TEXT(tblProjectlist[[#This Row],[project-no]],"0")</f>
        <v>0</v>
      </c>
      <c r="Q3822" s="91"/>
    </row>
    <row r="3823" spans="1:17">
      <c r="A3823" s="93" t="str">
        <f>TEXT(tblProjectlist[[#This Row],[project-no]],"0")</f>
        <v>0</v>
      </c>
      <c r="Q3823" s="91"/>
    </row>
    <row r="3824" spans="1:17">
      <c r="A3824" s="93" t="str">
        <f>TEXT(tblProjectlist[[#This Row],[project-no]],"0")</f>
        <v>0</v>
      </c>
      <c r="Q3824" s="91"/>
    </row>
    <row r="3825" spans="1:17">
      <c r="A3825" s="93" t="str">
        <f>TEXT(tblProjectlist[[#This Row],[project-no]],"0")</f>
        <v>0</v>
      </c>
      <c r="Q3825" s="91"/>
    </row>
    <row r="3826" spans="1:17">
      <c r="A3826" s="93" t="str">
        <f>TEXT(tblProjectlist[[#This Row],[project-no]],"0")</f>
        <v>0</v>
      </c>
      <c r="Q3826" s="91"/>
    </row>
    <row r="3827" spans="1:17">
      <c r="A3827" s="93" t="str">
        <f>TEXT(tblProjectlist[[#This Row],[project-no]],"0")</f>
        <v>0</v>
      </c>
      <c r="Q3827" s="91"/>
    </row>
    <row r="3828" spans="1:17">
      <c r="A3828" s="93" t="str">
        <f>TEXT(tblProjectlist[[#This Row],[project-no]],"0")</f>
        <v>0</v>
      </c>
      <c r="Q3828" s="91"/>
    </row>
    <row r="3829" spans="1:17">
      <c r="A3829" s="93" t="str">
        <f>TEXT(tblProjectlist[[#This Row],[project-no]],"0")</f>
        <v>0</v>
      </c>
      <c r="Q3829" s="91"/>
    </row>
    <row r="3830" spans="1:17">
      <c r="A3830" s="93" t="str">
        <f>TEXT(tblProjectlist[[#This Row],[project-no]],"0")</f>
        <v>0</v>
      </c>
      <c r="Q3830" s="91"/>
    </row>
    <row r="3831" spans="1:17">
      <c r="A3831" s="93" t="str">
        <f>TEXT(tblProjectlist[[#This Row],[project-no]],"0")</f>
        <v>0</v>
      </c>
      <c r="Q3831" s="91"/>
    </row>
    <row r="3832" spans="1:17">
      <c r="A3832" s="93" t="str">
        <f>TEXT(tblProjectlist[[#This Row],[project-no]],"0")</f>
        <v>0</v>
      </c>
      <c r="Q3832" s="91"/>
    </row>
    <row r="3833" spans="1:17">
      <c r="A3833" s="93" t="str">
        <f>TEXT(tblProjectlist[[#This Row],[project-no]],"0")</f>
        <v>0</v>
      </c>
      <c r="Q3833" s="91"/>
    </row>
    <row r="3834" spans="1:17">
      <c r="A3834" s="93" t="str">
        <f>TEXT(tblProjectlist[[#This Row],[project-no]],"0")</f>
        <v>0</v>
      </c>
      <c r="Q3834" s="91"/>
    </row>
    <row r="3835" spans="1:17">
      <c r="A3835" s="93" t="str">
        <f>TEXT(tblProjectlist[[#This Row],[project-no]],"0")</f>
        <v>0</v>
      </c>
      <c r="Q3835" s="91"/>
    </row>
    <row r="3836" spans="1:17">
      <c r="A3836" s="93" t="str">
        <f>TEXT(tblProjectlist[[#This Row],[project-no]],"0")</f>
        <v>0</v>
      </c>
      <c r="Q3836" s="91"/>
    </row>
    <row r="3837" spans="1:17">
      <c r="A3837" s="93" t="str">
        <f>TEXT(tblProjectlist[[#This Row],[project-no]],"0")</f>
        <v>0</v>
      </c>
      <c r="Q3837" s="91"/>
    </row>
    <row r="3838" spans="1:17">
      <c r="A3838" s="93" t="str">
        <f>TEXT(tblProjectlist[[#This Row],[project-no]],"0")</f>
        <v>0</v>
      </c>
      <c r="Q3838" s="91"/>
    </row>
    <row r="3839" spans="1:17">
      <c r="A3839" s="93" t="str">
        <f>TEXT(tblProjectlist[[#This Row],[project-no]],"0")</f>
        <v>0</v>
      </c>
      <c r="Q3839" s="91"/>
    </row>
    <row r="3840" spans="1:17">
      <c r="A3840" s="93" t="str">
        <f>TEXT(tblProjectlist[[#This Row],[project-no]],"0")</f>
        <v>0</v>
      </c>
      <c r="Q3840" s="91"/>
    </row>
    <row r="3841" spans="1:17">
      <c r="A3841" s="93" t="str">
        <f>TEXT(tblProjectlist[[#This Row],[project-no]],"0")</f>
        <v>0</v>
      </c>
      <c r="Q3841" s="91"/>
    </row>
    <row r="3842" spans="1:17">
      <c r="A3842" s="93" t="str">
        <f>TEXT(tblProjectlist[[#This Row],[project-no]],"0")</f>
        <v>0</v>
      </c>
      <c r="Q3842" s="91"/>
    </row>
    <row r="3843" spans="1:17">
      <c r="A3843" s="93" t="str">
        <f>TEXT(tblProjectlist[[#This Row],[project-no]],"0")</f>
        <v>0</v>
      </c>
      <c r="Q3843" s="91"/>
    </row>
    <row r="3844" spans="1:17">
      <c r="A3844" s="93" t="str">
        <f>TEXT(tblProjectlist[[#This Row],[project-no]],"0")</f>
        <v>0</v>
      </c>
      <c r="Q3844" s="91"/>
    </row>
    <row r="3845" spans="1:17">
      <c r="A3845" s="93" t="str">
        <f>TEXT(tblProjectlist[[#This Row],[project-no]],"0")</f>
        <v>0</v>
      </c>
      <c r="Q3845" s="91"/>
    </row>
    <row r="3846" spans="1:17">
      <c r="A3846" s="93" t="str">
        <f>TEXT(tblProjectlist[[#This Row],[project-no]],"0")</f>
        <v>0</v>
      </c>
      <c r="Q3846" s="91"/>
    </row>
    <row r="3847" spans="1:17">
      <c r="A3847" s="93" t="str">
        <f>TEXT(tblProjectlist[[#This Row],[project-no]],"0")</f>
        <v>0</v>
      </c>
      <c r="Q3847" s="91"/>
    </row>
    <row r="3848" spans="1:17">
      <c r="A3848" s="93" t="str">
        <f>TEXT(tblProjectlist[[#This Row],[project-no]],"0")</f>
        <v>0</v>
      </c>
      <c r="Q3848" s="91"/>
    </row>
    <row r="3849" spans="1:17">
      <c r="A3849" s="93" t="str">
        <f>TEXT(tblProjectlist[[#This Row],[project-no]],"0")</f>
        <v>0</v>
      </c>
      <c r="Q3849" s="91"/>
    </row>
    <row r="3850" spans="1:17">
      <c r="A3850" s="93" t="str">
        <f>TEXT(tblProjectlist[[#This Row],[project-no]],"0")</f>
        <v>0</v>
      </c>
      <c r="Q3850" s="91"/>
    </row>
    <row r="3851" spans="1:17">
      <c r="A3851" s="93" t="str">
        <f>TEXT(tblProjectlist[[#This Row],[project-no]],"0")</f>
        <v>0</v>
      </c>
      <c r="Q3851" s="91"/>
    </row>
    <row r="3852" spans="1:17">
      <c r="A3852" s="93" t="str">
        <f>TEXT(tblProjectlist[[#This Row],[project-no]],"0")</f>
        <v>0</v>
      </c>
      <c r="Q3852" s="91"/>
    </row>
    <row r="3853" spans="1:17">
      <c r="A3853" s="93" t="str">
        <f>TEXT(tblProjectlist[[#This Row],[project-no]],"0")</f>
        <v>0</v>
      </c>
      <c r="Q3853" s="91"/>
    </row>
    <row r="3854" spans="1:17">
      <c r="A3854" s="93" t="str">
        <f>TEXT(tblProjectlist[[#This Row],[project-no]],"0")</f>
        <v>0</v>
      </c>
      <c r="Q3854" s="91"/>
    </row>
    <row r="3855" spans="1:17">
      <c r="A3855" s="93" t="str">
        <f>TEXT(tblProjectlist[[#This Row],[project-no]],"0")</f>
        <v>0</v>
      </c>
      <c r="Q3855" s="91"/>
    </row>
    <row r="3856" spans="1:17">
      <c r="A3856" s="93" t="str">
        <f>TEXT(tblProjectlist[[#This Row],[project-no]],"0")</f>
        <v>0</v>
      </c>
      <c r="Q3856" s="91"/>
    </row>
    <row r="3857" spans="1:17">
      <c r="A3857" s="93" t="str">
        <f>TEXT(tblProjectlist[[#This Row],[project-no]],"0")</f>
        <v>0</v>
      </c>
      <c r="Q3857" s="91"/>
    </row>
    <row r="3858" spans="1:17">
      <c r="A3858" s="93" t="str">
        <f>TEXT(tblProjectlist[[#This Row],[project-no]],"0")</f>
        <v>0</v>
      </c>
      <c r="Q3858" s="91"/>
    </row>
    <row r="3859" spans="1:17">
      <c r="A3859" s="93" t="str">
        <f>TEXT(tblProjectlist[[#This Row],[project-no]],"0")</f>
        <v>0</v>
      </c>
      <c r="Q3859" s="91"/>
    </row>
    <row r="3860" spans="1:17">
      <c r="A3860" s="93" t="str">
        <f>TEXT(tblProjectlist[[#This Row],[project-no]],"0")</f>
        <v>0</v>
      </c>
      <c r="Q3860" s="91"/>
    </row>
    <row r="3861" spans="1:17">
      <c r="A3861" s="93" t="str">
        <f>TEXT(tblProjectlist[[#This Row],[project-no]],"0")</f>
        <v>0</v>
      </c>
      <c r="Q3861" s="91"/>
    </row>
    <row r="3862" spans="1:17">
      <c r="A3862" s="93" t="str">
        <f>TEXT(tblProjectlist[[#This Row],[project-no]],"0")</f>
        <v>0</v>
      </c>
      <c r="Q3862" s="91"/>
    </row>
    <row r="3863" spans="1:17">
      <c r="A3863" s="93" t="str">
        <f>TEXT(tblProjectlist[[#This Row],[project-no]],"0")</f>
        <v>0</v>
      </c>
      <c r="Q3863" s="91"/>
    </row>
    <row r="3864" spans="1:17">
      <c r="A3864" s="93" t="str">
        <f>TEXT(tblProjectlist[[#This Row],[project-no]],"0")</f>
        <v>0</v>
      </c>
      <c r="Q3864" s="91"/>
    </row>
    <row r="3865" spans="1:17">
      <c r="A3865" s="93" t="str">
        <f>TEXT(tblProjectlist[[#This Row],[project-no]],"0")</f>
        <v>0</v>
      </c>
      <c r="Q3865" s="91"/>
    </row>
    <row r="3866" spans="1:17">
      <c r="A3866" s="93" t="str">
        <f>TEXT(tblProjectlist[[#This Row],[project-no]],"0")</f>
        <v>0</v>
      </c>
      <c r="Q3866" s="91"/>
    </row>
    <row r="3867" spans="1:17">
      <c r="A3867" s="93" t="str">
        <f>TEXT(tblProjectlist[[#This Row],[project-no]],"0")</f>
        <v>0</v>
      </c>
      <c r="Q3867" s="91"/>
    </row>
    <row r="3868" spans="1:17">
      <c r="A3868" s="93" t="str">
        <f>TEXT(tblProjectlist[[#This Row],[project-no]],"0")</f>
        <v>0</v>
      </c>
      <c r="Q3868" s="91"/>
    </row>
    <row r="3869" spans="1:17">
      <c r="A3869" s="93" t="str">
        <f>TEXT(tblProjectlist[[#This Row],[project-no]],"0")</f>
        <v>0</v>
      </c>
      <c r="Q3869" s="91"/>
    </row>
    <row r="3870" spans="1:17">
      <c r="A3870" s="93" t="str">
        <f>TEXT(tblProjectlist[[#This Row],[project-no]],"0")</f>
        <v>0</v>
      </c>
      <c r="Q3870" s="91"/>
    </row>
    <row r="3871" spans="1:17">
      <c r="A3871" s="93" t="str">
        <f>TEXT(tblProjectlist[[#This Row],[project-no]],"0")</f>
        <v>0</v>
      </c>
      <c r="Q3871" s="91"/>
    </row>
    <row r="3872" spans="1:17">
      <c r="A3872" s="93" t="str">
        <f>TEXT(tblProjectlist[[#This Row],[project-no]],"0")</f>
        <v>0</v>
      </c>
      <c r="Q3872" s="91"/>
    </row>
    <row r="3873" spans="1:17">
      <c r="A3873" s="93" t="str">
        <f>TEXT(tblProjectlist[[#This Row],[project-no]],"0")</f>
        <v>0</v>
      </c>
      <c r="Q3873" s="91"/>
    </row>
    <row r="3874" spans="1:17">
      <c r="A3874" s="93" t="str">
        <f>TEXT(tblProjectlist[[#This Row],[project-no]],"0")</f>
        <v>0</v>
      </c>
      <c r="Q3874" s="91"/>
    </row>
    <row r="3875" spans="1:17">
      <c r="A3875" s="93" t="str">
        <f>TEXT(tblProjectlist[[#This Row],[project-no]],"0")</f>
        <v>0</v>
      </c>
      <c r="Q3875" s="91"/>
    </row>
    <row r="3876" spans="1:17">
      <c r="A3876" s="93" t="str">
        <f>TEXT(tblProjectlist[[#This Row],[project-no]],"0")</f>
        <v>0</v>
      </c>
      <c r="Q3876" s="91"/>
    </row>
    <row r="3877" spans="1:17">
      <c r="A3877" s="93" t="str">
        <f>TEXT(tblProjectlist[[#This Row],[project-no]],"0")</f>
        <v>0</v>
      </c>
      <c r="Q3877" s="91"/>
    </row>
    <row r="3878" spans="1:17">
      <c r="A3878" s="93" t="str">
        <f>TEXT(tblProjectlist[[#This Row],[project-no]],"0")</f>
        <v>0</v>
      </c>
      <c r="Q3878" s="91"/>
    </row>
    <row r="3879" spans="1:17">
      <c r="A3879" s="93" t="str">
        <f>TEXT(tblProjectlist[[#This Row],[project-no]],"0")</f>
        <v>0</v>
      </c>
      <c r="Q3879" s="91"/>
    </row>
    <row r="3880" spans="1:17">
      <c r="A3880" s="93" t="str">
        <f>TEXT(tblProjectlist[[#This Row],[project-no]],"0")</f>
        <v>0</v>
      </c>
      <c r="Q3880" s="91"/>
    </row>
    <row r="3881" spans="1:17">
      <c r="A3881" s="93" t="str">
        <f>TEXT(tblProjectlist[[#This Row],[project-no]],"0")</f>
        <v>0</v>
      </c>
      <c r="Q3881" s="91"/>
    </row>
    <row r="3882" spans="1:17">
      <c r="A3882" s="93" t="str">
        <f>TEXT(tblProjectlist[[#This Row],[project-no]],"0")</f>
        <v>0</v>
      </c>
      <c r="Q3882" s="91"/>
    </row>
    <row r="3883" spans="1:17">
      <c r="A3883" s="93" t="str">
        <f>TEXT(tblProjectlist[[#This Row],[project-no]],"0")</f>
        <v>0</v>
      </c>
      <c r="Q3883" s="91"/>
    </row>
    <row r="3884" spans="1:17">
      <c r="A3884" s="93" t="str">
        <f>TEXT(tblProjectlist[[#This Row],[project-no]],"0")</f>
        <v>0</v>
      </c>
      <c r="Q3884" s="91"/>
    </row>
    <row r="3885" spans="1:17">
      <c r="A3885" s="93" t="str">
        <f>TEXT(tblProjectlist[[#This Row],[project-no]],"0")</f>
        <v>0</v>
      </c>
      <c r="Q3885" s="91"/>
    </row>
    <row r="3886" spans="1:17">
      <c r="A3886" s="93" t="str">
        <f>TEXT(tblProjectlist[[#This Row],[project-no]],"0")</f>
        <v>0</v>
      </c>
      <c r="Q3886" s="91"/>
    </row>
    <row r="3887" spans="1:17">
      <c r="A3887" s="93" t="str">
        <f>TEXT(tblProjectlist[[#This Row],[project-no]],"0")</f>
        <v>0</v>
      </c>
      <c r="Q3887" s="91"/>
    </row>
    <row r="3888" spans="1:17">
      <c r="A3888" s="93" t="str">
        <f>TEXT(tblProjectlist[[#This Row],[project-no]],"0")</f>
        <v>0</v>
      </c>
      <c r="Q3888" s="91"/>
    </row>
    <row r="3889" spans="1:17">
      <c r="A3889" s="93" t="str">
        <f>TEXT(tblProjectlist[[#This Row],[project-no]],"0")</f>
        <v>0</v>
      </c>
      <c r="Q3889" s="91"/>
    </row>
    <row r="3890" spans="1:17">
      <c r="A3890" s="93" t="str">
        <f>TEXT(tblProjectlist[[#This Row],[project-no]],"0")</f>
        <v>0</v>
      </c>
      <c r="Q3890" s="91"/>
    </row>
    <row r="3891" spans="1:17">
      <c r="A3891" s="93" t="str">
        <f>TEXT(tblProjectlist[[#This Row],[project-no]],"0")</f>
        <v>0</v>
      </c>
      <c r="Q3891" s="91"/>
    </row>
    <row r="3892" spans="1:17">
      <c r="A3892" s="93" t="str">
        <f>TEXT(tblProjectlist[[#This Row],[project-no]],"0")</f>
        <v>0</v>
      </c>
      <c r="Q3892" s="91"/>
    </row>
    <row r="3893" spans="1:17">
      <c r="A3893" s="93" t="str">
        <f>TEXT(tblProjectlist[[#This Row],[project-no]],"0")</f>
        <v>0</v>
      </c>
      <c r="Q3893" s="91"/>
    </row>
    <row r="3894" spans="1:17">
      <c r="A3894" s="93" t="str">
        <f>TEXT(tblProjectlist[[#This Row],[project-no]],"0")</f>
        <v>0</v>
      </c>
      <c r="Q3894" s="91"/>
    </row>
    <row r="3895" spans="1:17">
      <c r="A3895" s="93" t="str">
        <f>TEXT(tblProjectlist[[#This Row],[project-no]],"0")</f>
        <v>0</v>
      </c>
      <c r="Q3895" s="91"/>
    </row>
    <row r="3896" spans="1:17">
      <c r="A3896" s="93" t="str">
        <f>TEXT(tblProjectlist[[#This Row],[project-no]],"0")</f>
        <v>0</v>
      </c>
      <c r="Q3896" s="91"/>
    </row>
    <row r="3897" spans="1:17">
      <c r="A3897" s="93" t="str">
        <f>TEXT(tblProjectlist[[#This Row],[project-no]],"0")</f>
        <v>0</v>
      </c>
      <c r="Q3897" s="91"/>
    </row>
    <row r="3898" spans="1:17">
      <c r="A3898" s="93" t="str">
        <f>TEXT(tblProjectlist[[#This Row],[project-no]],"0")</f>
        <v>0</v>
      </c>
      <c r="Q3898" s="91"/>
    </row>
    <row r="3899" spans="1:17">
      <c r="A3899" s="93" t="str">
        <f>TEXT(tblProjectlist[[#This Row],[project-no]],"0")</f>
        <v>0</v>
      </c>
      <c r="Q3899" s="91"/>
    </row>
    <row r="3900" spans="1:17">
      <c r="A3900" s="93" t="str">
        <f>TEXT(tblProjectlist[[#This Row],[project-no]],"0")</f>
        <v>0</v>
      </c>
      <c r="Q3900" s="91"/>
    </row>
    <row r="3901" spans="1:17">
      <c r="A3901" s="93" t="str">
        <f>TEXT(tblProjectlist[[#This Row],[project-no]],"0")</f>
        <v>0</v>
      </c>
      <c r="Q3901" s="91"/>
    </row>
    <row r="3902" spans="1:17">
      <c r="A3902" s="93" t="str">
        <f>TEXT(tblProjectlist[[#This Row],[project-no]],"0")</f>
        <v>0</v>
      </c>
      <c r="Q3902" s="91"/>
    </row>
    <row r="3903" spans="1:17">
      <c r="A3903" s="93" t="str">
        <f>TEXT(tblProjectlist[[#This Row],[project-no]],"0")</f>
        <v>0</v>
      </c>
      <c r="Q3903" s="91"/>
    </row>
    <row r="3904" spans="1:17">
      <c r="A3904" s="93" t="str">
        <f>TEXT(tblProjectlist[[#This Row],[project-no]],"0")</f>
        <v>0</v>
      </c>
      <c r="Q3904" s="91"/>
    </row>
    <row r="3905" spans="1:17">
      <c r="A3905" s="93" t="str">
        <f>TEXT(tblProjectlist[[#This Row],[project-no]],"0")</f>
        <v>0</v>
      </c>
      <c r="Q3905" s="91"/>
    </row>
    <row r="3906" spans="1:17">
      <c r="A3906" s="93" t="str">
        <f>TEXT(tblProjectlist[[#This Row],[project-no]],"0")</f>
        <v>0</v>
      </c>
      <c r="Q3906" s="91"/>
    </row>
    <row r="3907" spans="1:17">
      <c r="A3907" s="93" t="str">
        <f>TEXT(tblProjectlist[[#This Row],[project-no]],"0")</f>
        <v>0</v>
      </c>
      <c r="Q3907" s="91"/>
    </row>
    <row r="3908" spans="1:17">
      <c r="A3908" s="93" t="str">
        <f>TEXT(tblProjectlist[[#This Row],[project-no]],"0")</f>
        <v>0</v>
      </c>
      <c r="Q3908" s="91"/>
    </row>
    <row r="3909" spans="1:17">
      <c r="A3909" s="93" t="str">
        <f>TEXT(tblProjectlist[[#This Row],[project-no]],"0")</f>
        <v>0</v>
      </c>
      <c r="Q3909" s="91"/>
    </row>
    <row r="3910" spans="1:17">
      <c r="A3910" s="93" t="str">
        <f>TEXT(tblProjectlist[[#This Row],[project-no]],"0")</f>
        <v>0</v>
      </c>
      <c r="Q3910" s="91"/>
    </row>
    <row r="3911" spans="1:17">
      <c r="A3911" s="93" t="str">
        <f>TEXT(tblProjectlist[[#This Row],[project-no]],"0")</f>
        <v>0</v>
      </c>
      <c r="Q3911" s="91"/>
    </row>
    <row r="3912" spans="1:17">
      <c r="A3912" s="93" t="str">
        <f>TEXT(tblProjectlist[[#This Row],[project-no]],"0")</f>
        <v>0</v>
      </c>
      <c r="Q3912" s="91"/>
    </row>
    <row r="3913" spans="1:17">
      <c r="A3913" s="93" t="str">
        <f>TEXT(tblProjectlist[[#This Row],[project-no]],"0")</f>
        <v>0</v>
      </c>
      <c r="Q3913" s="91"/>
    </row>
    <row r="3914" spans="1:17">
      <c r="A3914" s="93" t="str">
        <f>TEXT(tblProjectlist[[#This Row],[project-no]],"0")</f>
        <v>0</v>
      </c>
      <c r="Q3914" s="91"/>
    </row>
    <row r="3915" spans="1:17">
      <c r="A3915" s="93" t="str">
        <f>TEXT(tblProjectlist[[#This Row],[project-no]],"0")</f>
        <v>0</v>
      </c>
      <c r="Q3915" s="91"/>
    </row>
    <row r="3916" spans="1:17">
      <c r="A3916" s="93" t="str">
        <f>TEXT(tblProjectlist[[#This Row],[project-no]],"0")</f>
        <v>0</v>
      </c>
      <c r="Q3916" s="91"/>
    </row>
    <row r="3917" spans="1:17">
      <c r="A3917" s="93" t="str">
        <f>TEXT(tblProjectlist[[#This Row],[project-no]],"0")</f>
        <v>0</v>
      </c>
      <c r="Q3917" s="91"/>
    </row>
    <row r="3918" spans="1:17">
      <c r="A3918" s="93" t="str">
        <f>TEXT(tblProjectlist[[#This Row],[project-no]],"0")</f>
        <v>0</v>
      </c>
      <c r="Q3918" s="91"/>
    </row>
    <row r="3919" spans="1:17">
      <c r="A3919" s="93" t="str">
        <f>TEXT(tblProjectlist[[#This Row],[project-no]],"0")</f>
        <v>0</v>
      </c>
      <c r="Q3919" s="91"/>
    </row>
    <row r="3920" spans="1:17">
      <c r="A3920" s="93" t="str">
        <f>TEXT(tblProjectlist[[#This Row],[project-no]],"0")</f>
        <v>0</v>
      </c>
      <c r="Q3920" s="91"/>
    </row>
    <row r="3921" spans="1:17">
      <c r="A3921" s="93" t="str">
        <f>TEXT(tblProjectlist[[#This Row],[project-no]],"0")</f>
        <v>0</v>
      </c>
      <c r="Q3921" s="91"/>
    </row>
    <row r="3922" spans="1:17">
      <c r="A3922" s="93" t="str">
        <f>TEXT(tblProjectlist[[#This Row],[project-no]],"0")</f>
        <v>0</v>
      </c>
      <c r="Q3922" s="91"/>
    </row>
    <row r="3923" spans="1:17">
      <c r="A3923" s="93" t="str">
        <f>TEXT(tblProjectlist[[#This Row],[project-no]],"0")</f>
        <v>0</v>
      </c>
      <c r="Q3923" s="91"/>
    </row>
    <row r="3924" spans="1:17">
      <c r="A3924" s="93" t="str">
        <f>TEXT(tblProjectlist[[#This Row],[project-no]],"0")</f>
        <v>0</v>
      </c>
      <c r="Q3924" s="91"/>
    </row>
    <row r="3925" spans="1:17">
      <c r="A3925" s="93" t="str">
        <f>TEXT(tblProjectlist[[#This Row],[project-no]],"0")</f>
        <v>0</v>
      </c>
      <c r="Q3925" s="91"/>
    </row>
    <row r="3926" spans="1:17">
      <c r="A3926" s="93" t="str">
        <f>TEXT(tblProjectlist[[#This Row],[project-no]],"0")</f>
        <v>0</v>
      </c>
      <c r="Q3926" s="91"/>
    </row>
    <row r="3927" spans="1:17">
      <c r="A3927" s="93" t="str">
        <f>TEXT(tblProjectlist[[#This Row],[project-no]],"0")</f>
        <v>0</v>
      </c>
      <c r="Q3927" s="91"/>
    </row>
    <row r="3928" spans="1:17">
      <c r="A3928" s="93" t="str">
        <f>TEXT(tblProjectlist[[#This Row],[project-no]],"0")</f>
        <v>0</v>
      </c>
      <c r="Q3928" s="91"/>
    </row>
    <row r="3929" spans="1:17">
      <c r="A3929" s="93" t="str">
        <f>TEXT(tblProjectlist[[#This Row],[project-no]],"0")</f>
        <v>0</v>
      </c>
      <c r="Q3929" s="91"/>
    </row>
    <row r="3930" spans="1:17">
      <c r="A3930" s="93" t="str">
        <f>TEXT(tblProjectlist[[#This Row],[project-no]],"0")</f>
        <v>0</v>
      </c>
      <c r="Q3930" s="91"/>
    </row>
    <row r="3931" spans="1:17">
      <c r="A3931" s="93" t="str">
        <f>TEXT(tblProjectlist[[#This Row],[project-no]],"0")</f>
        <v>0</v>
      </c>
      <c r="Q3931" s="91"/>
    </row>
    <row r="3932" spans="1:17">
      <c r="A3932" s="93" t="str">
        <f>TEXT(tblProjectlist[[#This Row],[project-no]],"0")</f>
        <v>0</v>
      </c>
      <c r="Q3932" s="91"/>
    </row>
    <row r="3933" spans="1:17">
      <c r="A3933" s="93" t="str">
        <f>TEXT(tblProjectlist[[#This Row],[project-no]],"0")</f>
        <v>0</v>
      </c>
      <c r="Q3933" s="91"/>
    </row>
    <row r="3934" spans="1:17">
      <c r="A3934" s="93" t="str">
        <f>TEXT(tblProjectlist[[#This Row],[project-no]],"0")</f>
        <v>0</v>
      </c>
      <c r="Q3934" s="91"/>
    </row>
    <row r="3935" spans="1:17">
      <c r="A3935" s="93" t="str">
        <f>TEXT(tblProjectlist[[#This Row],[project-no]],"0")</f>
        <v>0</v>
      </c>
      <c r="Q3935" s="91"/>
    </row>
    <row r="3936" spans="1:17">
      <c r="A3936" s="93" t="str">
        <f>TEXT(tblProjectlist[[#This Row],[project-no]],"0")</f>
        <v>0</v>
      </c>
      <c r="Q3936" s="91"/>
    </row>
    <row r="3937" spans="1:17">
      <c r="A3937" s="93" t="str">
        <f>TEXT(tblProjectlist[[#This Row],[project-no]],"0")</f>
        <v>0</v>
      </c>
      <c r="Q3937" s="91"/>
    </row>
    <row r="3938" spans="1:17">
      <c r="A3938" s="93" t="str">
        <f>TEXT(tblProjectlist[[#This Row],[project-no]],"0")</f>
        <v>0</v>
      </c>
      <c r="Q3938" s="91"/>
    </row>
    <row r="3939" spans="1:17">
      <c r="A3939" s="93" t="str">
        <f>TEXT(tblProjectlist[[#This Row],[project-no]],"0")</f>
        <v>0</v>
      </c>
      <c r="Q3939" s="91"/>
    </row>
    <row r="3940" spans="1:17">
      <c r="A3940" s="93" t="str">
        <f>TEXT(tblProjectlist[[#This Row],[project-no]],"0")</f>
        <v>0</v>
      </c>
      <c r="Q3940" s="91"/>
    </row>
    <row r="3941" spans="1:17">
      <c r="A3941" s="93" t="str">
        <f>TEXT(tblProjectlist[[#This Row],[project-no]],"0")</f>
        <v>0</v>
      </c>
      <c r="Q3941" s="91"/>
    </row>
    <row r="3942" spans="1:17">
      <c r="A3942" s="93" t="str">
        <f>TEXT(tblProjectlist[[#This Row],[project-no]],"0")</f>
        <v>0</v>
      </c>
      <c r="Q3942" s="91"/>
    </row>
    <row r="3943" spans="1:17">
      <c r="A3943" s="93" t="str">
        <f>TEXT(tblProjectlist[[#This Row],[project-no]],"0")</f>
        <v>0</v>
      </c>
      <c r="Q3943" s="91"/>
    </row>
    <row r="3944" spans="1:17">
      <c r="A3944" s="93" t="str">
        <f>TEXT(tblProjectlist[[#This Row],[project-no]],"0")</f>
        <v>0</v>
      </c>
      <c r="Q3944" s="91"/>
    </row>
    <row r="3945" spans="1:17">
      <c r="A3945" s="93" t="str">
        <f>TEXT(tblProjectlist[[#This Row],[project-no]],"0")</f>
        <v>0</v>
      </c>
      <c r="Q3945" s="91"/>
    </row>
    <row r="3946" spans="1:17">
      <c r="A3946" s="93" t="str">
        <f>TEXT(tblProjectlist[[#This Row],[project-no]],"0")</f>
        <v>0</v>
      </c>
      <c r="Q3946" s="91"/>
    </row>
    <row r="3947" spans="1:17">
      <c r="A3947" s="93" t="str">
        <f>TEXT(tblProjectlist[[#This Row],[project-no]],"0")</f>
        <v>0</v>
      </c>
      <c r="Q3947" s="91"/>
    </row>
    <row r="3948" spans="1:17">
      <c r="A3948" s="93" t="str">
        <f>TEXT(tblProjectlist[[#This Row],[project-no]],"0")</f>
        <v>0</v>
      </c>
      <c r="Q3948" s="91"/>
    </row>
    <row r="3949" spans="1:17">
      <c r="A3949" s="93" t="str">
        <f>TEXT(tblProjectlist[[#This Row],[project-no]],"0")</f>
        <v>0</v>
      </c>
      <c r="Q3949" s="91"/>
    </row>
    <row r="3950" spans="1:17">
      <c r="A3950" s="93" t="str">
        <f>TEXT(tblProjectlist[[#This Row],[project-no]],"0")</f>
        <v>0</v>
      </c>
      <c r="Q3950" s="91"/>
    </row>
    <row r="3951" spans="1:17">
      <c r="A3951" s="93" t="str">
        <f>TEXT(tblProjectlist[[#This Row],[project-no]],"0")</f>
        <v>0</v>
      </c>
      <c r="Q3951" s="91"/>
    </row>
    <row r="3952" spans="1:17">
      <c r="A3952" s="93" t="str">
        <f>TEXT(tblProjectlist[[#This Row],[project-no]],"0")</f>
        <v>0</v>
      </c>
      <c r="Q3952" s="91"/>
    </row>
    <row r="3953" spans="1:17">
      <c r="A3953" s="93" t="str">
        <f>TEXT(tblProjectlist[[#This Row],[project-no]],"0")</f>
        <v>0</v>
      </c>
      <c r="Q3953" s="91"/>
    </row>
    <row r="3954" spans="1:17">
      <c r="A3954" s="93" t="str">
        <f>TEXT(tblProjectlist[[#This Row],[project-no]],"0")</f>
        <v>0</v>
      </c>
      <c r="Q3954" s="91"/>
    </row>
    <row r="3955" spans="1:17">
      <c r="A3955" s="93" t="str">
        <f>TEXT(tblProjectlist[[#This Row],[project-no]],"0")</f>
        <v>0</v>
      </c>
      <c r="Q3955" s="91"/>
    </row>
    <row r="3956" spans="1:17">
      <c r="A3956" s="93" t="str">
        <f>TEXT(tblProjectlist[[#This Row],[project-no]],"0")</f>
        <v>0</v>
      </c>
      <c r="Q3956" s="91"/>
    </row>
    <row r="3957" spans="1:17">
      <c r="A3957" s="93" t="str">
        <f>TEXT(tblProjectlist[[#This Row],[project-no]],"0")</f>
        <v>0</v>
      </c>
      <c r="Q3957" s="91"/>
    </row>
    <row r="3958" spans="1:17">
      <c r="A3958" s="93" t="str">
        <f>TEXT(tblProjectlist[[#This Row],[project-no]],"0")</f>
        <v>0</v>
      </c>
      <c r="Q3958" s="91"/>
    </row>
    <row r="3959" spans="1:17">
      <c r="A3959" s="93" t="str">
        <f>TEXT(tblProjectlist[[#This Row],[project-no]],"0")</f>
        <v>0</v>
      </c>
      <c r="Q3959" s="91"/>
    </row>
    <row r="3960" spans="1:17">
      <c r="A3960" s="93" t="str">
        <f>TEXT(tblProjectlist[[#This Row],[project-no]],"0")</f>
        <v>0</v>
      </c>
      <c r="Q3960" s="91"/>
    </row>
    <row r="3961" spans="1:17">
      <c r="A3961" s="93" t="str">
        <f>TEXT(tblProjectlist[[#This Row],[project-no]],"0")</f>
        <v>0</v>
      </c>
      <c r="Q3961" s="91"/>
    </row>
    <row r="3962" spans="1:17">
      <c r="A3962" s="93" t="str">
        <f>TEXT(tblProjectlist[[#This Row],[project-no]],"0")</f>
        <v>0</v>
      </c>
      <c r="Q3962" s="91"/>
    </row>
    <row r="3963" spans="1:17">
      <c r="A3963" s="93" t="str">
        <f>TEXT(tblProjectlist[[#This Row],[project-no]],"0")</f>
        <v>0</v>
      </c>
      <c r="Q3963" s="91"/>
    </row>
    <row r="3964" spans="1:17">
      <c r="A3964" s="93" t="str">
        <f>TEXT(tblProjectlist[[#This Row],[project-no]],"0")</f>
        <v>0</v>
      </c>
      <c r="Q3964" s="91"/>
    </row>
    <row r="3965" spans="1:17">
      <c r="A3965" s="93" t="str">
        <f>TEXT(tblProjectlist[[#This Row],[project-no]],"0")</f>
        <v>0</v>
      </c>
      <c r="Q3965" s="91"/>
    </row>
    <row r="3966" spans="1:17">
      <c r="A3966" s="93" t="str">
        <f>TEXT(tblProjectlist[[#This Row],[project-no]],"0")</f>
        <v>0</v>
      </c>
      <c r="Q3966" s="91"/>
    </row>
    <row r="3967" spans="1:17">
      <c r="A3967" s="93" t="str">
        <f>TEXT(tblProjectlist[[#This Row],[project-no]],"0")</f>
        <v>0</v>
      </c>
      <c r="Q3967" s="91"/>
    </row>
    <row r="3968" spans="1:17">
      <c r="A3968" s="93" t="str">
        <f>TEXT(tblProjectlist[[#This Row],[project-no]],"0")</f>
        <v>0</v>
      </c>
      <c r="Q3968" s="91"/>
    </row>
    <row r="3969" spans="1:17">
      <c r="A3969" s="93" t="str">
        <f>TEXT(tblProjectlist[[#This Row],[project-no]],"0")</f>
        <v>0</v>
      </c>
      <c r="Q3969" s="91"/>
    </row>
    <row r="3970" spans="1:17">
      <c r="A3970" s="93" t="str">
        <f>TEXT(tblProjectlist[[#This Row],[project-no]],"0")</f>
        <v>0</v>
      </c>
      <c r="Q3970" s="91"/>
    </row>
    <row r="3971" spans="1:17">
      <c r="A3971" s="93" t="str">
        <f>TEXT(tblProjectlist[[#This Row],[project-no]],"0")</f>
        <v>0</v>
      </c>
      <c r="Q3971" s="91"/>
    </row>
    <row r="3972" spans="1:17">
      <c r="A3972" s="93" t="str">
        <f>TEXT(tblProjectlist[[#This Row],[project-no]],"0")</f>
        <v>0</v>
      </c>
      <c r="Q3972" s="91"/>
    </row>
    <row r="3973" spans="1:17">
      <c r="A3973" s="93" t="str">
        <f>TEXT(tblProjectlist[[#This Row],[project-no]],"0")</f>
        <v>0</v>
      </c>
      <c r="Q3973" s="91"/>
    </row>
    <row r="3974" spans="1:17">
      <c r="A3974" s="93" t="str">
        <f>TEXT(tblProjectlist[[#This Row],[project-no]],"0")</f>
        <v>0</v>
      </c>
      <c r="Q3974" s="91"/>
    </row>
    <row r="3975" spans="1:17">
      <c r="A3975" s="93" t="str">
        <f>TEXT(tblProjectlist[[#This Row],[project-no]],"0")</f>
        <v>0</v>
      </c>
      <c r="Q3975" s="91"/>
    </row>
    <row r="3976" spans="1:17">
      <c r="A3976" s="93" t="str">
        <f>TEXT(tblProjectlist[[#This Row],[project-no]],"0")</f>
        <v>0</v>
      </c>
      <c r="Q3976" s="91"/>
    </row>
    <row r="3977" spans="1:17">
      <c r="A3977" s="93" t="str">
        <f>TEXT(tblProjectlist[[#This Row],[project-no]],"0")</f>
        <v>0</v>
      </c>
      <c r="Q3977" s="91"/>
    </row>
    <row r="3978" spans="1:17">
      <c r="A3978" s="93" t="str">
        <f>TEXT(tblProjectlist[[#This Row],[project-no]],"0")</f>
        <v>0</v>
      </c>
      <c r="Q3978" s="91"/>
    </row>
    <row r="3979" spans="1:17">
      <c r="A3979" s="93" t="str">
        <f>TEXT(tblProjectlist[[#This Row],[project-no]],"0")</f>
        <v>0</v>
      </c>
      <c r="Q3979" s="91"/>
    </row>
    <row r="3980" spans="1:17">
      <c r="A3980" s="93" t="str">
        <f>TEXT(tblProjectlist[[#This Row],[project-no]],"0")</f>
        <v>0</v>
      </c>
      <c r="Q3980" s="91"/>
    </row>
    <row r="3981" spans="1:17">
      <c r="A3981" s="93" t="str">
        <f>TEXT(tblProjectlist[[#This Row],[project-no]],"0")</f>
        <v>0</v>
      </c>
      <c r="Q3981" s="91"/>
    </row>
    <row r="3982" spans="1:17">
      <c r="A3982" s="93" t="str">
        <f>TEXT(tblProjectlist[[#This Row],[project-no]],"0")</f>
        <v>0</v>
      </c>
      <c r="Q3982" s="91"/>
    </row>
    <row r="3983" spans="1:17">
      <c r="A3983" s="93" t="str">
        <f>TEXT(tblProjectlist[[#This Row],[project-no]],"0")</f>
        <v>0</v>
      </c>
      <c r="Q3983" s="91"/>
    </row>
    <row r="3984" spans="1:17">
      <c r="A3984" s="93" t="str">
        <f>TEXT(tblProjectlist[[#This Row],[project-no]],"0")</f>
        <v>0</v>
      </c>
      <c r="Q3984" s="91"/>
    </row>
    <row r="3985" spans="1:17">
      <c r="A3985" s="93" t="str">
        <f>TEXT(tblProjectlist[[#This Row],[project-no]],"0")</f>
        <v>0</v>
      </c>
      <c r="Q3985" s="91"/>
    </row>
    <row r="3986" spans="1:17">
      <c r="A3986" s="93" t="str">
        <f>TEXT(tblProjectlist[[#This Row],[project-no]],"0")</f>
        <v>0</v>
      </c>
      <c r="Q3986" s="91"/>
    </row>
    <row r="3987" spans="1:17">
      <c r="A3987" s="93" t="str">
        <f>TEXT(tblProjectlist[[#This Row],[project-no]],"0")</f>
        <v>0</v>
      </c>
      <c r="Q3987" s="91"/>
    </row>
    <row r="3988" spans="1:17">
      <c r="A3988" s="93" t="str">
        <f>TEXT(tblProjectlist[[#This Row],[project-no]],"0")</f>
        <v>0</v>
      </c>
      <c r="Q3988" s="91"/>
    </row>
    <row r="3989" spans="1:17">
      <c r="A3989" s="93" t="str">
        <f>TEXT(tblProjectlist[[#This Row],[project-no]],"0")</f>
        <v>0</v>
      </c>
      <c r="Q3989" s="91"/>
    </row>
    <row r="3990" spans="1:17">
      <c r="A3990" s="93" t="str">
        <f>TEXT(tblProjectlist[[#This Row],[project-no]],"0")</f>
        <v>0</v>
      </c>
      <c r="Q3990" s="91"/>
    </row>
    <row r="3991" spans="1:17">
      <c r="A3991" s="93" t="str">
        <f>TEXT(tblProjectlist[[#This Row],[project-no]],"0")</f>
        <v>0</v>
      </c>
      <c r="Q3991" s="91"/>
    </row>
    <row r="3992" spans="1:17">
      <c r="A3992" s="93" t="str">
        <f>TEXT(tblProjectlist[[#This Row],[project-no]],"0")</f>
        <v>0</v>
      </c>
      <c r="Q3992" s="91"/>
    </row>
    <row r="3993" spans="1:17">
      <c r="A3993" s="93" t="str">
        <f>TEXT(tblProjectlist[[#This Row],[project-no]],"0")</f>
        <v>0</v>
      </c>
      <c r="Q3993" s="91"/>
    </row>
    <row r="3994" spans="1:17">
      <c r="A3994" s="93" t="str">
        <f>TEXT(tblProjectlist[[#This Row],[project-no]],"0")</f>
        <v>0</v>
      </c>
      <c r="Q3994" s="91"/>
    </row>
    <row r="3995" spans="1:17">
      <c r="A3995" s="93" t="str">
        <f>TEXT(tblProjectlist[[#This Row],[project-no]],"0")</f>
        <v>0</v>
      </c>
      <c r="Q3995" s="91"/>
    </row>
    <row r="3996" spans="1:17">
      <c r="A3996" s="93" t="str">
        <f>TEXT(tblProjectlist[[#This Row],[project-no]],"0")</f>
        <v>0</v>
      </c>
      <c r="Q3996" s="91"/>
    </row>
    <row r="3997" spans="1:17">
      <c r="A3997" s="93" t="str">
        <f>TEXT(tblProjectlist[[#This Row],[project-no]],"0")</f>
        <v>0</v>
      </c>
      <c r="Q3997" s="91"/>
    </row>
    <row r="3998" spans="1:17">
      <c r="A3998" s="93" t="str">
        <f>TEXT(tblProjectlist[[#This Row],[project-no]],"0")</f>
        <v>0</v>
      </c>
      <c r="Q3998" s="91"/>
    </row>
    <row r="3999" spans="1:17">
      <c r="A3999" s="93" t="str">
        <f>TEXT(tblProjectlist[[#This Row],[project-no]],"0")</f>
        <v>0</v>
      </c>
      <c r="Q3999" s="91"/>
    </row>
    <row r="4000" spans="1:17">
      <c r="A4000" s="93" t="str">
        <f>TEXT(tblProjectlist[[#This Row],[project-no]],"0")</f>
        <v>0</v>
      </c>
      <c r="Q4000" s="91"/>
    </row>
    <row r="4001" spans="1:17">
      <c r="A4001" s="93" t="str">
        <f>TEXT(tblProjectlist[[#This Row],[project-no]],"0")</f>
        <v>0</v>
      </c>
      <c r="Q4001" s="91"/>
    </row>
    <row r="4002" spans="1:17">
      <c r="A4002" s="93" t="str">
        <f>TEXT(tblProjectlist[[#This Row],[project-no]],"0")</f>
        <v>0</v>
      </c>
      <c r="Q4002" s="91"/>
    </row>
    <row r="4003" spans="1:17">
      <c r="A4003" s="93" t="str">
        <f>TEXT(tblProjectlist[[#This Row],[project-no]],"0")</f>
        <v>0</v>
      </c>
      <c r="Q4003" s="91"/>
    </row>
    <row r="4004" spans="1:17">
      <c r="A4004" s="93" t="str">
        <f>TEXT(tblProjectlist[[#This Row],[project-no]],"0")</f>
        <v>0</v>
      </c>
      <c r="Q4004" s="91"/>
    </row>
    <row r="4005" spans="1:17">
      <c r="A4005" s="93" t="str">
        <f>TEXT(tblProjectlist[[#This Row],[project-no]],"0")</f>
        <v>0</v>
      </c>
      <c r="Q4005" s="91"/>
    </row>
    <row r="4006" spans="1:17">
      <c r="A4006" s="93" t="str">
        <f>TEXT(tblProjectlist[[#This Row],[project-no]],"0")</f>
        <v>0</v>
      </c>
      <c r="Q4006" s="91"/>
    </row>
    <row r="4007" spans="1:17">
      <c r="A4007" s="93" t="str">
        <f>TEXT(tblProjectlist[[#This Row],[project-no]],"0")</f>
        <v>0</v>
      </c>
      <c r="Q4007" s="91"/>
    </row>
    <row r="4008" spans="1:17">
      <c r="A4008" s="93" t="str">
        <f>TEXT(tblProjectlist[[#This Row],[project-no]],"0")</f>
        <v>0</v>
      </c>
      <c r="Q4008" s="91"/>
    </row>
    <row r="4009" spans="1:17">
      <c r="A4009" s="93" t="str">
        <f>TEXT(tblProjectlist[[#This Row],[project-no]],"0")</f>
        <v>0</v>
      </c>
      <c r="Q4009" s="91"/>
    </row>
    <row r="4010" spans="1:17">
      <c r="A4010" s="93" t="str">
        <f>TEXT(tblProjectlist[[#This Row],[project-no]],"0")</f>
        <v>0</v>
      </c>
      <c r="Q4010" s="91"/>
    </row>
    <row r="4011" spans="1:17">
      <c r="A4011" s="93" t="str">
        <f>TEXT(tblProjectlist[[#This Row],[project-no]],"0")</f>
        <v>0</v>
      </c>
      <c r="Q4011" s="91"/>
    </row>
    <row r="4012" spans="1:17">
      <c r="A4012" s="93" t="str">
        <f>TEXT(tblProjectlist[[#This Row],[project-no]],"0")</f>
        <v>0</v>
      </c>
      <c r="Q4012" s="91"/>
    </row>
    <row r="4013" spans="1:17">
      <c r="A4013" s="93" t="str">
        <f>TEXT(tblProjectlist[[#This Row],[project-no]],"0")</f>
        <v>0</v>
      </c>
      <c r="Q4013" s="91"/>
    </row>
    <row r="4014" spans="1:17">
      <c r="A4014" s="93" t="str">
        <f>TEXT(tblProjectlist[[#This Row],[project-no]],"0")</f>
        <v>0</v>
      </c>
      <c r="Q4014" s="91"/>
    </row>
    <row r="4015" spans="1:17">
      <c r="A4015" s="93" t="str">
        <f>TEXT(tblProjectlist[[#This Row],[project-no]],"0")</f>
        <v>0</v>
      </c>
      <c r="Q4015" s="91"/>
    </row>
    <row r="4016" spans="1:17">
      <c r="A4016" s="93" t="str">
        <f>TEXT(tblProjectlist[[#This Row],[project-no]],"0")</f>
        <v>0</v>
      </c>
      <c r="Q4016" s="91"/>
    </row>
    <row r="4017" spans="1:17">
      <c r="A4017" s="93" t="str">
        <f>TEXT(tblProjectlist[[#This Row],[project-no]],"0")</f>
        <v>0</v>
      </c>
      <c r="Q4017" s="91"/>
    </row>
    <row r="4018" spans="1:17">
      <c r="A4018" s="93" t="str">
        <f>TEXT(tblProjectlist[[#This Row],[project-no]],"0")</f>
        <v>0</v>
      </c>
      <c r="Q4018" s="91"/>
    </row>
    <row r="4019" spans="1:17">
      <c r="A4019" s="93" t="str">
        <f>TEXT(tblProjectlist[[#This Row],[project-no]],"0")</f>
        <v>0</v>
      </c>
      <c r="Q4019" s="91"/>
    </row>
    <row r="4020" spans="1:17">
      <c r="A4020" s="93" t="str">
        <f>TEXT(tblProjectlist[[#This Row],[project-no]],"0")</f>
        <v>0</v>
      </c>
      <c r="Q4020" s="91"/>
    </row>
    <row r="4021" spans="1:17">
      <c r="A4021" s="93" t="str">
        <f>TEXT(tblProjectlist[[#This Row],[project-no]],"0")</f>
        <v>0</v>
      </c>
      <c r="Q4021" s="91"/>
    </row>
    <row r="4022" spans="1:17">
      <c r="A4022" s="93" t="str">
        <f>TEXT(tblProjectlist[[#This Row],[project-no]],"0")</f>
        <v>0</v>
      </c>
      <c r="Q4022" s="91"/>
    </row>
    <row r="4023" spans="1:17">
      <c r="A4023" s="93" t="str">
        <f>TEXT(tblProjectlist[[#This Row],[project-no]],"0")</f>
        <v>0</v>
      </c>
      <c r="Q4023" s="91"/>
    </row>
    <row r="4024" spans="1:17">
      <c r="A4024" s="93" t="str">
        <f>TEXT(tblProjectlist[[#This Row],[project-no]],"0")</f>
        <v>0</v>
      </c>
      <c r="Q4024" s="91"/>
    </row>
    <row r="4025" spans="1:17">
      <c r="A4025" s="93" t="str">
        <f>TEXT(tblProjectlist[[#This Row],[project-no]],"0")</f>
        <v>0</v>
      </c>
      <c r="Q4025" s="91"/>
    </row>
    <row r="4026" spans="1:17">
      <c r="A4026" s="93" t="str">
        <f>TEXT(tblProjectlist[[#This Row],[project-no]],"0")</f>
        <v>0</v>
      </c>
      <c r="Q4026" s="91"/>
    </row>
    <row r="4027" spans="1:17">
      <c r="A4027" s="93" t="str">
        <f>TEXT(tblProjectlist[[#This Row],[project-no]],"0")</f>
        <v>0</v>
      </c>
      <c r="Q4027" s="91"/>
    </row>
    <row r="4028" spans="1:17">
      <c r="A4028" s="93" t="str">
        <f>TEXT(tblProjectlist[[#This Row],[project-no]],"0")</f>
        <v>0</v>
      </c>
      <c r="Q4028" s="91"/>
    </row>
    <row r="4029" spans="1:17">
      <c r="A4029" s="93" t="str">
        <f>TEXT(tblProjectlist[[#This Row],[project-no]],"0")</f>
        <v>0</v>
      </c>
      <c r="Q4029" s="91"/>
    </row>
    <row r="4030" spans="1:17">
      <c r="A4030" s="93" t="str">
        <f>TEXT(tblProjectlist[[#This Row],[project-no]],"0")</f>
        <v>0</v>
      </c>
      <c r="Q4030" s="91"/>
    </row>
    <row r="4031" spans="1:17">
      <c r="A4031" s="93" t="str">
        <f>TEXT(tblProjectlist[[#This Row],[project-no]],"0")</f>
        <v>0</v>
      </c>
      <c r="Q4031" s="91"/>
    </row>
    <row r="4032" spans="1:17">
      <c r="A4032" s="93" t="str">
        <f>TEXT(tblProjectlist[[#This Row],[project-no]],"0")</f>
        <v>0</v>
      </c>
      <c r="Q4032" s="91"/>
    </row>
    <row r="4033" spans="1:17">
      <c r="A4033" s="93" t="str">
        <f>TEXT(tblProjectlist[[#This Row],[project-no]],"0")</f>
        <v>0</v>
      </c>
      <c r="Q4033" s="91"/>
    </row>
    <row r="4034" spans="1:17">
      <c r="A4034" s="93" t="str">
        <f>TEXT(tblProjectlist[[#This Row],[project-no]],"0")</f>
        <v>0</v>
      </c>
      <c r="Q4034" s="91"/>
    </row>
    <row r="4035" spans="1:17">
      <c r="A4035" s="93" t="str">
        <f>TEXT(tblProjectlist[[#This Row],[project-no]],"0")</f>
        <v>0</v>
      </c>
      <c r="Q4035" s="91"/>
    </row>
    <row r="4036" spans="1:17">
      <c r="A4036" s="93" t="str">
        <f>TEXT(tblProjectlist[[#This Row],[project-no]],"0")</f>
        <v>0</v>
      </c>
      <c r="Q4036" s="91"/>
    </row>
    <row r="4037" spans="1:17">
      <c r="A4037" s="93" t="str">
        <f>TEXT(tblProjectlist[[#This Row],[project-no]],"0")</f>
        <v>0</v>
      </c>
      <c r="Q4037" s="91"/>
    </row>
    <row r="4038" spans="1:17">
      <c r="A4038" s="93" t="str">
        <f>TEXT(tblProjectlist[[#This Row],[project-no]],"0")</f>
        <v>0</v>
      </c>
      <c r="Q4038" s="91"/>
    </row>
    <row r="4039" spans="1:17">
      <c r="A4039" s="93" t="str">
        <f>TEXT(tblProjectlist[[#This Row],[project-no]],"0")</f>
        <v>0</v>
      </c>
      <c r="Q4039" s="91"/>
    </row>
    <row r="4040" spans="1:17">
      <c r="A4040" s="93" t="str">
        <f>TEXT(tblProjectlist[[#This Row],[project-no]],"0")</f>
        <v>0</v>
      </c>
      <c r="Q4040" s="91"/>
    </row>
    <row r="4041" spans="1:17">
      <c r="A4041" s="93" t="str">
        <f>TEXT(tblProjectlist[[#This Row],[project-no]],"0")</f>
        <v>0</v>
      </c>
      <c r="Q4041" s="91"/>
    </row>
    <row r="4042" spans="1:17">
      <c r="A4042" s="93" t="str">
        <f>TEXT(tblProjectlist[[#This Row],[project-no]],"0")</f>
        <v>0</v>
      </c>
      <c r="Q4042" s="91"/>
    </row>
    <row r="4043" spans="1:17">
      <c r="A4043" s="93" t="str">
        <f>TEXT(tblProjectlist[[#This Row],[project-no]],"0")</f>
        <v>0</v>
      </c>
      <c r="Q4043" s="91"/>
    </row>
    <row r="4044" spans="1:17">
      <c r="A4044" s="93" t="str">
        <f>TEXT(tblProjectlist[[#This Row],[project-no]],"0")</f>
        <v>0</v>
      </c>
      <c r="Q4044" s="91"/>
    </row>
    <row r="4045" spans="1:17">
      <c r="A4045" s="93" t="str">
        <f>TEXT(tblProjectlist[[#This Row],[project-no]],"0")</f>
        <v>0</v>
      </c>
      <c r="Q4045" s="91"/>
    </row>
    <row r="4046" spans="1:17">
      <c r="A4046" s="93" t="str">
        <f>TEXT(tblProjectlist[[#This Row],[project-no]],"0")</f>
        <v>0</v>
      </c>
      <c r="Q4046" s="91"/>
    </row>
    <row r="4047" spans="1:17">
      <c r="A4047" s="93" t="str">
        <f>TEXT(tblProjectlist[[#This Row],[project-no]],"0")</f>
        <v>0</v>
      </c>
      <c r="Q4047" s="91"/>
    </row>
    <row r="4048" spans="1:17">
      <c r="A4048" s="93" t="str">
        <f>TEXT(tblProjectlist[[#This Row],[project-no]],"0")</f>
        <v>0</v>
      </c>
      <c r="Q4048" s="91"/>
    </row>
    <row r="4049" spans="1:17">
      <c r="A4049" s="93" t="str">
        <f>TEXT(tblProjectlist[[#This Row],[project-no]],"0")</f>
        <v>0</v>
      </c>
      <c r="Q4049" s="91"/>
    </row>
    <row r="4050" spans="1:17">
      <c r="A4050" s="93" t="str">
        <f>TEXT(tblProjectlist[[#This Row],[project-no]],"0")</f>
        <v>0</v>
      </c>
      <c r="Q4050" s="91"/>
    </row>
    <row r="4051" spans="1:17">
      <c r="A4051" s="93" t="str">
        <f>TEXT(tblProjectlist[[#This Row],[project-no]],"0")</f>
        <v>0</v>
      </c>
      <c r="Q4051" s="91"/>
    </row>
    <row r="4052" spans="1:17">
      <c r="A4052" s="93" t="str">
        <f>TEXT(tblProjectlist[[#This Row],[project-no]],"0")</f>
        <v>0</v>
      </c>
      <c r="Q4052" s="91"/>
    </row>
    <row r="4053" spans="1:17">
      <c r="A4053" s="93" t="str">
        <f>TEXT(tblProjectlist[[#This Row],[project-no]],"0")</f>
        <v>0</v>
      </c>
      <c r="Q4053" s="91"/>
    </row>
    <row r="4054" spans="1:17">
      <c r="A4054" s="93" t="str">
        <f>TEXT(tblProjectlist[[#This Row],[project-no]],"0")</f>
        <v>0</v>
      </c>
      <c r="Q4054" s="91"/>
    </row>
    <row r="4055" spans="1:17">
      <c r="A4055" s="93" t="str">
        <f>TEXT(tblProjectlist[[#This Row],[project-no]],"0")</f>
        <v>0</v>
      </c>
      <c r="Q4055" s="91"/>
    </row>
    <row r="4056" spans="1:17">
      <c r="A4056" s="93" t="str">
        <f>TEXT(tblProjectlist[[#This Row],[project-no]],"0")</f>
        <v>0</v>
      </c>
      <c r="Q4056" s="91"/>
    </row>
    <row r="4057" spans="1:17">
      <c r="A4057" s="93" t="str">
        <f>TEXT(tblProjectlist[[#This Row],[project-no]],"0")</f>
        <v>0</v>
      </c>
      <c r="Q4057" s="91"/>
    </row>
    <row r="4058" spans="1:17">
      <c r="A4058" s="93" t="str">
        <f>TEXT(tblProjectlist[[#This Row],[project-no]],"0")</f>
        <v>0</v>
      </c>
      <c r="Q4058" s="91"/>
    </row>
    <row r="4059" spans="1:17">
      <c r="A4059" s="93" t="str">
        <f>TEXT(tblProjectlist[[#This Row],[project-no]],"0")</f>
        <v>0</v>
      </c>
      <c r="Q4059" s="91"/>
    </row>
    <row r="4060" spans="1:17">
      <c r="A4060" s="93" t="str">
        <f>TEXT(tblProjectlist[[#This Row],[project-no]],"0")</f>
        <v>0</v>
      </c>
      <c r="Q4060" s="91"/>
    </row>
    <row r="4061" spans="1:17">
      <c r="A4061" s="93" t="str">
        <f>TEXT(tblProjectlist[[#This Row],[project-no]],"0")</f>
        <v>0</v>
      </c>
      <c r="Q4061" s="91"/>
    </row>
    <row r="4062" spans="1:17">
      <c r="A4062" s="93" t="str">
        <f>TEXT(tblProjectlist[[#This Row],[project-no]],"0")</f>
        <v>0</v>
      </c>
      <c r="Q4062" s="91"/>
    </row>
    <row r="4063" spans="1:17">
      <c r="A4063" s="93" t="str">
        <f>TEXT(tblProjectlist[[#This Row],[project-no]],"0")</f>
        <v>0</v>
      </c>
      <c r="Q4063" s="91"/>
    </row>
    <row r="4064" spans="1:17">
      <c r="A4064" s="93" t="str">
        <f>TEXT(tblProjectlist[[#This Row],[project-no]],"0")</f>
        <v>0</v>
      </c>
      <c r="Q4064" s="91"/>
    </row>
    <row r="4065" spans="1:17">
      <c r="A4065" s="93" t="str">
        <f>TEXT(tblProjectlist[[#This Row],[project-no]],"0")</f>
        <v>0</v>
      </c>
      <c r="Q4065" s="91"/>
    </row>
    <row r="4066" spans="1:17">
      <c r="A4066" s="93" t="str">
        <f>TEXT(tblProjectlist[[#This Row],[project-no]],"0")</f>
        <v>0</v>
      </c>
      <c r="Q4066" s="91"/>
    </row>
    <row r="4067" spans="1:17">
      <c r="A4067" s="93" t="str">
        <f>TEXT(tblProjectlist[[#This Row],[project-no]],"0")</f>
        <v>0</v>
      </c>
      <c r="Q4067" s="91"/>
    </row>
    <row r="4068" spans="1:17">
      <c r="A4068" s="93" t="str">
        <f>TEXT(tblProjectlist[[#This Row],[project-no]],"0")</f>
        <v>0</v>
      </c>
      <c r="Q4068" s="91"/>
    </row>
    <row r="4069" spans="1:17">
      <c r="A4069" s="93" t="str">
        <f>TEXT(tblProjectlist[[#This Row],[project-no]],"0")</f>
        <v>0</v>
      </c>
      <c r="Q4069" s="91"/>
    </row>
    <row r="4070" spans="1:17">
      <c r="A4070" s="93" t="str">
        <f>TEXT(tblProjectlist[[#This Row],[project-no]],"0")</f>
        <v>0</v>
      </c>
      <c r="Q4070" s="91"/>
    </row>
    <row r="4071" spans="1:17">
      <c r="A4071" s="93" t="str">
        <f>TEXT(tblProjectlist[[#This Row],[project-no]],"0")</f>
        <v>0</v>
      </c>
      <c r="Q4071" s="91"/>
    </row>
    <row r="4072" spans="1:17">
      <c r="A4072" s="93" t="str">
        <f>TEXT(tblProjectlist[[#This Row],[project-no]],"0")</f>
        <v>0</v>
      </c>
      <c r="Q4072" s="91"/>
    </row>
    <row r="4073" spans="1:17">
      <c r="A4073" s="93" t="str">
        <f>TEXT(tblProjectlist[[#This Row],[project-no]],"0")</f>
        <v>0</v>
      </c>
      <c r="B4073" s="91" t="s">
        <v>100</v>
      </c>
      <c r="Q4073" s="91"/>
    </row>
    <row r="4074" spans="1:17">
      <c r="A4074" s="93" t="str">
        <f>TEXT(tblProjectlist[[#This Row],[project-no]],"0")</f>
        <v>0</v>
      </c>
      <c r="B4074" s="91" t="s">
        <v>100</v>
      </c>
      <c r="Q4074" s="91"/>
    </row>
    <row r="4075" spans="1:17">
      <c r="A4075" s="93" t="str">
        <f>TEXT(tblProjectlist[[#This Row],[project-no]],"0")</f>
        <v>0</v>
      </c>
      <c r="B4075" s="91" t="s">
        <v>100</v>
      </c>
      <c r="Q4075" s="91"/>
    </row>
    <row r="4076" spans="1:17">
      <c r="A4076" s="93" t="str">
        <f>TEXT(tblProjectlist[[#This Row],[project-no]],"0")</f>
        <v>0</v>
      </c>
      <c r="B4076" s="91" t="s">
        <v>100</v>
      </c>
      <c r="Q4076" s="91"/>
    </row>
    <row r="4077" spans="1:17">
      <c r="A4077" s="93" t="str">
        <f>TEXT(tblProjectlist[[#This Row],[project-no]],"0")</f>
        <v>0</v>
      </c>
      <c r="B4077" s="91" t="s">
        <v>100</v>
      </c>
      <c r="Q4077" s="91"/>
    </row>
    <row r="4078" spans="1:17">
      <c r="A4078" s="93" t="str">
        <f>TEXT(tblProjectlist[[#This Row],[project-no]],"0")</f>
        <v>0</v>
      </c>
      <c r="B4078" s="91" t="s">
        <v>100</v>
      </c>
      <c r="Q4078" s="91"/>
    </row>
    <row r="4079" spans="1:17">
      <c r="A4079" s="93" t="str">
        <f>TEXT(tblProjectlist[[#This Row],[project-no]],"0")</f>
        <v>0</v>
      </c>
      <c r="B4079" s="91" t="s">
        <v>100</v>
      </c>
      <c r="Q4079" s="91"/>
    </row>
    <row r="4080" spans="1:17">
      <c r="A4080" s="93" t="str">
        <f>TEXT(tblProjectlist[[#This Row],[project-no]],"0")</f>
        <v>0</v>
      </c>
      <c r="B4080" s="91" t="s">
        <v>100</v>
      </c>
      <c r="Q4080" s="91"/>
    </row>
    <row r="4081" spans="1:17">
      <c r="A4081" s="93" t="str">
        <f>TEXT(tblProjectlist[[#This Row],[project-no]],"0")</f>
        <v>0</v>
      </c>
      <c r="B4081" s="91" t="s">
        <v>100</v>
      </c>
      <c r="Q4081" s="91"/>
    </row>
    <row r="4082" spans="1:17">
      <c r="A4082" s="93" t="str">
        <f>TEXT(tblProjectlist[[#This Row],[project-no]],"0")</f>
        <v>0</v>
      </c>
      <c r="B4082" s="91" t="s">
        <v>100</v>
      </c>
      <c r="Q4082" s="91"/>
    </row>
    <row r="4083" spans="1:17">
      <c r="A4083" s="93" t="str">
        <f>TEXT(tblProjectlist[[#This Row],[project-no]],"0")</f>
        <v>0</v>
      </c>
      <c r="B4083" s="91" t="s">
        <v>100</v>
      </c>
      <c r="Q4083" s="91"/>
    </row>
    <row r="4084" spans="1:17">
      <c r="A4084" s="93" t="str">
        <f>TEXT(tblProjectlist[[#This Row],[project-no]],"0")</f>
        <v>0</v>
      </c>
      <c r="B4084" s="91" t="s">
        <v>100</v>
      </c>
      <c r="Q4084" s="91"/>
    </row>
    <row r="4085" spans="1:17">
      <c r="A4085" s="93" t="str">
        <f>TEXT(tblProjectlist[[#This Row],[project-no]],"0")</f>
        <v>0</v>
      </c>
      <c r="B4085" s="91" t="s">
        <v>100</v>
      </c>
      <c r="Q4085" s="91"/>
    </row>
    <row r="4086" spans="1:17">
      <c r="A4086" s="93" t="str">
        <f>TEXT(tblProjectlist[[#This Row],[project-no]],"0")</f>
        <v>0</v>
      </c>
      <c r="B4086" s="91" t="s">
        <v>100</v>
      </c>
      <c r="Q4086" s="91"/>
    </row>
    <row r="4087" spans="1:17">
      <c r="A4087" s="93" t="str">
        <f>TEXT(tblProjectlist[[#This Row],[project-no]],"0")</f>
        <v>0</v>
      </c>
      <c r="B4087" s="91" t="s">
        <v>100</v>
      </c>
      <c r="Q4087" s="91"/>
    </row>
    <row r="4088" spans="1:17">
      <c r="A4088" s="93" t="str">
        <f>TEXT(tblProjectlist[[#This Row],[project-no]],"0")</f>
        <v>0</v>
      </c>
      <c r="B4088" s="91" t="s">
        <v>100</v>
      </c>
      <c r="Q4088" s="91"/>
    </row>
    <row r="4089" spans="1:17">
      <c r="A4089" s="93" t="str">
        <f>TEXT(tblProjectlist[[#This Row],[project-no]],"0")</f>
        <v>0</v>
      </c>
      <c r="B4089" s="91" t="s">
        <v>100</v>
      </c>
      <c r="Q4089" s="91"/>
    </row>
    <row r="4090" spans="1:17">
      <c r="A4090" s="93" t="str">
        <f>TEXT(tblProjectlist[[#This Row],[project-no]],"0")</f>
        <v>0</v>
      </c>
      <c r="B4090" s="91" t="s">
        <v>100</v>
      </c>
      <c r="Q4090" s="91"/>
    </row>
    <row r="4091" spans="1:17">
      <c r="A4091" s="93" t="str">
        <f>TEXT(tblProjectlist[[#This Row],[project-no]],"0")</f>
        <v>0</v>
      </c>
      <c r="B4091" s="91" t="s">
        <v>100</v>
      </c>
      <c r="Q4091" s="91"/>
    </row>
    <row r="4092" spans="1:17">
      <c r="A4092" s="93" t="str">
        <f>TEXT(tblProjectlist[[#This Row],[project-no]],"0")</f>
        <v>0</v>
      </c>
      <c r="B4092" s="91" t="s">
        <v>100</v>
      </c>
      <c r="Q4092" s="91"/>
    </row>
    <row r="4093" spans="1:17">
      <c r="A4093" s="93" t="str">
        <f>TEXT(tblProjectlist[[#This Row],[project-no]],"0")</f>
        <v>0</v>
      </c>
      <c r="B4093" s="91" t="s">
        <v>100</v>
      </c>
      <c r="Q4093" s="91"/>
    </row>
    <row r="4094" spans="1:17">
      <c r="A4094" s="93" t="str">
        <f>TEXT(tblProjectlist[[#This Row],[project-no]],"0")</f>
        <v>0</v>
      </c>
      <c r="B4094" s="91" t="s">
        <v>100</v>
      </c>
      <c r="Q4094" s="91"/>
    </row>
    <row r="4095" spans="1:17">
      <c r="A4095" s="93" t="str">
        <f>TEXT(tblProjectlist[[#This Row],[project-no]],"0")</f>
        <v>0</v>
      </c>
      <c r="B4095" s="91" t="s">
        <v>100</v>
      </c>
      <c r="Q4095" s="91"/>
    </row>
    <row r="4096" spans="1:17">
      <c r="A4096" s="93" t="str">
        <f>TEXT(tblProjectlist[[#This Row],[project-no]],"0")</f>
        <v>0</v>
      </c>
      <c r="B4096" s="91" t="s">
        <v>100</v>
      </c>
      <c r="Q4096" s="91"/>
    </row>
    <row r="4097" spans="1:17">
      <c r="A4097" s="93" t="str">
        <f>TEXT(tblProjectlist[[#This Row],[project-no]],"0")</f>
        <v>0</v>
      </c>
      <c r="B4097" s="91" t="s">
        <v>100</v>
      </c>
      <c r="Q4097" s="91"/>
    </row>
    <row r="4098" spans="1:17">
      <c r="A4098" s="93" t="str">
        <f>TEXT(tblProjectlist[[#This Row],[project-no]],"0")</f>
        <v>0</v>
      </c>
      <c r="B4098" s="91" t="s">
        <v>100</v>
      </c>
      <c r="Q4098" s="91"/>
    </row>
    <row r="4099" spans="1:17">
      <c r="A4099" s="93" t="str">
        <f>TEXT(tblProjectlist[[#This Row],[project-no]],"0")</f>
        <v>0</v>
      </c>
      <c r="B4099" s="91" t="s">
        <v>100</v>
      </c>
      <c r="Q4099" s="91"/>
    </row>
    <row r="4100" spans="1:17">
      <c r="A4100" s="93" t="str">
        <f>TEXT(tblProjectlist[[#This Row],[project-no]],"0")</f>
        <v>0</v>
      </c>
      <c r="B4100" s="91" t="s">
        <v>100</v>
      </c>
      <c r="Q4100" s="91"/>
    </row>
    <row r="4101" spans="1:17">
      <c r="A4101" s="93" t="str">
        <f>TEXT(tblProjectlist[[#This Row],[project-no]],"0")</f>
        <v>0</v>
      </c>
      <c r="B4101" s="91" t="s">
        <v>100</v>
      </c>
      <c r="Q4101" s="91"/>
    </row>
    <row r="4102" spans="1:17">
      <c r="A4102" s="93" t="str">
        <f>TEXT(tblProjectlist[[#This Row],[project-no]],"0")</f>
        <v>0</v>
      </c>
      <c r="B4102" s="91" t="s">
        <v>100</v>
      </c>
      <c r="Q4102" s="91"/>
    </row>
    <row r="4103" spans="1:17">
      <c r="A4103" s="93" t="str">
        <f>TEXT(tblProjectlist[[#This Row],[project-no]],"0")</f>
        <v>0</v>
      </c>
      <c r="B4103" s="91" t="s">
        <v>100</v>
      </c>
      <c r="Q4103" s="91"/>
    </row>
    <row r="4104" spans="1:17">
      <c r="A4104" s="93" t="str">
        <f>TEXT(tblProjectlist[[#This Row],[project-no]],"0")</f>
        <v>0</v>
      </c>
      <c r="B4104" s="91" t="s">
        <v>100</v>
      </c>
      <c r="Q4104" s="91"/>
    </row>
    <row r="4105" spans="1:17">
      <c r="A4105" s="93" t="str">
        <f>TEXT(tblProjectlist[[#This Row],[project-no]],"0")</f>
        <v>0</v>
      </c>
      <c r="B4105" s="91" t="s">
        <v>100</v>
      </c>
      <c r="Q4105" s="91"/>
    </row>
    <row r="4106" spans="1:17">
      <c r="A4106" s="93" t="str">
        <f>TEXT(tblProjectlist[[#This Row],[project-no]],"0")</f>
        <v>0</v>
      </c>
      <c r="B4106" s="91" t="s">
        <v>100</v>
      </c>
      <c r="Q4106" s="91"/>
    </row>
    <row r="4107" spans="1:17">
      <c r="A4107" s="93" t="str">
        <f>TEXT(tblProjectlist[[#This Row],[project-no]],"0")</f>
        <v>0</v>
      </c>
      <c r="B4107" s="91" t="s">
        <v>100</v>
      </c>
      <c r="Q4107" s="91"/>
    </row>
    <row r="4108" spans="1:17">
      <c r="A4108" s="93" t="str">
        <f>TEXT(tblProjectlist[[#This Row],[project-no]],"0")</f>
        <v>0</v>
      </c>
      <c r="B4108" s="91" t="s">
        <v>100</v>
      </c>
      <c r="Q4108" s="91"/>
    </row>
    <row r="4109" spans="1:17">
      <c r="A4109" s="93" t="str">
        <f>TEXT(tblProjectlist[[#This Row],[project-no]],"0")</f>
        <v>0</v>
      </c>
      <c r="B4109" s="91" t="s">
        <v>100</v>
      </c>
      <c r="Q4109" s="91"/>
    </row>
    <row r="4110" spans="1:17">
      <c r="A4110" s="93" t="str">
        <f>TEXT(tblProjectlist[[#This Row],[project-no]],"0")</f>
        <v>0</v>
      </c>
      <c r="B4110" s="91" t="s">
        <v>100</v>
      </c>
      <c r="Q4110" s="91"/>
    </row>
    <row r="4111" spans="1:17">
      <c r="A4111" s="93" t="str">
        <f>TEXT(tblProjectlist[[#This Row],[project-no]],"0")</f>
        <v>0</v>
      </c>
      <c r="B4111" s="91" t="s">
        <v>100</v>
      </c>
      <c r="Q4111" s="91"/>
    </row>
    <row r="4112" spans="1:17">
      <c r="A4112" s="93" t="str">
        <f>TEXT(tblProjectlist[[#This Row],[project-no]],"0")</f>
        <v>0</v>
      </c>
      <c r="B4112" s="91" t="s">
        <v>100</v>
      </c>
      <c r="Q4112" s="91"/>
    </row>
    <row r="4113" spans="1:17">
      <c r="A4113" s="93" t="str">
        <f>TEXT(tblProjectlist[[#This Row],[project-no]],"0")</f>
        <v>0</v>
      </c>
      <c r="B4113" s="91" t="s">
        <v>100</v>
      </c>
      <c r="Q4113" s="91"/>
    </row>
    <row r="4114" spans="1:17">
      <c r="A4114" s="93" t="str">
        <f>TEXT(tblProjectlist[[#This Row],[project-no]],"0")</f>
        <v>0</v>
      </c>
      <c r="B4114" s="91" t="s">
        <v>100</v>
      </c>
      <c r="Q4114" s="91"/>
    </row>
    <row r="4115" spans="1:17">
      <c r="A4115" s="93" t="str">
        <f>TEXT(tblProjectlist[[#This Row],[project-no]],"0")</f>
        <v>0</v>
      </c>
      <c r="B4115" s="91" t="s">
        <v>100</v>
      </c>
      <c r="Q4115" s="91"/>
    </row>
    <row r="4116" spans="1:17">
      <c r="A4116" s="93" t="str">
        <f>TEXT(tblProjectlist[[#This Row],[project-no]],"0")</f>
        <v>0</v>
      </c>
      <c r="B4116" s="91" t="s">
        <v>100</v>
      </c>
      <c r="Q4116" s="91"/>
    </row>
    <row r="4117" spans="1:17">
      <c r="A4117" s="93" t="str">
        <f>TEXT(tblProjectlist[[#This Row],[project-no]],"0")</f>
        <v>0</v>
      </c>
      <c r="B4117" s="91" t="s">
        <v>100</v>
      </c>
      <c r="Q4117" s="91"/>
    </row>
    <row r="4118" spans="1:17">
      <c r="A4118" s="93" t="str">
        <f>TEXT(tblProjectlist[[#This Row],[project-no]],"0")</f>
        <v>0</v>
      </c>
      <c r="B4118" s="91" t="s">
        <v>100</v>
      </c>
      <c r="Q4118" s="91"/>
    </row>
    <row r="4119" spans="1:17">
      <c r="A4119" s="93" t="str">
        <f>TEXT(tblProjectlist[[#This Row],[project-no]],"0")</f>
        <v>0</v>
      </c>
      <c r="B4119" s="91" t="s">
        <v>100</v>
      </c>
      <c r="Q4119" s="91"/>
    </row>
    <row r="4120" spans="1:17">
      <c r="A4120" s="93" t="str">
        <f>TEXT(tblProjectlist[[#This Row],[project-no]],"0")</f>
        <v>0</v>
      </c>
      <c r="B4120" s="91" t="s">
        <v>100</v>
      </c>
      <c r="Q4120" s="91"/>
    </row>
    <row r="4121" spans="1:17">
      <c r="A4121" s="93" t="str">
        <f>TEXT(tblProjectlist[[#This Row],[project-no]],"0")</f>
        <v>0</v>
      </c>
      <c r="B4121" s="91" t="s">
        <v>100</v>
      </c>
      <c r="Q4121" s="91"/>
    </row>
    <row r="4122" spans="1:17">
      <c r="A4122" s="93" t="str">
        <f>TEXT(tblProjectlist[[#This Row],[project-no]],"0")</f>
        <v>0</v>
      </c>
      <c r="B4122" s="91" t="s">
        <v>100</v>
      </c>
      <c r="Q4122" s="91"/>
    </row>
    <row r="4123" spans="1:17">
      <c r="A4123" s="93" t="str">
        <f>TEXT(tblProjectlist[[#This Row],[project-no]],"0")</f>
        <v>0</v>
      </c>
      <c r="B4123" s="91" t="s">
        <v>100</v>
      </c>
      <c r="Q4123" s="91"/>
    </row>
    <row r="4124" spans="1:17">
      <c r="A4124" s="93" t="str">
        <f>TEXT(tblProjectlist[[#This Row],[project-no]],"0")</f>
        <v>0</v>
      </c>
      <c r="B4124" s="91" t="s">
        <v>100</v>
      </c>
      <c r="Q4124" s="91"/>
    </row>
    <row r="4125" spans="1:17">
      <c r="A4125" s="93" t="str">
        <f>TEXT(tblProjectlist[[#This Row],[project-no]],"0")</f>
        <v>0</v>
      </c>
      <c r="B4125" s="91" t="s">
        <v>100</v>
      </c>
      <c r="Q4125" s="91"/>
    </row>
    <row r="4126" spans="1:17">
      <c r="A4126" s="93" t="str">
        <f>TEXT(tblProjectlist[[#This Row],[project-no]],"0")</f>
        <v>0</v>
      </c>
      <c r="B4126" s="91" t="s">
        <v>100</v>
      </c>
      <c r="Q4126" s="91"/>
    </row>
    <row r="4127" spans="1:17">
      <c r="A4127" s="93" t="str">
        <f>TEXT(tblProjectlist[[#This Row],[project-no]],"0")</f>
        <v>0</v>
      </c>
      <c r="B4127" s="91" t="s">
        <v>100</v>
      </c>
      <c r="Q4127" s="91"/>
    </row>
    <row r="4128" spans="1:17">
      <c r="A4128" s="93" t="str">
        <f>TEXT(tblProjectlist[[#This Row],[project-no]],"0")</f>
        <v>0</v>
      </c>
      <c r="B4128" s="91" t="s">
        <v>100</v>
      </c>
      <c r="Q4128" s="91"/>
    </row>
    <row r="4129" spans="1:17">
      <c r="A4129" s="93" t="str">
        <f>TEXT(tblProjectlist[[#This Row],[project-no]],"0")</f>
        <v>0</v>
      </c>
      <c r="B4129" s="91" t="s">
        <v>100</v>
      </c>
      <c r="Q4129" s="91"/>
    </row>
    <row r="4130" spans="1:17">
      <c r="A4130" s="93" t="str">
        <f>TEXT(tblProjectlist[[#This Row],[project-no]],"0")</f>
        <v>0</v>
      </c>
      <c r="B4130" s="91" t="s">
        <v>100</v>
      </c>
      <c r="Q4130" s="91"/>
    </row>
    <row r="4131" spans="1:17">
      <c r="A4131" s="93" t="str">
        <f>TEXT(tblProjectlist[[#This Row],[project-no]],"0")</f>
        <v>0</v>
      </c>
      <c r="B4131" s="91" t="s">
        <v>100</v>
      </c>
      <c r="Q4131" s="91"/>
    </row>
    <row r="4132" spans="1:17">
      <c r="A4132" s="93" t="str">
        <f>TEXT(tblProjectlist[[#This Row],[project-no]],"0")</f>
        <v>0</v>
      </c>
      <c r="B4132" s="91" t="s">
        <v>100</v>
      </c>
      <c r="Q4132" s="91"/>
    </row>
    <row r="4133" spans="1:17">
      <c r="A4133" s="93" t="str">
        <f>TEXT(tblProjectlist[[#This Row],[project-no]],"0")</f>
        <v>0</v>
      </c>
      <c r="B4133" s="91" t="s">
        <v>100</v>
      </c>
      <c r="Q4133" s="91"/>
    </row>
    <row r="4134" spans="1:17">
      <c r="A4134" s="93" t="str">
        <f>TEXT(tblProjectlist[[#This Row],[project-no]],"0")</f>
        <v>0</v>
      </c>
      <c r="B4134" s="91" t="s">
        <v>100</v>
      </c>
      <c r="Q4134" s="91"/>
    </row>
    <row r="4135" spans="1:17">
      <c r="A4135" s="93" t="str">
        <f>TEXT(tblProjectlist[[#This Row],[project-no]],"0")</f>
        <v>0</v>
      </c>
      <c r="B4135" s="91" t="s">
        <v>100</v>
      </c>
      <c r="Q4135" s="91"/>
    </row>
    <row r="4136" spans="1:17">
      <c r="A4136" s="93" t="str">
        <f>TEXT(tblProjectlist[[#This Row],[project-no]],"0")</f>
        <v>0</v>
      </c>
      <c r="B4136" s="91" t="s">
        <v>100</v>
      </c>
      <c r="Q4136" s="91"/>
    </row>
    <row r="4137" spans="1:17">
      <c r="A4137" s="93" t="str">
        <f>TEXT(tblProjectlist[[#This Row],[project-no]],"0")</f>
        <v>0</v>
      </c>
      <c r="B4137" s="91" t="s">
        <v>100</v>
      </c>
      <c r="Q4137" s="91"/>
    </row>
    <row r="4138" spans="1:17">
      <c r="A4138" s="93" t="str">
        <f>TEXT(tblProjectlist[[#This Row],[project-no]],"0")</f>
        <v>0</v>
      </c>
      <c r="B4138" s="91" t="s">
        <v>100</v>
      </c>
      <c r="Q4138" s="91"/>
    </row>
    <row r="4139" spans="1:17">
      <c r="A4139" s="93" t="str">
        <f>TEXT(tblProjectlist[[#This Row],[project-no]],"0")</f>
        <v>0</v>
      </c>
      <c r="B4139" s="91" t="s">
        <v>100</v>
      </c>
      <c r="Q4139" s="91"/>
    </row>
    <row r="4140" spans="1:17">
      <c r="A4140" s="93" t="str">
        <f>TEXT(tblProjectlist[[#This Row],[project-no]],"0")</f>
        <v>0</v>
      </c>
      <c r="B4140" s="91" t="s">
        <v>100</v>
      </c>
      <c r="Q4140" s="91"/>
    </row>
    <row r="4141" spans="1:17">
      <c r="A4141" s="93" t="str">
        <f>TEXT(tblProjectlist[[#This Row],[project-no]],"0")</f>
        <v>0</v>
      </c>
      <c r="B4141" s="91" t="s">
        <v>100</v>
      </c>
      <c r="Q4141" s="91"/>
    </row>
    <row r="4142" spans="1:17">
      <c r="A4142" s="93" t="str">
        <f>TEXT(tblProjectlist[[#This Row],[project-no]],"0")</f>
        <v>0</v>
      </c>
      <c r="B4142" s="91" t="s">
        <v>100</v>
      </c>
      <c r="Q4142" s="91"/>
    </row>
    <row r="4143" spans="1:17">
      <c r="A4143" s="93" t="str">
        <f>TEXT(tblProjectlist[[#This Row],[project-no]],"0")</f>
        <v>0</v>
      </c>
      <c r="B4143" s="91" t="s">
        <v>100</v>
      </c>
      <c r="Q4143" s="91"/>
    </row>
    <row r="4144" spans="1:17">
      <c r="A4144" s="93" t="str">
        <f>TEXT(tblProjectlist[[#This Row],[project-no]],"0")</f>
        <v>0</v>
      </c>
      <c r="B4144" s="91" t="s">
        <v>100</v>
      </c>
      <c r="Q4144" s="91"/>
    </row>
    <row r="4145" spans="1:17">
      <c r="A4145" s="93" t="str">
        <f>TEXT(tblProjectlist[[#This Row],[project-no]],"0")</f>
        <v>0</v>
      </c>
      <c r="B4145" s="91" t="s">
        <v>100</v>
      </c>
      <c r="Q4145" s="91"/>
    </row>
    <row r="4146" spans="1:17">
      <c r="A4146" s="93" t="str">
        <f>TEXT(tblProjectlist[[#This Row],[project-no]],"0")</f>
        <v>0</v>
      </c>
      <c r="B4146" s="91" t="s">
        <v>100</v>
      </c>
      <c r="Q4146" s="91"/>
    </row>
    <row r="4147" spans="1:17">
      <c r="A4147" s="93" t="str">
        <f>TEXT(tblProjectlist[[#This Row],[project-no]],"0")</f>
        <v>0</v>
      </c>
      <c r="B4147" s="91" t="s">
        <v>100</v>
      </c>
      <c r="Q4147" s="91"/>
    </row>
    <row r="4148" spans="1:17">
      <c r="A4148" s="93" t="str">
        <f>TEXT(tblProjectlist[[#This Row],[project-no]],"0")</f>
        <v>0</v>
      </c>
      <c r="B4148" s="91" t="s">
        <v>100</v>
      </c>
      <c r="Q4148" s="91"/>
    </row>
    <row r="4149" spans="1:17">
      <c r="A4149" s="93" t="str">
        <f>TEXT(tblProjectlist[[#This Row],[project-no]],"0")</f>
        <v>0</v>
      </c>
      <c r="B4149" s="91" t="s">
        <v>100</v>
      </c>
      <c r="Q4149" s="91"/>
    </row>
    <row r="4150" spans="1:17">
      <c r="A4150" s="93" t="str">
        <f>TEXT(tblProjectlist[[#This Row],[project-no]],"0")</f>
        <v>0</v>
      </c>
      <c r="B4150" s="91" t="s">
        <v>100</v>
      </c>
      <c r="Q4150" s="91"/>
    </row>
    <row r="4151" spans="1:17">
      <c r="A4151" s="93" t="str">
        <f>TEXT(tblProjectlist[[#This Row],[project-no]],"0")</f>
        <v>0</v>
      </c>
      <c r="B4151" s="91" t="s">
        <v>100</v>
      </c>
      <c r="Q4151" s="91"/>
    </row>
    <row r="4152" spans="1:17">
      <c r="A4152" s="93" t="str">
        <f>TEXT(tblProjectlist[[#This Row],[project-no]],"0")</f>
        <v>0</v>
      </c>
      <c r="B4152" s="91" t="s">
        <v>100</v>
      </c>
      <c r="Q4152" s="91"/>
    </row>
    <row r="4153" spans="1:17">
      <c r="A4153" s="93" t="str">
        <f>TEXT(tblProjectlist[[#This Row],[project-no]],"0")</f>
        <v>0</v>
      </c>
      <c r="B4153" s="91" t="s">
        <v>100</v>
      </c>
      <c r="Q4153" s="91"/>
    </row>
    <row r="4154" spans="1:17">
      <c r="A4154" s="93" t="str">
        <f>TEXT(tblProjectlist[[#This Row],[project-no]],"0")</f>
        <v>0</v>
      </c>
      <c r="B4154" s="91" t="s">
        <v>100</v>
      </c>
      <c r="Q4154" s="91"/>
    </row>
    <row r="4155" spans="1:17">
      <c r="A4155" s="93" t="str">
        <f>TEXT(tblProjectlist[[#This Row],[project-no]],"0")</f>
        <v>0</v>
      </c>
      <c r="B4155" s="91" t="s">
        <v>100</v>
      </c>
      <c r="Q4155" s="91"/>
    </row>
    <row r="4156" spans="1:17">
      <c r="A4156" s="93" t="str">
        <f>TEXT(tblProjectlist[[#This Row],[project-no]],"0")</f>
        <v>0</v>
      </c>
      <c r="B4156" s="91" t="s">
        <v>100</v>
      </c>
      <c r="Q4156" s="91"/>
    </row>
    <row r="4157" spans="1:17">
      <c r="A4157" s="93" t="str">
        <f>TEXT(tblProjectlist[[#This Row],[project-no]],"0")</f>
        <v>0</v>
      </c>
      <c r="B4157" s="91" t="s">
        <v>100</v>
      </c>
      <c r="Q4157" s="91"/>
    </row>
    <row r="4158" spans="1:17">
      <c r="A4158" s="93" t="str">
        <f>TEXT(tblProjectlist[[#This Row],[project-no]],"0")</f>
        <v>0</v>
      </c>
      <c r="B4158" s="91" t="s">
        <v>100</v>
      </c>
      <c r="Q4158" s="91"/>
    </row>
    <row r="4159" spans="1:17">
      <c r="A4159" s="93" t="str">
        <f>TEXT(tblProjectlist[[#This Row],[project-no]],"0")</f>
        <v>0</v>
      </c>
      <c r="B4159" s="91" t="s">
        <v>100</v>
      </c>
      <c r="Q4159" s="91"/>
    </row>
    <row r="4160" spans="1:17">
      <c r="A4160" s="93" t="str">
        <f>TEXT(tblProjectlist[[#This Row],[project-no]],"0")</f>
        <v>0</v>
      </c>
      <c r="B4160" s="91" t="s">
        <v>100</v>
      </c>
      <c r="Q4160" s="91"/>
    </row>
    <row r="4161" spans="1:17">
      <c r="A4161" s="93" t="str">
        <f>TEXT(tblProjectlist[[#This Row],[project-no]],"0")</f>
        <v>0</v>
      </c>
      <c r="B4161" s="91" t="s">
        <v>100</v>
      </c>
      <c r="Q4161" s="91"/>
    </row>
    <row r="4162" spans="1:17">
      <c r="A4162" s="93" t="str">
        <f>TEXT(tblProjectlist[[#This Row],[project-no]],"0")</f>
        <v>0</v>
      </c>
      <c r="B4162" s="91" t="s">
        <v>100</v>
      </c>
      <c r="Q4162" s="91"/>
    </row>
    <row r="4163" spans="1:17">
      <c r="A4163" s="93" t="str">
        <f>TEXT(tblProjectlist[[#This Row],[project-no]],"0")</f>
        <v>0</v>
      </c>
      <c r="B4163" s="91" t="s">
        <v>100</v>
      </c>
      <c r="Q4163" s="91"/>
    </row>
    <row r="4164" spans="1:17">
      <c r="A4164" s="93" t="str">
        <f>TEXT(tblProjectlist[[#This Row],[project-no]],"0")</f>
        <v>0</v>
      </c>
      <c r="B4164" s="91" t="s">
        <v>100</v>
      </c>
      <c r="Q4164" s="91"/>
    </row>
    <row r="4165" spans="1:17">
      <c r="A4165" s="93" t="str">
        <f>TEXT(tblProjectlist[[#This Row],[project-no]],"0")</f>
        <v>0</v>
      </c>
      <c r="B4165" s="91" t="s">
        <v>100</v>
      </c>
      <c r="Q4165" s="91"/>
    </row>
    <row r="4166" spans="1:17">
      <c r="A4166" s="93" t="str">
        <f>TEXT(tblProjectlist[[#This Row],[project-no]],"0")</f>
        <v>0</v>
      </c>
      <c r="B4166" s="91" t="s">
        <v>100</v>
      </c>
      <c r="Q4166" s="91"/>
    </row>
    <row r="4167" spans="1:17">
      <c r="A4167" s="93" t="str">
        <f>TEXT(tblProjectlist[[#This Row],[project-no]],"0")</f>
        <v>0</v>
      </c>
      <c r="B4167" s="91" t="s">
        <v>100</v>
      </c>
      <c r="Q4167" s="91"/>
    </row>
    <row r="4168" spans="1:17">
      <c r="A4168" s="93" t="str">
        <f>TEXT(tblProjectlist[[#This Row],[project-no]],"0")</f>
        <v>0</v>
      </c>
      <c r="B4168" s="91" t="s">
        <v>100</v>
      </c>
      <c r="Q4168" s="91"/>
    </row>
    <row r="4169" spans="1:17">
      <c r="A4169" s="93" t="str">
        <f>TEXT(tblProjectlist[[#This Row],[project-no]],"0")</f>
        <v>0</v>
      </c>
      <c r="B4169" s="91" t="s">
        <v>100</v>
      </c>
      <c r="Q4169" s="91"/>
    </row>
    <row r="4170" spans="1:17">
      <c r="A4170" s="93" t="str">
        <f>TEXT(tblProjectlist[[#This Row],[project-no]],"0")</f>
        <v>0</v>
      </c>
      <c r="B4170" s="91" t="s">
        <v>100</v>
      </c>
      <c r="Q4170" s="91"/>
    </row>
    <row r="4171" spans="1:17">
      <c r="A4171" s="93" t="str">
        <f>TEXT(tblProjectlist[[#This Row],[project-no]],"0")</f>
        <v>0</v>
      </c>
      <c r="B4171" s="91" t="s">
        <v>100</v>
      </c>
      <c r="Q4171" s="91"/>
    </row>
    <row r="4172" spans="1:17">
      <c r="A4172" s="93" t="str">
        <f>TEXT(tblProjectlist[[#This Row],[project-no]],"0")</f>
        <v>0</v>
      </c>
      <c r="B4172" s="91" t="s">
        <v>100</v>
      </c>
      <c r="Q4172" s="91"/>
    </row>
    <row r="4173" spans="1:17">
      <c r="A4173" s="93" t="str">
        <f>TEXT(tblProjectlist[[#This Row],[project-no]],"0")</f>
        <v>0</v>
      </c>
      <c r="B4173" s="91" t="s">
        <v>100</v>
      </c>
      <c r="Q4173" s="91"/>
    </row>
    <row r="4174" spans="1:17">
      <c r="A4174" s="93" t="str">
        <f>TEXT(tblProjectlist[[#This Row],[project-no]],"0")</f>
        <v>0</v>
      </c>
      <c r="B4174" s="91" t="s">
        <v>100</v>
      </c>
      <c r="Q4174" s="91"/>
    </row>
    <row r="4175" spans="1:17">
      <c r="A4175" s="93" t="str">
        <f>TEXT(tblProjectlist[[#This Row],[project-no]],"0")</f>
        <v>0</v>
      </c>
      <c r="B4175" s="91" t="s">
        <v>100</v>
      </c>
      <c r="Q4175" s="91"/>
    </row>
    <row r="4176" spans="1:17">
      <c r="A4176" s="93" t="str">
        <f>TEXT(tblProjectlist[[#This Row],[project-no]],"0")</f>
        <v>0</v>
      </c>
      <c r="B4176" s="91" t="s">
        <v>100</v>
      </c>
      <c r="Q4176" s="91"/>
    </row>
    <row r="4177" spans="1:17">
      <c r="A4177" s="93" t="str">
        <f>TEXT(tblProjectlist[[#This Row],[project-no]],"0")</f>
        <v>0</v>
      </c>
      <c r="B4177" s="91" t="s">
        <v>100</v>
      </c>
      <c r="Q4177" s="91"/>
    </row>
    <row r="4178" spans="1:17">
      <c r="A4178" s="93" t="str">
        <f>TEXT(tblProjectlist[[#This Row],[project-no]],"0")</f>
        <v>0</v>
      </c>
      <c r="B4178" s="91" t="s">
        <v>100</v>
      </c>
      <c r="Q4178" s="91"/>
    </row>
    <row r="4179" spans="1:17">
      <c r="A4179" s="93" t="str">
        <f>TEXT(tblProjectlist[[#This Row],[project-no]],"0")</f>
        <v>0</v>
      </c>
      <c r="B4179" s="91" t="s">
        <v>100</v>
      </c>
      <c r="Q4179" s="91"/>
    </row>
    <row r="4180" spans="1:17">
      <c r="A4180" s="93" t="str">
        <f>TEXT(tblProjectlist[[#This Row],[project-no]],"0")</f>
        <v>0</v>
      </c>
      <c r="B4180" s="91" t="s">
        <v>100</v>
      </c>
      <c r="Q4180" s="91"/>
    </row>
    <row r="4181" spans="1:17">
      <c r="A4181" s="93" t="str">
        <f>TEXT(tblProjectlist[[#This Row],[project-no]],"0")</f>
        <v>0</v>
      </c>
      <c r="B4181" s="91" t="s">
        <v>100</v>
      </c>
      <c r="Q4181" s="91"/>
    </row>
    <row r="4182" spans="1:17">
      <c r="A4182" s="93" t="str">
        <f>TEXT(tblProjectlist[[#This Row],[project-no]],"0")</f>
        <v>0</v>
      </c>
      <c r="B4182" s="91" t="s">
        <v>100</v>
      </c>
      <c r="Q4182" s="91"/>
    </row>
    <row r="4183" spans="1:17">
      <c r="A4183" s="93" t="str">
        <f>TEXT(tblProjectlist[[#This Row],[project-no]],"0")</f>
        <v>0</v>
      </c>
      <c r="B4183" s="91" t="s">
        <v>100</v>
      </c>
      <c r="Q4183" s="91"/>
    </row>
    <row r="4184" spans="1:17">
      <c r="A4184" s="93" t="str">
        <f>TEXT(tblProjectlist[[#This Row],[project-no]],"0")</f>
        <v>0</v>
      </c>
      <c r="B4184" s="91" t="s">
        <v>100</v>
      </c>
      <c r="Q4184" s="91"/>
    </row>
    <row r="4185" spans="1:17">
      <c r="A4185" s="93" t="str">
        <f>TEXT(tblProjectlist[[#This Row],[project-no]],"0")</f>
        <v>0</v>
      </c>
      <c r="B4185" s="91" t="s">
        <v>100</v>
      </c>
      <c r="Q4185" s="91"/>
    </row>
    <row r="4186" spans="1:17">
      <c r="A4186" s="93" t="str">
        <f>TEXT(tblProjectlist[[#This Row],[project-no]],"0")</f>
        <v>0</v>
      </c>
      <c r="B4186" s="91" t="s">
        <v>100</v>
      </c>
      <c r="Q4186" s="91"/>
    </row>
    <row r="4187" spans="1:17">
      <c r="A4187" s="93" t="str">
        <f>TEXT(tblProjectlist[[#This Row],[project-no]],"0")</f>
        <v>0</v>
      </c>
      <c r="B4187" s="91" t="s">
        <v>100</v>
      </c>
      <c r="Q4187" s="91"/>
    </row>
    <row r="4188" spans="1:17">
      <c r="A4188" s="93" t="str">
        <f>TEXT(tblProjectlist[[#This Row],[project-no]],"0")</f>
        <v>0</v>
      </c>
      <c r="B4188" s="91" t="s">
        <v>100</v>
      </c>
      <c r="Q4188" s="91"/>
    </row>
    <row r="4189" spans="1:17">
      <c r="A4189" s="93" t="str">
        <f>TEXT(tblProjectlist[[#This Row],[project-no]],"0")</f>
        <v>0</v>
      </c>
      <c r="B4189" s="91" t="s">
        <v>100</v>
      </c>
      <c r="Q4189" s="91"/>
    </row>
    <row r="4190" spans="1:17">
      <c r="A4190" s="93" t="str">
        <f>TEXT(tblProjectlist[[#This Row],[project-no]],"0")</f>
        <v>0</v>
      </c>
      <c r="B4190" s="91" t="s">
        <v>100</v>
      </c>
      <c r="Q4190" s="91"/>
    </row>
    <row r="4191" spans="1:17">
      <c r="A4191" s="93" t="str">
        <f>TEXT(tblProjectlist[[#This Row],[project-no]],"0")</f>
        <v>0</v>
      </c>
      <c r="B4191" s="91" t="s">
        <v>100</v>
      </c>
      <c r="Q4191" s="91"/>
    </row>
    <row r="4192" spans="1:17">
      <c r="A4192" s="93" t="str">
        <f>TEXT(tblProjectlist[[#This Row],[project-no]],"0")</f>
        <v>0</v>
      </c>
      <c r="B4192" s="91" t="s">
        <v>100</v>
      </c>
      <c r="Q4192" s="91"/>
    </row>
    <row r="4193" spans="1:17">
      <c r="A4193" s="93" t="str">
        <f>TEXT(tblProjectlist[[#This Row],[project-no]],"0")</f>
        <v>0</v>
      </c>
      <c r="B4193" s="91" t="s">
        <v>100</v>
      </c>
      <c r="Q4193" s="91"/>
    </row>
    <row r="4194" spans="1:17">
      <c r="A4194" s="93" t="str">
        <f>TEXT(tblProjectlist[[#This Row],[project-no]],"0")</f>
        <v>0</v>
      </c>
      <c r="B4194" s="91" t="s">
        <v>100</v>
      </c>
      <c r="Q4194" s="91"/>
    </row>
    <row r="4195" spans="1:17">
      <c r="A4195" s="93" t="str">
        <f>TEXT(tblProjectlist[[#This Row],[project-no]],"0")</f>
        <v>0</v>
      </c>
      <c r="B4195" s="91" t="s">
        <v>100</v>
      </c>
      <c r="Q4195" s="91"/>
    </row>
    <row r="4196" spans="1:17">
      <c r="A4196" s="93" t="str">
        <f>TEXT(tblProjectlist[[#This Row],[project-no]],"0")</f>
        <v>0</v>
      </c>
      <c r="B4196" s="91" t="s">
        <v>100</v>
      </c>
      <c r="Q4196" s="91"/>
    </row>
    <row r="4197" spans="1:17">
      <c r="A4197" s="93" t="str">
        <f>TEXT(tblProjectlist[[#This Row],[project-no]],"0")</f>
        <v>0</v>
      </c>
      <c r="B4197" s="91" t="s">
        <v>100</v>
      </c>
      <c r="Q4197" s="91"/>
    </row>
    <row r="4198" spans="1:17">
      <c r="A4198" s="93" t="str">
        <f>TEXT(tblProjectlist[[#This Row],[project-no]],"0")</f>
        <v>0</v>
      </c>
      <c r="B4198" s="91" t="s">
        <v>100</v>
      </c>
      <c r="Q4198" s="91"/>
    </row>
    <row r="4199" spans="1:17">
      <c r="A4199" s="93" t="str">
        <f>TEXT(tblProjectlist[[#This Row],[project-no]],"0")</f>
        <v>0</v>
      </c>
      <c r="B4199" s="91" t="s">
        <v>100</v>
      </c>
      <c r="Q4199" s="91"/>
    </row>
    <row r="4200" spans="1:17">
      <c r="A4200" s="93" t="str">
        <f>TEXT(tblProjectlist[[#This Row],[project-no]],"0")</f>
        <v>0</v>
      </c>
      <c r="B4200" s="91" t="s">
        <v>100</v>
      </c>
      <c r="Q4200" s="91"/>
    </row>
    <row r="4201" spans="1:17">
      <c r="A4201" s="93" t="str">
        <f>TEXT(tblProjectlist[[#This Row],[project-no]],"0")</f>
        <v>0</v>
      </c>
      <c r="B4201" s="91" t="s">
        <v>100</v>
      </c>
      <c r="Q4201" s="91"/>
    </row>
    <row r="4202" spans="1:17">
      <c r="A4202" s="93" t="str">
        <f>TEXT(tblProjectlist[[#This Row],[project-no]],"0")</f>
        <v>0</v>
      </c>
      <c r="B4202" s="91" t="s">
        <v>100</v>
      </c>
      <c r="Q4202" s="91"/>
    </row>
    <row r="4203" spans="1:17">
      <c r="A4203" s="93" t="str">
        <f>TEXT(tblProjectlist[[#This Row],[project-no]],"0")</f>
        <v>0</v>
      </c>
      <c r="B4203" s="91" t="s">
        <v>100</v>
      </c>
      <c r="Q4203" s="91"/>
    </row>
    <row r="4204" spans="1:17">
      <c r="A4204" s="93" t="str">
        <f>TEXT(tblProjectlist[[#This Row],[project-no]],"0")</f>
        <v>0</v>
      </c>
      <c r="B4204" s="91" t="s">
        <v>100</v>
      </c>
      <c r="Q4204" s="91"/>
    </row>
    <row r="4205" spans="1:17">
      <c r="A4205" s="93" t="str">
        <f>TEXT(tblProjectlist[[#This Row],[project-no]],"0")</f>
        <v>0</v>
      </c>
      <c r="B4205" s="91" t="s">
        <v>100</v>
      </c>
      <c r="Q4205" s="91"/>
    </row>
    <row r="4206" spans="1:17">
      <c r="A4206" s="93" t="str">
        <f>TEXT(tblProjectlist[[#This Row],[project-no]],"0")</f>
        <v>0</v>
      </c>
      <c r="B4206" s="91" t="s">
        <v>100</v>
      </c>
      <c r="Q4206" s="91"/>
    </row>
    <row r="4207" spans="1:17">
      <c r="A4207" s="93" t="str">
        <f>TEXT(tblProjectlist[[#This Row],[project-no]],"0")</f>
        <v>0</v>
      </c>
      <c r="B4207" s="91" t="s">
        <v>100</v>
      </c>
      <c r="Q4207" s="91"/>
    </row>
    <row r="4208" spans="1:17">
      <c r="A4208" s="93" t="str">
        <f>TEXT(tblProjectlist[[#This Row],[project-no]],"0")</f>
        <v>0</v>
      </c>
      <c r="B4208" s="91" t="s">
        <v>100</v>
      </c>
      <c r="Q4208" s="91"/>
    </row>
    <row r="4209" spans="1:17">
      <c r="A4209" s="93" t="str">
        <f>TEXT(tblProjectlist[[#This Row],[project-no]],"0")</f>
        <v>0</v>
      </c>
      <c r="B4209" s="91" t="s">
        <v>100</v>
      </c>
      <c r="Q4209" s="91"/>
    </row>
    <row r="4210" spans="1:17">
      <c r="A4210" s="93" t="str">
        <f>TEXT(tblProjectlist[[#This Row],[project-no]],"0")</f>
        <v>0</v>
      </c>
      <c r="B4210" s="91" t="s">
        <v>100</v>
      </c>
      <c r="Q4210" s="91"/>
    </row>
    <row r="4211" spans="1:17">
      <c r="A4211" s="93" t="str">
        <f>TEXT(tblProjectlist[[#This Row],[project-no]],"0")</f>
        <v>0</v>
      </c>
      <c r="B4211" s="91" t="s">
        <v>100</v>
      </c>
      <c r="Q4211" s="91"/>
    </row>
    <row r="4212" spans="1:17">
      <c r="A4212" s="93" t="str">
        <f>TEXT(tblProjectlist[[#This Row],[project-no]],"0")</f>
        <v>0</v>
      </c>
      <c r="B4212" s="91" t="s">
        <v>100</v>
      </c>
      <c r="Q4212" s="91"/>
    </row>
    <row r="4213" spans="1:17">
      <c r="A4213" s="93" t="str">
        <f>TEXT(tblProjectlist[[#This Row],[project-no]],"0")</f>
        <v>0</v>
      </c>
      <c r="B4213" s="91" t="s">
        <v>100</v>
      </c>
      <c r="Q4213" s="91"/>
    </row>
    <row r="4214" spans="1:17">
      <c r="A4214" s="93" t="str">
        <f>TEXT(tblProjectlist[[#This Row],[project-no]],"0")</f>
        <v>0</v>
      </c>
      <c r="B4214" s="91" t="s">
        <v>100</v>
      </c>
      <c r="Q4214" s="91"/>
    </row>
    <row r="4215" spans="1:17">
      <c r="A4215" s="93" t="str">
        <f>TEXT(tblProjectlist[[#This Row],[project-no]],"0")</f>
        <v>0</v>
      </c>
      <c r="B4215" s="91" t="s">
        <v>100</v>
      </c>
      <c r="Q4215" s="91"/>
    </row>
    <row r="4216" spans="1:17">
      <c r="A4216" s="93" t="str">
        <f>TEXT(tblProjectlist[[#This Row],[project-no]],"0")</f>
        <v>0</v>
      </c>
      <c r="B4216" s="91" t="s">
        <v>100</v>
      </c>
      <c r="Q4216" s="91"/>
    </row>
    <row r="4217" spans="1:17">
      <c r="A4217" s="93" t="str">
        <f>TEXT(tblProjectlist[[#This Row],[project-no]],"0")</f>
        <v>0</v>
      </c>
      <c r="B4217" s="91" t="s">
        <v>100</v>
      </c>
      <c r="Q4217" s="91"/>
    </row>
    <row r="4218" spans="1:17">
      <c r="A4218" s="93" t="str">
        <f>TEXT(tblProjectlist[[#This Row],[project-no]],"0")</f>
        <v>0</v>
      </c>
      <c r="B4218" s="91" t="s">
        <v>100</v>
      </c>
      <c r="Q4218" s="91"/>
    </row>
    <row r="4219" spans="1:17">
      <c r="A4219" s="93" t="str">
        <f>TEXT(tblProjectlist[[#This Row],[project-no]],"0")</f>
        <v>0</v>
      </c>
      <c r="B4219" s="91" t="s">
        <v>100</v>
      </c>
      <c r="Q4219" s="91"/>
    </row>
    <row r="4220" spans="1:17">
      <c r="A4220" s="93" t="str">
        <f>TEXT(tblProjectlist[[#This Row],[project-no]],"0")</f>
        <v>0</v>
      </c>
      <c r="B4220" s="91" t="s">
        <v>100</v>
      </c>
      <c r="L4220" s="93"/>
    </row>
    <row r="4221" spans="1:17">
      <c r="A4221" s="93" t="str">
        <f>TEXT(tblProjectlist[[#This Row],[project-no]],"0")</f>
        <v>0</v>
      </c>
      <c r="B4221" s="91" t="s">
        <v>100</v>
      </c>
      <c r="L4221" s="93"/>
    </row>
    <row r="4222" spans="1:17">
      <c r="A4222" s="93" t="str">
        <f>TEXT(tblProjectlist[[#This Row],[project-no]],"0")</f>
        <v>0</v>
      </c>
      <c r="B4222" s="91" t="s">
        <v>100</v>
      </c>
      <c r="L4222" s="93"/>
    </row>
    <row r="4223" spans="1:17">
      <c r="A4223" s="93" t="str">
        <f>TEXT(tblProjectlist[[#This Row],[project-no]],"0")</f>
        <v>0</v>
      </c>
      <c r="B4223" s="91" t="s">
        <v>100</v>
      </c>
      <c r="L4223" s="93"/>
    </row>
    <row r="4224" spans="1:17">
      <c r="A4224" s="93" t="str">
        <f>TEXT(tblProjectlist[[#This Row],[project-no]],"0")</f>
        <v>0</v>
      </c>
      <c r="B4224" s="91" t="s">
        <v>100</v>
      </c>
      <c r="L4224" s="93"/>
    </row>
    <row r="4225" spans="1:12">
      <c r="A4225" s="93" t="str">
        <f>TEXT(tblProjectlist[[#This Row],[project-no]],"0")</f>
        <v>0</v>
      </c>
      <c r="B4225" s="91" t="s">
        <v>100</v>
      </c>
      <c r="L4225" s="93"/>
    </row>
    <row r="4226" spans="1:12">
      <c r="A4226" s="93" t="str">
        <f>TEXT(tblProjectlist[[#This Row],[project-no]],"0")</f>
        <v>0</v>
      </c>
      <c r="B4226" s="91" t="s">
        <v>100</v>
      </c>
      <c r="L4226" s="93"/>
    </row>
    <row r="4227" spans="1:12">
      <c r="A4227" s="93" t="str">
        <f>TEXT(tblProjectlist[[#This Row],[project-no]],"0")</f>
        <v>0</v>
      </c>
      <c r="B4227" s="91" t="s">
        <v>100</v>
      </c>
      <c r="L4227" s="93"/>
    </row>
    <row r="4228" spans="1:12">
      <c r="A4228" s="93" t="str">
        <f>TEXT(tblProjectlist[[#This Row],[project-no]],"0")</f>
        <v>0</v>
      </c>
      <c r="B4228" s="91" t="s">
        <v>100</v>
      </c>
      <c r="L4228" s="93"/>
    </row>
    <row r="4229" spans="1:12">
      <c r="A4229" s="93" t="str">
        <f>TEXT(tblProjectlist[[#This Row],[project-no]],"0")</f>
        <v>0</v>
      </c>
      <c r="B4229" s="91" t="s">
        <v>100</v>
      </c>
      <c r="L4229" s="93"/>
    </row>
    <row r="4230" spans="1:12">
      <c r="A4230" s="93" t="str">
        <f>TEXT(tblProjectlist[[#This Row],[project-no]],"0")</f>
        <v>0</v>
      </c>
      <c r="B4230" s="91" t="s">
        <v>100</v>
      </c>
      <c r="L4230" s="93"/>
    </row>
    <row r="4231" spans="1:12">
      <c r="A4231" s="93" t="str">
        <f>TEXT(tblProjectlist[[#This Row],[project-no]],"0")</f>
        <v>0</v>
      </c>
      <c r="B4231" s="91" t="s">
        <v>100</v>
      </c>
      <c r="L4231" s="93"/>
    </row>
    <row r="4232" spans="1:12">
      <c r="A4232" s="93" t="str">
        <f>TEXT(tblProjectlist[[#This Row],[project-no]],"0")</f>
        <v>0</v>
      </c>
      <c r="B4232" s="91" t="s">
        <v>100</v>
      </c>
      <c r="L4232" s="93"/>
    </row>
    <row r="4233" spans="1:12">
      <c r="A4233" s="93" t="str">
        <f>TEXT(tblProjectlist[[#This Row],[project-no]],"0")</f>
        <v>0</v>
      </c>
      <c r="B4233" s="91" t="s">
        <v>100</v>
      </c>
      <c r="L4233" s="93"/>
    </row>
    <row r="4234" spans="1:12">
      <c r="A4234" s="93" t="str">
        <f>TEXT(tblProjectlist[[#This Row],[project-no]],"0")</f>
        <v>0</v>
      </c>
      <c r="B4234" s="91" t="s">
        <v>100</v>
      </c>
      <c r="L4234" s="93"/>
    </row>
    <row r="4235" spans="1:12">
      <c r="A4235" s="93" t="str">
        <f>TEXT(tblProjectlist[[#This Row],[project-no]],"0")</f>
        <v>0</v>
      </c>
      <c r="B4235" s="91" t="s">
        <v>100</v>
      </c>
      <c r="L4235" s="93"/>
    </row>
    <row r="4236" spans="1:12">
      <c r="A4236" s="93" t="str">
        <f>TEXT(tblProjectlist[[#This Row],[project-no]],"0")</f>
        <v>0</v>
      </c>
      <c r="B4236" s="91" t="s">
        <v>100</v>
      </c>
      <c r="L4236" s="93"/>
    </row>
    <row r="4237" spans="1:12">
      <c r="A4237" s="93" t="str">
        <f>TEXT(tblProjectlist[[#This Row],[project-no]],"0")</f>
        <v>0</v>
      </c>
      <c r="B4237" s="91" t="s">
        <v>100</v>
      </c>
      <c r="L4237" s="93"/>
    </row>
    <row r="4238" spans="1:12">
      <c r="A4238" s="93" t="str">
        <f>TEXT(tblProjectlist[[#This Row],[project-no]],"0")</f>
        <v>0</v>
      </c>
      <c r="B4238" s="91" t="s">
        <v>100</v>
      </c>
      <c r="L4238" s="93"/>
    </row>
    <row r="4239" spans="1:12">
      <c r="A4239" s="93" t="str">
        <f>TEXT(tblProjectlist[[#This Row],[project-no]],"0")</f>
        <v>0</v>
      </c>
      <c r="B4239" s="91" t="s">
        <v>100</v>
      </c>
      <c r="L4239" s="93"/>
    </row>
    <row r="4240" spans="1:12">
      <c r="A4240" s="93" t="str">
        <f>TEXT(tblProjectlist[[#This Row],[project-no]],"0")</f>
        <v>0</v>
      </c>
      <c r="B4240" s="91" t="s">
        <v>100</v>
      </c>
      <c r="L4240" s="93"/>
    </row>
    <row r="4241" spans="1:12">
      <c r="A4241" s="93" t="str">
        <f>TEXT(tblProjectlist[[#This Row],[project-no]],"0")</f>
        <v>0</v>
      </c>
      <c r="B4241" s="91" t="s">
        <v>100</v>
      </c>
      <c r="L4241" s="93"/>
    </row>
    <row r="4242" spans="1:12">
      <c r="A4242" s="93" t="str">
        <f>TEXT(tblProjectlist[[#This Row],[project-no]],"0")</f>
        <v>0</v>
      </c>
      <c r="B4242" s="91" t="s">
        <v>100</v>
      </c>
      <c r="L4242" s="93"/>
    </row>
    <row r="4243" spans="1:12">
      <c r="A4243" s="93" t="str">
        <f>TEXT(tblProjectlist[[#This Row],[project-no]],"0")</f>
        <v>0</v>
      </c>
      <c r="B4243" s="91" t="s">
        <v>100</v>
      </c>
      <c r="L4243" s="93"/>
    </row>
    <row r="4244" spans="1:12">
      <c r="A4244" s="93" t="str">
        <f>TEXT(tblProjectlist[[#This Row],[project-no]],"0")</f>
        <v>0</v>
      </c>
      <c r="B4244" s="91" t="s">
        <v>100</v>
      </c>
      <c r="L4244" s="93"/>
    </row>
    <row r="4245" spans="1:12">
      <c r="A4245" s="93" t="str">
        <f>TEXT(tblProjectlist[[#This Row],[project-no]],"0")</f>
        <v>0</v>
      </c>
      <c r="B4245" s="91" t="s">
        <v>100</v>
      </c>
      <c r="L4245" s="93"/>
    </row>
    <row r="4246" spans="1:12">
      <c r="A4246" s="93" t="str">
        <f>TEXT(tblProjectlist[[#This Row],[project-no]],"0")</f>
        <v>0</v>
      </c>
      <c r="B4246" s="91" t="s">
        <v>100</v>
      </c>
      <c r="L4246" s="93"/>
    </row>
    <row r="4247" spans="1:12">
      <c r="A4247" s="93" t="str">
        <f>TEXT(tblProjectlist[[#This Row],[project-no]],"0")</f>
        <v>0</v>
      </c>
      <c r="B4247" s="91" t="s">
        <v>100</v>
      </c>
      <c r="L4247" s="93"/>
    </row>
    <row r="4248" spans="1:12">
      <c r="A4248" s="93" t="str">
        <f>TEXT(tblProjectlist[[#This Row],[project-no]],"0")</f>
        <v>0</v>
      </c>
      <c r="B4248" s="91" t="s">
        <v>100</v>
      </c>
      <c r="L4248" s="93"/>
    </row>
    <row r="4249" spans="1:12">
      <c r="A4249" s="93" t="str">
        <f>TEXT(tblProjectlist[[#This Row],[project-no]],"0")</f>
        <v>0</v>
      </c>
      <c r="B4249" s="91" t="s">
        <v>100</v>
      </c>
      <c r="L4249" s="93"/>
    </row>
    <row r="4250" spans="1:12">
      <c r="A4250" s="93" t="str">
        <f>TEXT(tblProjectlist[[#This Row],[project-no]],"0")</f>
        <v>0</v>
      </c>
      <c r="B4250" s="91" t="s">
        <v>100</v>
      </c>
      <c r="L4250" s="93"/>
    </row>
    <row r="4251" spans="1:12">
      <c r="A4251" s="93" t="str">
        <f>TEXT(tblProjectlist[[#This Row],[project-no]],"0")</f>
        <v>0</v>
      </c>
      <c r="B4251" s="91" t="s">
        <v>100</v>
      </c>
      <c r="L4251" s="93"/>
    </row>
    <row r="4252" spans="1:12">
      <c r="A4252" s="93" t="str">
        <f>TEXT(tblProjectlist[[#This Row],[project-no]],"0")</f>
        <v>0</v>
      </c>
      <c r="B4252" s="91" t="s">
        <v>100</v>
      </c>
      <c r="L4252" s="93"/>
    </row>
    <row r="4253" spans="1:12">
      <c r="A4253" s="93" t="str">
        <f>TEXT(tblProjectlist[[#This Row],[project-no]],"0")</f>
        <v>0</v>
      </c>
      <c r="B4253" s="91" t="s">
        <v>100</v>
      </c>
      <c r="L4253" s="93"/>
    </row>
    <row r="4254" spans="1:12">
      <c r="A4254" s="93" t="str">
        <f>TEXT(tblProjectlist[[#This Row],[project-no]],"0")</f>
        <v>0</v>
      </c>
      <c r="B4254" s="91" t="s">
        <v>100</v>
      </c>
      <c r="L4254" s="93"/>
    </row>
    <row r="4255" spans="1:12">
      <c r="A4255" s="93" t="str">
        <f>TEXT(tblProjectlist[[#This Row],[project-no]],"0")</f>
        <v>0</v>
      </c>
      <c r="B4255" s="91" t="s">
        <v>100</v>
      </c>
      <c r="L4255" s="93"/>
    </row>
    <row r="4256" spans="1:12">
      <c r="A4256" s="93" t="str">
        <f>TEXT(tblProjectlist[[#This Row],[project-no]],"0")</f>
        <v>0</v>
      </c>
      <c r="B4256" s="91" t="s">
        <v>100</v>
      </c>
      <c r="L4256" s="93"/>
    </row>
    <row r="4257" spans="1:12">
      <c r="A4257" s="93" t="str">
        <f>TEXT(tblProjectlist[[#This Row],[project-no]],"0")</f>
        <v>0</v>
      </c>
      <c r="B4257" s="91" t="s">
        <v>100</v>
      </c>
      <c r="L4257" s="93"/>
    </row>
    <row r="4258" spans="1:12">
      <c r="A4258" s="93" t="str">
        <f>TEXT(tblProjectlist[[#This Row],[project-no]],"0")</f>
        <v>0</v>
      </c>
      <c r="B4258" s="91" t="s">
        <v>100</v>
      </c>
      <c r="L4258" s="93"/>
    </row>
    <row r="4259" spans="1:12">
      <c r="A4259" s="93" t="str">
        <f>TEXT(tblProjectlist[[#This Row],[project-no]],"0")</f>
        <v>0</v>
      </c>
      <c r="B4259" s="91" t="s">
        <v>100</v>
      </c>
      <c r="L4259" s="93"/>
    </row>
    <row r="4260" spans="1:12">
      <c r="A4260" s="93" t="str">
        <f>TEXT(tblProjectlist[[#This Row],[project-no]],"0")</f>
        <v>0</v>
      </c>
      <c r="B4260" s="91" t="s">
        <v>100</v>
      </c>
      <c r="L4260" s="93"/>
    </row>
    <row r="4261" spans="1:12">
      <c r="A4261" s="93" t="str">
        <f>TEXT(tblProjectlist[[#This Row],[project-no]],"0")</f>
        <v>0</v>
      </c>
      <c r="B4261" s="91" t="s">
        <v>100</v>
      </c>
      <c r="L4261" s="93"/>
    </row>
    <row r="4262" spans="1:12">
      <c r="A4262" s="93" t="str">
        <f>TEXT(tblProjectlist[[#This Row],[project-no]],"0")</f>
        <v>0</v>
      </c>
      <c r="B4262" s="91" t="s">
        <v>100</v>
      </c>
      <c r="L4262" s="93"/>
    </row>
    <row r="4263" spans="1:12">
      <c r="A4263" s="93" t="str">
        <f>TEXT(tblProjectlist[[#This Row],[project-no]],"0")</f>
        <v>0</v>
      </c>
      <c r="B4263" s="91" t="s">
        <v>100</v>
      </c>
      <c r="L4263" s="93"/>
    </row>
    <row r="4264" spans="1:12">
      <c r="A4264" s="93" t="str">
        <f>TEXT(tblProjectlist[[#This Row],[project-no]],"0")</f>
        <v>0</v>
      </c>
      <c r="B4264" s="91" t="s">
        <v>100</v>
      </c>
      <c r="L4264" s="93"/>
    </row>
    <row r="4265" spans="1:12">
      <c r="A4265" s="93" t="str">
        <f>TEXT(tblProjectlist[[#This Row],[project-no]],"0")</f>
        <v>0</v>
      </c>
      <c r="B4265" s="91" t="s">
        <v>100</v>
      </c>
      <c r="L4265" s="93"/>
    </row>
    <row r="4266" spans="1:12">
      <c r="A4266" s="93" t="str">
        <f>TEXT(tblProjectlist[[#This Row],[project-no]],"0")</f>
        <v>0</v>
      </c>
      <c r="B4266" s="91" t="s">
        <v>100</v>
      </c>
      <c r="L4266" s="93"/>
    </row>
    <row r="4267" spans="1:12">
      <c r="A4267" s="93" t="str">
        <f>TEXT(tblProjectlist[[#This Row],[project-no]],"0")</f>
        <v>0</v>
      </c>
      <c r="B4267" s="91" t="s">
        <v>100</v>
      </c>
      <c r="L4267" s="93"/>
    </row>
    <row r="4268" spans="1:12">
      <c r="A4268" s="93" t="str">
        <f>TEXT(tblProjectlist[[#This Row],[project-no]],"0")</f>
        <v>0</v>
      </c>
      <c r="B4268" s="91" t="s">
        <v>100</v>
      </c>
      <c r="L4268" s="93"/>
    </row>
    <row r="4269" spans="1:12">
      <c r="A4269" s="93" t="str">
        <f>TEXT(tblProjectlist[[#This Row],[project-no]],"0")</f>
        <v>0</v>
      </c>
      <c r="B4269" s="91" t="s">
        <v>100</v>
      </c>
      <c r="L4269" s="93"/>
    </row>
    <row r="4270" spans="1:12">
      <c r="A4270" s="93" t="str">
        <f>TEXT(tblProjectlist[[#This Row],[project-no]],"0")</f>
        <v>0</v>
      </c>
      <c r="B4270" s="91" t="s">
        <v>100</v>
      </c>
      <c r="L4270" s="93"/>
    </row>
    <row r="4271" spans="1:12">
      <c r="A4271" s="93" t="str">
        <f>TEXT(tblProjectlist[[#This Row],[project-no]],"0")</f>
        <v>0</v>
      </c>
      <c r="B4271" s="91" t="s">
        <v>100</v>
      </c>
      <c r="L4271" s="93"/>
    </row>
    <row r="4272" spans="1:12">
      <c r="A4272" s="93" t="str">
        <f>TEXT(tblProjectlist[[#This Row],[project-no]],"0")</f>
        <v>0</v>
      </c>
      <c r="L4272" s="93"/>
    </row>
    <row r="4273" spans="1:12">
      <c r="A4273" s="93" t="str">
        <f>TEXT(tblProjectlist[[#This Row],[project-no]],"0")</f>
        <v>0</v>
      </c>
      <c r="L4273" s="93"/>
    </row>
    <row r="4274" spans="1:12">
      <c r="A4274" s="93" t="str">
        <f>TEXT(tblProjectlist[[#This Row],[project-no]],"0")</f>
        <v>0</v>
      </c>
      <c r="L4274" s="93"/>
    </row>
    <row r="4275" spans="1:12">
      <c r="A4275" s="93" t="str">
        <f>TEXT(tblProjectlist[[#This Row],[project-no]],"0")</f>
        <v>0</v>
      </c>
      <c r="L4275" s="93"/>
    </row>
    <row r="4276" spans="1:12">
      <c r="A4276" s="93" t="str">
        <f>TEXT(tblProjectlist[[#This Row],[project-no]],"0")</f>
        <v>0</v>
      </c>
      <c r="L4276" s="93"/>
    </row>
    <row r="4277" spans="1:12">
      <c r="A4277" s="93" t="str">
        <f>TEXT(tblProjectlist[[#This Row],[project-no]],"0")</f>
        <v>0</v>
      </c>
      <c r="L4277" s="93"/>
    </row>
    <row r="4278" spans="1:12">
      <c r="A4278" s="93" t="str">
        <f>TEXT(tblProjectlist[[#This Row],[project-no]],"0")</f>
        <v>0</v>
      </c>
      <c r="L4278" s="93"/>
    </row>
    <row r="4279" spans="1:12">
      <c r="A4279" s="93" t="str">
        <f>TEXT(tblProjectlist[[#This Row],[project-no]],"0")</f>
        <v>0</v>
      </c>
      <c r="L4279" s="93"/>
    </row>
    <row r="4280" spans="1:12">
      <c r="A4280" s="93" t="str">
        <f>TEXT(tblProjectlist[[#This Row],[project-no]],"0")</f>
        <v>0</v>
      </c>
      <c r="L4280" s="93"/>
    </row>
    <row r="4281" spans="1:12">
      <c r="A4281" s="93" t="str">
        <f>TEXT(tblProjectlist[[#This Row],[project-no]],"0")</f>
        <v>0</v>
      </c>
      <c r="L4281" s="93"/>
    </row>
    <row r="4282" spans="1:12">
      <c r="A4282" s="93" t="str">
        <f>TEXT(tblProjectlist[[#This Row],[project-no]],"0")</f>
        <v>0</v>
      </c>
      <c r="L4282" s="93"/>
    </row>
    <row r="4283" spans="1:12">
      <c r="A4283" s="93" t="str">
        <f>TEXT(tblProjectlist[[#This Row],[project-no]],"0")</f>
        <v>0</v>
      </c>
      <c r="L4283" s="93"/>
    </row>
    <row r="4284" spans="1:12">
      <c r="A4284" s="93" t="str">
        <f>TEXT(tblProjectlist[[#This Row],[project-no]],"0")</f>
        <v>0</v>
      </c>
      <c r="L4284" s="93"/>
    </row>
    <row r="4285" spans="1:12">
      <c r="A4285" s="93" t="str">
        <f>TEXT(tblProjectlist[[#This Row],[project-no]],"0")</f>
        <v>0</v>
      </c>
      <c r="L4285" s="93"/>
    </row>
    <row r="4286" spans="1:12">
      <c r="A4286" s="93" t="str">
        <f>TEXT(tblProjectlist[[#This Row],[project-no]],"0")</f>
        <v>0</v>
      </c>
      <c r="L4286" s="93"/>
    </row>
    <row r="4287" spans="1:12">
      <c r="A4287" s="93" t="str">
        <f>TEXT(tblProjectlist[[#This Row],[project-no]],"0")</f>
        <v>0</v>
      </c>
      <c r="L4287" s="93"/>
    </row>
    <row r="4288" spans="1:12">
      <c r="A4288" s="93" t="str">
        <f>TEXT(tblProjectlist[[#This Row],[project-no]],"0")</f>
        <v>0</v>
      </c>
      <c r="L4288" s="93"/>
    </row>
    <row r="4289" spans="1:12">
      <c r="A4289" s="93" t="str">
        <f>TEXT(tblProjectlist[[#This Row],[project-no]],"0")</f>
        <v>0</v>
      </c>
      <c r="L4289" s="93"/>
    </row>
    <row r="4290" spans="1:12">
      <c r="A4290" s="93" t="str">
        <f>TEXT(tblProjectlist[[#This Row],[project-no]],"0")</f>
        <v>0</v>
      </c>
      <c r="L4290" s="93"/>
    </row>
    <row r="4291" spans="1:12">
      <c r="A4291" s="93" t="str">
        <f>TEXT(tblProjectlist[[#This Row],[project-no]],"0")</f>
        <v>0</v>
      </c>
      <c r="L4291" s="93"/>
    </row>
    <row r="4292" spans="1:12">
      <c r="A4292" s="93" t="str">
        <f>TEXT(tblProjectlist[[#This Row],[project-no]],"0")</f>
        <v>0</v>
      </c>
      <c r="L4292" s="93"/>
    </row>
    <row r="4293" spans="1:12">
      <c r="A4293" s="93" t="str">
        <f>TEXT(tblProjectlist[[#This Row],[project-no]],"0")</f>
        <v>0</v>
      </c>
      <c r="L4293" s="93"/>
    </row>
    <row r="4294" spans="1:12">
      <c r="A4294" s="93" t="str">
        <f>TEXT(tblProjectlist[[#This Row],[project-no]],"0")</f>
        <v>0</v>
      </c>
      <c r="L4294" s="93"/>
    </row>
    <row r="4295" spans="1:12">
      <c r="A4295" s="93" t="str">
        <f>TEXT(tblProjectlist[[#This Row],[project-no]],"0")</f>
        <v>0</v>
      </c>
      <c r="L4295" s="93"/>
    </row>
    <row r="4296" spans="1:12">
      <c r="A4296" s="93" t="str">
        <f>TEXT(tblProjectlist[[#This Row],[project-no]],"0")</f>
        <v>0</v>
      </c>
      <c r="L4296" s="93"/>
    </row>
    <row r="4297" spans="1:12">
      <c r="A4297" s="93" t="str">
        <f>TEXT(tblProjectlist[[#This Row],[project-no]],"0")</f>
        <v>0</v>
      </c>
      <c r="L4297" s="93"/>
    </row>
    <row r="4298" spans="1:12">
      <c r="A4298" s="93" t="str">
        <f>TEXT(tblProjectlist[[#This Row],[project-no]],"0")</f>
        <v>0</v>
      </c>
      <c r="L4298" s="93"/>
    </row>
    <row r="4299" spans="1:12">
      <c r="A4299" s="93" t="str">
        <f>TEXT(tblProjectlist[[#This Row],[project-no]],"0")</f>
        <v>0</v>
      </c>
      <c r="L4299" s="93"/>
    </row>
    <row r="4300" spans="1:12">
      <c r="A4300" s="93" t="str">
        <f>TEXT(tblProjectlist[[#This Row],[project-no]],"0")</f>
        <v>0</v>
      </c>
      <c r="L4300" s="93"/>
    </row>
    <row r="4301" spans="1:12">
      <c r="A4301" s="93" t="str">
        <f>TEXT(tblProjectlist[[#This Row],[project-no]],"0")</f>
        <v>0</v>
      </c>
      <c r="L4301" s="93"/>
    </row>
    <row r="4302" spans="1:12">
      <c r="A4302" s="93" t="str">
        <f>TEXT(tblProjectlist[[#This Row],[project-no]],"0")</f>
        <v>0</v>
      </c>
      <c r="L4302" s="93"/>
    </row>
    <row r="4303" spans="1:12">
      <c r="A4303" s="93" t="str">
        <f>TEXT(tblProjectlist[[#This Row],[project-no]],"0")</f>
        <v>0</v>
      </c>
      <c r="L4303" s="93"/>
    </row>
    <row r="4304" spans="1:12">
      <c r="A4304" s="93" t="str">
        <f>TEXT(tblProjectlist[[#This Row],[project-no]],"0")</f>
        <v>0</v>
      </c>
      <c r="L4304" s="93"/>
    </row>
    <row r="4305" spans="1:12">
      <c r="A4305" s="93" t="str">
        <f>TEXT(tblProjectlist[[#This Row],[project-no]],"0")</f>
        <v>0</v>
      </c>
      <c r="L4305" s="93"/>
    </row>
    <row r="4306" spans="1:12">
      <c r="A4306" s="93" t="str">
        <f>TEXT(tblProjectlist[[#This Row],[project-no]],"0")</f>
        <v>0</v>
      </c>
      <c r="L4306" s="93"/>
    </row>
    <row r="4307" spans="1:12">
      <c r="A4307" s="93" t="str">
        <f>TEXT(tblProjectlist[[#This Row],[project-no]],"0")</f>
        <v>0</v>
      </c>
      <c r="L4307" s="93"/>
    </row>
    <row r="4308" spans="1:12">
      <c r="A4308" s="93" t="str">
        <f>TEXT(tblProjectlist[[#This Row],[project-no]],"0")</f>
        <v>0</v>
      </c>
      <c r="L4308" s="93"/>
    </row>
    <row r="4309" spans="1:12">
      <c r="A4309" s="93" t="str">
        <f>TEXT(tblProjectlist[[#This Row],[project-no]],"0")</f>
        <v>0</v>
      </c>
      <c r="L4309" s="93"/>
    </row>
    <row r="4310" spans="1:12">
      <c r="A4310" s="93" t="str">
        <f>TEXT(tblProjectlist[[#This Row],[project-no]],"0")</f>
        <v>0</v>
      </c>
      <c r="L4310" s="93"/>
    </row>
    <row r="4311" spans="1:12">
      <c r="A4311" s="93" t="str">
        <f>TEXT(tblProjectlist[[#This Row],[project-no]],"0")</f>
        <v>0</v>
      </c>
      <c r="L4311" s="93"/>
    </row>
    <row r="4312" spans="1:12">
      <c r="A4312" s="93" t="str">
        <f>TEXT(tblProjectlist[[#This Row],[project-no]],"0")</f>
        <v>0</v>
      </c>
      <c r="L4312" s="93"/>
    </row>
    <row r="4313" spans="1:12">
      <c r="A4313" s="93" t="str">
        <f>TEXT(tblProjectlist[[#This Row],[project-no]],"0")</f>
        <v>0</v>
      </c>
      <c r="L4313" s="93"/>
    </row>
    <row r="4314" spans="1:12">
      <c r="A4314" s="93" t="str">
        <f>TEXT(tblProjectlist[[#This Row],[project-no]],"0")</f>
        <v>0</v>
      </c>
      <c r="L4314" s="93"/>
    </row>
    <row r="4315" spans="1:12">
      <c r="A4315" s="93" t="str">
        <f>TEXT(tblProjectlist[[#This Row],[project-no]],"0")</f>
        <v>0</v>
      </c>
      <c r="L4315" s="93"/>
    </row>
    <row r="4316" spans="1:12">
      <c r="A4316" s="93" t="str">
        <f>TEXT(tblProjectlist[[#This Row],[project-no]],"0")</f>
        <v>0</v>
      </c>
      <c r="L4316" s="93"/>
    </row>
    <row r="4317" spans="1:12">
      <c r="A4317" s="93" t="str">
        <f>TEXT(tblProjectlist[[#This Row],[project-no]],"0")</f>
        <v>0</v>
      </c>
      <c r="L4317" s="93"/>
    </row>
    <row r="4318" spans="1:12">
      <c r="A4318" s="93" t="str">
        <f>TEXT(tblProjectlist[[#This Row],[project-no]],"0")</f>
        <v>0</v>
      </c>
      <c r="L4318" s="93"/>
    </row>
    <row r="4319" spans="1:12">
      <c r="A4319" s="93" t="str">
        <f>TEXT(tblProjectlist[[#This Row],[project-no]],"0")</f>
        <v>0</v>
      </c>
      <c r="L4319" s="93"/>
    </row>
    <row r="4320" spans="1:12">
      <c r="A4320" s="93" t="str">
        <f>TEXT(tblProjectlist[[#This Row],[project-no]],"0")</f>
        <v>0</v>
      </c>
      <c r="L4320" s="93"/>
    </row>
    <row r="4321" spans="1:12">
      <c r="A4321" s="93" t="str">
        <f>TEXT(tblProjectlist[[#This Row],[project-no]],"0")</f>
        <v>0</v>
      </c>
      <c r="L4321" s="93"/>
    </row>
    <row r="4322" spans="1:12">
      <c r="A4322" s="93" t="str">
        <f>TEXT(tblProjectlist[[#This Row],[project-no]],"0")</f>
        <v>0</v>
      </c>
      <c r="L4322" s="93"/>
    </row>
    <row r="4323" spans="1:12">
      <c r="A4323" s="93" t="str">
        <f>TEXT(tblProjectlist[[#This Row],[project-no]],"0")</f>
        <v>0</v>
      </c>
      <c r="L4323" s="93"/>
    </row>
    <row r="4324" spans="1:12">
      <c r="A4324" s="93" t="str">
        <f>TEXT(tblProjectlist[[#This Row],[project-no]],"0")</f>
        <v>0</v>
      </c>
      <c r="L4324" s="93"/>
    </row>
    <row r="4325" spans="1:12">
      <c r="A4325" s="93" t="str">
        <f>TEXT(tblProjectlist[[#This Row],[project-no]],"0")</f>
        <v>0</v>
      </c>
      <c r="L4325" s="93"/>
    </row>
    <row r="4326" spans="1:12">
      <c r="A4326" s="93" t="str">
        <f>TEXT(tblProjectlist[[#This Row],[project-no]],"0")</f>
        <v>0</v>
      </c>
      <c r="L4326" s="93"/>
    </row>
    <row r="4327" spans="1:12">
      <c r="A4327" s="93" t="str">
        <f>TEXT(tblProjectlist[[#This Row],[project-no]],"0")</f>
        <v>0</v>
      </c>
      <c r="L4327" s="93"/>
    </row>
    <row r="4328" spans="1:12">
      <c r="A4328" s="93" t="str">
        <f>TEXT(tblProjectlist[[#This Row],[project-no]],"0")</f>
        <v>0</v>
      </c>
      <c r="L4328" s="93"/>
    </row>
    <row r="4329" spans="1:12">
      <c r="A4329" s="93" t="str">
        <f>TEXT(tblProjectlist[[#This Row],[project-no]],"0")</f>
        <v>0</v>
      </c>
      <c r="L4329" s="93"/>
    </row>
    <row r="4330" spans="1:12">
      <c r="A4330" s="93" t="str">
        <f>TEXT(tblProjectlist[[#This Row],[project-no]],"0")</f>
        <v>0</v>
      </c>
      <c r="L4330" s="93"/>
    </row>
    <row r="4331" spans="1:12">
      <c r="A4331" s="93" t="str">
        <f>TEXT(tblProjectlist[[#This Row],[project-no]],"0")</f>
        <v>0</v>
      </c>
      <c r="L4331" s="93"/>
    </row>
    <row r="4332" spans="1:12">
      <c r="A4332" s="93" t="str">
        <f>TEXT(tblProjectlist[[#This Row],[project-no]],"0")</f>
        <v>0</v>
      </c>
      <c r="L4332" s="93"/>
    </row>
    <row r="4333" spans="1:12">
      <c r="A4333" s="93" t="str">
        <f>TEXT(tblProjectlist[[#This Row],[project-no]],"0")</f>
        <v>0</v>
      </c>
      <c r="L4333" s="93"/>
    </row>
    <row r="4334" spans="1:12">
      <c r="A4334" s="93" t="str">
        <f>TEXT(tblProjectlist[[#This Row],[project-no]],"0")</f>
        <v>0</v>
      </c>
      <c r="L4334" s="93"/>
    </row>
    <row r="4335" spans="1:12">
      <c r="A4335" s="93" t="str">
        <f>TEXT(tblProjectlist[[#This Row],[project-no]],"0")</f>
        <v>0</v>
      </c>
      <c r="L4335" s="93"/>
    </row>
    <row r="4336" spans="1:12">
      <c r="A4336" s="93" t="str">
        <f>TEXT(tblProjectlist[[#This Row],[project-no]],"0")</f>
        <v>0</v>
      </c>
      <c r="L4336" s="93"/>
    </row>
    <row r="4337" spans="1:12">
      <c r="A4337" s="93" t="str">
        <f>TEXT(tblProjectlist[[#This Row],[project-no]],"0")</f>
        <v>0</v>
      </c>
      <c r="L4337" s="93"/>
    </row>
    <row r="4338" spans="1:12">
      <c r="A4338" s="93" t="str">
        <f>TEXT(tblProjectlist[[#This Row],[project-no]],"0")</f>
        <v>0</v>
      </c>
      <c r="L4338" s="93"/>
    </row>
    <row r="4339" spans="1:12">
      <c r="A4339" s="93" t="str">
        <f>TEXT(tblProjectlist[[#This Row],[project-no]],"0")</f>
        <v>0</v>
      </c>
      <c r="L4339" s="93"/>
    </row>
    <row r="4340" spans="1:12">
      <c r="A4340" s="93" t="str">
        <f>TEXT(tblProjectlist[[#This Row],[project-no]],"0")</f>
        <v>0</v>
      </c>
      <c r="L4340" s="93"/>
    </row>
    <row r="4341" spans="1:12">
      <c r="A4341" s="93" t="str">
        <f>TEXT(tblProjectlist[[#This Row],[project-no]],"0")</f>
        <v>0</v>
      </c>
      <c r="L4341" s="93"/>
    </row>
    <row r="4342" spans="1:12">
      <c r="A4342" s="93" t="str">
        <f>TEXT(tblProjectlist[[#This Row],[project-no]],"0")</f>
        <v>0</v>
      </c>
      <c r="L4342" s="93"/>
    </row>
    <row r="4343" spans="1:12">
      <c r="A4343" s="93" t="str">
        <f>TEXT(tblProjectlist[[#This Row],[project-no]],"0")</f>
        <v>0</v>
      </c>
      <c r="L4343" s="93"/>
    </row>
    <row r="4344" spans="1:12">
      <c r="A4344" s="93" t="str">
        <f>TEXT(tblProjectlist[[#This Row],[project-no]],"0")</f>
        <v>0</v>
      </c>
      <c r="L4344" s="93"/>
    </row>
    <row r="4345" spans="1:12">
      <c r="A4345" s="93" t="str">
        <f>TEXT(tblProjectlist[[#This Row],[project-no]],"0")</f>
        <v>0</v>
      </c>
      <c r="L4345" s="93"/>
    </row>
    <row r="4346" spans="1:12">
      <c r="A4346" s="93" t="str">
        <f>TEXT(tblProjectlist[[#This Row],[project-no]],"0")</f>
        <v>0</v>
      </c>
      <c r="L4346" s="93"/>
    </row>
    <row r="4347" spans="1:12">
      <c r="A4347" s="93" t="str">
        <f>TEXT(tblProjectlist[[#This Row],[project-no]],"0")</f>
        <v>0</v>
      </c>
      <c r="L4347" s="93"/>
    </row>
    <row r="4348" spans="1:12">
      <c r="A4348" s="93" t="str">
        <f>TEXT(tblProjectlist[[#This Row],[project-no]],"0")</f>
        <v>0</v>
      </c>
      <c r="L4348" s="93"/>
    </row>
    <row r="4349" spans="1:12">
      <c r="A4349" s="93" t="str">
        <f>TEXT(tblProjectlist[[#This Row],[project-no]],"0")</f>
        <v>0</v>
      </c>
      <c r="L4349" s="93"/>
    </row>
    <row r="4350" spans="1:12">
      <c r="A4350" s="93" t="str">
        <f>TEXT(tblProjectlist[[#This Row],[project-no]],"0")</f>
        <v>0</v>
      </c>
      <c r="L4350" s="93"/>
    </row>
    <row r="4351" spans="1:12">
      <c r="A4351" s="93" t="str">
        <f>TEXT(tblProjectlist[[#This Row],[project-no]],"0")</f>
        <v>0</v>
      </c>
      <c r="L4351" s="93"/>
    </row>
    <row r="4352" spans="1:12">
      <c r="A4352" s="93" t="str">
        <f>TEXT(tblProjectlist[[#This Row],[project-no]],"0")</f>
        <v>0</v>
      </c>
      <c r="L4352" s="93"/>
    </row>
    <row r="4353" spans="1:12">
      <c r="A4353" s="93" t="str">
        <f>TEXT(tblProjectlist[[#This Row],[project-no]],"0")</f>
        <v>0</v>
      </c>
      <c r="L4353" s="93"/>
    </row>
    <row r="4354" spans="1:12">
      <c r="A4354" s="93" t="str">
        <f>TEXT(tblProjectlist[[#This Row],[project-no]],"0")</f>
        <v>0</v>
      </c>
      <c r="L4354" s="93"/>
    </row>
    <row r="4355" spans="1:12">
      <c r="A4355" s="93" t="str">
        <f>TEXT(tblProjectlist[[#This Row],[project-no]],"0")</f>
        <v>0</v>
      </c>
      <c r="L4355" s="93"/>
    </row>
    <row r="4356" spans="1:12">
      <c r="A4356" s="93" t="str">
        <f>TEXT(tblProjectlist[[#This Row],[project-no]],"0")</f>
        <v>0</v>
      </c>
      <c r="L4356" s="93"/>
    </row>
    <row r="4357" spans="1:12">
      <c r="A4357" s="93" t="str">
        <f>TEXT(tblProjectlist[[#This Row],[project-no]],"0")</f>
        <v>0</v>
      </c>
      <c r="L4357" s="93"/>
    </row>
    <row r="4358" spans="1:12">
      <c r="A4358" s="93" t="str">
        <f>TEXT(tblProjectlist[[#This Row],[project-no]],"0")</f>
        <v>0</v>
      </c>
      <c r="L4358" s="93"/>
    </row>
    <row r="4359" spans="1:12">
      <c r="A4359" s="93" t="str">
        <f>TEXT(tblProjectlist[[#This Row],[project-no]],"0")</f>
        <v>0</v>
      </c>
      <c r="L4359" s="93"/>
    </row>
    <row r="4360" spans="1:12">
      <c r="A4360" s="93" t="str">
        <f>TEXT(tblProjectlist[[#This Row],[project-no]],"0")</f>
        <v>0</v>
      </c>
      <c r="L4360" s="93"/>
    </row>
    <row r="4361" spans="1:12">
      <c r="A4361" s="93" t="str">
        <f>TEXT(tblProjectlist[[#This Row],[project-no]],"0")</f>
        <v>0</v>
      </c>
      <c r="L4361" s="93"/>
    </row>
    <row r="4362" spans="1:12">
      <c r="A4362" s="93" t="str">
        <f>TEXT(tblProjectlist[[#This Row],[project-no]],"0")</f>
        <v>0</v>
      </c>
      <c r="L4362" s="93"/>
    </row>
    <row r="4363" spans="1:12">
      <c r="A4363" s="93" t="str">
        <f>TEXT(tblProjectlist[[#This Row],[project-no]],"0")</f>
        <v>0</v>
      </c>
      <c r="L4363" s="93"/>
    </row>
    <row r="4364" spans="1:12">
      <c r="A4364" s="93" t="str">
        <f>TEXT(tblProjectlist[[#This Row],[project-no]],"0")</f>
        <v>0</v>
      </c>
      <c r="L4364" s="93"/>
    </row>
    <row r="4365" spans="1:12">
      <c r="A4365" s="93" t="str">
        <f>TEXT(tblProjectlist[[#This Row],[project-no]],"0")</f>
        <v>0</v>
      </c>
      <c r="L4365" s="93"/>
    </row>
    <row r="4366" spans="1:12">
      <c r="A4366" s="93" t="str">
        <f>TEXT(tblProjectlist[[#This Row],[project-no]],"0")</f>
        <v>0</v>
      </c>
      <c r="L4366" s="93"/>
    </row>
    <row r="4367" spans="1:12">
      <c r="A4367" s="93" t="str">
        <f>TEXT(tblProjectlist[[#This Row],[project-no]],"0")</f>
        <v>0</v>
      </c>
      <c r="L4367" s="93"/>
    </row>
    <row r="4368" spans="1:12">
      <c r="A4368" s="93" t="str">
        <f>TEXT(tblProjectlist[[#This Row],[project-no]],"0")</f>
        <v>0</v>
      </c>
      <c r="L4368" s="93"/>
    </row>
    <row r="4369" spans="1:12">
      <c r="A4369" s="93" t="str">
        <f>TEXT(tblProjectlist[[#This Row],[project-no]],"0")</f>
        <v>0</v>
      </c>
      <c r="L4369" s="93"/>
    </row>
    <row r="4370" spans="1:12">
      <c r="A4370" s="93" t="str">
        <f>TEXT(tblProjectlist[[#This Row],[project-no]],"0")</f>
        <v>0</v>
      </c>
      <c r="L4370" s="93"/>
    </row>
    <row r="4371" spans="1:12">
      <c r="A4371" s="93" t="str">
        <f>TEXT(tblProjectlist[[#This Row],[project-no]],"0")</f>
        <v>0</v>
      </c>
      <c r="L4371" s="93"/>
    </row>
    <row r="4372" spans="1:12">
      <c r="A4372" s="93" t="str">
        <f>TEXT(tblProjectlist[[#This Row],[project-no]],"0")</f>
        <v>0</v>
      </c>
      <c r="L4372" s="93"/>
    </row>
    <row r="4373" spans="1:12">
      <c r="A4373" s="93" t="str">
        <f>TEXT(tblProjectlist[[#This Row],[project-no]],"0")</f>
        <v>0</v>
      </c>
      <c r="L4373" s="93"/>
    </row>
    <row r="4374" spans="1:12">
      <c r="A4374" s="93" t="str">
        <f>TEXT(tblProjectlist[[#This Row],[project-no]],"0")</f>
        <v>0</v>
      </c>
      <c r="L4374" s="93"/>
    </row>
    <row r="4375" spans="1:12">
      <c r="A4375" s="93" t="str">
        <f>TEXT(tblProjectlist[[#This Row],[project-no]],"0")</f>
        <v>0</v>
      </c>
      <c r="L4375" s="93"/>
    </row>
    <row r="4376" spans="1:12">
      <c r="A4376" s="93" t="str">
        <f>TEXT(tblProjectlist[[#This Row],[project-no]],"0")</f>
        <v>0</v>
      </c>
      <c r="L4376" s="93"/>
    </row>
    <row r="4377" spans="1:12">
      <c r="A4377" s="93" t="str">
        <f>TEXT(tblProjectlist[[#This Row],[project-no]],"0")</f>
        <v>0</v>
      </c>
      <c r="L4377" s="93"/>
    </row>
    <row r="4378" spans="1:12">
      <c r="A4378" s="93" t="str">
        <f>TEXT(tblProjectlist[[#This Row],[project-no]],"0")</f>
        <v>0</v>
      </c>
      <c r="L4378" s="93"/>
    </row>
    <row r="4379" spans="1:12">
      <c r="A4379" s="93" t="str">
        <f>TEXT(tblProjectlist[[#This Row],[project-no]],"0")</f>
        <v>0</v>
      </c>
      <c r="L4379" s="93"/>
    </row>
    <row r="4380" spans="1:12">
      <c r="A4380" s="93" t="str">
        <f>TEXT(tblProjectlist[[#This Row],[project-no]],"0")</f>
        <v>0</v>
      </c>
      <c r="L4380" s="93"/>
    </row>
    <row r="4381" spans="1:12">
      <c r="A4381" s="93" t="str">
        <f>TEXT(tblProjectlist[[#This Row],[project-no]],"0")</f>
        <v>0</v>
      </c>
      <c r="L4381" s="93"/>
    </row>
    <row r="4382" spans="1:12">
      <c r="A4382" s="93" t="str">
        <f>TEXT(tblProjectlist[[#This Row],[project-no]],"0")</f>
        <v>0</v>
      </c>
      <c r="L4382" s="93"/>
    </row>
    <row r="4383" spans="1:12">
      <c r="A4383" s="93" t="str">
        <f>TEXT(tblProjectlist[[#This Row],[project-no]],"0")</f>
        <v>0</v>
      </c>
      <c r="L4383" s="93"/>
    </row>
    <row r="4384" spans="1:12">
      <c r="A4384" s="93" t="str">
        <f>TEXT(tblProjectlist[[#This Row],[project-no]],"0")</f>
        <v>0</v>
      </c>
      <c r="L4384" s="93"/>
    </row>
    <row r="4385" spans="1:12">
      <c r="A4385" s="93" t="str">
        <f>TEXT(tblProjectlist[[#This Row],[project-no]],"0")</f>
        <v>0</v>
      </c>
      <c r="L4385" s="93"/>
    </row>
    <row r="4386" spans="1:12">
      <c r="A4386" s="93" t="str">
        <f>TEXT(tblProjectlist[[#This Row],[project-no]],"0")</f>
        <v>0</v>
      </c>
      <c r="L4386" s="93"/>
    </row>
    <row r="4387" spans="1:12">
      <c r="A4387" s="93" t="str">
        <f>TEXT(tblProjectlist[[#This Row],[project-no]],"0")</f>
        <v>0</v>
      </c>
      <c r="L4387" s="93"/>
    </row>
    <row r="4388" spans="1:12">
      <c r="A4388" s="93" t="str">
        <f>TEXT(tblProjectlist[[#This Row],[project-no]],"0")</f>
        <v>0</v>
      </c>
      <c r="L4388" s="93"/>
    </row>
    <row r="4389" spans="1:12">
      <c r="A4389" s="93" t="str">
        <f>TEXT(tblProjectlist[[#This Row],[project-no]],"0")</f>
        <v>0</v>
      </c>
      <c r="L4389" s="93"/>
    </row>
    <row r="4390" spans="1:12">
      <c r="A4390" s="93" t="str">
        <f>TEXT(tblProjectlist[[#This Row],[project-no]],"0")</f>
        <v>0</v>
      </c>
      <c r="L4390" s="93"/>
    </row>
    <row r="4391" spans="1:12">
      <c r="A4391" s="93" t="str">
        <f>TEXT(tblProjectlist[[#This Row],[project-no]],"0")</f>
        <v>0</v>
      </c>
      <c r="L4391" s="93"/>
    </row>
    <row r="4392" spans="1:12">
      <c r="A4392" s="93" t="str">
        <f>TEXT(tblProjectlist[[#This Row],[project-no]],"0")</f>
        <v>0</v>
      </c>
      <c r="L4392" s="93"/>
    </row>
    <row r="4393" spans="1:12">
      <c r="A4393" s="93" t="str">
        <f>TEXT(tblProjectlist[[#This Row],[project-no]],"0")</f>
        <v>0</v>
      </c>
      <c r="L4393" s="93"/>
    </row>
    <row r="4394" spans="1:12">
      <c r="A4394" s="93" t="str">
        <f>TEXT(tblProjectlist[[#This Row],[project-no]],"0")</f>
        <v>0</v>
      </c>
      <c r="L4394" s="93"/>
    </row>
    <row r="4395" spans="1:12">
      <c r="A4395" s="93" t="str">
        <f>TEXT(tblProjectlist[[#This Row],[project-no]],"0")</f>
        <v>0</v>
      </c>
      <c r="L4395" s="93"/>
    </row>
    <row r="4396" spans="1:12">
      <c r="A4396" s="93" t="str">
        <f>TEXT(tblProjectlist[[#This Row],[project-no]],"0")</f>
        <v>0</v>
      </c>
      <c r="L4396" s="93"/>
    </row>
    <row r="4397" spans="1:12">
      <c r="A4397" s="93" t="str">
        <f>TEXT(tblProjectlist[[#This Row],[project-no]],"0")</f>
        <v>0</v>
      </c>
      <c r="L4397" s="93"/>
    </row>
    <row r="4398" spans="1:12">
      <c r="A4398" s="93" t="str">
        <f>TEXT(tblProjectlist[[#This Row],[project-no]],"0")</f>
        <v>0</v>
      </c>
      <c r="L4398" s="93"/>
    </row>
    <row r="4399" spans="1:12">
      <c r="A4399" s="93" t="str">
        <f>TEXT(tblProjectlist[[#This Row],[project-no]],"0")</f>
        <v>0</v>
      </c>
      <c r="L4399" s="93"/>
    </row>
    <row r="4400" spans="1:12">
      <c r="A4400" s="93" t="str">
        <f>TEXT(tblProjectlist[[#This Row],[project-no]],"0")</f>
        <v>0</v>
      </c>
      <c r="L4400" s="93"/>
    </row>
    <row r="4401" spans="1:12">
      <c r="A4401" s="93" t="str">
        <f>TEXT(tblProjectlist[[#This Row],[project-no]],"0")</f>
        <v>0</v>
      </c>
      <c r="L4401" s="93"/>
    </row>
    <row r="4402" spans="1:12">
      <c r="A4402" s="93" t="str">
        <f>TEXT(tblProjectlist[[#This Row],[project-no]],"0")</f>
        <v>0</v>
      </c>
      <c r="L4402" s="93"/>
    </row>
    <row r="4403" spans="1:12">
      <c r="A4403" s="93" t="str">
        <f>TEXT(tblProjectlist[[#This Row],[project-no]],"0")</f>
        <v>0</v>
      </c>
      <c r="L4403" s="93"/>
    </row>
    <row r="4404" spans="1:12">
      <c r="A4404" s="93" t="str">
        <f>TEXT(tblProjectlist[[#This Row],[project-no]],"0")</f>
        <v>0</v>
      </c>
      <c r="L4404" s="93"/>
    </row>
    <row r="4405" spans="1:12">
      <c r="A4405" s="93" t="str">
        <f>TEXT(tblProjectlist[[#This Row],[project-no]],"0")</f>
        <v>0</v>
      </c>
      <c r="L4405" s="93"/>
    </row>
    <row r="4406" spans="1:12">
      <c r="A4406" s="93" t="str">
        <f>TEXT(tblProjectlist[[#This Row],[project-no]],"0")</f>
        <v>0</v>
      </c>
      <c r="L4406" s="93"/>
    </row>
    <row r="4407" spans="1:12">
      <c r="A4407" s="93" t="str">
        <f>TEXT(tblProjectlist[[#This Row],[project-no]],"0")</f>
        <v>0</v>
      </c>
      <c r="L4407" s="93"/>
    </row>
    <row r="4408" spans="1:12">
      <c r="A4408" s="93" t="str">
        <f>TEXT(tblProjectlist[[#This Row],[project-no]],"0")</f>
        <v>0</v>
      </c>
      <c r="L4408" s="93"/>
    </row>
    <row r="4409" spans="1:12">
      <c r="A4409" s="93" t="str">
        <f>TEXT(tblProjectlist[[#This Row],[project-no]],"0")</f>
        <v>0</v>
      </c>
      <c r="L4409" s="93"/>
    </row>
    <row r="4410" spans="1:12">
      <c r="A4410" s="93" t="str">
        <f>TEXT(tblProjectlist[[#This Row],[project-no]],"0")</f>
        <v>0</v>
      </c>
      <c r="L4410" s="93"/>
    </row>
    <row r="4411" spans="1:12">
      <c r="A4411" s="93" t="str">
        <f>TEXT(tblProjectlist[[#This Row],[project-no]],"0")</f>
        <v>0</v>
      </c>
      <c r="L4411" s="93"/>
    </row>
    <row r="4412" spans="1:12">
      <c r="A4412" s="93" t="str">
        <f>TEXT(tblProjectlist[[#This Row],[project-no]],"0")</f>
        <v>0</v>
      </c>
      <c r="L4412" s="93"/>
    </row>
    <row r="4413" spans="1:12">
      <c r="A4413" s="93" t="str">
        <f>TEXT(tblProjectlist[[#This Row],[project-no]],"0")</f>
        <v>0</v>
      </c>
      <c r="L4413" s="93"/>
    </row>
    <row r="4414" spans="1:12">
      <c r="A4414" s="93" t="str">
        <f>TEXT(tblProjectlist[[#This Row],[project-no]],"0")</f>
        <v>0</v>
      </c>
      <c r="L4414" s="93"/>
    </row>
    <row r="4415" spans="1:12">
      <c r="A4415" s="93" t="str">
        <f>TEXT(tblProjectlist[[#This Row],[project-no]],"0")</f>
        <v>0</v>
      </c>
      <c r="L4415" s="93"/>
    </row>
    <row r="4416" spans="1:12">
      <c r="A4416" s="93" t="str">
        <f>TEXT(tblProjectlist[[#This Row],[project-no]],"0")</f>
        <v>0</v>
      </c>
      <c r="L4416" s="93"/>
    </row>
    <row r="4417" spans="1:12">
      <c r="A4417" s="93" t="str">
        <f>TEXT(tblProjectlist[[#This Row],[project-no]],"0")</f>
        <v>0</v>
      </c>
      <c r="L4417" s="93"/>
    </row>
    <row r="4418" spans="1:12">
      <c r="A4418" s="93" t="str">
        <f>TEXT(tblProjectlist[[#This Row],[project-no]],"0")</f>
        <v>0</v>
      </c>
      <c r="L4418" s="93"/>
    </row>
    <row r="4419" spans="1:12">
      <c r="A4419" s="93" t="str">
        <f>TEXT(tblProjectlist[[#This Row],[project-no]],"0")</f>
        <v>0</v>
      </c>
      <c r="L4419" s="93"/>
    </row>
    <row r="4420" spans="1:12">
      <c r="A4420" s="93" t="str">
        <f>TEXT(tblProjectlist[[#This Row],[project-no]],"0")</f>
        <v>0</v>
      </c>
      <c r="L4420" s="93"/>
    </row>
    <row r="4421" spans="1:12">
      <c r="A4421" s="93" t="str">
        <f>TEXT(tblProjectlist[[#This Row],[project-no]],"0")</f>
        <v>0</v>
      </c>
      <c r="L4421" s="93"/>
    </row>
    <row r="4422" spans="1:12">
      <c r="A4422" s="93" t="str">
        <f>TEXT(tblProjectlist[[#This Row],[project-no]],"0")</f>
        <v>0</v>
      </c>
      <c r="L4422" s="93"/>
    </row>
    <row r="4423" spans="1:12">
      <c r="A4423" s="93" t="str">
        <f>TEXT(tblProjectlist[[#This Row],[project-no]],"0")</f>
        <v>0</v>
      </c>
      <c r="L4423" s="93"/>
    </row>
    <row r="4424" spans="1:12">
      <c r="A4424" s="93" t="str">
        <f>TEXT(tblProjectlist[[#This Row],[project-no]],"0")</f>
        <v>0</v>
      </c>
      <c r="L4424" s="93"/>
    </row>
    <row r="4425" spans="1:12">
      <c r="A4425" s="93" t="str">
        <f>TEXT(tblProjectlist[[#This Row],[project-no]],"0")</f>
        <v>0</v>
      </c>
      <c r="L4425" s="93"/>
    </row>
    <row r="4426" spans="1:12">
      <c r="A4426" s="93" t="str">
        <f>TEXT(tblProjectlist[[#This Row],[project-no]],"0")</f>
        <v>0</v>
      </c>
      <c r="L4426" s="93"/>
    </row>
    <row r="4427" spans="1:12">
      <c r="A4427" s="93" t="str">
        <f>TEXT(tblProjectlist[[#This Row],[project-no]],"0")</f>
        <v>0</v>
      </c>
      <c r="L4427" s="93"/>
    </row>
    <row r="4428" spans="1:12">
      <c r="A4428" s="93" t="str">
        <f>TEXT(tblProjectlist[[#This Row],[project-no]],"0")</f>
        <v>0</v>
      </c>
      <c r="L4428" s="93"/>
    </row>
    <row r="4429" spans="1:12">
      <c r="A4429" s="93" t="str">
        <f>TEXT(tblProjectlist[[#This Row],[project-no]],"0")</f>
        <v>0</v>
      </c>
      <c r="L4429" s="93"/>
    </row>
    <row r="4430" spans="1:12">
      <c r="A4430" s="93" t="str">
        <f>TEXT(tblProjectlist[[#This Row],[project-no]],"0")</f>
        <v>0</v>
      </c>
      <c r="L4430" s="93"/>
    </row>
    <row r="4431" spans="1:12">
      <c r="A4431" s="93" t="str">
        <f>TEXT(tblProjectlist[[#This Row],[project-no]],"0")</f>
        <v>0</v>
      </c>
      <c r="L4431" s="93"/>
    </row>
    <row r="4432" spans="1:12">
      <c r="A4432" s="93" t="str">
        <f>TEXT(tblProjectlist[[#This Row],[project-no]],"0")</f>
        <v>0</v>
      </c>
      <c r="L4432" s="93"/>
    </row>
    <row r="4433" spans="1:12">
      <c r="A4433" s="93" t="str">
        <f>TEXT(tblProjectlist[[#This Row],[project-no]],"0")</f>
        <v>0</v>
      </c>
      <c r="L4433" s="93"/>
    </row>
    <row r="4434" spans="1:12">
      <c r="A4434" s="93" t="str">
        <f>TEXT(tblProjectlist[[#This Row],[project-no]],"0")</f>
        <v>0</v>
      </c>
      <c r="L4434" s="93"/>
    </row>
    <row r="4435" spans="1:12">
      <c r="A4435" s="93" t="str">
        <f>TEXT(tblProjectlist[[#This Row],[project-no]],"0")</f>
        <v>0</v>
      </c>
      <c r="L4435" s="93"/>
    </row>
    <row r="4436" spans="1:12">
      <c r="A4436" s="93" t="str">
        <f>TEXT(tblProjectlist[[#This Row],[project-no]],"0")</f>
        <v>0</v>
      </c>
      <c r="L4436" s="93"/>
    </row>
    <row r="4437" spans="1:12">
      <c r="A4437" s="93" t="str">
        <f>TEXT(tblProjectlist[[#This Row],[project-no]],"0")</f>
        <v>0</v>
      </c>
      <c r="L4437" s="93"/>
    </row>
    <row r="4438" spans="1:12">
      <c r="A4438" s="93" t="str">
        <f>TEXT(tblProjectlist[[#This Row],[project-no]],"0")</f>
        <v>0</v>
      </c>
      <c r="L4438" s="93"/>
    </row>
    <row r="4439" spans="1:12">
      <c r="A4439" s="93" t="str">
        <f>TEXT(tblProjectlist[[#This Row],[project-no]],"0")</f>
        <v>0</v>
      </c>
      <c r="L4439" s="93"/>
    </row>
    <row r="4440" spans="1:12">
      <c r="A4440" s="93" t="str">
        <f>TEXT(tblProjectlist[[#This Row],[project-no]],"0")</f>
        <v>0</v>
      </c>
      <c r="L4440" s="93"/>
    </row>
    <row r="4441" spans="1:12">
      <c r="A4441" s="93" t="str">
        <f>TEXT(tblProjectlist[[#This Row],[project-no]],"0")</f>
        <v>0</v>
      </c>
      <c r="L4441" s="93"/>
    </row>
    <row r="4442" spans="1:12">
      <c r="A4442" s="93" t="str">
        <f>TEXT(tblProjectlist[[#This Row],[project-no]],"0")</f>
        <v>0</v>
      </c>
      <c r="L4442" s="93"/>
    </row>
    <row r="4443" spans="1:12">
      <c r="A4443" s="93" t="str">
        <f>TEXT(tblProjectlist[[#This Row],[project-no]],"0")</f>
        <v>0</v>
      </c>
      <c r="L4443" s="93"/>
    </row>
    <row r="4444" spans="1:12">
      <c r="A4444" s="93" t="str">
        <f>TEXT(tblProjectlist[[#This Row],[project-no]],"0")</f>
        <v>0</v>
      </c>
      <c r="L4444" s="93"/>
    </row>
    <row r="4445" spans="1:12">
      <c r="A4445" s="93" t="str">
        <f>TEXT(tblProjectlist[[#This Row],[project-no]],"0")</f>
        <v>0</v>
      </c>
      <c r="L4445" s="93"/>
    </row>
    <row r="4446" spans="1:12">
      <c r="A4446" s="93" t="str">
        <f>TEXT(tblProjectlist[[#This Row],[project-no]],"0")</f>
        <v>0</v>
      </c>
      <c r="L4446" s="93"/>
    </row>
    <row r="4447" spans="1:12">
      <c r="A4447" s="93" t="str">
        <f>TEXT(tblProjectlist[[#This Row],[project-no]],"0")</f>
        <v>0</v>
      </c>
      <c r="L4447" s="93"/>
    </row>
    <row r="4448" spans="1:12">
      <c r="A4448" s="93" t="str">
        <f>TEXT(tblProjectlist[[#This Row],[project-no]],"0")</f>
        <v>0</v>
      </c>
      <c r="L4448" s="93"/>
    </row>
    <row r="4449" spans="1:12">
      <c r="A4449" s="93" t="str">
        <f>TEXT(tblProjectlist[[#This Row],[project-no]],"0")</f>
        <v>0</v>
      </c>
      <c r="L4449" s="93"/>
    </row>
    <row r="4450" spans="1:12">
      <c r="A4450" s="93" t="str">
        <f>TEXT(tblProjectlist[[#This Row],[project-no]],"0")</f>
        <v>0</v>
      </c>
      <c r="L4450" s="93"/>
    </row>
    <row r="4451" spans="1:12">
      <c r="A4451" s="93" t="str">
        <f>TEXT(tblProjectlist[[#This Row],[project-no]],"0")</f>
        <v>0</v>
      </c>
      <c r="L4451" s="93"/>
    </row>
    <row r="4452" spans="1:12">
      <c r="A4452" s="93" t="str">
        <f>TEXT(tblProjectlist[[#This Row],[project-no]],"0")</f>
        <v>0</v>
      </c>
      <c r="L4452" s="93"/>
    </row>
    <row r="4453" spans="1:12">
      <c r="A4453" s="93" t="str">
        <f>TEXT(tblProjectlist[[#This Row],[project-no]],"0")</f>
        <v>0</v>
      </c>
      <c r="L4453" s="93"/>
    </row>
    <row r="4454" spans="1:12">
      <c r="A4454" s="93" t="str">
        <f>TEXT(tblProjectlist[[#This Row],[project-no]],"0")</f>
        <v>0</v>
      </c>
      <c r="L4454" s="93"/>
    </row>
    <row r="4455" spans="1:12">
      <c r="A4455" s="93" t="str">
        <f>TEXT(tblProjectlist[[#This Row],[project-no]],"0")</f>
        <v>0</v>
      </c>
      <c r="L4455" s="93"/>
    </row>
    <row r="4456" spans="1:12">
      <c r="A4456" s="93" t="str">
        <f>TEXT(tblProjectlist[[#This Row],[project-no]],"0")</f>
        <v>0</v>
      </c>
      <c r="L4456" s="93"/>
    </row>
    <row r="4457" spans="1:12">
      <c r="A4457" s="93" t="str">
        <f>TEXT(tblProjectlist[[#This Row],[project-no]],"0")</f>
        <v>0</v>
      </c>
      <c r="L4457" s="93"/>
    </row>
    <row r="4458" spans="1:12">
      <c r="A4458" s="93" t="str">
        <f>TEXT(tblProjectlist[[#This Row],[project-no]],"0")</f>
        <v>0</v>
      </c>
      <c r="L4458" s="93"/>
    </row>
    <row r="4459" spans="1:12">
      <c r="A4459" s="93" t="str">
        <f>TEXT(tblProjectlist[[#This Row],[project-no]],"0")</f>
        <v>0</v>
      </c>
      <c r="L4459" s="93"/>
    </row>
    <row r="4460" spans="1:12">
      <c r="A4460" s="93" t="str">
        <f>TEXT(tblProjectlist[[#This Row],[project-no]],"0")</f>
        <v>0</v>
      </c>
      <c r="L4460" s="93"/>
    </row>
    <row r="4461" spans="1:12">
      <c r="A4461" s="93" t="str">
        <f>TEXT(tblProjectlist[[#This Row],[project-no]],"0")</f>
        <v>0</v>
      </c>
      <c r="L4461" s="93"/>
    </row>
    <row r="4462" spans="1:12">
      <c r="A4462" s="93" t="str">
        <f>TEXT(tblProjectlist[[#This Row],[project-no]],"0")</f>
        <v>0</v>
      </c>
      <c r="L4462" s="93"/>
    </row>
    <row r="4463" spans="1:12">
      <c r="A4463" s="93" t="str">
        <f>TEXT(tblProjectlist[[#This Row],[project-no]],"0")</f>
        <v>0</v>
      </c>
      <c r="L4463" s="93"/>
    </row>
    <row r="4464" spans="1:12">
      <c r="A4464" s="93" t="str">
        <f>TEXT(tblProjectlist[[#This Row],[project-no]],"0")</f>
        <v>0</v>
      </c>
      <c r="L4464" s="93"/>
    </row>
    <row r="4465" spans="1:12">
      <c r="A4465" s="93" t="str">
        <f>TEXT(tblProjectlist[[#This Row],[project-no]],"0")</f>
        <v>0</v>
      </c>
      <c r="L4465" s="93"/>
    </row>
    <row r="4466" spans="1:12">
      <c r="A4466" s="93" t="str">
        <f>TEXT(tblProjectlist[[#This Row],[project-no]],"0")</f>
        <v>0</v>
      </c>
      <c r="L4466" s="93"/>
    </row>
    <row r="4467" spans="1:12">
      <c r="A4467" s="93" t="str">
        <f>TEXT(tblProjectlist[[#This Row],[project-no]],"0")</f>
        <v>0</v>
      </c>
      <c r="L4467" s="93"/>
    </row>
    <row r="4468" spans="1:12">
      <c r="A4468" s="93" t="str">
        <f>TEXT(tblProjectlist[[#This Row],[project-no]],"0")</f>
        <v>0</v>
      </c>
      <c r="L4468" s="93"/>
    </row>
    <row r="4469" spans="1:12">
      <c r="A4469" s="93" t="str">
        <f>TEXT(tblProjectlist[[#This Row],[project-no]],"0")</f>
        <v>0</v>
      </c>
      <c r="L4469" s="93"/>
    </row>
    <row r="4470" spans="1:12">
      <c r="A4470" s="93" t="str">
        <f>TEXT(tblProjectlist[[#This Row],[project-no]],"0")</f>
        <v>0</v>
      </c>
      <c r="L4470" s="93"/>
    </row>
    <row r="4471" spans="1:12">
      <c r="A4471" s="93" t="str">
        <f>TEXT(tblProjectlist[[#This Row],[project-no]],"0")</f>
        <v>0</v>
      </c>
      <c r="L4471" s="93"/>
    </row>
    <row r="4472" spans="1:12">
      <c r="A4472" s="93" t="str">
        <f>TEXT(tblProjectlist[[#This Row],[project-no]],"0")</f>
        <v>0</v>
      </c>
      <c r="L4472" s="93"/>
    </row>
    <row r="4473" spans="1:12">
      <c r="A4473" s="93" t="str">
        <f>TEXT(tblProjectlist[[#This Row],[project-no]],"0")</f>
        <v>0</v>
      </c>
      <c r="L4473" s="93"/>
    </row>
    <row r="4474" spans="1:12">
      <c r="A4474" s="93" t="str">
        <f>TEXT(tblProjectlist[[#This Row],[project-no]],"0")</f>
        <v>0</v>
      </c>
      <c r="L4474" s="93"/>
    </row>
    <row r="4475" spans="1:12">
      <c r="A4475" s="93" t="str">
        <f>TEXT(tblProjectlist[[#This Row],[project-no]],"0")</f>
        <v>0</v>
      </c>
      <c r="L4475" s="93"/>
    </row>
    <row r="4476" spans="1:12">
      <c r="A4476" s="93" t="str">
        <f>TEXT(tblProjectlist[[#This Row],[project-no]],"0")</f>
        <v>0</v>
      </c>
      <c r="L4476" s="93"/>
    </row>
    <row r="4477" spans="1:12">
      <c r="A4477" s="93" t="str">
        <f>TEXT(tblProjectlist[[#This Row],[project-no]],"0")</f>
        <v>0</v>
      </c>
      <c r="L4477" s="93"/>
    </row>
    <row r="4478" spans="1:12">
      <c r="A4478" s="93" t="str">
        <f>TEXT(tblProjectlist[[#This Row],[project-no]],"0")</f>
        <v>0</v>
      </c>
      <c r="L4478" s="93"/>
    </row>
    <row r="4479" spans="1:12">
      <c r="A4479" s="93" t="str">
        <f>TEXT(tblProjectlist[[#This Row],[project-no]],"0")</f>
        <v>0</v>
      </c>
      <c r="L4479" s="93"/>
    </row>
    <row r="4480" spans="1:12">
      <c r="A4480" s="93" t="str">
        <f>TEXT(tblProjectlist[[#This Row],[project-no]],"0")</f>
        <v>0</v>
      </c>
      <c r="L4480" s="93"/>
    </row>
    <row r="4481" spans="1:12">
      <c r="A4481" s="93" t="str">
        <f>TEXT(tblProjectlist[[#This Row],[project-no]],"0")</f>
        <v>0</v>
      </c>
      <c r="L4481" s="93"/>
    </row>
    <row r="4482" spans="1:12">
      <c r="A4482" s="93" t="str">
        <f>TEXT(tblProjectlist[[#This Row],[project-no]],"0")</f>
        <v>0</v>
      </c>
      <c r="L4482" s="93"/>
    </row>
    <row r="4483" spans="1:12">
      <c r="A4483" s="93" t="str">
        <f>TEXT(tblProjectlist[[#This Row],[project-no]],"0")</f>
        <v>0</v>
      </c>
      <c r="L4483" s="93"/>
    </row>
    <row r="4484" spans="1:12">
      <c r="A4484" s="93" t="str">
        <f>TEXT(tblProjectlist[[#This Row],[project-no]],"0")</f>
        <v>0</v>
      </c>
      <c r="L4484" s="93"/>
    </row>
    <row r="4485" spans="1:12">
      <c r="A4485" s="93" t="str">
        <f>TEXT(tblProjectlist[[#This Row],[project-no]],"0")</f>
        <v>0</v>
      </c>
      <c r="L4485" s="93"/>
    </row>
    <row r="4486" spans="1:12">
      <c r="A4486" s="93" t="str">
        <f>TEXT(tblProjectlist[[#This Row],[project-no]],"0")</f>
        <v>0</v>
      </c>
      <c r="L4486" s="93"/>
    </row>
    <row r="4487" spans="1:12">
      <c r="A4487" s="93" t="str">
        <f>TEXT(tblProjectlist[[#This Row],[project-no]],"0")</f>
        <v>0</v>
      </c>
      <c r="L4487" s="93"/>
    </row>
    <row r="4488" spans="1:12">
      <c r="A4488" s="93" t="str">
        <f>TEXT(tblProjectlist[[#This Row],[project-no]],"0")</f>
        <v>0</v>
      </c>
      <c r="L4488" s="93"/>
    </row>
    <row r="4489" spans="1:12">
      <c r="A4489" s="93" t="str">
        <f>TEXT(tblProjectlist[[#This Row],[project-no]],"0")</f>
        <v>0</v>
      </c>
      <c r="L4489" s="93"/>
    </row>
    <row r="4490" spans="1:12">
      <c r="A4490" s="93" t="str">
        <f>TEXT(tblProjectlist[[#This Row],[project-no]],"0")</f>
        <v>0</v>
      </c>
      <c r="L4490" s="93"/>
    </row>
    <row r="4491" spans="1:12">
      <c r="A4491" s="93" t="str">
        <f>TEXT(tblProjectlist[[#This Row],[project-no]],"0")</f>
        <v>0</v>
      </c>
      <c r="L4491" s="93"/>
    </row>
    <row r="4492" spans="1:12">
      <c r="A4492" s="93" t="str">
        <f>TEXT(tblProjectlist[[#This Row],[project-no]],"0")</f>
        <v>0</v>
      </c>
      <c r="L4492" s="93"/>
    </row>
    <row r="4493" spans="1:12">
      <c r="A4493" s="93" t="str">
        <f>TEXT(tblProjectlist[[#This Row],[project-no]],"0")</f>
        <v>0</v>
      </c>
      <c r="L4493" s="93"/>
    </row>
    <row r="4494" spans="1:12">
      <c r="A4494" s="93" t="str">
        <f>TEXT(tblProjectlist[[#This Row],[project-no]],"0")</f>
        <v>0</v>
      </c>
      <c r="L4494" s="93"/>
    </row>
    <row r="4495" spans="1:12">
      <c r="A4495" s="93" t="str">
        <f>TEXT(tblProjectlist[[#This Row],[project-no]],"0")</f>
        <v>0</v>
      </c>
      <c r="L4495" s="93"/>
    </row>
    <row r="4496" spans="1:12">
      <c r="A4496" s="93" t="str">
        <f>TEXT(tblProjectlist[[#This Row],[project-no]],"0")</f>
        <v>0</v>
      </c>
      <c r="L4496" s="93"/>
    </row>
    <row r="4497" spans="1:12">
      <c r="A4497" s="93" t="str">
        <f>TEXT(tblProjectlist[[#This Row],[project-no]],"0")</f>
        <v>0</v>
      </c>
      <c r="L4497" s="93"/>
    </row>
    <row r="4498" spans="1:12">
      <c r="A4498" s="93" t="str">
        <f>TEXT(tblProjectlist[[#This Row],[project-no]],"0")</f>
        <v>0</v>
      </c>
      <c r="L4498" s="93"/>
    </row>
    <row r="4499" spans="1:12">
      <c r="A4499" s="93" t="str">
        <f>TEXT(tblProjectlist[[#This Row],[project-no]],"0")</f>
        <v>0</v>
      </c>
      <c r="L4499" s="93"/>
    </row>
    <row r="4500" spans="1:12">
      <c r="A4500" s="93" t="str">
        <f>TEXT(tblProjectlist[[#This Row],[project-no]],"0")</f>
        <v>0</v>
      </c>
      <c r="L4500" s="93"/>
    </row>
    <row r="4501" spans="1:12">
      <c r="A4501" s="93" t="str">
        <f>TEXT(tblProjectlist[[#This Row],[project-no]],"0")</f>
        <v>0</v>
      </c>
      <c r="L4501" s="93"/>
    </row>
    <row r="4502" spans="1:12">
      <c r="A4502" s="93" t="str">
        <f>TEXT(tblProjectlist[[#This Row],[project-no]],"0")</f>
        <v>0</v>
      </c>
      <c r="L4502" s="93"/>
    </row>
    <row r="4503" spans="1:12">
      <c r="A4503" s="93" t="str">
        <f>TEXT(tblProjectlist[[#This Row],[project-no]],"0")</f>
        <v>0</v>
      </c>
      <c r="L4503" s="93"/>
    </row>
    <row r="4504" spans="1:12">
      <c r="A4504" s="93" t="str">
        <f>TEXT(tblProjectlist[[#This Row],[project-no]],"0")</f>
        <v>0</v>
      </c>
      <c r="L4504" s="93"/>
    </row>
    <row r="4505" spans="1:12">
      <c r="A4505" s="93" t="str">
        <f>TEXT(tblProjectlist[[#This Row],[project-no]],"0")</f>
        <v>0</v>
      </c>
      <c r="L4505" s="93"/>
    </row>
    <row r="4506" spans="1:12">
      <c r="A4506" s="93" t="str">
        <f>TEXT(tblProjectlist[[#This Row],[project-no]],"0")</f>
        <v>0</v>
      </c>
      <c r="L4506" s="93"/>
    </row>
    <row r="4507" spans="1:12">
      <c r="A4507" s="93" t="str">
        <f>TEXT(tblProjectlist[[#This Row],[project-no]],"0")</f>
        <v>0</v>
      </c>
      <c r="L4507" s="93"/>
    </row>
    <row r="4508" spans="1:12">
      <c r="A4508" s="93" t="str">
        <f>TEXT(tblProjectlist[[#This Row],[project-no]],"0")</f>
        <v>0</v>
      </c>
      <c r="L4508" s="93"/>
    </row>
    <row r="4509" spans="1:12">
      <c r="A4509" s="93" t="str">
        <f>TEXT(tblProjectlist[[#This Row],[project-no]],"0")</f>
        <v>0</v>
      </c>
      <c r="L4509" s="93"/>
    </row>
    <row r="4510" spans="1:12">
      <c r="A4510" s="93" t="str">
        <f>TEXT(tblProjectlist[[#This Row],[project-no]],"0")</f>
        <v>0</v>
      </c>
      <c r="L4510" s="93"/>
    </row>
    <row r="4511" spans="1:12">
      <c r="A4511" s="93" t="str">
        <f>TEXT(tblProjectlist[[#This Row],[project-no]],"0")</f>
        <v>0</v>
      </c>
      <c r="L4511" s="93"/>
    </row>
    <row r="4512" spans="1:12">
      <c r="A4512" s="93" t="str">
        <f>TEXT(tblProjectlist[[#This Row],[project-no]],"0")</f>
        <v>0</v>
      </c>
      <c r="L4512" s="93"/>
    </row>
    <row r="4513" spans="1:12">
      <c r="A4513" s="93" t="str">
        <f>TEXT(tblProjectlist[[#This Row],[project-no]],"0")</f>
        <v>0</v>
      </c>
      <c r="L4513" s="93"/>
    </row>
    <row r="4514" spans="1:12">
      <c r="A4514" s="93" t="str">
        <f>TEXT(tblProjectlist[[#This Row],[project-no]],"0")</f>
        <v>0</v>
      </c>
      <c r="L4514" s="93"/>
    </row>
    <row r="4515" spans="1:12">
      <c r="A4515" s="93" t="str">
        <f>TEXT(tblProjectlist[[#This Row],[project-no]],"0")</f>
        <v>0</v>
      </c>
      <c r="L4515" s="93"/>
    </row>
    <row r="4516" spans="1:12">
      <c r="A4516" s="93" t="str">
        <f>TEXT(tblProjectlist[[#This Row],[project-no]],"0")</f>
        <v>0</v>
      </c>
      <c r="L4516" s="93"/>
    </row>
    <row r="4517" spans="1:12">
      <c r="A4517" s="93" t="str">
        <f>TEXT(tblProjectlist[[#This Row],[project-no]],"0")</f>
        <v>0</v>
      </c>
      <c r="L4517" s="93"/>
    </row>
    <row r="4518" spans="1:12">
      <c r="A4518" s="93" t="str">
        <f>TEXT(tblProjectlist[[#This Row],[project-no]],"0")</f>
        <v>0</v>
      </c>
      <c r="L4518" s="93"/>
    </row>
    <row r="4519" spans="1:12">
      <c r="A4519" s="93" t="str">
        <f>TEXT(tblProjectlist[[#This Row],[project-no]],"0")</f>
        <v>0</v>
      </c>
      <c r="L4519" s="93"/>
    </row>
    <row r="4520" spans="1:12">
      <c r="A4520" s="93" t="str">
        <f>TEXT(tblProjectlist[[#This Row],[project-no]],"0")</f>
        <v>0</v>
      </c>
      <c r="L4520" s="93"/>
    </row>
    <row r="4521" spans="1:12">
      <c r="A4521" s="93" t="str">
        <f>TEXT(tblProjectlist[[#This Row],[project-no]],"0")</f>
        <v>0</v>
      </c>
      <c r="L4521" s="93"/>
    </row>
    <row r="4522" spans="1:12">
      <c r="A4522" s="93" t="str">
        <f>TEXT(tblProjectlist[[#This Row],[project-no]],"0")</f>
        <v>0</v>
      </c>
      <c r="L4522" s="93"/>
    </row>
    <row r="4523" spans="1:12">
      <c r="A4523" s="93" t="str">
        <f>TEXT(tblProjectlist[[#This Row],[project-no]],"0")</f>
        <v>0</v>
      </c>
      <c r="L4523" s="93"/>
    </row>
    <row r="4524" spans="1:12">
      <c r="A4524" s="93" t="str">
        <f>TEXT(tblProjectlist[[#This Row],[project-no]],"0")</f>
        <v>0</v>
      </c>
      <c r="L4524" s="93"/>
    </row>
    <row r="4525" spans="1:12">
      <c r="A4525" s="93" t="str">
        <f>TEXT(tblProjectlist[[#This Row],[project-no]],"0")</f>
        <v>0</v>
      </c>
      <c r="L4525" s="93"/>
    </row>
    <row r="4526" spans="1:12">
      <c r="A4526" s="93" t="str">
        <f>TEXT(tblProjectlist[[#This Row],[project-no]],"0")</f>
        <v>0</v>
      </c>
      <c r="L4526" s="93"/>
    </row>
    <row r="4527" spans="1:12">
      <c r="A4527" s="93" t="str">
        <f>TEXT(tblProjectlist[[#This Row],[project-no]],"0")</f>
        <v>0</v>
      </c>
      <c r="L4527" s="93"/>
    </row>
    <row r="4528" spans="1:12">
      <c r="A4528" s="93" t="str">
        <f>TEXT(tblProjectlist[[#This Row],[project-no]],"0")</f>
        <v>0</v>
      </c>
      <c r="L4528" s="93"/>
    </row>
    <row r="4529" spans="1:12">
      <c r="A4529" s="93" t="str">
        <f>TEXT(tblProjectlist[[#This Row],[project-no]],"0")</f>
        <v>0</v>
      </c>
      <c r="L4529" s="93"/>
    </row>
    <row r="4530" spans="1:12">
      <c r="A4530" s="93" t="str">
        <f>TEXT(tblProjectlist[[#This Row],[project-no]],"0")</f>
        <v>0</v>
      </c>
      <c r="L4530" s="93"/>
    </row>
    <row r="4531" spans="1:12">
      <c r="A4531" s="93" t="str">
        <f>TEXT(tblProjectlist[[#This Row],[project-no]],"0")</f>
        <v>0</v>
      </c>
      <c r="L4531" s="93"/>
    </row>
    <row r="4532" spans="1:12">
      <c r="A4532" s="93" t="str">
        <f>TEXT(tblProjectlist[[#This Row],[project-no]],"0")</f>
        <v>0</v>
      </c>
      <c r="L4532" s="93"/>
    </row>
    <row r="4533" spans="1:12">
      <c r="A4533" s="93" t="str">
        <f>TEXT(tblProjectlist[[#This Row],[project-no]],"0")</f>
        <v>0</v>
      </c>
      <c r="L4533" s="93"/>
    </row>
    <row r="4534" spans="1:12">
      <c r="A4534" s="93" t="str">
        <f>TEXT(tblProjectlist[[#This Row],[project-no]],"0")</f>
        <v>0</v>
      </c>
      <c r="L4534" s="93"/>
    </row>
    <row r="4535" spans="1:12">
      <c r="A4535" s="93" t="str">
        <f>TEXT(tblProjectlist[[#This Row],[project-no]],"0")</f>
        <v>0</v>
      </c>
      <c r="L4535" s="93"/>
    </row>
    <row r="4536" spans="1:12">
      <c r="A4536" s="93" t="str">
        <f>TEXT(tblProjectlist[[#This Row],[project-no]],"0")</f>
        <v>0</v>
      </c>
      <c r="L4536" s="93"/>
    </row>
    <row r="4537" spans="1:12">
      <c r="A4537" s="93" t="str">
        <f>TEXT(tblProjectlist[[#This Row],[project-no]],"0")</f>
        <v>0</v>
      </c>
      <c r="L4537" s="93"/>
    </row>
    <row r="4538" spans="1:12">
      <c r="A4538" s="93" t="str">
        <f>TEXT(tblProjectlist[[#This Row],[project-no]],"0")</f>
        <v>0</v>
      </c>
      <c r="L4538" s="93"/>
    </row>
    <row r="4539" spans="1:12">
      <c r="A4539" s="93" t="str">
        <f>TEXT(tblProjectlist[[#This Row],[project-no]],"0")</f>
        <v>0</v>
      </c>
      <c r="L4539" s="93"/>
    </row>
    <row r="4540" spans="1:12">
      <c r="A4540" s="93" t="str">
        <f>TEXT(tblProjectlist[[#This Row],[project-no]],"0")</f>
        <v>0</v>
      </c>
      <c r="L4540" s="93"/>
    </row>
    <row r="4541" spans="1:12">
      <c r="A4541" s="93" t="str">
        <f>TEXT(tblProjectlist[[#This Row],[project-no]],"0")</f>
        <v>0</v>
      </c>
      <c r="L4541" s="93"/>
    </row>
    <row r="4542" spans="1:12">
      <c r="A4542" s="93" t="str">
        <f>TEXT(tblProjectlist[[#This Row],[project-no]],"0")</f>
        <v>0</v>
      </c>
      <c r="L4542" s="93"/>
    </row>
    <row r="4543" spans="1:12">
      <c r="A4543" s="93" t="str">
        <f>TEXT(tblProjectlist[[#This Row],[project-no]],"0")</f>
        <v>0</v>
      </c>
      <c r="L4543" s="93"/>
    </row>
    <row r="4544" spans="1:12">
      <c r="A4544" s="93" t="str">
        <f>TEXT(tblProjectlist[[#This Row],[project-no]],"0")</f>
        <v>0</v>
      </c>
      <c r="L4544" s="93"/>
    </row>
    <row r="4545" spans="1:12">
      <c r="A4545" s="93" t="str">
        <f>TEXT(tblProjectlist[[#This Row],[project-no]],"0")</f>
        <v>0</v>
      </c>
      <c r="L4545" s="93"/>
    </row>
    <row r="4546" spans="1:12">
      <c r="A4546" s="93" t="str">
        <f>TEXT(tblProjectlist[[#This Row],[project-no]],"0")</f>
        <v>0</v>
      </c>
      <c r="L4546" s="93"/>
    </row>
    <row r="4547" spans="1:12">
      <c r="A4547" s="93" t="str">
        <f>TEXT(tblProjectlist[[#This Row],[project-no]],"0")</f>
        <v>0</v>
      </c>
      <c r="L4547" s="93"/>
    </row>
    <row r="4548" spans="1:12">
      <c r="A4548" s="93" t="str">
        <f>TEXT(tblProjectlist[[#This Row],[project-no]],"0")</f>
        <v>0</v>
      </c>
      <c r="L4548" s="93"/>
    </row>
    <row r="4549" spans="1:12">
      <c r="A4549" s="93" t="str">
        <f>TEXT(tblProjectlist[[#This Row],[project-no]],"0")</f>
        <v>0</v>
      </c>
      <c r="L4549" s="93"/>
    </row>
    <row r="4550" spans="1:12">
      <c r="A4550" s="93" t="str">
        <f>TEXT(tblProjectlist[[#This Row],[project-no]],"0")</f>
        <v>0</v>
      </c>
      <c r="L4550" s="93"/>
    </row>
    <row r="4551" spans="1:12">
      <c r="A4551" s="93" t="str">
        <f>TEXT(tblProjectlist[[#This Row],[project-no]],"0")</f>
        <v>0</v>
      </c>
      <c r="L4551" s="93"/>
    </row>
    <row r="4552" spans="1:12">
      <c r="A4552" s="93" t="str">
        <f>TEXT(tblProjectlist[[#This Row],[project-no]],"0")</f>
        <v>0</v>
      </c>
      <c r="L4552" s="93"/>
    </row>
    <row r="4553" spans="1:12">
      <c r="A4553" s="93" t="str">
        <f>TEXT(tblProjectlist[[#This Row],[project-no]],"0")</f>
        <v>0</v>
      </c>
      <c r="L4553" s="93"/>
    </row>
    <row r="4554" spans="1:12">
      <c r="A4554" s="93" t="str">
        <f>TEXT(tblProjectlist[[#This Row],[project-no]],"0")</f>
        <v>0</v>
      </c>
      <c r="L4554" s="93"/>
    </row>
    <row r="4555" spans="1:12">
      <c r="A4555" s="93" t="str">
        <f>TEXT(tblProjectlist[[#This Row],[project-no]],"0")</f>
        <v>0</v>
      </c>
      <c r="L4555" s="93"/>
    </row>
    <row r="4556" spans="1:12">
      <c r="A4556" s="93" t="str">
        <f>TEXT(tblProjectlist[[#This Row],[project-no]],"0")</f>
        <v>0</v>
      </c>
      <c r="L4556" s="93"/>
    </row>
    <row r="4557" spans="1:12">
      <c r="A4557" s="93" t="str">
        <f>TEXT(tblProjectlist[[#This Row],[project-no]],"0")</f>
        <v>0</v>
      </c>
      <c r="L4557" s="93"/>
    </row>
    <row r="4558" spans="1:12">
      <c r="A4558" s="93" t="str">
        <f>TEXT(tblProjectlist[[#This Row],[project-no]],"0")</f>
        <v>0</v>
      </c>
      <c r="L4558" s="93"/>
    </row>
    <row r="4559" spans="1:12">
      <c r="A4559" s="93" t="str">
        <f>TEXT(tblProjectlist[[#This Row],[project-no]],"0")</f>
        <v>0</v>
      </c>
      <c r="L4559" s="93"/>
    </row>
    <row r="4560" spans="1:12">
      <c r="A4560" s="93" t="str">
        <f>TEXT(tblProjectlist[[#This Row],[project-no]],"0")</f>
        <v>0</v>
      </c>
      <c r="L4560" s="93"/>
    </row>
    <row r="4561" spans="1:12">
      <c r="A4561" s="93" t="str">
        <f>TEXT(tblProjectlist[[#This Row],[project-no]],"0")</f>
        <v>0</v>
      </c>
      <c r="L4561" s="93"/>
    </row>
    <row r="4562" spans="1:12">
      <c r="A4562" s="93" t="str">
        <f>TEXT(tblProjectlist[[#This Row],[project-no]],"0")</f>
        <v>0</v>
      </c>
      <c r="L4562" s="93"/>
    </row>
    <row r="4563" spans="1:12">
      <c r="A4563" s="93" t="str">
        <f>TEXT(tblProjectlist[[#This Row],[project-no]],"0")</f>
        <v>0</v>
      </c>
      <c r="L4563" s="93"/>
    </row>
    <row r="4564" spans="1:12">
      <c r="A4564" s="93" t="str">
        <f>TEXT(tblProjectlist[[#This Row],[project-no]],"0")</f>
        <v>0</v>
      </c>
      <c r="L4564" s="93"/>
    </row>
    <row r="4565" spans="1:12">
      <c r="A4565" s="93" t="str">
        <f>TEXT(tblProjectlist[[#This Row],[project-no]],"0")</f>
        <v>0</v>
      </c>
      <c r="L4565" s="93"/>
    </row>
    <row r="4566" spans="1:12">
      <c r="A4566" s="93" t="str">
        <f>TEXT(tblProjectlist[[#This Row],[project-no]],"0")</f>
        <v>0</v>
      </c>
      <c r="L4566" s="93"/>
    </row>
    <row r="4567" spans="1:12">
      <c r="A4567" s="93" t="str">
        <f>TEXT(tblProjectlist[[#This Row],[project-no]],"0")</f>
        <v>0</v>
      </c>
      <c r="L4567" s="93"/>
    </row>
    <row r="4568" spans="1:12">
      <c r="A4568" s="93" t="str">
        <f>TEXT(tblProjectlist[[#This Row],[project-no]],"0")</f>
        <v>0</v>
      </c>
      <c r="L4568" s="93"/>
    </row>
    <row r="4569" spans="1:12">
      <c r="A4569" s="93" t="str">
        <f>TEXT(tblProjectlist[[#This Row],[project-no]],"0")</f>
        <v>0</v>
      </c>
      <c r="L4569" s="93"/>
    </row>
    <row r="4570" spans="1:12">
      <c r="A4570" s="93" t="str">
        <f>TEXT(tblProjectlist[[#This Row],[project-no]],"0")</f>
        <v>0</v>
      </c>
      <c r="L4570" s="93"/>
    </row>
    <row r="4571" spans="1:12">
      <c r="A4571" s="93" t="str">
        <f>TEXT(tblProjectlist[[#This Row],[project-no]],"0")</f>
        <v>0</v>
      </c>
      <c r="L4571" s="93"/>
    </row>
    <row r="4572" spans="1:12">
      <c r="A4572" s="93" t="str">
        <f>TEXT(tblProjectlist[[#This Row],[project-no]],"0")</f>
        <v>0</v>
      </c>
      <c r="L4572" s="93"/>
    </row>
    <row r="4573" spans="1:12">
      <c r="A4573" s="93" t="str">
        <f>TEXT(tblProjectlist[[#This Row],[project-no]],"0")</f>
        <v>0</v>
      </c>
      <c r="L4573" s="93"/>
    </row>
    <row r="4574" spans="1:12">
      <c r="A4574" s="93" t="str">
        <f>TEXT(tblProjectlist[[#This Row],[project-no]],"0")</f>
        <v>0</v>
      </c>
      <c r="L4574" s="93"/>
    </row>
    <row r="4575" spans="1:12">
      <c r="A4575" s="93" t="str">
        <f>TEXT(tblProjectlist[[#This Row],[project-no]],"0")</f>
        <v>0</v>
      </c>
      <c r="L4575" s="93"/>
    </row>
    <row r="4576" spans="1:12">
      <c r="A4576" s="93" t="str">
        <f>TEXT(tblProjectlist[[#This Row],[project-no]],"0")</f>
        <v>0</v>
      </c>
      <c r="L4576" s="93"/>
    </row>
    <row r="4577" spans="1:12">
      <c r="A4577" s="93" t="str">
        <f>TEXT(tblProjectlist[[#This Row],[project-no]],"0")</f>
        <v>0</v>
      </c>
      <c r="L4577" s="93"/>
    </row>
    <row r="4578" spans="1:12">
      <c r="A4578" s="93" t="str">
        <f>TEXT(tblProjectlist[[#This Row],[project-no]],"0")</f>
        <v>0</v>
      </c>
      <c r="L4578" s="93"/>
    </row>
    <row r="4579" spans="1:12">
      <c r="A4579" s="93" t="str">
        <f>TEXT(tblProjectlist[[#This Row],[project-no]],"0")</f>
        <v>0</v>
      </c>
      <c r="L4579" s="93"/>
    </row>
    <row r="4580" spans="1:12">
      <c r="A4580" s="93" t="str">
        <f>TEXT(tblProjectlist[[#This Row],[project-no]],"0")</f>
        <v>0</v>
      </c>
      <c r="L4580" s="93"/>
    </row>
    <row r="4581" spans="1:12">
      <c r="A4581" s="93" t="str">
        <f>TEXT(tblProjectlist[[#This Row],[project-no]],"0")</f>
        <v>0</v>
      </c>
      <c r="L4581" s="93"/>
    </row>
    <row r="4582" spans="1:12">
      <c r="A4582" s="93" t="str">
        <f>TEXT(tblProjectlist[[#This Row],[project-no]],"0")</f>
        <v>0</v>
      </c>
      <c r="L4582" s="93"/>
    </row>
    <row r="4583" spans="1:12">
      <c r="A4583" s="93" t="str">
        <f>TEXT(tblProjectlist[[#This Row],[project-no]],"0")</f>
        <v>0</v>
      </c>
      <c r="L4583" s="93"/>
    </row>
    <row r="4584" spans="1:12">
      <c r="A4584" s="93" t="str">
        <f>TEXT(tblProjectlist[[#This Row],[project-no]],"0")</f>
        <v>0</v>
      </c>
      <c r="L4584" s="93"/>
    </row>
    <row r="4585" spans="1:12">
      <c r="A4585" s="93" t="str">
        <f>TEXT(tblProjectlist[[#This Row],[project-no]],"0")</f>
        <v>0</v>
      </c>
      <c r="L4585" s="93"/>
    </row>
    <row r="4586" spans="1:12">
      <c r="A4586" s="93" t="str">
        <f>TEXT(tblProjectlist[[#This Row],[project-no]],"0")</f>
        <v>0</v>
      </c>
      <c r="L4586" s="93"/>
    </row>
    <row r="4587" spans="1:12">
      <c r="A4587" s="93" t="str">
        <f>TEXT(tblProjectlist[[#This Row],[project-no]],"0")</f>
        <v>0</v>
      </c>
      <c r="L4587" s="93"/>
    </row>
    <row r="4588" spans="1:12">
      <c r="A4588" s="93" t="str">
        <f>TEXT(tblProjectlist[[#This Row],[project-no]],"0")</f>
        <v>0</v>
      </c>
      <c r="L4588" s="93"/>
    </row>
    <row r="4589" spans="1:12">
      <c r="A4589" s="93" t="str">
        <f>TEXT(tblProjectlist[[#This Row],[project-no]],"0")</f>
        <v>0</v>
      </c>
      <c r="L4589" s="93"/>
    </row>
    <row r="4590" spans="1:12">
      <c r="A4590" s="93" t="str">
        <f>TEXT(tblProjectlist[[#This Row],[project-no]],"0")</f>
        <v>0</v>
      </c>
      <c r="L4590" s="93"/>
    </row>
    <row r="4591" spans="1:12">
      <c r="A4591" s="93" t="str">
        <f>TEXT(tblProjectlist[[#This Row],[project-no]],"0")</f>
        <v>0</v>
      </c>
      <c r="L4591" s="93"/>
    </row>
    <row r="4592" spans="1:12">
      <c r="A4592" s="93" t="str">
        <f>TEXT(tblProjectlist[[#This Row],[project-no]],"0")</f>
        <v>0</v>
      </c>
      <c r="L4592" s="93"/>
    </row>
    <row r="4593" spans="1:12">
      <c r="A4593" s="93" t="str">
        <f>TEXT(tblProjectlist[[#This Row],[project-no]],"0")</f>
        <v>0</v>
      </c>
      <c r="L4593" s="93"/>
    </row>
    <row r="4594" spans="1:12">
      <c r="A4594" s="93" t="str">
        <f>TEXT(tblProjectlist[[#This Row],[project-no]],"0")</f>
        <v>0</v>
      </c>
      <c r="L4594" s="93"/>
    </row>
    <row r="4595" spans="1:12">
      <c r="A4595" s="93" t="str">
        <f>TEXT(tblProjectlist[[#This Row],[project-no]],"0")</f>
        <v>0</v>
      </c>
      <c r="L4595" s="93"/>
    </row>
    <row r="4596" spans="1:12">
      <c r="A4596" s="93" t="str">
        <f>TEXT(tblProjectlist[[#This Row],[project-no]],"0")</f>
        <v>0</v>
      </c>
      <c r="L4596" s="93"/>
    </row>
    <row r="4597" spans="1:12">
      <c r="A4597" s="93" t="str">
        <f>TEXT(tblProjectlist[[#This Row],[project-no]],"0")</f>
        <v>0</v>
      </c>
      <c r="L4597" s="93"/>
    </row>
    <row r="4598" spans="1:12">
      <c r="A4598" s="93" t="str">
        <f>TEXT(tblProjectlist[[#This Row],[project-no]],"0")</f>
        <v>0</v>
      </c>
      <c r="L4598" s="93"/>
    </row>
    <row r="4599" spans="1:12">
      <c r="A4599" s="93" t="str">
        <f>TEXT(tblProjectlist[[#This Row],[project-no]],"0")</f>
        <v>0</v>
      </c>
      <c r="L4599" s="93"/>
    </row>
    <row r="4600" spans="1:12">
      <c r="A4600" s="93" t="str">
        <f>TEXT(tblProjectlist[[#This Row],[project-no]],"0")</f>
        <v>0</v>
      </c>
      <c r="L4600" s="93"/>
    </row>
    <row r="4601" spans="1:12">
      <c r="A4601" s="93" t="str">
        <f>TEXT(tblProjectlist[[#This Row],[project-no]],"0")</f>
        <v>0</v>
      </c>
      <c r="L4601" s="93"/>
    </row>
    <row r="4602" spans="1:12">
      <c r="A4602" s="93" t="str">
        <f>TEXT(tblProjectlist[[#This Row],[project-no]],"0")</f>
        <v>0</v>
      </c>
      <c r="L4602" s="93"/>
    </row>
    <row r="4603" spans="1:12">
      <c r="A4603" s="93" t="str">
        <f>TEXT(tblProjectlist[[#This Row],[project-no]],"0")</f>
        <v>0</v>
      </c>
      <c r="L4603" s="93"/>
    </row>
    <row r="4604" spans="1:12">
      <c r="A4604" s="93" t="str">
        <f>TEXT(tblProjectlist[[#This Row],[project-no]],"0")</f>
        <v>0</v>
      </c>
      <c r="L4604" s="93"/>
    </row>
    <row r="4605" spans="1:12">
      <c r="A4605" s="93" t="str">
        <f>TEXT(tblProjectlist[[#This Row],[project-no]],"0")</f>
        <v>0</v>
      </c>
      <c r="L4605" s="93"/>
    </row>
    <row r="4606" spans="1:12">
      <c r="A4606" s="93" t="str">
        <f>TEXT(tblProjectlist[[#This Row],[project-no]],"0")</f>
        <v>0</v>
      </c>
      <c r="L4606" s="93"/>
    </row>
    <row r="4607" spans="1:12">
      <c r="A4607" s="93" t="str">
        <f>TEXT(tblProjectlist[[#This Row],[project-no]],"0")</f>
        <v>0</v>
      </c>
      <c r="L4607" s="93"/>
    </row>
    <row r="4608" spans="1:12">
      <c r="A4608" s="93" t="str">
        <f>TEXT(tblProjectlist[[#This Row],[project-no]],"0")</f>
        <v>0</v>
      </c>
      <c r="L4608" s="93"/>
    </row>
    <row r="4609" spans="1:12">
      <c r="A4609" s="93" t="str">
        <f>TEXT(tblProjectlist[[#This Row],[project-no]],"0")</f>
        <v>0</v>
      </c>
      <c r="L4609" s="93"/>
    </row>
    <row r="4610" spans="1:12">
      <c r="A4610" s="93" t="str">
        <f>TEXT(tblProjectlist[[#This Row],[project-no]],"0")</f>
        <v>0</v>
      </c>
      <c r="L4610" s="93"/>
    </row>
    <row r="4611" spans="1:12">
      <c r="A4611" s="93" t="str">
        <f>TEXT(tblProjectlist[[#This Row],[project-no]],"0")</f>
        <v>0</v>
      </c>
      <c r="L4611" s="93"/>
    </row>
    <row r="4612" spans="1:12">
      <c r="A4612" s="93" t="str">
        <f>TEXT(tblProjectlist[[#This Row],[project-no]],"0")</f>
        <v>0</v>
      </c>
      <c r="L4612" s="93"/>
    </row>
    <row r="4613" spans="1:12">
      <c r="A4613" s="93" t="str">
        <f>TEXT(tblProjectlist[[#This Row],[project-no]],"0")</f>
        <v>0</v>
      </c>
      <c r="L4613" s="93"/>
    </row>
    <row r="4614" spans="1:12">
      <c r="A4614" s="93" t="str">
        <f>TEXT(tblProjectlist[[#This Row],[project-no]],"0")</f>
        <v>0</v>
      </c>
      <c r="L4614" s="93"/>
    </row>
    <row r="4615" spans="1:12">
      <c r="A4615" s="93" t="str">
        <f>TEXT(tblProjectlist[[#This Row],[project-no]],"0")</f>
        <v>0</v>
      </c>
      <c r="L4615" s="93"/>
    </row>
    <row r="4616" spans="1:12">
      <c r="A4616" s="93" t="str">
        <f>TEXT(tblProjectlist[[#This Row],[project-no]],"0")</f>
        <v>0</v>
      </c>
      <c r="L4616" s="93"/>
    </row>
    <row r="4617" spans="1:12">
      <c r="A4617" s="93" t="str">
        <f>TEXT(tblProjectlist[[#This Row],[project-no]],"0")</f>
        <v>0</v>
      </c>
      <c r="L4617" s="93"/>
    </row>
    <row r="4618" spans="1:12">
      <c r="A4618" s="93" t="str">
        <f>TEXT(tblProjectlist[[#This Row],[project-no]],"0")</f>
        <v>0</v>
      </c>
      <c r="L4618" s="93"/>
    </row>
    <row r="4619" spans="1:12">
      <c r="A4619" s="93" t="str">
        <f>TEXT(tblProjectlist[[#This Row],[project-no]],"0")</f>
        <v>0</v>
      </c>
      <c r="L4619" s="93"/>
    </row>
    <row r="4620" spans="1:12">
      <c r="A4620" s="93" t="str">
        <f>TEXT(tblProjectlist[[#This Row],[project-no]],"0")</f>
        <v>0</v>
      </c>
      <c r="L4620" s="93"/>
    </row>
    <row r="4621" spans="1:12">
      <c r="A4621" s="93" t="str">
        <f>TEXT(tblProjectlist[[#This Row],[project-no]],"0")</f>
        <v>0</v>
      </c>
      <c r="L4621" s="93"/>
    </row>
    <row r="4622" spans="1:12">
      <c r="A4622" s="93" t="str">
        <f>TEXT(tblProjectlist[[#This Row],[project-no]],"0")</f>
        <v>0</v>
      </c>
      <c r="L4622" s="93"/>
    </row>
    <row r="4623" spans="1:12">
      <c r="A4623" s="93" t="str">
        <f>TEXT(tblProjectlist[[#This Row],[project-no]],"0")</f>
        <v>0</v>
      </c>
      <c r="L4623" s="93"/>
    </row>
    <row r="4624" spans="1:12">
      <c r="A4624" s="93" t="str">
        <f>TEXT(tblProjectlist[[#This Row],[project-no]],"0")</f>
        <v>0</v>
      </c>
      <c r="L4624" s="93"/>
    </row>
    <row r="4625" spans="1:12">
      <c r="A4625" s="93" t="str">
        <f>TEXT(tblProjectlist[[#This Row],[project-no]],"0")</f>
        <v>0</v>
      </c>
      <c r="L4625" s="93"/>
    </row>
    <row r="4626" spans="1:12">
      <c r="A4626" s="93" t="str">
        <f>TEXT(tblProjectlist[[#This Row],[project-no]],"0")</f>
        <v>0</v>
      </c>
      <c r="L4626" s="93"/>
    </row>
    <row r="4627" spans="1:12">
      <c r="A4627" s="93" t="str">
        <f>TEXT(tblProjectlist[[#This Row],[project-no]],"0")</f>
        <v>0</v>
      </c>
      <c r="L4627" s="93"/>
    </row>
    <row r="4628" spans="1:12">
      <c r="A4628" s="93" t="str">
        <f>TEXT(tblProjectlist[[#This Row],[project-no]],"0")</f>
        <v>0</v>
      </c>
      <c r="L4628" s="93"/>
    </row>
    <row r="4629" spans="1:12">
      <c r="A4629" s="93" t="str">
        <f>TEXT(tblProjectlist[[#This Row],[project-no]],"0")</f>
        <v>0</v>
      </c>
      <c r="L4629" s="93"/>
    </row>
    <row r="4630" spans="1:12">
      <c r="A4630" s="93" t="str">
        <f>TEXT(tblProjectlist[[#This Row],[project-no]],"0")</f>
        <v>0</v>
      </c>
      <c r="L4630" s="93"/>
    </row>
    <row r="4631" spans="1:12">
      <c r="A4631" s="93" t="str">
        <f>TEXT(tblProjectlist[[#This Row],[project-no]],"0")</f>
        <v>0</v>
      </c>
      <c r="L4631" s="93"/>
    </row>
    <row r="4632" spans="1:12">
      <c r="A4632" s="93" t="str">
        <f>TEXT(tblProjectlist[[#This Row],[project-no]],"0")</f>
        <v>0</v>
      </c>
      <c r="L4632" s="93"/>
    </row>
    <row r="4633" spans="1:12">
      <c r="A4633" s="93" t="str">
        <f>TEXT(tblProjectlist[[#This Row],[project-no]],"0")</f>
        <v>0</v>
      </c>
      <c r="L4633" s="93"/>
    </row>
    <row r="4634" spans="1:12">
      <c r="A4634" s="93" t="str">
        <f>TEXT(tblProjectlist[[#This Row],[project-no]],"0")</f>
        <v>0</v>
      </c>
      <c r="L4634" s="93"/>
    </row>
    <row r="4635" spans="1:12">
      <c r="A4635" s="93" t="str">
        <f>TEXT(tblProjectlist[[#This Row],[project-no]],"0")</f>
        <v>0</v>
      </c>
      <c r="L4635" s="93"/>
    </row>
    <row r="4636" spans="1:12">
      <c r="A4636" s="93" t="str">
        <f>TEXT(tblProjectlist[[#This Row],[project-no]],"0")</f>
        <v>0</v>
      </c>
      <c r="L4636" s="93"/>
    </row>
    <row r="4637" spans="1:12">
      <c r="A4637" s="93" t="str">
        <f>TEXT(tblProjectlist[[#This Row],[project-no]],"0")</f>
        <v>0</v>
      </c>
      <c r="L4637" s="93"/>
    </row>
    <row r="4638" spans="1:12">
      <c r="A4638" s="93" t="str">
        <f>TEXT(tblProjectlist[[#This Row],[project-no]],"0")</f>
        <v>0</v>
      </c>
      <c r="L4638" s="93"/>
    </row>
    <row r="4639" spans="1:12">
      <c r="A4639" s="93" t="str">
        <f>TEXT(tblProjectlist[[#This Row],[project-no]],"0")</f>
        <v>0</v>
      </c>
      <c r="L4639" s="93"/>
    </row>
    <row r="4640" spans="1:12">
      <c r="A4640" s="93" t="str">
        <f>TEXT(tblProjectlist[[#This Row],[project-no]],"0")</f>
        <v>0</v>
      </c>
      <c r="L4640" s="93"/>
    </row>
    <row r="4641" spans="1:12">
      <c r="A4641" s="93" t="str">
        <f>TEXT(tblProjectlist[[#This Row],[project-no]],"0")</f>
        <v>0</v>
      </c>
      <c r="L4641" s="93"/>
    </row>
    <row r="4642" spans="1:12">
      <c r="A4642" s="93" t="str">
        <f>TEXT(tblProjectlist[[#This Row],[project-no]],"0")</f>
        <v>0</v>
      </c>
      <c r="L4642" s="93"/>
    </row>
    <row r="4643" spans="1:12">
      <c r="A4643" s="93" t="str">
        <f>TEXT(tblProjectlist[[#This Row],[project-no]],"0")</f>
        <v>0</v>
      </c>
      <c r="L4643" s="93"/>
    </row>
    <row r="4644" spans="1:12">
      <c r="A4644" s="93" t="str">
        <f>TEXT(tblProjectlist[[#This Row],[project-no]],"0")</f>
        <v>0</v>
      </c>
      <c r="L4644" s="93"/>
    </row>
    <row r="4645" spans="1:12">
      <c r="A4645" s="93" t="str">
        <f>TEXT(tblProjectlist[[#This Row],[project-no]],"0")</f>
        <v>0</v>
      </c>
      <c r="L4645" s="93"/>
    </row>
    <row r="4646" spans="1:12">
      <c r="A4646" s="93" t="str">
        <f>TEXT(tblProjectlist[[#This Row],[project-no]],"0")</f>
        <v>0</v>
      </c>
      <c r="L4646" s="93"/>
    </row>
    <row r="4647" spans="1:12">
      <c r="A4647" s="93" t="str">
        <f>TEXT(tblProjectlist[[#This Row],[project-no]],"0")</f>
        <v>0</v>
      </c>
      <c r="L4647" s="93"/>
    </row>
    <row r="4648" spans="1:12">
      <c r="A4648" s="93" t="str">
        <f>TEXT(tblProjectlist[[#This Row],[project-no]],"0")</f>
        <v>0</v>
      </c>
      <c r="L4648" s="93"/>
    </row>
    <row r="4649" spans="1:12">
      <c r="A4649" s="93" t="str">
        <f>TEXT(tblProjectlist[[#This Row],[project-no]],"0")</f>
        <v>0</v>
      </c>
      <c r="L4649" s="93"/>
    </row>
    <row r="4650" spans="1:12">
      <c r="A4650" s="93" t="str">
        <f>TEXT(tblProjectlist[[#This Row],[project-no]],"0")</f>
        <v>0</v>
      </c>
      <c r="L4650" s="93"/>
    </row>
    <row r="4651" spans="1:12">
      <c r="A4651" s="93" t="str">
        <f>TEXT(tblProjectlist[[#This Row],[project-no]],"0")</f>
        <v>0</v>
      </c>
      <c r="L4651" s="93"/>
    </row>
    <row r="4652" spans="1:12">
      <c r="A4652" s="93" t="str">
        <f>TEXT(tblProjectlist[[#This Row],[project-no]],"0")</f>
        <v>0</v>
      </c>
      <c r="L4652" s="93"/>
    </row>
    <row r="4653" spans="1:12">
      <c r="A4653" s="93" t="str">
        <f>TEXT(tblProjectlist[[#This Row],[project-no]],"0")</f>
        <v>0</v>
      </c>
      <c r="L4653" s="93"/>
    </row>
    <row r="4654" spans="1:12">
      <c r="A4654" s="93" t="str">
        <f>TEXT(tblProjectlist[[#This Row],[project-no]],"0")</f>
        <v>0</v>
      </c>
      <c r="L4654" s="93"/>
    </row>
    <row r="4655" spans="1:12">
      <c r="A4655" s="93" t="str">
        <f>TEXT(tblProjectlist[[#This Row],[project-no]],"0")</f>
        <v>0</v>
      </c>
      <c r="L4655" s="93"/>
    </row>
    <row r="4656" spans="1:12">
      <c r="A4656" s="93" t="str">
        <f>TEXT(tblProjectlist[[#This Row],[project-no]],"0")</f>
        <v>0</v>
      </c>
      <c r="L4656" s="93"/>
    </row>
    <row r="4657" spans="1:12">
      <c r="A4657" s="93" t="str">
        <f>TEXT(tblProjectlist[[#This Row],[project-no]],"0")</f>
        <v>0</v>
      </c>
      <c r="L4657" s="93"/>
    </row>
    <row r="4658" spans="1:12">
      <c r="A4658" s="93" t="str">
        <f>TEXT(tblProjectlist[[#This Row],[project-no]],"0")</f>
        <v>0</v>
      </c>
      <c r="L4658" s="93"/>
    </row>
    <row r="4659" spans="1:12">
      <c r="A4659" s="93" t="str">
        <f>TEXT(tblProjectlist[[#This Row],[project-no]],"0")</f>
        <v>0</v>
      </c>
      <c r="L4659" s="93"/>
    </row>
    <row r="4660" spans="1:12">
      <c r="A4660" s="93" t="str">
        <f>TEXT(tblProjectlist[[#This Row],[project-no]],"0")</f>
        <v>0</v>
      </c>
      <c r="L4660" s="93"/>
    </row>
    <row r="4661" spans="1:12">
      <c r="A4661" s="93" t="str">
        <f>TEXT(tblProjectlist[[#This Row],[project-no]],"0")</f>
        <v>0</v>
      </c>
      <c r="L4661" s="93"/>
    </row>
    <row r="4662" spans="1:12">
      <c r="A4662" s="93" t="str">
        <f>TEXT(tblProjectlist[[#This Row],[project-no]],"0")</f>
        <v>0</v>
      </c>
      <c r="L4662" s="93"/>
    </row>
    <row r="4663" spans="1:12">
      <c r="A4663" s="93" t="str">
        <f>TEXT(tblProjectlist[[#This Row],[project-no]],"0")</f>
        <v>0</v>
      </c>
      <c r="L4663" s="93"/>
    </row>
    <row r="4664" spans="1:12">
      <c r="A4664" s="93" t="str">
        <f>TEXT(tblProjectlist[[#This Row],[project-no]],"0")</f>
        <v>0</v>
      </c>
      <c r="L4664" s="93"/>
    </row>
    <row r="4665" spans="1:12">
      <c r="A4665" s="93" t="str">
        <f>TEXT(tblProjectlist[[#This Row],[project-no]],"0")</f>
        <v>0</v>
      </c>
      <c r="L4665" s="93"/>
    </row>
    <row r="4666" spans="1:12">
      <c r="A4666" s="93" t="str">
        <f>TEXT(tblProjectlist[[#This Row],[project-no]],"0")</f>
        <v>0</v>
      </c>
      <c r="L4666" s="93"/>
    </row>
    <row r="4667" spans="1:12">
      <c r="A4667" s="93" t="str">
        <f>TEXT(tblProjectlist[[#This Row],[project-no]],"0")</f>
        <v>0</v>
      </c>
      <c r="L4667" s="93"/>
    </row>
    <row r="4668" spans="1:12">
      <c r="A4668" s="93" t="str">
        <f>TEXT(tblProjectlist[[#This Row],[project-no]],"0")</f>
        <v>0</v>
      </c>
      <c r="L4668" s="93"/>
    </row>
    <row r="4669" spans="1:12">
      <c r="A4669" s="93" t="str">
        <f>TEXT(tblProjectlist[[#This Row],[project-no]],"0")</f>
        <v>0</v>
      </c>
      <c r="L4669" s="93"/>
    </row>
    <row r="4670" spans="1:12">
      <c r="A4670" s="93" t="str">
        <f>TEXT(tblProjectlist[[#This Row],[project-no]],"0")</f>
        <v>0</v>
      </c>
      <c r="L4670" s="93"/>
    </row>
    <row r="4671" spans="1:12">
      <c r="A4671" s="93" t="str">
        <f>TEXT(tblProjectlist[[#This Row],[project-no]],"0")</f>
        <v>0</v>
      </c>
      <c r="L4671" s="93"/>
    </row>
    <row r="4672" spans="1:12">
      <c r="A4672" s="93" t="str">
        <f>TEXT(tblProjectlist[[#This Row],[project-no]],"0")</f>
        <v>0</v>
      </c>
      <c r="L4672" s="93"/>
    </row>
    <row r="4673" spans="1:12">
      <c r="A4673" s="93" t="str">
        <f>TEXT(tblProjectlist[[#This Row],[project-no]],"0")</f>
        <v>0</v>
      </c>
      <c r="L4673" s="93"/>
    </row>
    <row r="4674" spans="1:12">
      <c r="A4674" s="93" t="str">
        <f>TEXT(tblProjectlist[[#This Row],[project-no]],"0")</f>
        <v>0</v>
      </c>
      <c r="L4674" s="93"/>
    </row>
    <row r="4675" spans="1:12">
      <c r="A4675" s="93" t="str">
        <f>TEXT(tblProjectlist[[#This Row],[project-no]],"0")</f>
        <v>0</v>
      </c>
      <c r="L4675" s="93"/>
    </row>
    <row r="4676" spans="1:12">
      <c r="A4676" s="93" t="str">
        <f>TEXT(tblProjectlist[[#This Row],[project-no]],"0")</f>
        <v>0</v>
      </c>
      <c r="L4676" s="93"/>
    </row>
    <row r="4677" spans="1:12">
      <c r="A4677" s="93" t="str">
        <f>TEXT(tblProjectlist[[#This Row],[project-no]],"0")</f>
        <v>0</v>
      </c>
      <c r="L4677" s="93"/>
    </row>
    <row r="4678" spans="1:12">
      <c r="A4678" s="93" t="str">
        <f>TEXT(tblProjectlist[[#This Row],[project-no]],"0")</f>
        <v>0</v>
      </c>
      <c r="L4678" s="93"/>
    </row>
    <row r="4679" spans="1:12">
      <c r="A4679" s="93" t="str">
        <f>TEXT(tblProjectlist[[#This Row],[project-no]],"0")</f>
        <v>0</v>
      </c>
      <c r="L4679" s="93"/>
    </row>
    <row r="4680" spans="1:12">
      <c r="A4680" s="93" t="str">
        <f>TEXT(tblProjectlist[[#This Row],[project-no]],"0")</f>
        <v>0</v>
      </c>
      <c r="L4680" s="93"/>
    </row>
    <row r="4681" spans="1:12">
      <c r="A4681" s="93" t="str">
        <f>TEXT(tblProjectlist[[#This Row],[project-no]],"0")</f>
        <v>0</v>
      </c>
      <c r="L4681" s="93"/>
    </row>
    <row r="4682" spans="1:12">
      <c r="A4682" s="93" t="str">
        <f>TEXT(tblProjectlist[[#This Row],[project-no]],"0")</f>
        <v>0</v>
      </c>
      <c r="L4682" s="93"/>
    </row>
    <row r="4683" spans="1:12">
      <c r="A4683" s="93" t="str">
        <f>TEXT(tblProjectlist[[#This Row],[project-no]],"0")</f>
        <v>0</v>
      </c>
      <c r="L4683" s="93"/>
    </row>
    <row r="4684" spans="1:12">
      <c r="A4684" s="93" t="str">
        <f>TEXT(tblProjectlist[[#This Row],[project-no]],"0")</f>
        <v>0</v>
      </c>
      <c r="L4684" s="93"/>
    </row>
    <row r="4685" spans="1:12">
      <c r="A4685" s="93" t="str">
        <f>TEXT(tblProjectlist[[#This Row],[project-no]],"0")</f>
        <v>0</v>
      </c>
      <c r="L4685" s="93"/>
    </row>
    <row r="4686" spans="1:12">
      <c r="A4686" s="93" t="str">
        <f>TEXT(tblProjectlist[[#This Row],[project-no]],"0")</f>
        <v>0</v>
      </c>
      <c r="L4686" s="93"/>
    </row>
    <row r="4687" spans="1:12">
      <c r="A4687" s="93" t="str">
        <f>TEXT(tblProjectlist[[#This Row],[project-no]],"0")</f>
        <v>0</v>
      </c>
      <c r="L4687" s="93"/>
    </row>
    <row r="4688" spans="1:12">
      <c r="A4688" s="93" t="str">
        <f>TEXT(tblProjectlist[[#This Row],[project-no]],"0")</f>
        <v>0</v>
      </c>
      <c r="L4688" s="93"/>
    </row>
    <row r="4689" spans="1:12">
      <c r="A4689" s="93" t="str">
        <f>TEXT(tblProjectlist[[#This Row],[project-no]],"0")</f>
        <v>0</v>
      </c>
      <c r="L4689" s="93"/>
    </row>
    <row r="4690" spans="1:12">
      <c r="A4690" s="93" t="str">
        <f>TEXT(tblProjectlist[[#This Row],[project-no]],"0")</f>
        <v>0</v>
      </c>
      <c r="L4690" s="93"/>
    </row>
    <row r="4691" spans="1:12">
      <c r="A4691" s="93" t="str">
        <f>TEXT(tblProjectlist[[#This Row],[project-no]],"0")</f>
        <v>0</v>
      </c>
      <c r="L4691" s="93"/>
    </row>
    <row r="4692" spans="1:12">
      <c r="A4692" s="93" t="str">
        <f>TEXT(tblProjectlist[[#This Row],[project-no]],"0")</f>
        <v>0</v>
      </c>
      <c r="L4692" s="93"/>
    </row>
    <row r="4693" spans="1:12">
      <c r="A4693" s="93" t="str">
        <f>TEXT(tblProjectlist[[#This Row],[project-no]],"0")</f>
        <v>0</v>
      </c>
      <c r="L4693" s="93"/>
    </row>
    <row r="4694" spans="1:12">
      <c r="A4694" s="93" t="str">
        <f>TEXT(tblProjectlist[[#This Row],[project-no]],"0")</f>
        <v>0</v>
      </c>
      <c r="L4694" s="93"/>
    </row>
    <row r="4695" spans="1:12">
      <c r="A4695" s="93" t="str">
        <f>TEXT(tblProjectlist[[#This Row],[project-no]],"0")</f>
        <v>0</v>
      </c>
      <c r="L4695" s="93"/>
    </row>
    <row r="4696" spans="1:12">
      <c r="A4696" s="93" t="str">
        <f>TEXT(tblProjectlist[[#This Row],[project-no]],"0")</f>
        <v>0</v>
      </c>
      <c r="L4696" s="93"/>
    </row>
    <row r="4697" spans="1:12">
      <c r="A4697" s="93" t="str">
        <f>TEXT(tblProjectlist[[#This Row],[project-no]],"0")</f>
        <v>0</v>
      </c>
      <c r="L4697" s="93"/>
    </row>
    <row r="4698" spans="1:12">
      <c r="A4698" s="93" t="str">
        <f>TEXT(tblProjectlist[[#This Row],[project-no]],"0")</f>
        <v>0</v>
      </c>
      <c r="L4698" s="93"/>
    </row>
    <row r="4699" spans="1:12">
      <c r="A4699" s="93" t="str">
        <f>TEXT(tblProjectlist[[#This Row],[project-no]],"0")</f>
        <v>0</v>
      </c>
      <c r="L4699" s="93"/>
    </row>
    <row r="4700" spans="1:12">
      <c r="A4700" s="93" t="str">
        <f>TEXT(tblProjectlist[[#This Row],[project-no]],"0")</f>
        <v>0</v>
      </c>
      <c r="L4700" s="93"/>
    </row>
    <row r="4701" spans="1:12">
      <c r="A4701" s="93" t="str">
        <f>TEXT(tblProjectlist[[#This Row],[project-no]],"0")</f>
        <v>0</v>
      </c>
      <c r="L4701" s="93"/>
    </row>
    <row r="4702" spans="1:12">
      <c r="A4702" s="93" t="str">
        <f>TEXT(tblProjectlist[[#This Row],[project-no]],"0")</f>
        <v>0</v>
      </c>
      <c r="L4702" s="93"/>
    </row>
    <row r="4703" spans="1:12">
      <c r="A4703" s="93" t="str">
        <f>TEXT(tblProjectlist[[#This Row],[project-no]],"0")</f>
        <v>0</v>
      </c>
      <c r="L4703" s="93"/>
    </row>
    <row r="4704" spans="1:12">
      <c r="A4704" s="93" t="str">
        <f>TEXT(tblProjectlist[[#This Row],[project-no]],"0")</f>
        <v>0</v>
      </c>
      <c r="L4704" s="93"/>
    </row>
    <row r="4705" spans="1:12">
      <c r="A4705" s="93" t="str">
        <f>TEXT(tblProjectlist[[#This Row],[project-no]],"0")</f>
        <v>0</v>
      </c>
      <c r="L4705" s="93"/>
    </row>
    <row r="4706" spans="1:12">
      <c r="A4706" s="93" t="str">
        <f>TEXT(tblProjectlist[[#This Row],[project-no]],"0")</f>
        <v>0</v>
      </c>
      <c r="L4706" s="93"/>
    </row>
    <row r="4707" spans="1:12">
      <c r="A4707" s="93" t="str">
        <f>TEXT(tblProjectlist[[#This Row],[project-no]],"0")</f>
        <v>0</v>
      </c>
      <c r="L4707" s="93"/>
    </row>
    <row r="4708" spans="1:12">
      <c r="A4708" s="93" t="str">
        <f>TEXT(tblProjectlist[[#This Row],[project-no]],"0")</f>
        <v>0</v>
      </c>
      <c r="L4708" s="93"/>
    </row>
    <row r="4709" spans="1:12">
      <c r="A4709" s="93" t="str">
        <f>TEXT(tblProjectlist[[#This Row],[project-no]],"0")</f>
        <v>0</v>
      </c>
      <c r="L4709" s="93"/>
    </row>
    <row r="4710" spans="1:12">
      <c r="A4710" s="93" t="str">
        <f>TEXT(tblProjectlist[[#This Row],[project-no]],"0")</f>
        <v>0</v>
      </c>
      <c r="L4710" s="93"/>
    </row>
    <row r="4711" spans="1:12">
      <c r="A4711" s="93" t="str">
        <f>TEXT(tblProjectlist[[#This Row],[project-no]],"0")</f>
        <v>0</v>
      </c>
      <c r="L4711" s="93"/>
    </row>
    <row r="4712" spans="1:12">
      <c r="A4712" s="93" t="str">
        <f>TEXT(tblProjectlist[[#This Row],[project-no]],"0")</f>
        <v>0</v>
      </c>
      <c r="L4712" s="93"/>
    </row>
    <row r="4713" spans="1:12">
      <c r="A4713" s="93" t="str">
        <f>TEXT(tblProjectlist[[#This Row],[project-no]],"0")</f>
        <v>0</v>
      </c>
      <c r="L4713" s="93"/>
    </row>
    <row r="4714" spans="1:12">
      <c r="A4714" s="93" t="str">
        <f>TEXT(tblProjectlist[[#This Row],[project-no]],"0")</f>
        <v>0</v>
      </c>
      <c r="L4714" s="93"/>
    </row>
    <row r="4715" spans="1:12">
      <c r="A4715" s="93" t="str">
        <f>TEXT(tblProjectlist[[#This Row],[project-no]],"0")</f>
        <v>0</v>
      </c>
      <c r="L4715" s="93"/>
    </row>
    <row r="4716" spans="1:12">
      <c r="A4716" s="93" t="str">
        <f>TEXT(tblProjectlist[[#This Row],[project-no]],"0")</f>
        <v>0</v>
      </c>
      <c r="L4716" s="93"/>
    </row>
    <row r="4717" spans="1:12">
      <c r="A4717" s="93" t="str">
        <f>TEXT(tblProjectlist[[#This Row],[project-no]],"0")</f>
        <v>0</v>
      </c>
      <c r="L4717" s="93"/>
    </row>
    <row r="4718" spans="1:12">
      <c r="A4718" s="93" t="str">
        <f>TEXT(tblProjectlist[[#This Row],[project-no]],"0")</f>
        <v>0</v>
      </c>
      <c r="L4718" s="93"/>
    </row>
    <row r="4719" spans="1:12">
      <c r="A4719" s="93" t="str">
        <f>TEXT(tblProjectlist[[#This Row],[project-no]],"0")</f>
        <v>0</v>
      </c>
      <c r="L4719" s="93"/>
    </row>
    <row r="4720" spans="1:12">
      <c r="A4720" s="93" t="str">
        <f>TEXT(tblProjectlist[[#This Row],[project-no]],"0")</f>
        <v>0</v>
      </c>
      <c r="L4720" s="93"/>
    </row>
    <row r="4721" spans="1:12">
      <c r="A4721" s="93" t="str">
        <f>TEXT(tblProjectlist[[#This Row],[project-no]],"0")</f>
        <v>0</v>
      </c>
      <c r="L4721" s="93"/>
    </row>
    <row r="4722" spans="1:12">
      <c r="A4722" s="93" t="str">
        <f>TEXT(tblProjectlist[[#This Row],[project-no]],"0")</f>
        <v>0</v>
      </c>
      <c r="L4722" s="93"/>
    </row>
    <row r="4723" spans="1:12">
      <c r="A4723" s="93" t="str">
        <f>TEXT(tblProjectlist[[#This Row],[project-no]],"0")</f>
        <v>0</v>
      </c>
      <c r="L4723" s="93"/>
    </row>
    <row r="4724" spans="1:12">
      <c r="A4724" s="93" t="str">
        <f>TEXT(tblProjectlist[[#This Row],[project-no]],"0")</f>
        <v>0</v>
      </c>
      <c r="L4724" s="93"/>
    </row>
    <row r="4725" spans="1:12">
      <c r="A4725" s="93" t="str">
        <f>TEXT(tblProjectlist[[#This Row],[project-no]],"0")</f>
        <v>0</v>
      </c>
      <c r="L4725" s="93"/>
    </row>
    <row r="4726" spans="1:12">
      <c r="A4726" s="93" t="str">
        <f>TEXT(tblProjectlist[[#This Row],[project-no]],"0")</f>
        <v>0</v>
      </c>
      <c r="L4726" s="93"/>
    </row>
    <row r="4727" spans="1:12">
      <c r="A4727" s="93" t="str">
        <f>TEXT(tblProjectlist[[#This Row],[project-no]],"0")</f>
        <v>0</v>
      </c>
      <c r="L4727" s="93"/>
    </row>
    <row r="4728" spans="1:12">
      <c r="A4728" s="93" t="str">
        <f>TEXT(tblProjectlist[[#This Row],[project-no]],"0")</f>
        <v>0</v>
      </c>
      <c r="L4728" s="93"/>
    </row>
    <row r="4729" spans="1:12">
      <c r="A4729" s="93" t="str">
        <f>TEXT(tblProjectlist[[#This Row],[project-no]],"0")</f>
        <v>0</v>
      </c>
      <c r="L4729" s="93"/>
    </row>
    <row r="4730" spans="1:12">
      <c r="A4730" s="93" t="str">
        <f>TEXT(tblProjectlist[[#This Row],[project-no]],"0")</f>
        <v>0</v>
      </c>
      <c r="L4730" s="93"/>
    </row>
    <row r="4731" spans="1:12">
      <c r="A4731" s="93" t="str">
        <f>TEXT(tblProjectlist[[#This Row],[project-no]],"0")</f>
        <v>0</v>
      </c>
      <c r="L4731" s="93"/>
    </row>
    <row r="4732" spans="1:12">
      <c r="A4732" s="93" t="str">
        <f>TEXT(tblProjectlist[[#This Row],[project-no]],"0")</f>
        <v>0</v>
      </c>
      <c r="L4732" s="93"/>
    </row>
    <row r="4733" spans="1:12">
      <c r="A4733" s="93" t="str">
        <f>TEXT(tblProjectlist[[#This Row],[project-no]],"0")</f>
        <v>0</v>
      </c>
      <c r="L4733" s="93"/>
    </row>
    <row r="4734" spans="1:12">
      <c r="A4734" s="93" t="str">
        <f>TEXT(tblProjectlist[[#This Row],[project-no]],"0")</f>
        <v>0</v>
      </c>
      <c r="L4734" s="93"/>
    </row>
    <row r="4735" spans="1:12">
      <c r="A4735" s="93" t="str">
        <f>TEXT(tblProjectlist[[#This Row],[project-no]],"0")</f>
        <v>0</v>
      </c>
      <c r="L4735" s="93"/>
    </row>
    <row r="4736" spans="1:12">
      <c r="A4736" s="93" t="str">
        <f>TEXT(tblProjectlist[[#This Row],[project-no]],"0")</f>
        <v>0</v>
      </c>
      <c r="L4736" s="93"/>
    </row>
    <row r="4737" spans="1:12">
      <c r="A4737" s="93" t="str">
        <f>TEXT(tblProjectlist[[#This Row],[project-no]],"0")</f>
        <v>0</v>
      </c>
      <c r="L4737" s="93"/>
    </row>
    <row r="4738" spans="1:12">
      <c r="A4738" s="93" t="str">
        <f>TEXT(tblProjectlist[[#This Row],[project-no]],"0")</f>
        <v>0</v>
      </c>
      <c r="L4738" s="93"/>
    </row>
    <row r="4739" spans="1:12">
      <c r="A4739" s="93" t="str">
        <f>TEXT(tblProjectlist[[#This Row],[project-no]],"0")</f>
        <v>0</v>
      </c>
      <c r="L4739" s="93"/>
    </row>
    <row r="4740" spans="1:12">
      <c r="A4740" s="93" t="str">
        <f>TEXT(tblProjectlist[[#This Row],[project-no]],"0")</f>
        <v>0</v>
      </c>
      <c r="L4740" s="93"/>
    </row>
    <row r="4741" spans="1:12">
      <c r="A4741" s="93" t="str">
        <f>TEXT(tblProjectlist[[#This Row],[project-no]],"0")</f>
        <v>0</v>
      </c>
      <c r="L4741" s="93"/>
    </row>
    <row r="4742" spans="1:12">
      <c r="A4742" s="93" t="str">
        <f>TEXT(tblProjectlist[[#This Row],[project-no]],"0")</f>
        <v>0</v>
      </c>
      <c r="L4742" s="93"/>
    </row>
    <row r="4743" spans="1:12">
      <c r="A4743" s="93" t="str">
        <f>TEXT(tblProjectlist[[#This Row],[project-no]],"0")</f>
        <v>0</v>
      </c>
      <c r="L4743" s="93"/>
    </row>
    <row r="4744" spans="1:12">
      <c r="A4744" s="93" t="str">
        <f>TEXT(tblProjectlist[[#This Row],[project-no]],"0")</f>
        <v>0</v>
      </c>
      <c r="L4744" s="93"/>
    </row>
    <row r="4745" spans="1:12">
      <c r="A4745" s="93" t="str">
        <f>TEXT(tblProjectlist[[#This Row],[project-no]],"0")</f>
        <v>0</v>
      </c>
      <c r="L4745" s="93"/>
    </row>
    <row r="4746" spans="1:12">
      <c r="A4746" s="93" t="str">
        <f>TEXT(tblProjectlist[[#This Row],[project-no]],"0")</f>
        <v>0</v>
      </c>
      <c r="L4746" s="93"/>
    </row>
    <row r="4747" spans="1:12">
      <c r="A4747" s="93" t="str">
        <f>TEXT(tblProjectlist[[#This Row],[project-no]],"0")</f>
        <v>0</v>
      </c>
      <c r="L4747" s="93"/>
    </row>
    <row r="4748" spans="1:12">
      <c r="A4748" s="93" t="str">
        <f>TEXT(tblProjectlist[[#This Row],[project-no]],"0")</f>
        <v>0</v>
      </c>
      <c r="L4748" s="93"/>
    </row>
    <row r="4749" spans="1:12">
      <c r="A4749" s="93" t="str">
        <f>TEXT(tblProjectlist[[#This Row],[project-no]],"0")</f>
        <v>0</v>
      </c>
      <c r="L4749" s="93"/>
    </row>
    <row r="4750" spans="1:12">
      <c r="A4750" s="93" t="str">
        <f>TEXT(tblProjectlist[[#This Row],[project-no]],"0")</f>
        <v>0</v>
      </c>
      <c r="L4750" s="93"/>
    </row>
    <row r="4751" spans="1:12">
      <c r="A4751" s="93" t="str">
        <f>TEXT(tblProjectlist[[#This Row],[project-no]],"0")</f>
        <v>0</v>
      </c>
      <c r="L4751" s="93"/>
    </row>
    <row r="4752" spans="1:12">
      <c r="A4752" s="93" t="str">
        <f>TEXT(tblProjectlist[[#This Row],[project-no]],"0")</f>
        <v>0</v>
      </c>
      <c r="L4752" s="93"/>
    </row>
    <row r="4753" spans="1:12">
      <c r="A4753" s="93" t="str">
        <f>TEXT(tblProjectlist[[#This Row],[project-no]],"0")</f>
        <v>0</v>
      </c>
      <c r="L4753" s="93"/>
    </row>
    <row r="4754" spans="1:12">
      <c r="A4754" s="93" t="str">
        <f>TEXT(tblProjectlist[[#This Row],[project-no]],"0")</f>
        <v>0</v>
      </c>
      <c r="L4754" s="93"/>
    </row>
    <row r="4755" spans="1:12">
      <c r="A4755" s="93" t="str">
        <f>TEXT(tblProjectlist[[#This Row],[project-no]],"0")</f>
        <v>0</v>
      </c>
      <c r="L4755" s="93"/>
    </row>
    <row r="4756" spans="1:12">
      <c r="A4756" s="93" t="str">
        <f>TEXT(tblProjectlist[[#This Row],[project-no]],"0")</f>
        <v>0</v>
      </c>
      <c r="L4756" s="93"/>
    </row>
    <row r="4757" spans="1:12">
      <c r="A4757" s="93" t="str">
        <f>TEXT(tblProjectlist[[#This Row],[project-no]],"0")</f>
        <v>0</v>
      </c>
      <c r="L4757" s="93"/>
    </row>
    <row r="4758" spans="1:12">
      <c r="A4758" s="93" t="str">
        <f>TEXT(tblProjectlist[[#This Row],[project-no]],"0")</f>
        <v>0</v>
      </c>
      <c r="L4758" s="93"/>
    </row>
    <row r="4759" spans="1:12">
      <c r="A4759" s="93" t="str">
        <f>TEXT(tblProjectlist[[#This Row],[project-no]],"0")</f>
        <v>0</v>
      </c>
      <c r="L4759" s="93"/>
    </row>
    <row r="4760" spans="1:12">
      <c r="A4760" s="93" t="str">
        <f>TEXT(tblProjectlist[[#This Row],[project-no]],"0")</f>
        <v>0</v>
      </c>
      <c r="L4760" s="93"/>
    </row>
    <row r="4761" spans="1:12">
      <c r="A4761" s="93" t="str">
        <f>TEXT(tblProjectlist[[#This Row],[project-no]],"0")</f>
        <v>0</v>
      </c>
      <c r="L4761" s="93"/>
    </row>
    <row r="4762" spans="1:12">
      <c r="A4762" s="93" t="str">
        <f>TEXT(tblProjectlist[[#This Row],[project-no]],"0")</f>
        <v>0</v>
      </c>
      <c r="L4762" s="93"/>
    </row>
    <row r="4763" spans="1:12">
      <c r="A4763" s="93" t="str">
        <f>TEXT(tblProjectlist[[#This Row],[project-no]],"0")</f>
        <v>0</v>
      </c>
      <c r="L4763" s="93"/>
    </row>
    <row r="4764" spans="1:12">
      <c r="A4764" s="93" t="str">
        <f>TEXT(tblProjectlist[[#This Row],[project-no]],"0")</f>
        <v>0</v>
      </c>
      <c r="L4764" s="93"/>
    </row>
    <row r="4765" spans="1:12">
      <c r="A4765" s="93" t="str">
        <f>TEXT(tblProjectlist[[#This Row],[project-no]],"0")</f>
        <v>0</v>
      </c>
      <c r="L4765" s="93"/>
    </row>
    <row r="4766" spans="1:12">
      <c r="A4766" s="93" t="str">
        <f>TEXT(tblProjectlist[[#This Row],[project-no]],"0")</f>
        <v>0</v>
      </c>
      <c r="L4766" s="93"/>
    </row>
    <row r="4767" spans="1:12">
      <c r="A4767" s="93" t="str">
        <f>TEXT(tblProjectlist[[#This Row],[project-no]],"0")</f>
        <v>0</v>
      </c>
      <c r="L4767" s="93"/>
    </row>
    <row r="4768" spans="1:12">
      <c r="A4768" s="93" t="str">
        <f>TEXT(tblProjectlist[[#This Row],[project-no]],"0")</f>
        <v>0</v>
      </c>
      <c r="L4768" s="93"/>
    </row>
    <row r="4769" spans="1:12">
      <c r="A4769" s="93" t="str">
        <f>TEXT(tblProjectlist[[#This Row],[project-no]],"0")</f>
        <v>0</v>
      </c>
      <c r="L4769" s="93"/>
    </row>
    <row r="4770" spans="1:12">
      <c r="A4770" s="93" t="str">
        <f>TEXT(tblProjectlist[[#This Row],[project-no]],"0")</f>
        <v>0</v>
      </c>
      <c r="L4770" s="93"/>
    </row>
    <row r="4771" spans="1:12">
      <c r="A4771" s="93" t="str">
        <f>TEXT(tblProjectlist[[#This Row],[project-no]],"0")</f>
        <v>0</v>
      </c>
      <c r="L4771" s="93"/>
    </row>
    <row r="4772" spans="1:12">
      <c r="A4772" s="93" t="str">
        <f>TEXT(tblProjectlist[[#This Row],[project-no]],"0")</f>
        <v>0</v>
      </c>
      <c r="L4772" s="93"/>
    </row>
    <row r="4773" spans="1:12">
      <c r="A4773" s="93" t="str">
        <f>TEXT(tblProjectlist[[#This Row],[project-no]],"0")</f>
        <v>0</v>
      </c>
      <c r="L4773" s="93"/>
    </row>
    <row r="4774" spans="1:12">
      <c r="A4774" s="93" t="str">
        <f>TEXT(tblProjectlist[[#This Row],[project-no]],"0")</f>
        <v>0</v>
      </c>
      <c r="L4774" s="93"/>
    </row>
    <row r="4775" spans="1:12">
      <c r="A4775" s="93" t="str">
        <f>TEXT(tblProjectlist[[#This Row],[project-no]],"0")</f>
        <v>0</v>
      </c>
      <c r="L4775" s="93"/>
    </row>
    <row r="4776" spans="1:12">
      <c r="A4776" s="93" t="str">
        <f>TEXT(tblProjectlist[[#This Row],[project-no]],"0")</f>
        <v>0</v>
      </c>
      <c r="L4776" s="93"/>
    </row>
    <row r="4777" spans="1:12">
      <c r="A4777" s="93" t="str">
        <f>TEXT(tblProjectlist[[#This Row],[project-no]],"0")</f>
        <v>0</v>
      </c>
      <c r="L4777" s="93"/>
    </row>
    <row r="4778" spans="1:12">
      <c r="A4778" s="93" t="str">
        <f>TEXT(tblProjectlist[[#This Row],[project-no]],"0")</f>
        <v>0</v>
      </c>
      <c r="L4778" s="93"/>
    </row>
    <row r="4779" spans="1:12">
      <c r="A4779" s="93" t="str">
        <f>TEXT(tblProjectlist[[#This Row],[project-no]],"0")</f>
        <v>0</v>
      </c>
      <c r="L4779" s="93"/>
    </row>
    <row r="4780" spans="1:12">
      <c r="A4780" s="93" t="str">
        <f>TEXT(tblProjectlist[[#This Row],[project-no]],"0")</f>
        <v>0</v>
      </c>
      <c r="L4780" s="93"/>
    </row>
    <row r="4781" spans="1:12">
      <c r="A4781" s="93" t="str">
        <f>TEXT(tblProjectlist[[#This Row],[project-no]],"0")</f>
        <v>0</v>
      </c>
      <c r="L4781" s="93"/>
    </row>
    <row r="4782" spans="1:12">
      <c r="A4782" s="93" t="str">
        <f>TEXT(tblProjectlist[[#This Row],[project-no]],"0")</f>
        <v>0</v>
      </c>
      <c r="L4782" s="93"/>
    </row>
    <row r="4783" spans="1:12">
      <c r="A4783" s="93" t="str">
        <f>TEXT(tblProjectlist[[#This Row],[project-no]],"0")</f>
        <v>0</v>
      </c>
      <c r="L4783" s="93"/>
    </row>
    <row r="4784" spans="1:12">
      <c r="A4784" s="93" t="str">
        <f>TEXT(tblProjectlist[[#This Row],[project-no]],"0")</f>
        <v>0</v>
      </c>
      <c r="L4784" s="93"/>
    </row>
    <row r="4785" spans="1:12">
      <c r="A4785" s="93" t="str">
        <f>TEXT(tblProjectlist[[#This Row],[project-no]],"0")</f>
        <v>0</v>
      </c>
      <c r="L4785" s="93"/>
    </row>
    <row r="4786" spans="1:12">
      <c r="A4786" s="93" t="str">
        <f>TEXT(tblProjectlist[[#This Row],[project-no]],"0")</f>
        <v>0</v>
      </c>
      <c r="L4786" s="93"/>
    </row>
    <row r="4787" spans="1:12">
      <c r="A4787" s="93" t="str">
        <f>TEXT(tblProjectlist[[#This Row],[project-no]],"0")</f>
        <v>0</v>
      </c>
      <c r="L4787" s="93"/>
    </row>
    <row r="4788" spans="1:12">
      <c r="A4788" s="93" t="str">
        <f>TEXT(tblProjectlist[[#This Row],[project-no]],"0")</f>
        <v>0</v>
      </c>
      <c r="L4788" s="93"/>
    </row>
    <row r="4789" spans="1:12">
      <c r="A4789" s="93" t="str">
        <f>TEXT(tblProjectlist[[#This Row],[project-no]],"0")</f>
        <v>0</v>
      </c>
      <c r="L4789" s="93"/>
    </row>
    <row r="4790" spans="1:12">
      <c r="A4790" s="93" t="str">
        <f>TEXT(tblProjectlist[[#This Row],[project-no]],"0")</f>
        <v>0</v>
      </c>
      <c r="L4790" s="93"/>
    </row>
    <row r="4791" spans="1:12">
      <c r="A4791" s="93" t="str">
        <f>TEXT(tblProjectlist[[#This Row],[project-no]],"0")</f>
        <v>0</v>
      </c>
      <c r="L4791" s="93"/>
    </row>
    <row r="4792" spans="1:12">
      <c r="A4792" s="93" t="str">
        <f>TEXT(tblProjectlist[[#This Row],[project-no]],"0")</f>
        <v>0</v>
      </c>
      <c r="L4792" s="93"/>
    </row>
    <row r="4793" spans="1:12">
      <c r="A4793" s="93" t="str">
        <f>TEXT(tblProjectlist[[#This Row],[project-no]],"0")</f>
        <v>0</v>
      </c>
      <c r="L4793" s="93"/>
    </row>
    <row r="4794" spans="1:12">
      <c r="A4794" s="93" t="str">
        <f>TEXT(tblProjectlist[[#This Row],[project-no]],"0")</f>
        <v>0</v>
      </c>
      <c r="L4794" s="93"/>
    </row>
    <row r="4795" spans="1:12">
      <c r="A4795" s="93" t="str">
        <f>TEXT(tblProjectlist[[#This Row],[project-no]],"0")</f>
        <v>0</v>
      </c>
      <c r="L4795" s="93"/>
    </row>
    <row r="4796" spans="1:12">
      <c r="A4796" s="93" t="str">
        <f>TEXT(tblProjectlist[[#This Row],[project-no]],"0")</f>
        <v>0</v>
      </c>
      <c r="L4796" s="93"/>
    </row>
    <row r="4797" spans="1:12">
      <c r="A4797" s="93" t="str">
        <f>TEXT(tblProjectlist[[#This Row],[project-no]],"0")</f>
        <v>0</v>
      </c>
      <c r="L4797" s="93"/>
    </row>
    <row r="4798" spans="1:12">
      <c r="A4798" s="93" t="str">
        <f>TEXT(tblProjectlist[[#This Row],[project-no]],"0")</f>
        <v>0</v>
      </c>
      <c r="L4798" s="93"/>
    </row>
    <row r="4799" spans="1:12">
      <c r="A4799" s="93" t="str">
        <f>TEXT(tblProjectlist[[#This Row],[project-no]],"0")</f>
        <v>0</v>
      </c>
      <c r="L4799" s="93"/>
    </row>
    <row r="4800" spans="1:12">
      <c r="A4800" s="93" t="str">
        <f>TEXT(tblProjectlist[[#This Row],[project-no]],"0")</f>
        <v>0</v>
      </c>
      <c r="L4800" s="93"/>
    </row>
    <row r="4801" spans="1:12">
      <c r="A4801" s="93" t="str">
        <f>TEXT(tblProjectlist[[#This Row],[project-no]],"0")</f>
        <v>0</v>
      </c>
      <c r="L4801" s="93"/>
    </row>
    <row r="4802" spans="1:12">
      <c r="A4802" s="93" t="str">
        <f>TEXT(tblProjectlist[[#This Row],[project-no]],"0")</f>
        <v>0</v>
      </c>
      <c r="L4802" s="93"/>
    </row>
    <row r="4803" spans="1:12">
      <c r="A4803" s="93" t="str">
        <f>TEXT(tblProjectlist[[#This Row],[project-no]],"0")</f>
        <v>0</v>
      </c>
      <c r="L4803" s="93"/>
    </row>
    <row r="4804" spans="1:12">
      <c r="A4804" s="93" t="str">
        <f>TEXT(tblProjectlist[[#This Row],[project-no]],"0")</f>
        <v>0</v>
      </c>
      <c r="L4804" s="93"/>
    </row>
    <row r="4805" spans="1:12">
      <c r="A4805" s="93" t="str">
        <f>TEXT(tblProjectlist[[#This Row],[project-no]],"0")</f>
        <v>0</v>
      </c>
      <c r="L4805" s="93"/>
    </row>
    <row r="4806" spans="1:12">
      <c r="A4806" s="93" t="str">
        <f>TEXT(tblProjectlist[[#This Row],[project-no]],"0")</f>
        <v>0</v>
      </c>
      <c r="L4806" s="93"/>
    </row>
    <row r="4807" spans="1:12">
      <c r="A4807" s="93" t="str">
        <f>TEXT(tblProjectlist[[#This Row],[project-no]],"0")</f>
        <v>0</v>
      </c>
      <c r="L4807" s="93"/>
    </row>
    <row r="4808" spans="1:12">
      <c r="A4808" s="93" t="str">
        <f>TEXT(tblProjectlist[[#This Row],[project-no]],"0")</f>
        <v>0</v>
      </c>
      <c r="L4808" s="93"/>
    </row>
    <row r="4809" spans="1:12">
      <c r="A4809" s="93" t="str">
        <f>TEXT(tblProjectlist[[#This Row],[project-no]],"0")</f>
        <v>0</v>
      </c>
      <c r="L4809" s="93"/>
    </row>
    <row r="4810" spans="1:12">
      <c r="A4810" s="93" t="str">
        <f>TEXT(tblProjectlist[[#This Row],[project-no]],"0")</f>
        <v>0</v>
      </c>
      <c r="L4810" s="93"/>
    </row>
    <row r="4811" spans="1:12">
      <c r="A4811" s="93" t="str">
        <f>TEXT(tblProjectlist[[#This Row],[project-no]],"0")</f>
        <v>0</v>
      </c>
      <c r="L4811" s="93"/>
    </row>
    <row r="4812" spans="1:12">
      <c r="A4812" s="93" t="str">
        <f>TEXT(tblProjectlist[[#This Row],[project-no]],"0")</f>
        <v>0</v>
      </c>
      <c r="L4812" s="93"/>
    </row>
    <row r="4813" spans="1:12">
      <c r="A4813" s="93" t="str">
        <f>TEXT(tblProjectlist[[#This Row],[project-no]],"0")</f>
        <v>0</v>
      </c>
      <c r="L4813" s="93"/>
    </row>
    <row r="4814" spans="1:12">
      <c r="A4814" s="93" t="str">
        <f>TEXT(tblProjectlist[[#This Row],[project-no]],"0")</f>
        <v>0</v>
      </c>
      <c r="L4814" s="93"/>
    </row>
    <row r="4815" spans="1:12">
      <c r="A4815" s="93" t="str">
        <f>TEXT(tblProjectlist[[#This Row],[project-no]],"0")</f>
        <v>0</v>
      </c>
      <c r="L4815" s="93"/>
    </row>
    <row r="4816" spans="1:12">
      <c r="A4816" s="93" t="str">
        <f>TEXT(tblProjectlist[[#This Row],[project-no]],"0")</f>
        <v>0</v>
      </c>
      <c r="L4816" s="93"/>
    </row>
    <row r="4817" spans="1:12">
      <c r="A4817" s="93" t="str">
        <f>TEXT(tblProjectlist[[#This Row],[project-no]],"0")</f>
        <v>0</v>
      </c>
      <c r="L4817" s="93"/>
    </row>
    <row r="4818" spans="1:12">
      <c r="A4818" s="93" t="str">
        <f>TEXT(tblProjectlist[[#This Row],[project-no]],"0")</f>
        <v>0</v>
      </c>
      <c r="L4818" s="93"/>
    </row>
    <row r="4819" spans="1:12">
      <c r="A4819" s="93" t="str">
        <f>TEXT(tblProjectlist[[#This Row],[project-no]],"0")</f>
        <v>0</v>
      </c>
      <c r="L4819" s="93"/>
    </row>
    <row r="4820" spans="1:12">
      <c r="A4820" s="93" t="str">
        <f>TEXT(tblProjectlist[[#This Row],[project-no]],"0")</f>
        <v>0</v>
      </c>
      <c r="L4820" s="93"/>
    </row>
    <row r="4821" spans="1:12">
      <c r="A4821" s="93" t="str">
        <f>TEXT(tblProjectlist[[#This Row],[project-no]],"0")</f>
        <v>0</v>
      </c>
      <c r="L4821" s="93"/>
    </row>
    <row r="4822" spans="1:12">
      <c r="A4822" s="93" t="str">
        <f>TEXT(tblProjectlist[[#This Row],[project-no]],"0")</f>
        <v>0</v>
      </c>
      <c r="L4822" s="93"/>
    </row>
    <row r="4823" spans="1:12">
      <c r="A4823" s="93" t="str">
        <f>TEXT(tblProjectlist[[#This Row],[project-no]],"0")</f>
        <v>0</v>
      </c>
      <c r="L4823" s="93"/>
    </row>
    <row r="4824" spans="1:12">
      <c r="A4824" s="93" t="str">
        <f>TEXT(tblProjectlist[[#This Row],[project-no]],"0")</f>
        <v>0</v>
      </c>
      <c r="L4824" s="93"/>
    </row>
    <row r="4825" spans="1:12">
      <c r="A4825" s="93" t="str">
        <f>TEXT(tblProjectlist[[#This Row],[project-no]],"0")</f>
        <v>0</v>
      </c>
      <c r="L4825" s="93"/>
    </row>
    <row r="4826" spans="1:12">
      <c r="A4826" s="93" t="str">
        <f>TEXT(tblProjectlist[[#This Row],[project-no]],"0")</f>
        <v>0</v>
      </c>
      <c r="L4826" s="93"/>
    </row>
    <row r="4827" spans="1:12">
      <c r="A4827" s="93" t="str">
        <f>TEXT(tblProjectlist[[#This Row],[project-no]],"0")</f>
        <v>0</v>
      </c>
      <c r="L4827" s="93"/>
    </row>
    <row r="4828" spans="1:12">
      <c r="A4828" s="93" t="str">
        <f>TEXT(tblProjectlist[[#This Row],[project-no]],"0")</f>
        <v>0</v>
      </c>
      <c r="L4828" s="93"/>
    </row>
    <row r="4829" spans="1:12">
      <c r="A4829" s="93" t="str">
        <f>TEXT(tblProjectlist[[#This Row],[project-no]],"0")</f>
        <v>0</v>
      </c>
      <c r="L4829" s="93"/>
    </row>
    <row r="4830" spans="1:12">
      <c r="A4830" s="93" t="str">
        <f>TEXT(tblProjectlist[[#This Row],[project-no]],"0")</f>
        <v>0</v>
      </c>
      <c r="L4830" s="93"/>
    </row>
    <row r="4831" spans="1:12">
      <c r="A4831" s="93" t="str">
        <f>TEXT(tblProjectlist[[#This Row],[project-no]],"0")</f>
        <v>0</v>
      </c>
      <c r="L4831" s="93"/>
    </row>
    <row r="4832" spans="1:12">
      <c r="A4832" s="93" t="str">
        <f>TEXT(tblProjectlist[[#This Row],[project-no]],"0")</f>
        <v>0</v>
      </c>
      <c r="L4832" s="93"/>
    </row>
    <row r="4833" spans="1:12">
      <c r="A4833" s="93" t="str">
        <f>TEXT(tblProjectlist[[#This Row],[project-no]],"0")</f>
        <v>0</v>
      </c>
      <c r="L4833" s="93"/>
    </row>
    <row r="4834" spans="1:12">
      <c r="A4834" s="93" t="str">
        <f>TEXT(tblProjectlist[[#This Row],[project-no]],"0")</f>
        <v>0</v>
      </c>
      <c r="L4834" s="93"/>
    </row>
    <row r="4835" spans="1:12">
      <c r="A4835" s="93" t="str">
        <f>TEXT(tblProjectlist[[#This Row],[project-no]],"0")</f>
        <v>0</v>
      </c>
      <c r="L4835" s="93"/>
    </row>
    <row r="4836" spans="1:12">
      <c r="A4836" s="93" t="str">
        <f>TEXT(tblProjectlist[[#This Row],[project-no]],"0")</f>
        <v>0</v>
      </c>
      <c r="L4836" s="93"/>
    </row>
    <row r="4837" spans="1:12">
      <c r="A4837" s="93" t="str">
        <f>TEXT(tblProjectlist[[#This Row],[project-no]],"0")</f>
        <v>0</v>
      </c>
      <c r="L4837" s="93"/>
    </row>
    <row r="4838" spans="1:12">
      <c r="A4838" s="93" t="str">
        <f>TEXT(tblProjectlist[[#This Row],[project-no]],"0")</f>
        <v>0</v>
      </c>
      <c r="L4838" s="93"/>
    </row>
    <row r="4839" spans="1:12">
      <c r="A4839" s="93" t="str">
        <f>TEXT(tblProjectlist[[#This Row],[project-no]],"0")</f>
        <v>0</v>
      </c>
      <c r="L4839" s="93"/>
    </row>
    <row r="4840" spans="1:12">
      <c r="A4840" s="93" t="str">
        <f>TEXT(tblProjectlist[[#This Row],[project-no]],"0")</f>
        <v>0</v>
      </c>
      <c r="L4840" s="93"/>
    </row>
    <row r="4841" spans="1:12">
      <c r="A4841" s="93" t="str">
        <f>TEXT(tblProjectlist[[#This Row],[project-no]],"0")</f>
        <v>0</v>
      </c>
      <c r="L4841" s="93"/>
    </row>
    <row r="4842" spans="1:12">
      <c r="A4842" s="93" t="str">
        <f>TEXT(tblProjectlist[[#This Row],[project-no]],"0")</f>
        <v>0</v>
      </c>
      <c r="L4842" s="93"/>
    </row>
    <row r="4843" spans="1:12">
      <c r="A4843" s="93" t="str">
        <f>TEXT(tblProjectlist[[#This Row],[project-no]],"0")</f>
        <v>0</v>
      </c>
      <c r="L4843" s="93"/>
    </row>
    <row r="4844" spans="1:12">
      <c r="A4844" s="93" t="str">
        <f>TEXT(tblProjectlist[[#This Row],[project-no]],"0")</f>
        <v>0</v>
      </c>
      <c r="L4844" s="93"/>
    </row>
    <row r="4845" spans="1:12">
      <c r="A4845" s="93" t="str">
        <f>TEXT(tblProjectlist[[#This Row],[project-no]],"0")</f>
        <v>0</v>
      </c>
      <c r="L4845" s="93"/>
    </row>
    <row r="4846" spans="1:12">
      <c r="A4846" s="93" t="str">
        <f>TEXT(tblProjectlist[[#This Row],[project-no]],"0")</f>
        <v>0</v>
      </c>
      <c r="L4846" s="93"/>
    </row>
    <row r="4847" spans="1:12">
      <c r="A4847" s="93" t="str">
        <f>TEXT(tblProjectlist[[#This Row],[project-no]],"0")</f>
        <v>0</v>
      </c>
      <c r="L4847" s="93"/>
    </row>
    <row r="4848" spans="1:12">
      <c r="A4848" s="93" t="str">
        <f>TEXT(tblProjectlist[[#This Row],[project-no]],"0")</f>
        <v>0</v>
      </c>
      <c r="L4848" s="93"/>
    </row>
    <row r="4849" spans="1:12">
      <c r="A4849" s="93" t="str">
        <f>TEXT(tblProjectlist[[#This Row],[project-no]],"0")</f>
        <v>0</v>
      </c>
      <c r="L4849" s="93"/>
    </row>
    <row r="4850" spans="1:12">
      <c r="A4850" s="93" t="str">
        <f>TEXT(tblProjectlist[[#This Row],[project-no]],"0")</f>
        <v>0</v>
      </c>
      <c r="L4850" s="93"/>
    </row>
    <row r="4851" spans="1:12">
      <c r="A4851" s="93" t="str">
        <f>TEXT(tblProjectlist[[#This Row],[project-no]],"0")</f>
        <v>0</v>
      </c>
      <c r="L4851" s="93"/>
    </row>
    <row r="4852" spans="1:12">
      <c r="A4852" s="93" t="str">
        <f>TEXT(tblProjectlist[[#This Row],[project-no]],"0")</f>
        <v>0</v>
      </c>
      <c r="L4852" s="93"/>
    </row>
    <row r="4853" spans="1:12">
      <c r="A4853" s="93" t="str">
        <f>TEXT(tblProjectlist[[#This Row],[project-no]],"0")</f>
        <v>0</v>
      </c>
      <c r="L4853" s="93"/>
    </row>
    <row r="4854" spans="1:12">
      <c r="A4854" s="93" t="str">
        <f>TEXT(tblProjectlist[[#This Row],[project-no]],"0")</f>
        <v>0</v>
      </c>
      <c r="L4854" s="93"/>
    </row>
    <row r="4855" spans="1:12">
      <c r="A4855" s="93" t="str">
        <f>TEXT(tblProjectlist[[#This Row],[project-no]],"0")</f>
        <v>0</v>
      </c>
      <c r="L4855" s="93"/>
    </row>
    <row r="4856" spans="1:12">
      <c r="A4856" s="93" t="str">
        <f>TEXT(tblProjectlist[[#This Row],[project-no]],"0")</f>
        <v>0</v>
      </c>
      <c r="L4856" s="93"/>
    </row>
    <row r="4857" spans="1:12">
      <c r="A4857" s="93" t="str">
        <f>TEXT(tblProjectlist[[#This Row],[project-no]],"0")</f>
        <v>0</v>
      </c>
      <c r="L4857" s="93"/>
    </row>
    <row r="4858" spans="1:12">
      <c r="A4858" s="93" t="str">
        <f>TEXT(tblProjectlist[[#This Row],[project-no]],"0")</f>
        <v>0</v>
      </c>
      <c r="L4858" s="93"/>
    </row>
    <row r="4859" spans="1:12">
      <c r="A4859" s="93" t="str">
        <f>TEXT(tblProjectlist[[#This Row],[project-no]],"0")</f>
        <v>0</v>
      </c>
      <c r="L4859" s="93"/>
    </row>
    <row r="4860" spans="1:12">
      <c r="A4860" s="93" t="str">
        <f>TEXT(tblProjectlist[[#This Row],[project-no]],"0")</f>
        <v>0</v>
      </c>
      <c r="L4860" s="93"/>
    </row>
    <row r="4861" spans="1:12">
      <c r="A4861" s="93" t="str">
        <f>TEXT(tblProjectlist[[#This Row],[project-no]],"0")</f>
        <v>0</v>
      </c>
      <c r="L4861" s="93"/>
    </row>
    <row r="4862" spans="1:12">
      <c r="A4862" s="93" t="str">
        <f>TEXT(tblProjectlist[[#This Row],[project-no]],"0")</f>
        <v>0</v>
      </c>
      <c r="L4862" s="93"/>
    </row>
    <row r="4863" spans="1:12">
      <c r="A4863" s="93" t="str">
        <f>TEXT(tblProjectlist[[#This Row],[project-no]],"0")</f>
        <v>0</v>
      </c>
      <c r="L4863" s="93"/>
    </row>
    <row r="4864" spans="1:12">
      <c r="A4864" s="93" t="str">
        <f>TEXT(tblProjectlist[[#This Row],[project-no]],"0")</f>
        <v>0</v>
      </c>
      <c r="L4864" s="93"/>
    </row>
    <row r="4865" spans="1:12">
      <c r="A4865" s="93" t="str">
        <f>TEXT(tblProjectlist[[#This Row],[project-no]],"0")</f>
        <v>0</v>
      </c>
      <c r="L4865" s="93"/>
    </row>
    <row r="4866" spans="1:12">
      <c r="A4866" s="93" t="str">
        <f>TEXT(tblProjectlist[[#This Row],[project-no]],"0")</f>
        <v>0</v>
      </c>
      <c r="L4866" s="93"/>
    </row>
    <row r="4867" spans="1:12">
      <c r="A4867" s="93" t="str">
        <f>TEXT(tblProjectlist[[#This Row],[project-no]],"0")</f>
        <v>0</v>
      </c>
      <c r="L4867" s="93"/>
    </row>
    <row r="4868" spans="1:12">
      <c r="A4868" s="93" t="str">
        <f>TEXT(tblProjectlist[[#This Row],[project-no]],"0")</f>
        <v>0</v>
      </c>
      <c r="L4868" s="93"/>
    </row>
    <row r="4869" spans="1:12">
      <c r="A4869" s="93" t="str">
        <f>TEXT(tblProjectlist[[#This Row],[project-no]],"0")</f>
        <v>0</v>
      </c>
      <c r="L4869" s="93"/>
    </row>
    <row r="4870" spans="1:12">
      <c r="A4870" s="93" t="str">
        <f>TEXT(tblProjectlist[[#This Row],[project-no]],"0")</f>
        <v>0</v>
      </c>
      <c r="L4870" s="93"/>
    </row>
    <row r="4871" spans="1:12">
      <c r="A4871" s="93" t="str">
        <f>TEXT(tblProjectlist[[#This Row],[project-no]],"0")</f>
        <v>0</v>
      </c>
      <c r="L4871" s="93"/>
    </row>
    <row r="4872" spans="1:12">
      <c r="A4872" s="93" t="str">
        <f>TEXT(tblProjectlist[[#This Row],[project-no]],"0")</f>
        <v>0</v>
      </c>
      <c r="L4872" s="93"/>
    </row>
    <row r="4873" spans="1:12">
      <c r="A4873" s="93" t="str">
        <f>TEXT(tblProjectlist[[#This Row],[project-no]],"0")</f>
        <v>0</v>
      </c>
      <c r="L4873" s="93"/>
    </row>
    <row r="4874" spans="1:12">
      <c r="A4874" s="93" t="str">
        <f>TEXT(tblProjectlist[[#This Row],[project-no]],"0")</f>
        <v>0</v>
      </c>
      <c r="L4874" s="93"/>
    </row>
    <row r="4875" spans="1:12">
      <c r="A4875" s="93" t="str">
        <f>TEXT(tblProjectlist[[#This Row],[project-no]],"0")</f>
        <v>0</v>
      </c>
      <c r="L4875" s="93"/>
    </row>
    <row r="4876" spans="1:12">
      <c r="A4876" s="93" t="str">
        <f>TEXT(tblProjectlist[[#This Row],[project-no]],"0")</f>
        <v>0</v>
      </c>
      <c r="L4876" s="93"/>
    </row>
    <row r="4877" spans="1:12">
      <c r="A4877" s="93" t="str">
        <f>TEXT(tblProjectlist[[#This Row],[project-no]],"0")</f>
        <v>0</v>
      </c>
      <c r="L4877" s="93"/>
    </row>
    <row r="4878" spans="1:12">
      <c r="A4878" s="93" t="str">
        <f>TEXT(tblProjectlist[[#This Row],[project-no]],"0")</f>
        <v>0</v>
      </c>
      <c r="L4878" s="93"/>
    </row>
    <row r="4879" spans="1:12">
      <c r="A4879" s="93" t="str">
        <f>TEXT(tblProjectlist[[#This Row],[project-no]],"0")</f>
        <v>0</v>
      </c>
      <c r="L4879" s="93"/>
    </row>
    <row r="4880" spans="1:12">
      <c r="A4880" s="93" t="str">
        <f>TEXT(tblProjectlist[[#This Row],[project-no]],"0")</f>
        <v>0</v>
      </c>
      <c r="L4880" s="93"/>
    </row>
    <row r="4881" spans="1:12">
      <c r="A4881" s="93" t="str">
        <f>TEXT(tblProjectlist[[#This Row],[project-no]],"0")</f>
        <v>0</v>
      </c>
      <c r="L4881" s="93"/>
    </row>
    <row r="4882" spans="1:12">
      <c r="A4882" s="93" t="str">
        <f>TEXT(tblProjectlist[[#This Row],[project-no]],"0")</f>
        <v>0</v>
      </c>
      <c r="L4882" s="93"/>
    </row>
    <row r="4883" spans="1:12">
      <c r="A4883" s="93" t="str">
        <f>TEXT(tblProjectlist[[#This Row],[project-no]],"0")</f>
        <v>0</v>
      </c>
      <c r="L4883" s="93"/>
    </row>
    <row r="4884" spans="1:12">
      <c r="A4884" s="93" t="str">
        <f>TEXT(tblProjectlist[[#This Row],[project-no]],"0")</f>
        <v>0</v>
      </c>
      <c r="L4884" s="93"/>
    </row>
    <row r="4885" spans="1:12">
      <c r="A4885" s="93" t="str">
        <f>TEXT(tblProjectlist[[#This Row],[project-no]],"0")</f>
        <v>0</v>
      </c>
      <c r="L4885" s="93"/>
    </row>
    <row r="4886" spans="1:12">
      <c r="A4886" s="93" t="str">
        <f>TEXT(tblProjectlist[[#This Row],[project-no]],"0")</f>
        <v>0</v>
      </c>
      <c r="L4886" s="93"/>
    </row>
    <row r="4887" spans="1:12">
      <c r="A4887" s="93" t="str">
        <f>TEXT(tblProjectlist[[#This Row],[project-no]],"0")</f>
        <v>0</v>
      </c>
      <c r="L4887" s="93"/>
    </row>
    <row r="4888" spans="1:12">
      <c r="A4888" s="93" t="str">
        <f>TEXT(tblProjectlist[[#This Row],[project-no]],"0")</f>
        <v>0</v>
      </c>
      <c r="L4888" s="93"/>
    </row>
    <row r="4889" spans="1:12">
      <c r="A4889" s="93" t="str">
        <f>TEXT(tblProjectlist[[#This Row],[project-no]],"0")</f>
        <v>0</v>
      </c>
      <c r="L4889" s="93"/>
    </row>
    <row r="4890" spans="1:12">
      <c r="A4890" s="93" t="str">
        <f>TEXT(tblProjectlist[[#This Row],[project-no]],"0")</f>
        <v>0</v>
      </c>
      <c r="L4890" s="93"/>
    </row>
    <row r="4891" spans="1:12">
      <c r="A4891" s="93" t="str">
        <f>TEXT(tblProjectlist[[#This Row],[project-no]],"0")</f>
        <v>0</v>
      </c>
      <c r="L4891" s="93"/>
    </row>
    <row r="4892" spans="1:12">
      <c r="A4892" s="93" t="str">
        <f>TEXT(tblProjectlist[[#This Row],[project-no]],"0")</f>
        <v>0</v>
      </c>
      <c r="L4892" s="93"/>
    </row>
    <row r="4893" spans="1:12">
      <c r="A4893" s="93" t="str">
        <f>TEXT(tblProjectlist[[#This Row],[project-no]],"0")</f>
        <v>0</v>
      </c>
      <c r="L4893" s="93"/>
    </row>
    <row r="4894" spans="1:12">
      <c r="A4894" s="93" t="str">
        <f>TEXT(tblProjectlist[[#This Row],[project-no]],"0")</f>
        <v>0</v>
      </c>
      <c r="L4894" s="93"/>
    </row>
    <row r="4895" spans="1:12">
      <c r="A4895" s="93" t="str">
        <f>TEXT(tblProjectlist[[#This Row],[project-no]],"0")</f>
        <v>0</v>
      </c>
      <c r="L4895" s="93"/>
    </row>
    <row r="4896" spans="1:12">
      <c r="A4896" s="93" t="str">
        <f>TEXT(tblProjectlist[[#This Row],[project-no]],"0")</f>
        <v>0</v>
      </c>
      <c r="L4896" s="93"/>
    </row>
    <row r="4897" spans="1:12">
      <c r="A4897" s="93" t="str">
        <f>TEXT(tblProjectlist[[#This Row],[project-no]],"0")</f>
        <v>0</v>
      </c>
      <c r="L4897" s="93"/>
    </row>
    <row r="4898" spans="1:12">
      <c r="A4898" s="93" t="str">
        <f>TEXT(tblProjectlist[[#This Row],[project-no]],"0")</f>
        <v>0</v>
      </c>
      <c r="L4898" s="93"/>
    </row>
    <row r="4899" spans="1:12">
      <c r="A4899" s="93" t="str">
        <f>TEXT(tblProjectlist[[#This Row],[project-no]],"0")</f>
        <v>0</v>
      </c>
      <c r="L4899" s="93"/>
    </row>
    <row r="4900" spans="1:12">
      <c r="A4900" s="93" t="str">
        <f>TEXT(tblProjectlist[[#This Row],[project-no]],"0")</f>
        <v>0</v>
      </c>
      <c r="L4900" s="93"/>
    </row>
    <row r="4901" spans="1:12">
      <c r="A4901" s="93" t="str">
        <f>TEXT(tblProjectlist[[#This Row],[project-no]],"0")</f>
        <v>0</v>
      </c>
      <c r="L4901" s="93"/>
    </row>
    <row r="4902" spans="1:12">
      <c r="A4902" s="93" t="str">
        <f>TEXT(tblProjectlist[[#This Row],[project-no]],"0")</f>
        <v>0</v>
      </c>
      <c r="L4902" s="93"/>
    </row>
    <row r="4903" spans="1:12">
      <c r="A4903" s="93" t="str">
        <f>TEXT(tblProjectlist[[#This Row],[project-no]],"0")</f>
        <v>0</v>
      </c>
      <c r="L4903" s="93"/>
    </row>
    <row r="4904" spans="1:12">
      <c r="A4904" s="93" t="str">
        <f>TEXT(tblProjectlist[[#This Row],[project-no]],"0")</f>
        <v>0</v>
      </c>
      <c r="L4904" s="93"/>
    </row>
    <row r="4905" spans="1:12">
      <c r="A4905" s="93" t="str">
        <f>TEXT(tblProjectlist[[#This Row],[project-no]],"0")</f>
        <v>0</v>
      </c>
      <c r="L4905" s="93"/>
    </row>
    <row r="4906" spans="1:12">
      <c r="A4906" s="93" t="str">
        <f>TEXT(tblProjectlist[[#This Row],[project-no]],"0")</f>
        <v>0</v>
      </c>
      <c r="L4906" s="93"/>
    </row>
    <row r="4907" spans="1:12">
      <c r="A4907" s="93" t="str">
        <f>TEXT(tblProjectlist[[#This Row],[project-no]],"0")</f>
        <v>0</v>
      </c>
      <c r="L4907" s="93"/>
    </row>
    <row r="4908" spans="1:12">
      <c r="A4908" s="93" t="str">
        <f>TEXT(tblProjectlist[[#This Row],[project-no]],"0")</f>
        <v>0</v>
      </c>
      <c r="L4908" s="93"/>
    </row>
    <row r="4909" spans="1:12">
      <c r="A4909" s="93" t="str">
        <f>TEXT(tblProjectlist[[#This Row],[project-no]],"0")</f>
        <v>0</v>
      </c>
      <c r="L4909" s="93"/>
    </row>
    <row r="4910" spans="1:12">
      <c r="A4910" s="93" t="str">
        <f>TEXT(tblProjectlist[[#This Row],[project-no]],"0")</f>
        <v>0</v>
      </c>
      <c r="L4910" s="93"/>
    </row>
    <row r="4911" spans="1:12">
      <c r="A4911" s="93" t="str">
        <f>TEXT(tblProjectlist[[#This Row],[project-no]],"0")</f>
        <v>0</v>
      </c>
      <c r="L4911" s="93"/>
    </row>
    <row r="4912" spans="1:12">
      <c r="A4912" s="93" t="str">
        <f>TEXT(tblProjectlist[[#This Row],[project-no]],"0")</f>
        <v>0</v>
      </c>
      <c r="L4912" s="93"/>
    </row>
    <row r="4913" spans="1:12">
      <c r="A4913" s="93" t="str">
        <f>TEXT(tblProjectlist[[#This Row],[project-no]],"0")</f>
        <v>0</v>
      </c>
      <c r="L4913" s="93"/>
    </row>
    <row r="4914" spans="1:12">
      <c r="A4914" s="93" t="str">
        <f>TEXT(tblProjectlist[[#This Row],[project-no]],"0")</f>
        <v>0</v>
      </c>
      <c r="L4914" s="93"/>
    </row>
    <row r="4915" spans="1:12">
      <c r="A4915" s="93" t="str">
        <f>TEXT(tblProjectlist[[#This Row],[project-no]],"0")</f>
        <v>0</v>
      </c>
      <c r="L4915" s="93"/>
    </row>
    <row r="4916" spans="1:12">
      <c r="A4916" s="93" t="str">
        <f>TEXT(tblProjectlist[[#This Row],[project-no]],"0")</f>
        <v>0</v>
      </c>
      <c r="L4916" s="93"/>
    </row>
    <row r="4917" spans="1:12">
      <c r="A4917" s="93" t="str">
        <f>TEXT(tblProjectlist[[#This Row],[project-no]],"0")</f>
        <v>0</v>
      </c>
      <c r="L4917" s="93"/>
    </row>
    <row r="4918" spans="1:12">
      <c r="A4918" s="93" t="str">
        <f>TEXT(tblProjectlist[[#This Row],[project-no]],"0")</f>
        <v>0</v>
      </c>
      <c r="L4918" s="93"/>
    </row>
    <row r="4919" spans="1:12">
      <c r="A4919" s="93" t="str">
        <f>TEXT(tblProjectlist[[#This Row],[project-no]],"0")</f>
        <v>0</v>
      </c>
      <c r="L4919" s="93"/>
    </row>
    <row r="4920" spans="1:12">
      <c r="A4920" s="93" t="str">
        <f>TEXT(tblProjectlist[[#This Row],[project-no]],"0")</f>
        <v>0</v>
      </c>
      <c r="L4920" s="93"/>
    </row>
    <row r="4921" spans="1:12">
      <c r="A4921" s="93" t="str">
        <f>TEXT(tblProjectlist[[#This Row],[project-no]],"0")</f>
        <v>0</v>
      </c>
      <c r="L4921" s="93"/>
    </row>
    <row r="4922" spans="1:12">
      <c r="A4922" s="93" t="str">
        <f>TEXT(tblProjectlist[[#This Row],[project-no]],"0")</f>
        <v>0</v>
      </c>
      <c r="L4922" s="93"/>
    </row>
    <row r="4923" spans="1:12">
      <c r="A4923" s="93" t="str">
        <f>TEXT(tblProjectlist[[#This Row],[project-no]],"0")</f>
        <v>0</v>
      </c>
      <c r="L4923" s="93"/>
    </row>
    <row r="4924" spans="1:12">
      <c r="A4924" s="93" t="str">
        <f>TEXT(tblProjectlist[[#This Row],[project-no]],"0")</f>
        <v>0</v>
      </c>
      <c r="L4924" s="93"/>
    </row>
    <row r="4925" spans="1:12">
      <c r="A4925" s="93" t="str">
        <f>TEXT(tblProjectlist[[#This Row],[project-no]],"0")</f>
        <v>0</v>
      </c>
      <c r="L4925" s="93"/>
    </row>
    <row r="4926" spans="1:12">
      <c r="A4926" s="93" t="str">
        <f>TEXT(tblProjectlist[[#This Row],[project-no]],"0")</f>
        <v>0</v>
      </c>
      <c r="L4926" s="93"/>
    </row>
    <row r="4927" spans="1:12">
      <c r="A4927" s="93" t="str">
        <f>TEXT(tblProjectlist[[#This Row],[project-no]],"0")</f>
        <v>0</v>
      </c>
      <c r="L4927" s="93"/>
    </row>
    <row r="4928" spans="1:12">
      <c r="A4928" s="93" t="str">
        <f>TEXT(tblProjectlist[[#This Row],[project-no]],"0")</f>
        <v>0</v>
      </c>
      <c r="L4928" s="93"/>
    </row>
    <row r="4929" spans="1:12">
      <c r="A4929" s="93" t="str">
        <f>TEXT(tblProjectlist[[#This Row],[project-no]],"0")</f>
        <v>0</v>
      </c>
      <c r="L4929" s="93"/>
    </row>
    <row r="4930" spans="1:12">
      <c r="A4930" s="93" t="str">
        <f>TEXT(tblProjectlist[[#This Row],[project-no]],"0")</f>
        <v>0</v>
      </c>
      <c r="L4930" s="93"/>
    </row>
    <row r="4931" spans="1:12">
      <c r="A4931" s="93" t="str">
        <f>TEXT(tblProjectlist[[#This Row],[project-no]],"0")</f>
        <v>0</v>
      </c>
      <c r="L4931" s="93"/>
    </row>
    <row r="4932" spans="1:12">
      <c r="A4932" s="93" t="str">
        <f>TEXT(tblProjectlist[[#This Row],[project-no]],"0")</f>
        <v>0</v>
      </c>
      <c r="L4932" s="93"/>
    </row>
    <row r="4933" spans="1:12">
      <c r="A4933" s="93" t="str">
        <f>TEXT(tblProjectlist[[#This Row],[project-no]],"0")</f>
        <v>0</v>
      </c>
      <c r="L4933" s="93"/>
    </row>
    <row r="4934" spans="1:12">
      <c r="A4934" s="93" t="str">
        <f>TEXT(tblProjectlist[[#This Row],[project-no]],"0")</f>
        <v>0</v>
      </c>
      <c r="L4934" s="93"/>
    </row>
    <row r="4935" spans="1:12">
      <c r="A4935" s="93" t="str">
        <f>TEXT(tblProjectlist[[#This Row],[project-no]],"0")</f>
        <v>0</v>
      </c>
      <c r="L4935" s="93"/>
    </row>
    <row r="4936" spans="1:12">
      <c r="A4936" s="93" t="str">
        <f>TEXT(tblProjectlist[[#This Row],[project-no]],"0")</f>
        <v>0</v>
      </c>
      <c r="L4936" s="93"/>
    </row>
    <row r="4937" spans="1:12">
      <c r="A4937" s="93" t="str">
        <f>TEXT(tblProjectlist[[#This Row],[project-no]],"0")</f>
        <v>0</v>
      </c>
      <c r="L4937" s="93"/>
    </row>
    <row r="4938" spans="1:12">
      <c r="A4938" s="93" t="str">
        <f>TEXT(tblProjectlist[[#This Row],[project-no]],"0")</f>
        <v>0</v>
      </c>
      <c r="L4938" s="93"/>
    </row>
    <row r="4939" spans="1:12">
      <c r="A4939" s="93" t="str">
        <f>TEXT(tblProjectlist[[#This Row],[project-no]],"0")</f>
        <v>0</v>
      </c>
      <c r="L4939" s="93"/>
    </row>
    <row r="4940" spans="1:12">
      <c r="A4940" s="93" t="str">
        <f>TEXT(tblProjectlist[[#This Row],[project-no]],"0")</f>
        <v>0</v>
      </c>
      <c r="L4940" s="93"/>
    </row>
    <row r="4941" spans="1:12">
      <c r="A4941" s="93" t="str">
        <f>TEXT(tblProjectlist[[#This Row],[project-no]],"0")</f>
        <v>0</v>
      </c>
      <c r="L4941" s="93"/>
    </row>
    <row r="4942" spans="1:12">
      <c r="A4942" s="93" t="str">
        <f>TEXT(tblProjectlist[[#This Row],[project-no]],"0")</f>
        <v>0</v>
      </c>
      <c r="L4942" s="93"/>
    </row>
    <row r="4943" spans="1:12">
      <c r="A4943" s="93" t="str">
        <f>TEXT(tblProjectlist[[#This Row],[project-no]],"0")</f>
        <v>0</v>
      </c>
      <c r="L4943" s="93"/>
    </row>
    <row r="4944" spans="1:12">
      <c r="A4944" s="93" t="str">
        <f>TEXT(tblProjectlist[[#This Row],[project-no]],"0")</f>
        <v>0</v>
      </c>
      <c r="L4944" s="93"/>
    </row>
    <row r="4945" spans="1:12">
      <c r="A4945" s="93" t="str">
        <f>TEXT(tblProjectlist[[#This Row],[project-no]],"0")</f>
        <v>0</v>
      </c>
      <c r="L4945" s="93"/>
    </row>
    <row r="4946" spans="1:12">
      <c r="A4946" s="93" t="str">
        <f>TEXT(tblProjectlist[[#This Row],[project-no]],"0")</f>
        <v>0</v>
      </c>
      <c r="L4946" s="93"/>
    </row>
    <row r="4947" spans="1:12">
      <c r="A4947" s="93" t="str">
        <f>TEXT(tblProjectlist[[#This Row],[project-no]],"0")</f>
        <v>0</v>
      </c>
      <c r="L4947" s="93"/>
    </row>
    <row r="4948" spans="1:12">
      <c r="A4948" s="93" t="str">
        <f>TEXT(tblProjectlist[[#This Row],[project-no]],"0")</f>
        <v>0</v>
      </c>
      <c r="L4948" s="93"/>
    </row>
    <row r="4949" spans="1:12">
      <c r="A4949" s="93" t="str">
        <f>TEXT(tblProjectlist[[#This Row],[project-no]],"0")</f>
        <v>0</v>
      </c>
      <c r="L4949" s="93"/>
    </row>
    <row r="4950" spans="1:12">
      <c r="A4950" s="93" t="str">
        <f>TEXT(tblProjectlist[[#This Row],[project-no]],"0")</f>
        <v>0</v>
      </c>
      <c r="L4950" s="93"/>
    </row>
    <row r="4951" spans="1:12">
      <c r="A4951" s="93" t="str">
        <f>TEXT(tblProjectlist[[#This Row],[project-no]],"0")</f>
        <v>0</v>
      </c>
      <c r="L4951" s="93"/>
    </row>
    <row r="4952" spans="1:12">
      <c r="A4952" s="93" t="str">
        <f>TEXT(tblProjectlist[[#This Row],[project-no]],"0")</f>
        <v>0</v>
      </c>
      <c r="L4952" s="93"/>
    </row>
    <row r="4953" spans="1:12">
      <c r="A4953" s="93" t="str">
        <f>TEXT(tblProjectlist[[#This Row],[project-no]],"0")</f>
        <v>0</v>
      </c>
      <c r="L4953" s="93"/>
    </row>
    <row r="4954" spans="1:12">
      <c r="A4954" s="93" t="str">
        <f>TEXT(tblProjectlist[[#This Row],[project-no]],"0")</f>
        <v>0</v>
      </c>
      <c r="L4954" s="93"/>
    </row>
    <row r="4955" spans="1:12">
      <c r="A4955" s="93" t="str">
        <f>TEXT(tblProjectlist[[#This Row],[project-no]],"0")</f>
        <v>0</v>
      </c>
      <c r="L4955" s="93"/>
    </row>
    <row r="4956" spans="1:12">
      <c r="A4956" s="93" t="str">
        <f>TEXT(tblProjectlist[[#This Row],[project-no]],"0")</f>
        <v>0</v>
      </c>
      <c r="L4956" s="93"/>
    </row>
    <row r="4957" spans="1:12">
      <c r="A4957" s="93" t="str">
        <f>TEXT(tblProjectlist[[#This Row],[project-no]],"0")</f>
        <v>0</v>
      </c>
      <c r="L4957" s="93"/>
    </row>
    <row r="4958" spans="1:12">
      <c r="A4958" s="93" t="str">
        <f>TEXT(tblProjectlist[[#This Row],[project-no]],"0")</f>
        <v>0</v>
      </c>
      <c r="L4958" s="93"/>
    </row>
    <row r="4959" spans="1:12">
      <c r="A4959" s="93" t="str">
        <f>TEXT(tblProjectlist[[#This Row],[project-no]],"0")</f>
        <v>0</v>
      </c>
      <c r="L4959" s="93"/>
    </row>
    <row r="4960" spans="1:12">
      <c r="A4960" s="93" t="str">
        <f>TEXT(tblProjectlist[[#This Row],[project-no]],"0")</f>
        <v>0</v>
      </c>
      <c r="L4960" s="93"/>
    </row>
    <row r="4961" spans="1:12">
      <c r="A4961" s="93" t="str">
        <f>TEXT(tblProjectlist[[#This Row],[project-no]],"0")</f>
        <v>0</v>
      </c>
      <c r="L4961" s="93"/>
    </row>
    <row r="4962" spans="1:12">
      <c r="A4962" s="93" t="str">
        <f>TEXT(tblProjectlist[[#This Row],[project-no]],"0")</f>
        <v>0</v>
      </c>
      <c r="L4962" s="93"/>
    </row>
    <row r="4963" spans="1:12">
      <c r="A4963" s="93" t="str">
        <f>TEXT(tblProjectlist[[#This Row],[project-no]],"0")</f>
        <v>0</v>
      </c>
      <c r="L4963" s="93"/>
    </row>
    <row r="4964" spans="1:12">
      <c r="A4964" s="93" t="str">
        <f>TEXT(tblProjectlist[[#This Row],[project-no]],"0")</f>
        <v>0</v>
      </c>
      <c r="L4964" s="93"/>
    </row>
    <row r="4965" spans="1:12">
      <c r="A4965" s="93" t="str">
        <f>TEXT(tblProjectlist[[#This Row],[project-no]],"0")</f>
        <v>0</v>
      </c>
      <c r="L4965" s="93"/>
    </row>
    <row r="4966" spans="1:12">
      <c r="A4966" s="93" t="str">
        <f>TEXT(tblProjectlist[[#This Row],[project-no]],"0")</f>
        <v>0</v>
      </c>
      <c r="L4966" s="93"/>
    </row>
    <row r="4967" spans="1:12">
      <c r="A4967" s="93" t="str">
        <f>TEXT(tblProjectlist[[#This Row],[project-no]],"0")</f>
        <v>0</v>
      </c>
      <c r="L4967" s="93"/>
    </row>
    <row r="4968" spans="1:12">
      <c r="A4968" s="93" t="str">
        <f>TEXT(tblProjectlist[[#This Row],[project-no]],"0")</f>
        <v>0</v>
      </c>
      <c r="L4968" s="93"/>
    </row>
    <row r="4969" spans="1:12">
      <c r="A4969" s="93" t="str">
        <f>TEXT(tblProjectlist[[#This Row],[project-no]],"0")</f>
        <v>0</v>
      </c>
      <c r="L4969" s="93"/>
    </row>
    <row r="4970" spans="1:12">
      <c r="A4970" s="93" t="str">
        <f>TEXT(tblProjectlist[[#This Row],[project-no]],"0")</f>
        <v>0</v>
      </c>
      <c r="L4970" s="93"/>
    </row>
    <row r="4971" spans="1:12">
      <c r="A4971" s="93" t="str">
        <f>TEXT(tblProjectlist[[#This Row],[project-no]],"0")</f>
        <v>0</v>
      </c>
      <c r="L4971" s="93"/>
    </row>
    <row r="4972" spans="1:12">
      <c r="A4972" s="93" t="str">
        <f>TEXT(tblProjectlist[[#This Row],[project-no]],"0")</f>
        <v>0</v>
      </c>
      <c r="L4972" s="93"/>
    </row>
    <row r="4973" spans="1:12">
      <c r="A4973" s="93" t="str">
        <f>TEXT(tblProjectlist[[#This Row],[project-no]],"0")</f>
        <v>0</v>
      </c>
      <c r="L4973" s="93"/>
    </row>
    <row r="4974" spans="1:12">
      <c r="A4974" s="93" t="str">
        <f>TEXT(tblProjectlist[[#This Row],[project-no]],"0")</f>
        <v>0</v>
      </c>
      <c r="L4974" s="93"/>
    </row>
    <row r="4975" spans="1:12">
      <c r="A4975" s="93" t="str">
        <f>TEXT(tblProjectlist[[#This Row],[project-no]],"0")</f>
        <v>0</v>
      </c>
      <c r="L4975" s="93"/>
    </row>
    <row r="4976" spans="1:12">
      <c r="A4976" s="93" t="str">
        <f>TEXT(tblProjectlist[[#This Row],[project-no]],"0")</f>
        <v>0</v>
      </c>
      <c r="L4976" s="93"/>
    </row>
    <row r="4977" spans="1:12">
      <c r="A4977" s="93" t="str">
        <f>TEXT(tblProjectlist[[#This Row],[project-no]],"0")</f>
        <v>0</v>
      </c>
      <c r="L4977" s="93"/>
    </row>
    <row r="4978" spans="1:12">
      <c r="A4978" s="93" t="str">
        <f>TEXT(tblProjectlist[[#This Row],[project-no]],"0")</f>
        <v>0</v>
      </c>
      <c r="L4978" s="93"/>
    </row>
    <row r="4979" spans="1:12">
      <c r="A4979" s="93" t="str">
        <f>TEXT(tblProjectlist[[#This Row],[project-no]],"0")</f>
        <v>0</v>
      </c>
      <c r="L4979" s="93"/>
    </row>
    <row r="4980" spans="1:12">
      <c r="A4980" s="93" t="str">
        <f>TEXT(tblProjectlist[[#This Row],[project-no]],"0")</f>
        <v>0</v>
      </c>
      <c r="L4980" s="93"/>
    </row>
    <row r="4981" spans="1:12">
      <c r="A4981" s="93" t="str">
        <f>TEXT(tblProjectlist[[#This Row],[project-no]],"0")</f>
        <v>0</v>
      </c>
      <c r="L4981" s="93"/>
    </row>
    <row r="4982" spans="1:12">
      <c r="A4982" s="93" t="str">
        <f>TEXT(tblProjectlist[[#This Row],[project-no]],"0")</f>
        <v>0</v>
      </c>
      <c r="L4982" s="93"/>
    </row>
    <row r="4983" spans="1:12">
      <c r="A4983" s="93" t="str">
        <f>TEXT(tblProjectlist[[#This Row],[project-no]],"0")</f>
        <v>0</v>
      </c>
      <c r="L4983" s="93"/>
    </row>
    <row r="4984" spans="1:12">
      <c r="A4984" s="93" t="str">
        <f>TEXT(tblProjectlist[[#This Row],[project-no]],"0")</f>
        <v>0</v>
      </c>
      <c r="L4984" s="93"/>
    </row>
    <row r="4985" spans="1:12">
      <c r="A4985" s="93" t="str">
        <f>TEXT(tblProjectlist[[#This Row],[project-no]],"0")</f>
        <v>0</v>
      </c>
      <c r="L4985" s="93"/>
    </row>
    <row r="4986" spans="1:12">
      <c r="A4986" s="93" t="str">
        <f>TEXT(tblProjectlist[[#This Row],[project-no]],"0")</f>
        <v>0</v>
      </c>
      <c r="L4986" s="93"/>
    </row>
    <row r="4987" spans="1:12">
      <c r="A4987" s="93" t="str">
        <f>TEXT(tblProjectlist[[#This Row],[project-no]],"0")</f>
        <v>0</v>
      </c>
      <c r="L4987" s="93"/>
    </row>
    <row r="4988" spans="1:12">
      <c r="A4988" s="93" t="str">
        <f>TEXT(tblProjectlist[[#This Row],[project-no]],"0")</f>
        <v>0</v>
      </c>
      <c r="L4988" s="93"/>
    </row>
    <row r="4989" spans="1:12">
      <c r="A4989" s="93" t="str">
        <f>TEXT(tblProjectlist[[#This Row],[project-no]],"0")</f>
        <v>0</v>
      </c>
      <c r="L4989" s="93"/>
    </row>
    <row r="4990" spans="1:12">
      <c r="A4990" s="93" t="str">
        <f>TEXT(tblProjectlist[[#This Row],[project-no]],"0")</f>
        <v>0</v>
      </c>
      <c r="L4990" s="93"/>
    </row>
    <row r="4991" spans="1:12">
      <c r="A4991" s="93" t="str">
        <f>TEXT(tblProjectlist[[#This Row],[project-no]],"0")</f>
        <v>0</v>
      </c>
      <c r="L4991" s="93"/>
    </row>
    <row r="4992" spans="1:12">
      <c r="A4992" s="93" t="str">
        <f>TEXT(tblProjectlist[[#This Row],[project-no]],"0")</f>
        <v>0</v>
      </c>
      <c r="L4992" s="93"/>
    </row>
    <row r="4993" spans="1:12">
      <c r="A4993" s="93" t="str">
        <f>TEXT(tblProjectlist[[#This Row],[project-no]],"0")</f>
        <v>0</v>
      </c>
      <c r="L4993" s="93"/>
    </row>
    <row r="4994" spans="1:12">
      <c r="A4994" s="93" t="str">
        <f>TEXT(tblProjectlist[[#This Row],[project-no]],"0")</f>
        <v>0</v>
      </c>
      <c r="L4994" s="93"/>
    </row>
    <row r="4995" spans="1:12">
      <c r="A4995" s="93" t="str">
        <f>TEXT(tblProjectlist[[#This Row],[project-no]],"0")</f>
        <v>0</v>
      </c>
      <c r="L4995" s="93"/>
    </row>
    <row r="4996" spans="1:12">
      <c r="A4996" s="93" t="str">
        <f>TEXT(tblProjectlist[[#This Row],[project-no]],"0")</f>
        <v>0</v>
      </c>
      <c r="L4996" s="93"/>
    </row>
    <row r="4997" spans="1:12">
      <c r="A4997" s="93" t="str">
        <f>TEXT(tblProjectlist[[#This Row],[project-no]],"0")</f>
        <v>0</v>
      </c>
      <c r="L4997" s="93"/>
    </row>
    <row r="4998" spans="1:12">
      <c r="A4998" s="93" t="str">
        <f>TEXT(tblProjectlist[[#This Row],[project-no]],"0")</f>
        <v>0</v>
      </c>
      <c r="L4998" s="93"/>
    </row>
    <row r="4999" spans="1:12">
      <c r="A4999" s="93" t="str">
        <f>TEXT(tblProjectlist[[#This Row],[project-no]],"0")</f>
        <v>0</v>
      </c>
      <c r="L4999" s="93"/>
    </row>
    <row r="5000" spans="1:12">
      <c r="A5000" s="93" t="str">
        <f>TEXT(tblProjectlist[[#This Row],[project-no]],"0")</f>
        <v>0</v>
      </c>
      <c r="L5000" s="93"/>
    </row>
    <row r="5001" spans="1:12">
      <c r="A5001" s="93" t="str">
        <f>TEXT(tblProjectlist[[#This Row],[project-no]],"0")</f>
        <v>0</v>
      </c>
      <c r="L5001" s="93"/>
    </row>
    <row r="5002" spans="1:12">
      <c r="A5002" s="93" t="str">
        <f>TEXT(tblProjectlist[[#This Row],[project-no]],"0")</f>
        <v>0</v>
      </c>
      <c r="L5002" s="93"/>
    </row>
    <row r="5003" spans="1:12">
      <c r="A5003" s="93" t="str">
        <f>TEXT(tblProjectlist[[#This Row],[project-no]],"0")</f>
        <v>0</v>
      </c>
      <c r="L5003" s="93"/>
    </row>
    <row r="5004" spans="1:12">
      <c r="A5004" s="93" t="str">
        <f>TEXT(tblProjectlist[[#This Row],[project-no]],"0")</f>
        <v>0</v>
      </c>
      <c r="L5004" s="93"/>
    </row>
    <row r="5005" spans="1:12">
      <c r="A5005" s="93" t="str">
        <f>TEXT(tblProjectlist[[#This Row],[project-no]],"0")</f>
        <v>0</v>
      </c>
      <c r="L5005" s="93"/>
    </row>
    <row r="5006" spans="1:12">
      <c r="A5006" s="93" t="str">
        <f>TEXT(tblProjectlist[[#This Row],[project-no]],"0")</f>
        <v>0</v>
      </c>
      <c r="L5006" s="93"/>
    </row>
    <row r="5007" spans="1:12">
      <c r="A5007" s="93" t="str">
        <f>TEXT(tblProjectlist[[#This Row],[project-no]],"0")</f>
        <v>0</v>
      </c>
      <c r="L5007" s="93"/>
    </row>
    <row r="5008" spans="1:12">
      <c r="A5008" s="93" t="str">
        <f>TEXT(tblProjectlist[[#This Row],[project-no]],"0")</f>
        <v>0</v>
      </c>
      <c r="L5008" s="93"/>
    </row>
    <row r="5009" spans="1:12">
      <c r="A5009" s="93" t="str">
        <f>TEXT(tblProjectlist[[#This Row],[project-no]],"0")</f>
        <v>0</v>
      </c>
      <c r="L5009" s="93"/>
    </row>
    <row r="5010" spans="1:12">
      <c r="A5010" s="93" t="str">
        <f>TEXT(tblProjectlist[[#This Row],[project-no]],"0")</f>
        <v>0</v>
      </c>
      <c r="L5010" s="93"/>
    </row>
    <row r="5011" spans="1:12">
      <c r="A5011" s="93" t="str">
        <f>TEXT(tblProjectlist[[#This Row],[project-no]],"0")</f>
        <v>0</v>
      </c>
      <c r="L5011" s="93"/>
    </row>
    <row r="5012" spans="1:12">
      <c r="A5012" s="93" t="str">
        <f>TEXT(tblProjectlist[[#This Row],[project-no]],"0")</f>
        <v>0</v>
      </c>
      <c r="L5012" s="93"/>
    </row>
    <row r="5013" spans="1:12">
      <c r="A5013" s="93" t="str">
        <f>TEXT(tblProjectlist[[#This Row],[project-no]],"0")</f>
        <v>0</v>
      </c>
      <c r="L5013" s="93"/>
    </row>
    <row r="5014" spans="1:12">
      <c r="A5014" s="93" t="str">
        <f>TEXT(tblProjectlist[[#This Row],[project-no]],"0")</f>
        <v>0</v>
      </c>
      <c r="L5014" s="93"/>
    </row>
    <row r="5015" spans="1:12">
      <c r="A5015" s="93" t="str">
        <f>TEXT(tblProjectlist[[#This Row],[project-no]],"0")</f>
        <v>0</v>
      </c>
      <c r="L5015" s="93"/>
    </row>
    <row r="5016" spans="1:12">
      <c r="A5016" s="93" t="str">
        <f>TEXT(tblProjectlist[[#This Row],[project-no]],"0")</f>
        <v>0</v>
      </c>
      <c r="L5016" s="93"/>
    </row>
    <row r="5017" spans="1:12">
      <c r="A5017" s="93" t="str">
        <f>TEXT(tblProjectlist[[#This Row],[project-no]],"0")</f>
        <v>0</v>
      </c>
      <c r="L5017" s="93"/>
    </row>
    <row r="5018" spans="1:12">
      <c r="A5018" s="93" t="str">
        <f>TEXT(tblProjectlist[[#This Row],[project-no]],"0")</f>
        <v>0</v>
      </c>
      <c r="L5018" s="93"/>
    </row>
    <row r="5019" spans="1:12">
      <c r="A5019" s="93" t="str">
        <f>TEXT(tblProjectlist[[#This Row],[project-no]],"0")</f>
        <v>0</v>
      </c>
      <c r="L5019" s="93"/>
    </row>
    <row r="5020" spans="1:12">
      <c r="A5020" s="93" t="str">
        <f>TEXT(tblProjectlist[[#This Row],[project-no]],"0")</f>
        <v>0</v>
      </c>
      <c r="L5020" s="93"/>
    </row>
    <row r="5021" spans="1:12">
      <c r="A5021" s="93" t="str">
        <f>TEXT(tblProjectlist[[#This Row],[project-no]],"0")</f>
        <v>0</v>
      </c>
      <c r="L5021" s="93"/>
    </row>
    <row r="5022" spans="1:12">
      <c r="A5022" s="93" t="str">
        <f>TEXT(tblProjectlist[[#This Row],[project-no]],"0")</f>
        <v>0</v>
      </c>
      <c r="L5022" s="93"/>
    </row>
    <row r="5023" spans="1:12">
      <c r="A5023" s="93" t="str">
        <f>TEXT(tblProjectlist[[#This Row],[project-no]],"0")</f>
        <v>0</v>
      </c>
      <c r="L5023" s="93"/>
    </row>
    <row r="5024" spans="1:12">
      <c r="A5024" s="93" t="str">
        <f>TEXT(tblProjectlist[[#This Row],[project-no]],"0")</f>
        <v>0</v>
      </c>
      <c r="L5024" s="93"/>
    </row>
    <row r="5025" spans="1:12">
      <c r="A5025" s="93" t="str">
        <f>TEXT(tblProjectlist[[#This Row],[project-no]],"0")</f>
        <v>0</v>
      </c>
      <c r="L5025" s="93"/>
    </row>
    <row r="5026" spans="1:12">
      <c r="A5026" s="93" t="str">
        <f>TEXT(tblProjectlist[[#This Row],[project-no]],"0")</f>
        <v>0</v>
      </c>
      <c r="L5026" s="93"/>
    </row>
    <row r="5027" spans="1:12">
      <c r="A5027" s="93" t="str">
        <f>TEXT(tblProjectlist[[#This Row],[project-no]],"0")</f>
        <v>0</v>
      </c>
      <c r="L5027" s="93"/>
    </row>
    <row r="5028" spans="1:12">
      <c r="A5028" s="93" t="str">
        <f>TEXT(tblProjectlist[[#This Row],[project-no]],"0")</f>
        <v>0</v>
      </c>
      <c r="L5028" s="93"/>
    </row>
    <row r="5029" spans="1:12">
      <c r="A5029" s="93" t="str">
        <f>TEXT(tblProjectlist[[#This Row],[project-no]],"0")</f>
        <v>0</v>
      </c>
      <c r="L5029" s="93"/>
    </row>
    <row r="5030" spans="1:12">
      <c r="A5030" s="93" t="str">
        <f>TEXT(tblProjectlist[[#This Row],[project-no]],"0")</f>
        <v>0</v>
      </c>
      <c r="L5030" s="93"/>
    </row>
    <row r="5031" spans="1:12">
      <c r="A5031" s="93" t="str">
        <f>TEXT(tblProjectlist[[#This Row],[project-no]],"0")</f>
        <v>0</v>
      </c>
      <c r="L5031" s="93"/>
    </row>
    <row r="5032" spans="1:12">
      <c r="A5032" s="93" t="str">
        <f>TEXT(tblProjectlist[[#This Row],[project-no]],"0")</f>
        <v>0</v>
      </c>
      <c r="L5032" s="93"/>
    </row>
    <row r="5033" spans="1:12">
      <c r="A5033" s="93" t="str">
        <f>TEXT(tblProjectlist[[#This Row],[project-no]],"0")</f>
        <v>0</v>
      </c>
      <c r="L5033" s="93"/>
    </row>
    <row r="5034" spans="1:12">
      <c r="A5034" s="93" t="str">
        <f>TEXT(tblProjectlist[[#This Row],[project-no]],"0")</f>
        <v>0</v>
      </c>
      <c r="L5034" s="93"/>
    </row>
    <row r="5035" spans="1:12">
      <c r="A5035" s="93" t="str">
        <f>TEXT(tblProjectlist[[#This Row],[project-no]],"0")</f>
        <v>0</v>
      </c>
      <c r="L5035" s="93"/>
    </row>
    <row r="5036" spans="1:12">
      <c r="A5036" s="93" t="str">
        <f>TEXT(tblProjectlist[[#This Row],[project-no]],"0")</f>
        <v>0</v>
      </c>
      <c r="L5036" s="93"/>
    </row>
    <row r="5037" spans="1:12">
      <c r="A5037" s="93" t="str">
        <f>TEXT(tblProjectlist[[#This Row],[project-no]],"0")</f>
        <v>0</v>
      </c>
      <c r="L5037" s="93"/>
    </row>
    <row r="5038" spans="1:12">
      <c r="A5038" s="93" t="str">
        <f>TEXT(tblProjectlist[[#This Row],[project-no]],"0")</f>
        <v>0</v>
      </c>
      <c r="L5038" s="93"/>
    </row>
    <row r="5039" spans="1:12">
      <c r="A5039" s="93" t="str">
        <f>TEXT(tblProjectlist[[#This Row],[project-no]],"0")</f>
        <v>0</v>
      </c>
      <c r="L5039" s="93"/>
    </row>
    <row r="5040" spans="1:12">
      <c r="A5040" s="93" t="str">
        <f>TEXT(tblProjectlist[[#This Row],[project-no]],"0")</f>
        <v>0</v>
      </c>
      <c r="L5040" s="93"/>
    </row>
    <row r="5041" spans="1:12">
      <c r="A5041" s="93" t="str">
        <f>TEXT(tblProjectlist[[#This Row],[project-no]],"0")</f>
        <v>0</v>
      </c>
      <c r="L5041" s="93"/>
    </row>
    <row r="5042" spans="1:12">
      <c r="A5042" s="93" t="str">
        <f>TEXT(tblProjectlist[[#This Row],[project-no]],"0")</f>
        <v>0</v>
      </c>
      <c r="L5042" s="93"/>
    </row>
    <row r="5043" spans="1:12">
      <c r="A5043" s="93" t="str">
        <f>TEXT(tblProjectlist[[#This Row],[project-no]],"0")</f>
        <v>0</v>
      </c>
      <c r="L5043" s="93"/>
    </row>
    <row r="5044" spans="1:12">
      <c r="A5044" s="93" t="str">
        <f>TEXT(tblProjectlist[[#This Row],[project-no]],"0")</f>
        <v>0</v>
      </c>
      <c r="L5044" s="93"/>
    </row>
    <row r="5045" spans="1:12">
      <c r="A5045" s="93" t="str">
        <f>TEXT(tblProjectlist[[#This Row],[project-no]],"0")</f>
        <v>0</v>
      </c>
      <c r="L5045" s="93"/>
    </row>
    <row r="5046" spans="1:12">
      <c r="A5046" s="93" t="str">
        <f>TEXT(tblProjectlist[[#This Row],[project-no]],"0")</f>
        <v>0</v>
      </c>
      <c r="L5046" s="93"/>
    </row>
    <row r="5047" spans="1:12">
      <c r="A5047" s="93" t="str">
        <f>TEXT(tblProjectlist[[#This Row],[project-no]],"0")</f>
        <v>0</v>
      </c>
      <c r="L5047" s="93"/>
    </row>
    <row r="5048" spans="1:12">
      <c r="A5048" s="93" t="str">
        <f>TEXT(tblProjectlist[[#This Row],[project-no]],"0")</f>
        <v>0</v>
      </c>
      <c r="L5048" s="93"/>
    </row>
    <row r="5049" spans="1:12">
      <c r="A5049" s="93" t="str">
        <f>TEXT(tblProjectlist[[#This Row],[project-no]],"0")</f>
        <v>0</v>
      </c>
      <c r="L5049" s="93"/>
    </row>
    <row r="5050" spans="1:12">
      <c r="A5050" s="93" t="str">
        <f>TEXT(tblProjectlist[[#This Row],[project-no]],"0")</f>
        <v>0</v>
      </c>
      <c r="L5050" s="93"/>
    </row>
    <row r="5051" spans="1:12">
      <c r="A5051" s="93" t="str">
        <f>TEXT(tblProjectlist[[#This Row],[project-no]],"0")</f>
        <v>0</v>
      </c>
      <c r="L5051" s="93"/>
    </row>
    <row r="5052" spans="1:12">
      <c r="A5052" s="93" t="str">
        <f>TEXT(tblProjectlist[[#This Row],[project-no]],"0")</f>
        <v>0</v>
      </c>
      <c r="L5052" s="93"/>
    </row>
    <row r="5053" spans="1:12">
      <c r="A5053" s="93" t="str">
        <f>TEXT(tblProjectlist[[#This Row],[project-no]],"0")</f>
        <v>0</v>
      </c>
      <c r="L5053" s="93"/>
    </row>
    <row r="5054" spans="1:12">
      <c r="A5054" s="93" t="str">
        <f>TEXT(tblProjectlist[[#This Row],[project-no]],"0")</f>
        <v>0</v>
      </c>
      <c r="L5054" s="93"/>
    </row>
    <row r="5055" spans="1:12">
      <c r="A5055" s="93" t="str">
        <f>TEXT(tblProjectlist[[#This Row],[project-no]],"0")</f>
        <v>0</v>
      </c>
      <c r="L5055" s="93"/>
    </row>
    <row r="5056" spans="1:12">
      <c r="A5056" s="93" t="str">
        <f>TEXT(tblProjectlist[[#This Row],[project-no]],"0")</f>
        <v>0</v>
      </c>
      <c r="L5056" s="93"/>
    </row>
    <row r="5057" spans="1:12">
      <c r="A5057" s="93" t="str">
        <f>TEXT(tblProjectlist[[#This Row],[project-no]],"0")</f>
        <v>0</v>
      </c>
      <c r="L5057" s="93"/>
    </row>
    <row r="5058" spans="1:12">
      <c r="A5058" s="93" t="str">
        <f>TEXT(tblProjectlist[[#This Row],[project-no]],"0")</f>
        <v>0</v>
      </c>
      <c r="L5058" s="93"/>
    </row>
    <row r="5059" spans="1:12">
      <c r="A5059" s="93" t="str">
        <f>TEXT(tblProjectlist[[#This Row],[project-no]],"0")</f>
        <v>0</v>
      </c>
      <c r="L5059" s="93"/>
    </row>
    <row r="5060" spans="1:12">
      <c r="A5060" s="93" t="str">
        <f>TEXT(tblProjectlist[[#This Row],[project-no]],"0")</f>
        <v>0</v>
      </c>
      <c r="L5060" s="93"/>
    </row>
    <row r="5061" spans="1:12">
      <c r="A5061" s="93" t="str">
        <f>TEXT(tblProjectlist[[#This Row],[project-no]],"0")</f>
        <v>0</v>
      </c>
      <c r="L5061" s="93"/>
    </row>
    <row r="5062" spans="1:12">
      <c r="A5062" s="93" t="str">
        <f>TEXT(tblProjectlist[[#This Row],[project-no]],"0")</f>
        <v>0</v>
      </c>
      <c r="L5062" s="93"/>
    </row>
    <row r="5063" spans="1:12">
      <c r="A5063" s="93" t="str">
        <f>TEXT(tblProjectlist[[#This Row],[project-no]],"0")</f>
        <v>0</v>
      </c>
      <c r="L5063" s="93"/>
    </row>
    <row r="5064" spans="1:12">
      <c r="A5064" s="93" t="str">
        <f>TEXT(tblProjectlist[[#This Row],[project-no]],"0")</f>
        <v>0</v>
      </c>
      <c r="L5064" s="93"/>
    </row>
    <row r="5065" spans="1:12">
      <c r="A5065" s="93" t="str">
        <f>TEXT(tblProjectlist[[#This Row],[project-no]],"0")</f>
        <v>0</v>
      </c>
      <c r="L5065" s="93"/>
    </row>
    <row r="5066" spans="1:12">
      <c r="A5066" s="93" t="str">
        <f>TEXT(tblProjectlist[[#This Row],[project-no]],"0")</f>
        <v>0</v>
      </c>
      <c r="L5066" s="93"/>
    </row>
    <row r="5067" spans="1:12">
      <c r="A5067" s="93" t="str">
        <f>TEXT(tblProjectlist[[#This Row],[project-no]],"0")</f>
        <v>0</v>
      </c>
      <c r="L5067" s="93"/>
    </row>
    <row r="5068" spans="1:12">
      <c r="A5068" s="93" t="str">
        <f>TEXT(tblProjectlist[[#This Row],[project-no]],"0")</f>
        <v>0</v>
      </c>
      <c r="L5068" s="93"/>
    </row>
    <row r="5069" spans="1:12">
      <c r="A5069" s="93" t="str">
        <f>TEXT(tblProjectlist[[#This Row],[project-no]],"0")</f>
        <v>0</v>
      </c>
      <c r="L5069" s="93"/>
    </row>
    <row r="5070" spans="1:12">
      <c r="A5070" s="93" t="str">
        <f>TEXT(tblProjectlist[[#This Row],[project-no]],"0")</f>
        <v>0</v>
      </c>
      <c r="L5070" s="93"/>
    </row>
    <row r="5071" spans="1:12">
      <c r="A5071" s="93" t="str">
        <f>TEXT(tblProjectlist[[#This Row],[project-no]],"0")</f>
        <v>0</v>
      </c>
      <c r="L5071" s="93"/>
    </row>
    <row r="5072" spans="1:12">
      <c r="A5072" s="93" t="str">
        <f>TEXT(tblProjectlist[[#This Row],[project-no]],"0")</f>
        <v>0</v>
      </c>
      <c r="L5072" s="93"/>
    </row>
    <row r="5073" spans="1:12">
      <c r="A5073" s="93" t="str">
        <f>TEXT(tblProjectlist[[#This Row],[project-no]],"0")</f>
        <v>0</v>
      </c>
      <c r="L5073" s="93"/>
    </row>
    <row r="5074" spans="1:12">
      <c r="A5074" s="93" t="str">
        <f>TEXT(tblProjectlist[[#This Row],[project-no]],"0")</f>
        <v>0</v>
      </c>
      <c r="L5074" s="93"/>
    </row>
    <row r="5075" spans="1:12">
      <c r="A5075" s="93" t="str">
        <f>TEXT(tblProjectlist[[#This Row],[project-no]],"0")</f>
        <v>0</v>
      </c>
      <c r="L5075" s="93"/>
    </row>
    <row r="5076" spans="1:12">
      <c r="A5076" s="93" t="str">
        <f>TEXT(tblProjectlist[[#This Row],[project-no]],"0")</f>
        <v>0</v>
      </c>
      <c r="L5076" s="93"/>
    </row>
    <row r="5077" spans="1:12">
      <c r="A5077" s="93" t="str">
        <f>TEXT(tblProjectlist[[#This Row],[project-no]],"0")</f>
        <v>0</v>
      </c>
      <c r="L5077" s="93"/>
    </row>
    <row r="5078" spans="1:12">
      <c r="A5078" s="93" t="str">
        <f>TEXT(tblProjectlist[[#This Row],[project-no]],"0")</f>
        <v>0</v>
      </c>
      <c r="L5078" s="93"/>
    </row>
    <row r="5079" spans="1:12">
      <c r="A5079" s="93" t="str">
        <f>TEXT(tblProjectlist[[#This Row],[project-no]],"0")</f>
        <v>0</v>
      </c>
      <c r="L5079" s="93"/>
    </row>
    <row r="5080" spans="1:12">
      <c r="A5080" s="93" t="str">
        <f>TEXT(tblProjectlist[[#This Row],[project-no]],"0")</f>
        <v>0</v>
      </c>
      <c r="L5080" s="93"/>
    </row>
    <row r="5081" spans="1:12">
      <c r="A5081" s="93" t="str">
        <f>TEXT(tblProjectlist[[#This Row],[project-no]],"0")</f>
        <v>0</v>
      </c>
      <c r="L5081" s="93"/>
    </row>
    <row r="5082" spans="1:12">
      <c r="A5082" s="93" t="str">
        <f>TEXT(tblProjectlist[[#This Row],[project-no]],"0")</f>
        <v>0</v>
      </c>
      <c r="L5082" s="93"/>
    </row>
    <row r="5083" spans="1:12">
      <c r="A5083" s="93" t="str">
        <f>TEXT(tblProjectlist[[#This Row],[project-no]],"0")</f>
        <v>0</v>
      </c>
      <c r="L5083" s="93"/>
    </row>
    <row r="5084" spans="1:12">
      <c r="A5084" s="93" t="str">
        <f>TEXT(tblProjectlist[[#This Row],[project-no]],"0")</f>
        <v>0</v>
      </c>
      <c r="L5084" s="93"/>
    </row>
    <row r="5085" spans="1:12">
      <c r="A5085" s="93" t="str">
        <f>TEXT(tblProjectlist[[#This Row],[project-no]],"0")</f>
        <v>0</v>
      </c>
      <c r="L5085" s="93"/>
    </row>
    <row r="5086" spans="1:12">
      <c r="A5086" s="93" t="str">
        <f>TEXT(tblProjectlist[[#This Row],[project-no]],"0")</f>
        <v>0</v>
      </c>
      <c r="L5086" s="93"/>
    </row>
    <row r="5087" spans="1:12">
      <c r="A5087" s="93" t="str">
        <f>TEXT(tblProjectlist[[#This Row],[project-no]],"0")</f>
        <v>0</v>
      </c>
      <c r="L5087" s="93"/>
    </row>
    <row r="5088" spans="1:12">
      <c r="A5088" s="93" t="str">
        <f>TEXT(tblProjectlist[[#This Row],[project-no]],"0")</f>
        <v>0</v>
      </c>
      <c r="L5088" s="93"/>
    </row>
    <row r="5089" spans="1:12">
      <c r="A5089" s="93" t="str">
        <f>TEXT(tblProjectlist[[#This Row],[project-no]],"0")</f>
        <v>0</v>
      </c>
      <c r="L5089" s="93"/>
    </row>
    <row r="5090" spans="1:12">
      <c r="A5090" s="93" t="str">
        <f>TEXT(tblProjectlist[[#This Row],[project-no]],"0")</f>
        <v>0</v>
      </c>
      <c r="L5090" s="93"/>
    </row>
    <row r="5091" spans="1:12">
      <c r="A5091" s="93" t="str">
        <f>TEXT(tblProjectlist[[#This Row],[project-no]],"0")</f>
        <v>0</v>
      </c>
      <c r="L5091" s="93"/>
    </row>
    <row r="5092" spans="1:12">
      <c r="A5092" s="93" t="str">
        <f>TEXT(tblProjectlist[[#This Row],[project-no]],"0")</f>
        <v>0</v>
      </c>
      <c r="L5092" s="93"/>
    </row>
    <row r="5093" spans="1:12">
      <c r="A5093" s="93" t="str">
        <f>TEXT(tblProjectlist[[#This Row],[project-no]],"0")</f>
        <v>0</v>
      </c>
      <c r="L5093" s="93"/>
    </row>
    <row r="5094" spans="1:12">
      <c r="A5094" s="93" t="str">
        <f>TEXT(tblProjectlist[[#This Row],[project-no]],"0")</f>
        <v>0</v>
      </c>
      <c r="L5094" s="93"/>
    </row>
    <row r="5095" spans="1:12">
      <c r="A5095" s="93" t="str">
        <f>TEXT(tblProjectlist[[#This Row],[project-no]],"0")</f>
        <v>0</v>
      </c>
      <c r="L5095" s="93"/>
    </row>
    <row r="5096" spans="1:12">
      <c r="A5096" s="93" t="str">
        <f>TEXT(tblProjectlist[[#This Row],[project-no]],"0")</f>
        <v>0</v>
      </c>
      <c r="L5096" s="93"/>
    </row>
    <row r="5097" spans="1:12">
      <c r="A5097" s="93" t="str">
        <f>TEXT(tblProjectlist[[#This Row],[project-no]],"0")</f>
        <v>0</v>
      </c>
      <c r="L5097" s="93"/>
    </row>
    <row r="5098" spans="1:12">
      <c r="A5098" s="93" t="str">
        <f>TEXT(tblProjectlist[[#This Row],[project-no]],"0")</f>
        <v>0</v>
      </c>
      <c r="L5098" s="93"/>
    </row>
    <row r="5099" spans="1:12">
      <c r="A5099" s="93" t="str">
        <f>TEXT(tblProjectlist[[#This Row],[project-no]],"0")</f>
        <v>0</v>
      </c>
      <c r="L5099" s="93"/>
    </row>
    <row r="5100" spans="1:12">
      <c r="A5100" s="93" t="str">
        <f>TEXT(tblProjectlist[[#This Row],[project-no]],"0")</f>
        <v>0</v>
      </c>
      <c r="L5100" s="93"/>
    </row>
    <row r="5101" spans="1:12">
      <c r="A5101" s="93" t="str">
        <f>TEXT(tblProjectlist[[#This Row],[project-no]],"0")</f>
        <v>0</v>
      </c>
      <c r="L5101" s="93"/>
    </row>
    <row r="5102" spans="1:12">
      <c r="A5102" s="93" t="str">
        <f>TEXT(tblProjectlist[[#This Row],[project-no]],"0")</f>
        <v>0</v>
      </c>
      <c r="L5102" s="93"/>
    </row>
    <row r="5103" spans="1:12">
      <c r="A5103" s="93" t="str">
        <f>TEXT(tblProjectlist[[#This Row],[project-no]],"0")</f>
        <v>0</v>
      </c>
      <c r="L5103" s="93"/>
    </row>
    <row r="5104" spans="1:12">
      <c r="A5104" s="93" t="str">
        <f>TEXT(tblProjectlist[[#This Row],[project-no]],"0")</f>
        <v>0</v>
      </c>
      <c r="L5104" s="93"/>
    </row>
    <row r="5105" spans="1:12">
      <c r="A5105" s="93" t="str">
        <f>TEXT(tblProjectlist[[#This Row],[project-no]],"0")</f>
        <v>0</v>
      </c>
      <c r="L5105" s="93"/>
    </row>
    <row r="5106" spans="1:12">
      <c r="A5106" s="93" t="str">
        <f>TEXT(tblProjectlist[[#This Row],[project-no]],"0")</f>
        <v>0</v>
      </c>
      <c r="L5106" s="93"/>
    </row>
    <row r="5107" spans="1:12">
      <c r="A5107" s="93" t="str">
        <f>TEXT(tblProjectlist[[#This Row],[project-no]],"0")</f>
        <v>0</v>
      </c>
      <c r="L5107" s="93"/>
    </row>
    <row r="5108" spans="1:12">
      <c r="A5108" s="93" t="str">
        <f>TEXT(tblProjectlist[[#This Row],[project-no]],"0")</f>
        <v>0</v>
      </c>
      <c r="L5108" s="93"/>
    </row>
    <row r="5109" spans="1:12">
      <c r="A5109" s="93" t="str">
        <f>TEXT(tblProjectlist[[#This Row],[project-no]],"0")</f>
        <v>0</v>
      </c>
      <c r="L5109" s="93"/>
    </row>
    <row r="5110" spans="1:12">
      <c r="A5110" s="93" t="str">
        <f>TEXT(tblProjectlist[[#This Row],[project-no]],"0")</f>
        <v>0</v>
      </c>
      <c r="L5110" s="93"/>
    </row>
    <row r="5111" spans="1:12">
      <c r="A5111" s="93" t="str">
        <f>TEXT(tblProjectlist[[#This Row],[project-no]],"0")</f>
        <v>0</v>
      </c>
      <c r="L5111" s="93"/>
    </row>
    <row r="5112" spans="1:12">
      <c r="A5112" s="93" t="str">
        <f>TEXT(tblProjectlist[[#This Row],[project-no]],"0")</f>
        <v>0</v>
      </c>
      <c r="L5112" s="93"/>
    </row>
    <row r="5113" spans="1:12">
      <c r="A5113" s="93" t="str">
        <f>TEXT(tblProjectlist[[#This Row],[project-no]],"0")</f>
        <v>0</v>
      </c>
      <c r="L5113" s="93"/>
    </row>
    <row r="5114" spans="1:12">
      <c r="A5114" s="93" t="str">
        <f>TEXT(tblProjectlist[[#This Row],[project-no]],"0")</f>
        <v>0</v>
      </c>
      <c r="L5114" s="93"/>
    </row>
    <row r="5115" spans="1:12">
      <c r="A5115" s="93" t="str">
        <f>TEXT(tblProjectlist[[#This Row],[project-no]],"0")</f>
        <v>0</v>
      </c>
      <c r="L5115" s="93"/>
    </row>
    <row r="5116" spans="1:12">
      <c r="A5116" s="93" t="str">
        <f>TEXT(tblProjectlist[[#This Row],[project-no]],"0")</f>
        <v>0</v>
      </c>
      <c r="L5116" s="93"/>
    </row>
    <row r="5117" spans="1:12">
      <c r="A5117" s="93" t="str">
        <f>TEXT(tblProjectlist[[#This Row],[project-no]],"0")</f>
        <v>0</v>
      </c>
      <c r="L5117" s="93"/>
    </row>
    <row r="5118" spans="1:12">
      <c r="A5118" s="93" t="str">
        <f>TEXT(tblProjectlist[[#This Row],[project-no]],"0")</f>
        <v>0</v>
      </c>
      <c r="L5118" s="93"/>
    </row>
    <row r="5119" spans="1:12">
      <c r="A5119" s="93" t="str">
        <f>TEXT(tblProjectlist[[#This Row],[project-no]],"0")</f>
        <v>0</v>
      </c>
      <c r="L5119" s="93"/>
    </row>
    <row r="5120" spans="1:12">
      <c r="A5120" s="93" t="str">
        <f>TEXT(tblProjectlist[[#This Row],[project-no]],"0")</f>
        <v>0</v>
      </c>
      <c r="L5120" s="93"/>
    </row>
    <row r="5121" spans="1:12">
      <c r="A5121" s="93" t="str">
        <f>TEXT(tblProjectlist[[#This Row],[project-no]],"0")</f>
        <v>0</v>
      </c>
      <c r="L5121" s="93"/>
    </row>
    <row r="5122" spans="1:12">
      <c r="A5122" s="93" t="str">
        <f>TEXT(tblProjectlist[[#This Row],[project-no]],"0")</f>
        <v>0</v>
      </c>
      <c r="L5122" s="93"/>
    </row>
    <row r="5123" spans="1:12">
      <c r="A5123" s="93" t="str">
        <f>TEXT(tblProjectlist[[#This Row],[project-no]],"0")</f>
        <v>0</v>
      </c>
      <c r="L5123" s="93"/>
    </row>
    <row r="5124" spans="1:12">
      <c r="A5124" s="93" t="str">
        <f>TEXT(tblProjectlist[[#This Row],[project-no]],"0")</f>
        <v>0</v>
      </c>
      <c r="L5124" s="93"/>
    </row>
    <row r="5125" spans="1:12">
      <c r="A5125" s="93" t="str">
        <f>TEXT(tblProjectlist[[#This Row],[project-no]],"0")</f>
        <v>0</v>
      </c>
      <c r="L5125" s="93"/>
    </row>
    <row r="5126" spans="1:12">
      <c r="A5126" s="93" t="str">
        <f>TEXT(tblProjectlist[[#This Row],[project-no]],"0")</f>
        <v>0</v>
      </c>
      <c r="L5126" s="93"/>
    </row>
    <row r="5127" spans="1:12">
      <c r="A5127" s="93" t="str">
        <f>TEXT(tblProjectlist[[#This Row],[project-no]],"0")</f>
        <v>0</v>
      </c>
      <c r="L5127" s="93"/>
    </row>
    <row r="5128" spans="1:12">
      <c r="A5128" s="93" t="str">
        <f>TEXT(tblProjectlist[[#This Row],[project-no]],"0")</f>
        <v>0</v>
      </c>
      <c r="L5128" s="93"/>
    </row>
    <row r="5129" spans="1:12">
      <c r="A5129" s="93" t="str">
        <f>TEXT(tblProjectlist[[#This Row],[project-no]],"0")</f>
        <v>0</v>
      </c>
      <c r="L5129" s="93"/>
    </row>
    <row r="5130" spans="1:12">
      <c r="A5130" s="93" t="str">
        <f>TEXT(tblProjectlist[[#This Row],[project-no]],"0")</f>
        <v>0</v>
      </c>
      <c r="L5130" s="93"/>
    </row>
    <row r="5131" spans="1:12">
      <c r="A5131" s="93" t="str">
        <f>TEXT(tblProjectlist[[#This Row],[project-no]],"0")</f>
        <v>0</v>
      </c>
      <c r="L5131" s="93"/>
    </row>
    <row r="5132" spans="1:12">
      <c r="A5132" s="93" t="str">
        <f>TEXT(tblProjectlist[[#This Row],[project-no]],"0")</f>
        <v>0</v>
      </c>
      <c r="L5132" s="93"/>
    </row>
    <row r="5133" spans="1:12">
      <c r="A5133" s="93" t="str">
        <f>TEXT(tblProjectlist[[#This Row],[project-no]],"0")</f>
        <v>0</v>
      </c>
      <c r="L5133" s="93"/>
    </row>
    <row r="5134" spans="1:12">
      <c r="A5134" s="93" t="str">
        <f>TEXT(tblProjectlist[[#This Row],[project-no]],"0")</f>
        <v>0</v>
      </c>
      <c r="L5134" s="93"/>
    </row>
    <row r="5135" spans="1:12">
      <c r="A5135" s="93" t="str">
        <f>TEXT(tblProjectlist[[#This Row],[project-no]],"0")</f>
        <v>0</v>
      </c>
      <c r="L5135" s="93"/>
    </row>
    <row r="5136" spans="1:12">
      <c r="A5136" s="93" t="str">
        <f>TEXT(tblProjectlist[[#This Row],[project-no]],"0")</f>
        <v>0</v>
      </c>
      <c r="L5136" s="93"/>
    </row>
    <row r="5137" spans="1:12">
      <c r="A5137" s="93" t="str">
        <f>TEXT(tblProjectlist[[#This Row],[project-no]],"0")</f>
        <v>0</v>
      </c>
      <c r="L5137" s="93"/>
    </row>
    <row r="5138" spans="1:12">
      <c r="A5138" s="93" t="str">
        <f>TEXT(tblProjectlist[[#This Row],[project-no]],"0")</f>
        <v>0</v>
      </c>
      <c r="L5138" s="93"/>
    </row>
    <row r="5139" spans="1:12">
      <c r="A5139" s="93" t="str">
        <f>TEXT(tblProjectlist[[#This Row],[project-no]],"0")</f>
        <v>0</v>
      </c>
      <c r="L5139" s="93"/>
    </row>
    <row r="5140" spans="1:12">
      <c r="A5140" s="93" t="str">
        <f>TEXT(tblProjectlist[[#This Row],[project-no]],"0")</f>
        <v>0</v>
      </c>
      <c r="L5140" s="93"/>
    </row>
    <row r="5141" spans="1:12">
      <c r="A5141" s="93" t="str">
        <f>TEXT(tblProjectlist[[#This Row],[project-no]],"0")</f>
        <v>0</v>
      </c>
      <c r="L5141" s="93"/>
    </row>
    <row r="5142" spans="1:12">
      <c r="A5142" s="93" t="str">
        <f>TEXT(tblProjectlist[[#This Row],[project-no]],"0")</f>
        <v>0</v>
      </c>
      <c r="L5142" s="93"/>
    </row>
    <row r="5143" spans="1:12">
      <c r="A5143" s="93" t="str">
        <f>TEXT(tblProjectlist[[#This Row],[project-no]],"0")</f>
        <v>0</v>
      </c>
      <c r="L5143" s="93"/>
    </row>
    <row r="5144" spans="1:12">
      <c r="A5144" s="93" t="str">
        <f>TEXT(tblProjectlist[[#This Row],[project-no]],"0")</f>
        <v>0</v>
      </c>
      <c r="L5144" s="93"/>
    </row>
    <row r="5145" spans="1:12">
      <c r="A5145" s="93" t="str">
        <f>TEXT(tblProjectlist[[#This Row],[project-no]],"0")</f>
        <v>0</v>
      </c>
      <c r="L5145" s="93"/>
    </row>
  </sheetData>
  <sheetProtection formatCells="0" formatColumns="0" formatRows="0" sort="0" autoFilter="0" pivotTables="0"/>
  <phoneticPr fontId="35" type="noConversion"/>
  <pageMargins left="0.7" right="0.7" top="0.75" bottom="0.75" header="0.3" footer="0.3"/>
  <pageSetup orientation="portrait" horizontalDpi="4294967295" verticalDpi="4294967295" r:id="rId1"/>
  <headerFooter>
    <oddFooter>&amp;C_x000D_&amp;1#&amp;"Calibri"&amp;10&amp;K000000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UpdateProjectlist">
                <anchor moveWithCells="1" sizeWithCells="1">
                  <from>
                    <xdr:col>1</xdr:col>
                    <xdr:colOff>257175</xdr:colOff>
                    <xdr:row>0</xdr:row>
                    <xdr:rowOff>66675</xdr:rowOff>
                  </from>
                  <to>
                    <xdr:col>1</xdr:col>
                    <xdr:colOff>1400175</xdr:colOff>
                    <xdr:row>1</xdr:row>
                    <xdr:rowOff>28575</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F1563"/>
  <sheetViews>
    <sheetView showGridLines="0" workbookViewId="0">
      <pane xSplit="2" ySplit="5" topLeftCell="C6" activePane="bottomRight" state="frozen"/>
      <selection activeCell="O8" sqref="O8"/>
      <selection pane="topRight" activeCell="O8" sqref="O8"/>
      <selection pane="bottomLeft" activeCell="O8" sqref="O8"/>
      <selection pane="bottomRight" activeCell="F15" sqref="F15"/>
    </sheetView>
  </sheetViews>
  <sheetFormatPr defaultColWidth="9.28515625" defaultRowHeight="12.75"/>
  <cols>
    <col min="1" max="1" width="35.28515625" customWidth="1"/>
    <col min="2" max="2" width="37.42578125" customWidth="1"/>
    <col min="3" max="3" width="28.85546875" style="119" customWidth="1"/>
    <col min="4" max="4" width="17.7109375" style="128" customWidth="1"/>
    <col min="5" max="5" width="30.5703125" bestFit="1" customWidth="1"/>
    <col min="6" max="6" width="78.85546875" bestFit="1" customWidth="1"/>
  </cols>
  <sheetData>
    <row r="1" spans="1:6" ht="20.25">
      <c r="A1" s="9" t="s">
        <v>2176</v>
      </c>
    </row>
    <row r="2" spans="1:6">
      <c r="B2" s="8" t="s">
        <v>47</v>
      </c>
      <c r="C2" t="s">
        <v>110</v>
      </c>
    </row>
    <row r="3" spans="1:6">
      <c r="B3" s="8" t="s">
        <v>95</v>
      </c>
      <c r="C3" t="s">
        <v>110</v>
      </c>
    </row>
    <row r="5" spans="1:6">
      <c r="B5" s="8" t="s">
        <v>73</v>
      </c>
      <c r="C5" s="8" t="s">
        <v>37</v>
      </c>
      <c r="D5" s="129" t="s">
        <v>142</v>
      </c>
      <c r="E5" s="8" t="s">
        <v>136</v>
      </c>
      <c r="F5" s="8" t="s">
        <v>3722</v>
      </c>
    </row>
    <row r="6" spans="1:6">
      <c r="B6" t="s">
        <v>0</v>
      </c>
      <c r="C6" t="s">
        <v>1995</v>
      </c>
      <c r="D6" t="s">
        <v>3434</v>
      </c>
      <c r="E6" t="s">
        <v>4476</v>
      </c>
      <c r="F6" t="s">
        <v>3608</v>
      </c>
    </row>
    <row r="7" spans="1:6">
      <c r="B7" t="s">
        <v>0</v>
      </c>
      <c r="C7" t="s">
        <v>1995</v>
      </c>
      <c r="D7" t="s">
        <v>4525</v>
      </c>
      <c r="E7" t="s">
        <v>4476</v>
      </c>
      <c r="F7" t="s">
        <v>3608</v>
      </c>
    </row>
    <row r="8" spans="1:6">
      <c r="B8" t="s">
        <v>0</v>
      </c>
      <c r="C8" t="s">
        <v>86</v>
      </c>
      <c r="D8" t="s">
        <v>3500</v>
      </c>
      <c r="E8" t="s">
        <v>4476</v>
      </c>
      <c r="F8" t="s">
        <v>4526</v>
      </c>
    </row>
    <row r="9" spans="1:6">
      <c r="B9" t="s">
        <v>0</v>
      </c>
      <c r="C9" t="s">
        <v>86</v>
      </c>
      <c r="D9" t="s">
        <v>3501</v>
      </c>
      <c r="E9" t="s">
        <v>4476</v>
      </c>
      <c r="F9" t="s">
        <v>4527</v>
      </c>
    </row>
    <row r="10" spans="1:6">
      <c r="B10" t="s">
        <v>0</v>
      </c>
      <c r="C10" t="s">
        <v>86</v>
      </c>
      <c r="D10" t="s">
        <v>3506</v>
      </c>
      <c r="E10" t="s">
        <v>4476</v>
      </c>
      <c r="F10" t="s">
        <v>4530</v>
      </c>
    </row>
    <row r="11" spans="1:6">
      <c r="B11" t="s">
        <v>0</v>
      </c>
      <c r="C11" t="s">
        <v>86</v>
      </c>
      <c r="D11" t="s">
        <v>3502</v>
      </c>
      <c r="E11" t="s">
        <v>4476</v>
      </c>
      <c r="F11" t="s">
        <v>3596</v>
      </c>
    </row>
    <row r="12" spans="1:6">
      <c r="B12" t="s">
        <v>0</v>
      </c>
      <c r="C12" t="s">
        <v>86</v>
      </c>
      <c r="D12" t="s">
        <v>3503</v>
      </c>
      <c r="E12" t="s">
        <v>4476</v>
      </c>
      <c r="F12" t="s">
        <v>4529</v>
      </c>
    </row>
    <row r="13" spans="1:6">
      <c r="B13" t="s">
        <v>0</v>
      </c>
      <c r="C13" t="s">
        <v>86</v>
      </c>
      <c r="D13" t="s">
        <v>3504</v>
      </c>
      <c r="E13" t="s">
        <v>4476</v>
      </c>
      <c r="F13" t="s">
        <v>3597</v>
      </c>
    </row>
    <row r="14" spans="1:6">
      <c r="B14" t="s">
        <v>0</v>
      </c>
      <c r="C14" t="s">
        <v>86</v>
      </c>
      <c r="D14" t="s">
        <v>3505</v>
      </c>
      <c r="E14" t="s">
        <v>4476</v>
      </c>
      <c r="F14" t="s">
        <v>3598</v>
      </c>
    </row>
    <row r="15" spans="1:6">
      <c r="B15" t="s">
        <v>0</v>
      </c>
      <c r="C15" t="s">
        <v>86</v>
      </c>
      <c r="D15" t="s">
        <v>3448</v>
      </c>
      <c r="E15" t="s">
        <v>4476</v>
      </c>
      <c r="F15" t="s">
        <v>4528</v>
      </c>
    </row>
    <row r="16" spans="1:6">
      <c r="B16" t="s">
        <v>0</v>
      </c>
      <c r="C16" t="s">
        <v>86</v>
      </c>
      <c r="D16" t="s">
        <v>3507</v>
      </c>
      <c r="E16" t="s">
        <v>4476</v>
      </c>
      <c r="F16" t="s">
        <v>4531</v>
      </c>
    </row>
    <row r="17" spans="2:6">
      <c r="B17" t="s">
        <v>0</v>
      </c>
      <c r="C17" t="s">
        <v>86</v>
      </c>
      <c r="D17" t="s">
        <v>3508</v>
      </c>
      <c r="E17" t="s">
        <v>4476</v>
      </c>
      <c r="F17" t="s">
        <v>3623</v>
      </c>
    </row>
    <row r="18" spans="2:6">
      <c r="B18" t="s">
        <v>0</v>
      </c>
      <c r="C18" t="s">
        <v>86</v>
      </c>
      <c r="D18" t="s">
        <v>3509</v>
      </c>
      <c r="E18" t="s">
        <v>4476</v>
      </c>
      <c r="F18" t="s">
        <v>3624</v>
      </c>
    </row>
    <row r="19" spans="2:6">
      <c r="B19" t="s">
        <v>0</v>
      </c>
      <c r="C19" t="s">
        <v>86</v>
      </c>
      <c r="D19" t="s">
        <v>3510</v>
      </c>
      <c r="E19" t="s">
        <v>4476</v>
      </c>
      <c r="F19" t="s">
        <v>4532</v>
      </c>
    </row>
    <row r="20" spans="2:6">
      <c r="B20" t="s">
        <v>0</v>
      </c>
      <c r="C20" t="s">
        <v>86</v>
      </c>
      <c r="D20" t="s">
        <v>3511</v>
      </c>
      <c r="E20" t="s">
        <v>4476</v>
      </c>
      <c r="F20" t="s">
        <v>4533</v>
      </c>
    </row>
    <row r="21" spans="2:6">
      <c r="B21" t="s">
        <v>0</v>
      </c>
      <c r="C21" t="s">
        <v>86</v>
      </c>
      <c r="D21" t="s">
        <v>3518</v>
      </c>
      <c r="E21" t="s">
        <v>4476</v>
      </c>
      <c r="F21" t="s">
        <v>4534</v>
      </c>
    </row>
    <row r="22" spans="2:6">
      <c r="B22" t="s">
        <v>0</v>
      </c>
      <c r="C22" t="s">
        <v>86</v>
      </c>
      <c r="D22" t="s">
        <v>3625</v>
      </c>
      <c r="E22" t="s">
        <v>4476</v>
      </c>
      <c r="F22" t="s">
        <v>4479</v>
      </c>
    </row>
    <row r="23" spans="2:6">
      <c r="B23" t="s">
        <v>0</v>
      </c>
      <c r="C23" t="s">
        <v>86</v>
      </c>
      <c r="D23" t="s">
        <v>3521</v>
      </c>
      <c r="E23" t="s">
        <v>4476</v>
      </c>
      <c r="F23" t="s">
        <v>4535</v>
      </c>
    </row>
    <row r="24" spans="2:6">
      <c r="B24" t="s">
        <v>0</v>
      </c>
      <c r="C24" t="s">
        <v>86</v>
      </c>
      <c r="D24" t="s">
        <v>3559</v>
      </c>
      <c r="E24" t="s">
        <v>4476</v>
      </c>
      <c r="F24" t="s">
        <v>4536</v>
      </c>
    </row>
    <row r="25" spans="2:6">
      <c r="B25" t="s">
        <v>0</v>
      </c>
      <c r="C25" t="s">
        <v>86</v>
      </c>
      <c r="D25" t="s">
        <v>3562</v>
      </c>
      <c r="E25" t="s">
        <v>4476</v>
      </c>
      <c r="F25" t="s">
        <v>4537</v>
      </c>
    </row>
    <row r="26" spans="2:6">
      <c r="B26" t="s">
        <v>0</v>
      </c>
      <c r="C26" t="s">
        <v>86</v>
      </c>
      <c r="D26" t="s">
        <v>4378</v>
      </c>
      <c r="E26" t="s">
        <v>4476</v>
      </c>
      <c r="F26" t="s">
        <v>4480</v>
      </c>
    </row>
    <row r="27" spans="2:6">
      <c r="B27" t="s">
        <v>0</v>
      </c>
      <c r="C27" t="s">
        <v>100</v>
      </c>
      <c r="D27" t="s">
        <v>3431</v>
      </c>
      <c r="E27" t="s">
        <v>4476</v>
      </c>
      <c r="F27" t="s">
        <v>2062</v>
      </c>
    </row>
    <row r="28" spans="2:6">
      <c r="B28" t="s">
        <v>0</v>
      </c>
      <c r="C28" t="s">
        <v>100</v>
      </c>
      <c r="D28" t="s">
        <v>3452</v>
      </c>
      <c r="E28" t="s">
        <v>4476</v>
      </c>
      <c r="F28" t="s">
        <v>3616</v>
      </c>
    </row>
    <row r="29" spans="2:6">
      <c r="B29" t="s">
        <v>0</v>
      </c>
      <c r="C29" t="s">
        <v>100</v>
      </c>
      <c r="D29" t="s">
        <v>3457</v>
      </c>
      <c r="E29" t="s">
        <v>4476</v>
      </c>
      <c r="F29" t="s">
        <v>3617</v>
      </c>
    </row>
    <row r="30" spans="2:6">
      <c r="B30" t="s">
        <v>0</v>
      </c>
      <c r="C30" t="s">
        <v>100</v>
      </c>
      <c r="D30" t="s">
        <v>3459</v>
      </c>
      <c r="E30" t="s">
        <v>4476</v>
      </c>
      <c r="F30" t="s">
        <v>3619</v>
      </c>
    </row>
    <row r="31" spans="2:6">
      <c r="C31"/>
      <c r="D31"/>
    </row>
    <row r="32" spans="2:6">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row r="501" spans="3:4">
      <c r="C501"/>
      <c r="D501"/>
    </row>
    <row r="502" spans="3:4">
      <c r="C502"/>
      <c r="D502"/>
    </row>
    <row r="503" spans="3:4">
      <c r="C503"/>
      <c r="D503"/>
    </row>
    <row r="504" spans="3:4">
      <c r="C504"/>
      <c r="D504"/>
    </row>
    <row r="505" spans="3:4">
      <c r="C505"/>
      <c r="D505"/>
    </row>
    <row r="506" spans="3:4">
      <c r="C506"/>
      <c r="D506"/>
    </row>
    <row r="507" spans="3:4">
      <c r="C507"/>
      <c r="D507"/>
    </row>
    <row r="508" spans="3:4">
      <c r="C508"/>
      <c r="D508"/>
    </row>
    <row r="509" spans="3:4">
      <c r="C509"/>
      <c r="D509"/>
    </row>
    <row r="510" spans="3:4">
      <c r="C510"/>
      <c r="D510"/>
    </row>
    <row r="511" spans="3:4">
      <c r="C511"/>
      <c r="D511"/>
    </row>
    <row r="512" spans="3:4">
      <c r="C512"/>
      <c r="D512"/>
    </row>
    <row r="513" spans="3:4">
      <c r="C513"/>
      <c r="D513"/>
    </row>
    <row r="514" spans="3:4">
      <c r="C514"/>
      <c r="D514"/>
    </row>
    <row r="515" spans="3:4">
      <c r="C515"/>
      <c r="D515"/>
    </row>
    <row r="516" spans="3:4">
      <c r="C516"/>
      <c r="D516"/>
    </row>
    <row r="517" spans="3:4">
      <c r="C517"/>
      <c r="D517"/>
    </row>
    <row r="518" spans="3:4">
      <c r="C518"/>
      <c r="D518"/>
    </row>
    <row r="519" spans="3:4">
      <c r="C519"/>
      <c r="D519"/>
    </row>
    <row r="520" spans="3:4">
      <c r="C520"/>
      <c r="D520"/>
    </row>
    <row r="521" spans="3:4">
      <c r="C521"/>
      <c r="D521"/>
    </row>
    <row r="522" spans="3:4">
      <c r="C522"/>
      <c r="D522"/>
    </row>
    <row r="523" spans="3:4">
      <c r="C523"/>
      <c r="D523"/>
    </row>
    <row r="524" spans="3:4">
      <c r="C524"/>
      <c r="D524"/>
    </row>
    <row r="525" spans="3:4">
      <c r="C525"/>
      <c r="D525"/>
    </row>
    <row r="526" spans="3:4">
      <c r="C526"/>
      <c r="D526"/>
    </row>
    <row r="527" spans="3:4">
      <c r="C527"/>
      <c r="D527"/>
    </row>
    <row r="528" spans="3:4">
      <c r="C528"/>
      <c r="D528"/>
    </row>
    <row r="529" spans="3:4">
      <c r="C529"/>
      <c r="D529"/>
    </row>
    <row r="530" spans="3:4">
      <c r="C530"/>
      <c r="D530"/>
    </row>
    <row r="531" spans="3:4">
      <c r="C531"/>
      <c r="D531"/>
    </row>
    <row r="532" spans="3:4">
      <c r="C532"/>
      <c r="D532"/>
    </row>
    <row r="533" spans="3:4">
      <c r="C533"/>
      <c r="D533"/>
    </row>
    <row r="534" spans="3:4">
      <c r="C534"/>
      <c r="D534"/>
    </row>
    <row r="535" spans="3:4">
      <c r="C535"/>
      <c r="D535"/>
    </row>
    <row r="536" spans="3:4">
      <c r="C536"/>
      <c r="D536"/>
    </row>
    <row r="537" spans="3:4">
      <c r="C537"/>
      <c r="D537"/>
    </row>
    <row r="538" spans="3:4">
      <c r="C538"/>
      <c r="D538"/>
    </row>
    <row r="539" spans="3:4">
      <c r="C539"/>
      <c r="D539"/>
    </row>
    <row r="540" spans="3:4">
      <c r="C540"/>
      <c r="D540"/>
    </row>
    <row r="541" spans="3:4">
      <c r="C541"/>
      <c r="D541"/>
    </row>
    <row r="542" spans="3:4">
      <c r="C542"/>
      <c r="D542"/>
    </row>
    <row r="543" spans="3:4">
      <c r="C543"/>
      <c r="D543"/>
    </row>
    <row r="544" spans="3:4">
      <c r="C544"/>
      <c r="D544"/>
    </row>
    <row r="545" spans="3:4">
      <c r="C545"/>
      <c r="D545"/>
    </row>
    <row r="546" spans="3:4">
      <c r="C546"/>
      <c r="D546"/>
    </row>
    <row r="547" spans="3:4">
      <c r="C547"/>
      <c r="D547"/>
    </row>
    <row r="548" spans="3:4">
      <c r="C548"/>
      <c r="D548"/>
    </row>
    <row r="549" spans="3:4">
      <c r="C549"/>
      <c r="D549"/>
    </row>
    <row r="550" spans="3:4">
      <c r="C550"/>
      <c r="D550"/>
    </row>
    <row r="551" spans="3:4">
      <c r="C551"/>
      <c r="D551"/>
    </row>
    <row r="552" spans="3:4">
      <c r="C552"/>
      <c r="D552"/>
    </row>
    <row r="553" spans="3:4">
      <c r="C553"/>
      <c r="D553"/>
    </row>
    <row r="554" spans="3:4">
      <c r="C554"/>
      <c r="D554"/>
    </row>
    <row r="555" spans="3:4">
      <c r="C555"/>
      <c r="D555"/>
    </row>
    <row r="556" spans="3:4">
      <c r="C556"/>
      <c r="D556"/>
    </row>
    <row r="557" spans="3:4">
      <c r="C557"/>
      <c r="D557"/>
    </row>
    <row r="558" spans="3:4">
      <c r="C558"/>
      <c r="D558"/>
    </row>
    <row r="559" spans="3:4">
      <c r="C559"/>
      <c r="D559"/>
    </row>
    <row r="560" spans="3:4">
      <c r="C560"/>
      <c r="D560"/>
    </row>
    <row r="561" spans="3:4">
      <c r="C561"/>
      <c r="D561"/>
    </row>
    <row r="562" spans="3:4">
      <c r="C562"/>
      <c r="D562"/>
    </row>
    <row r="563" spans="3:4">
      <c r="C563"/>
      <c r="D563"/>
    </row>
    <row r="564" spans="3:4">
      <c r="C564"/>
      <c r="D564"/>
    </row>
    <row r="565" spans="3:4">
      <c r="C565"/>
      <c r="D565"/>
    </row>
    <row r="566" spans="3:4">
      <c r="C566"/>
      <c r="D566"/>
    </row>
    <row r="567" spans="3:4">
      <c r="C567"/>
      <c r="D567"/>
    </row>
    <row r="568" spans="3:4">
      <c r="C568"/>
      <c r="D568"/>
    </row>
    <row r="569" spans="3:4">
      <c r="C569"/>
      <c r="D569"/>
    </row>
    <row r="570" spans="3:4">
      <c r="C570"/>
      <c r="D570"/>
    </row>
    <row r="571" spans="3:4">
      <c r="C571"/>
      <c r="D571"/>
    </row>
    <row r="572" spans="3:4">
      <c r="C572"/>
      <c r="D572"/>
    </row>
    <row r="573" spans="3:4">
      <c r="C573"/>
      <c r="D573"/>
    </row>
    <row r="574" spans="3:4">
      <c r="C574"/>
      <c r="D574"/>
    </row>
    <row r="575" spans="3:4">
      <c r="C575"/>
      <c r="D575"/>
    </row>
    <row r="576" spans="3:4">
      <c r="C576"/>
      <c r="D576"/>
    </row>
    <row r="577" spans="3:4">
      <c r="C577"/>
      <c r="D577"/>
    </row>
    <row r="578" spans="3:4">
      <c r="C578"/>
      <c r="D578"/>
    </row>
    <row r="579" spans="3:4">
      <c r="C579"/>
      <c r="D579"/>
    </row>
    <row r="580" spans="3:4">
      <c r="C580"/>
      <c r="D580"/>
    </row>
    <row r="581" spans="3:4">
      <c r="C581"/>
      <c r="D581"/>
    </row>
    <row r="582" spans="3:4">
      <c r="C582"/>
      <c r="D582"/>
    </row>
    <row r="583" spans="3:4">
      <c r="C583"/>
      <c r="D583"/>
    </row>
    <row r="584" spans="3:4">
      <c r="C584"/>
      <c r="D584"/>
    </row>
    <row r="585" spans="3:4">
      <c r="C585"/>
      <c r="D585"/>
    </row>
    <row r="586" spans="3:4">
      <c r="C586"/>
      <c r="D586"/>
    </row>
    <row r="587" spans="3:4">
      <c r="C587"/>
      <c r="D587"/>
    </row>
    <row r="588" spans="3:4">
      <c r="C588"/>
      <c r="D588"/>
    </row>
    <row r="589" spans="3:4">
      <c r="C589"/>
      <c r="D589"/>
    </row>
    <row r="590" spans="3:4">
      <c r="C590"/>
      <c r="D590"/>
    </row>
    <row r="591" spans="3:4">
      <c r="C591"/>
      <c r="D591"/>
    </row>
    <row r="592" spans="3:4">
      <c r="C592"/>
      <c r="D592"/>
    </row>
    <row r="593" spans="3:4">
      <c r="C593"/>
      <c r="D593"/>
    </row>
    <row r="594" spans="3:4">
      <c r="C594"/>
      <c r="D594"/>
    </row>
    <row r="595" spans="3:4">
      <c r="C595"/>
      <c r="D595"/>
    </row>
    <row r="596" spans="3:4">
      <c r="C596"/>
      <c r="D596"/>
    </row>
    <row r="597" spans="3:4">
      <c r="C597"/>
      <c r="D597"/>
    </row>
    <row r="598" spans="3:4">
      <c r="C598"/>
      <c r="D598"/>
    </row>
    <row r="599" spans="3:4">
      <c r="C599"/>
      <c r="D599"/>
    </row>
    <row r="600" spans="3:4">
      <c r="C600"/>
      <c r="D600"/>
    </row>
    <row r="601" spans="3:4">
      <c r="C601"/>
      <c r="D601"/>
    </row>
    <row r="602" spans="3:4">
      <c r="C602"/>
      <c r="D602"/>
    </row>
    <row r="603" spans="3:4">
      <c r="C603"/>
      <c r="D603"/>
    </row>
    <row r="604" spans="3:4">
      <c r="C604"/>
      <c r="D604"/>
    </row>
    <row r="605" spans="3:4">
      <c r="C605"/>
      <c r="D605"/>
    </row>
    <row r="606" spans="3:4">
      <c r="C606"/>
      <c r="D606"/>
    </row>
    <row r="607" spans="3:4">
      <c r="C607"/>
      <c r="D607"/>
    </row>
    <row r="608" spans="3:4">
      <c r="C608"/>
      <c r="D608"/>
    </row>
    <row r="609" spans="3:4">
      <c r="C609"/>
      <c r="D609"/>
    </row>
    <row r="610" spans="3:4">
      <c r="C610"/>
      <c r="D610"/>
    </row>
    <row r="611" spans="3:4">
      <c r="C611"/>
      <c r="D611"/>
    </row>
    <row r="612" spans="3:4">
      <c r="C612"/>
      <c r="D612"/>
    </row>
    <row r="613" spans="3:4">
      <c r="C613"/>
      <c r="D613"/>
    </row>
    <row r="614" spans="3:4">
      <c r="C614"/>
      <c r="D614"/>
    </row>
    <row r="615" spans="3:4">
      <c r="C615"/>
      <c r="D615"/>
    </row>
    <row r="616" spans="3:4">
      <c r="C616"/>
      <c r="D616"/>
    </row>
    <row r="617" spans="3:4">
      <c r="C617"/>
      <c r="D617"/>
    </row>
    <row r="618" spans="3:4">
      <c r="C618"/>
      <c r="D618"/>
    </row>
    <row r="619" spans="3:4">
      <c r="C619"/>
      <c r="D619"/>
    </row>
    <row r="620" spans="3:4">
      <c r="C620"/>
      <c r="D620"/>
    </row>
    <row r="621" spans="3:4">
      <c r="C621"/>
      <c r="D621"/>
    </row>
    <row r="622" spans="3:4">
      <c r="C622"/>
      <c r="D622"/>
    </row>
    <row r="623" spans="3:4">
      <c r="C623"/>
      <c r="D623"/>
    </row>
    <row r="624" spans="3:4">
      <c r="C624"/>
      <c r="D624"/>
    </row>
    <row r="625" spans="3:4">
      <c r="C625"/>
      <c r="D625"/>
    </row>
    <row r="626" spans="3:4">
      <c r="C626"/>
      <c r="D626"/>
    </row>
    <row r="627" spans="3:4">
      <c r="C627"/>
      <c r="D627"/>
    </row>
    <row r="628" spans="3:4">
      <c r="C628"/>
      <c r="D628"/>
    </row>
    <row r="629" spans="3:4">
      <c r="C629"/>
      <c r="D629"/>
    </row>
    <row r="630" spans="3:4">
      <c r="C630"/>
      <c r="D630"/>
    </row>
    <row r="631" spans="3:4">
      <c r="C631"/>
      <c r="D631"/>
    </row>
    <row r="632" spans="3:4">
      <c r="C632"/>
      <c r="D632"/>
    </row>
    <row r="633" spans="3:4">
      <c r="C633"/>
      <c r="D633"/>
    </row>
    <row r="634" spans="3:4">
      <c r="C634"/>
      <c r="D634"/>
    </row>
    <row r="635" spans="3:4">
      <c r="C635"/>
      <c r="D635"/>
    </row>
    <row r="636" spans="3:4">
      <c r="C636"/>
      <c r="D636"/>
    </row>
    <row r="637" spans="3:4">
      <c r="C637"/>
      <c r="D637"/>
    </row>
    <row r="638" spans="3:4">
      <c r="C638"/>
      <c r="D638"/>
    </row>
    <row r="639" spans="3:4">
      <c r="C639"/>
      <c r="D639"/>
    </row>
    <row r="640" spans="3:4">
      <c r="C640"/>
      <c r="D640"/>
    </row>
    <row r="641" spans="3:4">
      <c r="C641"/>
      <c r="D641"/>
    </row>
    <row r="642" spans="3:4">
      <c r="C642"/>
      <c r="D642"/>
    </row>
    <row r="643" spans="3:4">
      <c r="C643"/>
      <c r="D643"/>
    </row>
    <row r="644" spans="3:4">
      <c r="C644"/>
      <c r="D644"/>
    </row>
    <row r="645" spans="3:4">
      <c r="C645"/>
      <c r="D645"/>
    </row>
    <row r="646" spans="3:4">
      <c r="C646"/>
      <c r="D646"/>
    </row>
    <row r="647" spans="3:4">
      <c r="C647"/>
      <c r="D647"/>
    </row>
    <row r="648" spans="3:4">
      <c r="C648"/>
      <c r="D648"/>
    </row>
    <row r="649" spans="3:4">
      <c r="C649"/>
      <c r="D649"/>
    </row>
    <row r="650" spans="3:4">
      <c r="C650"/>
      <c r="D650"/>
    </row>
    <row r="651" spans="3:4">
      <c r="C651"/>
      <c r="D651"/>
    </row>
    <row r="652" spans="3:4">
      <c r="C652"/>
      <c r="D652"/>
    </row>
    <row r="653" spans="3:4">
      <c r="C653"/>
      <c r="D653"/>
    </row>
    <row r="654" spans="3:4">
      <c r="C654"/>
      <c r="D654"/>
    </row>
    <row r="655" spans="3:4">
      <c r="C655"/>
      <c r="D655"/>
    </row>
    <row r="656" spans="3:4">
      <c r="C656"/>
      <c r="D656"/>
    </row>
    <row r="657" spans="3:4">
      <c r="C657"/>
      <c r="D657"/>
    </row>
    <row r="658" spans="3:4">
      <c r="C658"/>
      <c r="D658"/>
    </row>
    <row r="659" spans="3:4">
      <c r="C659"/>
      <c r="D659"/>
    </row>
    <row r="660" spans="3:4">
      <c r="C660"/>
      <c r="D660"/>
    </row>
    <row r="661" spans="3:4">
      <c r="C661"/>
      <c r="D661"/>
    </row>
    <row r="662" spans="3:4">
      <c r="C662"/>
      <c r="D662"/>
    </row>
    <row r="663" spans="3:4">
      <c r="C663"/>
      <c r="D663"/>
    </row>
    <row r="664" spans="3:4">
      <c r="C664"/>
      <c r="D664"/>
    </row>
    <row r="665" spans="3:4">
      <c r="C665"/>
      <c r="D665"/>
    </row>
    <row r="666" spans="3:4">
      <c r="C666"/>
      <c r="D666"/>
    </row>
    <row r="667" spans="3:4">
      <c r="C667"/>
      <c r="D667"/>
    </row>
    <row r="668" spans="3:4">
      <c r="C668"/>
      <c r="D668"/>
    </row>
    <row r="669" spans="3:4">
      <c r="C669"/>
      <c r="D669"/>
    </row>
    <row r="670" spans="3:4">
      <c r="C670"/>
      <c r="D670"/>
    </row>
    <row r="671" spans="3:4">
      <c r="C671"/>
      <c r="D671"/>
    </row>
    <row r="672" spans="3:4">
      <c r="C672"/>
      <c r="D672"/>
    </row>
    <row r="673" spans="3:4">
      <c r="C673"/>
      <c r="D673"/>
    </row>
    <row r="674" spans="3:4">
      <c r="C674"/>
      <c r="D674"/>
    </row>
    <row r="675" spans="3:4">
      <c r="C675"/>
      <c r="D675"/>
    </row>
    <row r="676" spans="3:4">
      <c r="C676"/>
      <c r="D676"/>
    </row>
    <row r="677" spans="3:4">
      <c r="C677"/>
      <c r="D677"/>
    </row>
    <row r="678" spans="3:4">
      <c r="C678"/>
      <c r="D678"/>
    </row>
    <row r="679" spans="3:4">
      <c r="C679"/>
      <c r="D679"/>
    </row>
    <row r="680" spans="3:4">
      <c r="C680"/>
      <c r="D680"/>
    </row>
    <row r="681" spans="3:4">
      <c r="C681"/>
      <c r="D681"/>
    </row>
    <row r="682" spans="3:4">
      <c r="C682"/>
      <c r="D682"/>
    </row>
    <row r="683" spans="3:4">
      <c r="C683"/>
      <c r="D683"/>
    </row>
    <row r="684" spans="3:4">
      <c r="C684"/>
      <c r="D684"/>
    </row>
    <row r="685" spans="3:4">
      <c r="C685"/>
      <c r="D685"/>
    </row>
    <row r="686" spans="3:4">
      <c r="C686"/>
      <c r="D686"/>
    </row>
    <row r="687" spans="3:4">
      <c r="C687"/>
      <c r="D687"/>
    </row>
    <row r="688" spans="3:4">
      <c r="C688"/>
      <c r="D688"/>
    </row>
    <row r="689" spans="3:4">
      <c r="C689"/>
      <c r="D689"/>
    </row>
    <row r="690" spans="3:4">
      <c r="C690"/>
      <c r="D690"/>
    </row>
    <row r="691" spans="3:4">
      <c r="C691"/>
      <c r="D691"/>
    </row>
    <row r="692" spans="3:4">
      <c r="C692"/>
      <c r="D692"/>
    </row>
    <row r="693" spans="3:4">
      <c r="C693"/>
      <c r="D693"/>
    </row>
    <row r="694" spans="3:4">
      <c r="C694"/>
      <c r="D694"/>
    </row>
    <row r="695" spans="3:4">
      <c r="C695"/>
      <c r="D695"/>
    </row>
    <row r="696" spans="3:4">
      <c r="C696"/>
      <c r="D696"/>
    </row>
    <row r="697" spans="3:4">
      <c r="C697"/>
      <c r="D697"/>
    </row>
    <row r="698" spans="3:4">
      <c r="C698"/>
      <c r="D698"/>
    </row>
    <row r="699" spans="3:4">
      <c r="C699"/>
      <c r="D699"/>
    </row>
    <row r="700" spans="3:4">
      <c r="C700"/>
      <c r="D700"/>
    </row>
    <row r="701" spans="3:4">
      <c r="C701"/>
      <c r="D701"/>
    </row>
    <row r="702" spans="3:4">
      <c r="C702"/>
      <c r="D702"/>
    </row>
    <row r="703" spans="3:4">
      <c r="C703"/>
      <c r="D703"/>
    </row>
    <row r="704" spans="3:4">
      <c r="C704"/>
      <c r="D704"/>
    </row>
    <row r="705" spans="3:4">
      <c r="C705"/>
      <c r="D705"/>
    </row>
    <row r="706" spans="3:4">
      <c r="C706"/>
      <c r="D706"/>
    </row>
    <row r="707" spans="3:4">
      <c r="C707"/>
      <c r="D707"/>
    </row>
    <row r="708" spans="3:4">
      <c r="C708"/>
      <c r="D708"/>
    </row>
    <row r="709" spans="3:4">
      <c r="C709"/>
      <c r="D709"/>
    </row>
    <row r="710" spans="3:4">
      <c r="C710"/>
      <c r="D710"/>
    </row>
    <row r="711" spans="3:4">
      <c r="C711"/>
      <c r="D711"/>
    </row>
    <row r="712" spans="3:4">
      <c r="C712"/>
      <c r="D712"/>
    </row>
    <row r="713" spans="3:4">
      <c r="C713"/>
      <c r="D713"/>
    </row>
    <row r="714" spans="3:4">
      <c r="C714"/>
      <c r="D714"/>
    </row>
    <row r="715" spans="3:4">
      <c r="C715"/>
      <c r="D715"/>
    </row>
    <row r="716" spans="3:4">
      <c r="C716"/>
      <c r="D716"/>
    </row>
    <row r="717" spans="3:4">
      <c r="C717"/>
      <c r="D717"/>
    </row>
    <row r="718" spans="3:4">
      <c r="C718"/>
      <c r="D718"/>
    </row>
    <row r="719" spans="3:4">
      <c r="C719"/>
      <c r="D719"/>
    </row>
    <row r="720" spans="3:4">
      <c r="C720"/>
      <c r="D720"/>
    </row>
    <row r="721" spans="3:4">
      <c r="C721"/>
      <c r="D721"/>
    </row>
    <row r="722" spans="3:4">
      <c r="C722"/>
      <c r="D722"/>
    </row>
    <row r="723" spans="3:4">
      <c r="C723"/>
      <c r="D723"/>
    </row>
    <row r="724" spans="3:4">
      <c r="C724"/>
      <c r="D724"/>
    </row>
    <row r="725" spans="3:4">
      <c r="C725"/>
      <c r="D725"/>
    </row>
    <row r="726" spans="3:4">
      <c r="C726"/>
      <c r="D726"/>
    </row>
    <row r="727" spans="3:4">
      <c r="C727"/>
      <c r="D727"/>
    </row>
    <row r="728" spans="3:4">
      <c r="C728"/>
      <c r="D728"/>
    </row>
    <row r="729" spans="3:4">
      <c r="C729"/>
      <c r="D729"/>
    </row>
    <row r="730" spans="3:4">
      <c r="C730"/>
      <c r="D730"/>
    </row>
    <row r="731" spans="3:4">
      <c r="C731"/>
      <c r="D731"/>
    </row>
    <row r="732" spans="3:4">
      <c r="C732"/>
      <c r="D732"/>
    </row>
    <row r="733" spans="3:4">
      <c r="C733"/>
      <c r="D733"/>
    </row>
    <row r="734" spans="3:4">
      <c r="C734"/>
      <c r="D734"/>
    </row>
    <row r="735" spans="3:4">
      <c r="C735"/>
      <c r="D735"/>
    </row>
    <row r="736" spans="3:4">
      <c r="C736"/>
      <c r="D736"/>
    </row>
    <row r="737" spans="3:4">
      <c r="C737"/>
      <c r="D737"/>
    </row>
    <row r="738" spans="3:4">
      <c r="C738"/>
      <c r="D738"/>
    </row>
    <row r="739" spans="3:4">
      <c r="C739"/>
      <c r="D739"/>
    </row>
    <row r="740" spans="3:4">
      <c r="C740"/>
      <c r="D740"/>
    </row>
    <row r="741" spans="3:4">
      <c r="C741"/>
      <c r="D741"/>
    </row>
    <row r="742" spans="3:4">
      <c r="C742"/>
      <c r="D742"/>
    </row>
    <row r="743" spans="3:4">
      <c r="C743"/>
      <c r="D743"/>
    </row>
    <row r="744" spans="3:4">
      <c r="C744"/>
      <c r="D744"/>
    </row>
    <row r="745" spans="3:4">
      <c r="C745"/>
      <c r="D745"/>
    </row>
    <row r="746" spans="3:4">
      <c r="C746"/>
      <c r="D746"/>
    </row>
    <row r="747" spans="3:4">
      <c r="C747"/>
      <c r="D747"/>
    </row>
    <row r="748" spans="3:4">
      <c r="C748"/>
      <c r="D748"/>
    </row>
    <row r="749" spans="3:4">
      <c r="C749"/>
      <c r="D749"/>
    </row>
    <row r="750" spans="3:4">
      <c r="C750"/>
      <c r="D750"/>
    </row>
    <row r="751" spans="3:4">
      <c r="C751"/>
      <c r="D751"/>
    </row>
    <row r="752" spans="3:4">
      <c r="C752"/>
      <c r="D752"/>
    </row>
    <row r="753" spans="3:4">
      <c r="C753"/>
      <c r="D753"/>
    </row>
    <row r="754" spans="3:4">
      <c r="C754"/>
      <c r="D754"/>
    </row>
    <row r="755" spans="3:4">
      <c r="C755"/>
      <c r="D755"/>
    </row>
    <row r="756" spans="3:4">
      <c r="C756"/>
      <c r="D756"/>
    </row>
    <row r="757" spans="3:4">
      <c r="C757"/>
      <c r="D757"/>
    </row>
    <row r="758" spans="3:4">
      <c r="C758"/>
      <c r="D758"/>
    </row>
    <row r="759" spans="3:4">
      <c r="C759"/>
      <c r="D759"/>
    </row>
    <row r="760" spans="3:4">
      <c r="C760"/>
      <c r="D760"/>
    </row>
    <row r="761" spans="3:4">
      <c r="C761"/>
      <c r="D761"/>
    </row>
    <row r="762" spans="3:4">
      <c r="C762"/>
      <c r="D762"/>
    </row>
    <row r="763" spans="3:4">
      <c r="C763"/>
      <c r="D763"/>
    </row>
    <row r="764" spans="3:4">
      <c r="C764"/>
      <c r="D764"/>
    </row>
    <row r="765" spans="3:4">
      <c r="C765"/>
      <c r="D765"/>
    </row>
    <row r="766" spans="3:4">
      <c r="C766"/>
      <c r="D766"/>
    </row>
    <row r="767" spans="3:4">
      <c r="C767"/>
      <c r="D767"/>
    </row>
    <row r="768" spans="3:4">
      <c r="C768"/>
      <c r="D768"/>
    </row>
    <row r="769" spans="3:4">
      <c r="C769"/>
      <c r="D769"/>
    </row>
    <row r="770" spans="3:4">
      <c r="C770"/>
      <c r="D770"/>
    </row>
    <row r="771" spans="3:4">
      <c r="C771"/>
      <c r="D771"/>
    </row>
    <row r="772" spans="3:4">
      <c r="C772"/>
      <c r="D772"/>
    </row>
    <row r="773" spans="3:4">
      <c r="C773"/>
      <c r="D773"/>
    </row>
    <row r="774" spans="3:4">
      <c r="C774"/>
      <c r="D774"/>
    </row>
    <row r="775" spans="3:4">
      <c r="C775"/>
      <c r="D775"/>
    </row>
    <row r="776" spans="3:4">
      <c r="C776"/>
      <c r="D776"/>
    </row>
    <row r="777" spans="3:4">
      <c r="C777"/>
      <c r="D777"/>
    </row>
    <row r="778" spans="3:4">
      <c r="C778"/>
      <c r="D778"/>
    </row>
    <row r="779" spans="3:4">
      <c r="C779"/>
      <c r="D779"/>
    </row>
    <row r="780" spans="3:4">
      <c r="C780"/>
      <c r="D780"/>
    </row>
    <row r="781" spans="3:4">
      <c r="C781"/>
      <c r="D781"/>
    </row>
    <row r="782" spans="3:4">
      <c r="C782"/>
      <c r="D782"/>
    </row>
    <row r="783" spans="3:4">
      <c r="C783"/>
      <c r="D783"/>
    </row>
    <row r="784" spans="3:4">
      <c r="C784"/>
      <c r="D784"/>
    </row>
    <row r="785" spans="3:4">
      <c r="C785"/>
      <c r="D785"/>
    </row>
    <row r="786" spans="3:4">
      <c r="C786"/>
      <c r="D786"/>
    </row>
    <row r="787" spans="3:4">
      <c r="C787"/>
      <c r="D787"/>
    </row>
    <row r="788" spans="3:4">
      <c r="C788"/>
      <c r="D788"/>
    </row>
    <row r="789" spans="3:4">
      <c r="C789"/>
      <c r="D789"/>
    </row>
    <row r="790" spans="3:4">
      <c r="C790"/>
      <c r="D790"/>
    </row>
    <row r="791" spans="3:4">
      <c r="C791"/>
      <c r="D791"/>
    </row>
    <row r="792" spans="3:4">
      <c r="C792"/>
      <c r="D792"/>
    </row>
    <row r="793" spans="3:4">
      <c r="C793"/>
      <c r="D793"/>
    </row>
    <row r="794" spans="3:4">
      <c r="C794"/>
      <c r="D794"/>
    </row>
    <row r="795" spans="3:4">
      <c r="C795"/>
      <c r="D795"/>
    </row>
    <row r="796" spans="3:4">
      <c r="C796"/>
      <c r="D796"/>
    </row>
    <row r="797" spans="3:4">
      <c r="C797"/>
      <c r="D797"/>
    </row>
    <row r="798" spans="3:4">
      <c r="C798"/>
      <c r="D798"/>
    </row>
    <row r="799" spans="3:4">
      <c r="C799"/>
      <c r="D799"/>
    </row>
    <row r="800" spans="3:4">
      <c r="C800"/>
      <c r="D800"/>
    </row>
    <row r="801" spans="3:4">
      <c r="C801"/>
      <c r="D801"/>
    </row>
    <row r="802" spans="3:4">
      <c r="C802"/>
      <c r="D802"/>
    </row>
    <row r="803" spans="3:4">
      <c r="C803"/>
      <c r="D803"/>
    </row>
    <row r="804" spans="3:4">
      <c r="C804"/>
      <c r="D804"/>
    </row>
    <row r="805" spans="3:4">
      <c r="C805"/>
      <c r="D805"/>
    </row>
    <row r="806" spans="3:4">
      <c r="C806"/>
      <c r="D806"/>
    </row>
    <row r="807" spans="3:4">
      <c r="C807"/>
      <c r="D807"/>
    </row>
    <row r="808" spans="3:4">
      <c r="C808"/>
      <c r="D808"/>
    </row>
    <row r="809" spans="3:4">
      <c r="C809"/>
      <c r="D809"/>
    </row>
    <row r="810" spans="3:4">
      <c r="C810"/>
      <c r="D810"/>
    </row>
    <row r="811" spans="3:4">
      <c r="C811"/>
      <c r="D811"/>
    </row>
    <row r="812" spans="3:4">
      <c r="C812"/>
      <c r="D812"/>
    </row>
    <row r="813" spans="3:4">
      <c r="C813"/>
      <c r="D813"/>
    </row>
    <row r="814" spans="3:4">
      <c r="C814"/>
      <c r="D814"/>
    </row>
    <row r="815" spans="3:4">
      <c r="C815"/>
      <c r="D815"/>
    </row>
    <row r="816" spans="3:4">
      <c r="C816"/>
      <c r="D816"/>
    </row>
    <row r="817" spans="3:4">
      <c r="C817"/>
      <c r="D817"/>
    </row>
    <row r="818" spans="3:4">
      <c r="C818"/>
      <c r="D818"/>
    </row>
    <row r="819" spans="3:4">
      <c r="C819"/>
      <c r="D819"/>
    </row>
    <row r="820" spans="3:4">
      <c r="C820"/>
      <c r="D820"/>
    </row>
    <row r="821" spans="3:4">
      <c r="C821"/>
      <c r="D821"/>
    </row>
    <row r="822" spans="3:4">
      <c r="C822"/>
      <c r="D822"/>
    </row>
    <row r="823" spans="3:4">
      <c r="C823"/>
      <c r="D823"/>
    </row>
    <row r="824" spans="3:4">
      <c r="C824"/>
      <c r="D824"/>
    </row>
    <row r="825" spans="3:4">
      <c r="C825"/>
      <c r="D825"/>
    </row>
    <row r="826" spans="3:4">
      <c r="C826"/>
      <c r="D826"/>
    </row>
    <row r="827" spans="3:4">
      <c r="C827"/>
      <c r="D827"/>
    </row>
    <row r="828" spans="3:4">
      <c r="C828"/>
      <c r="D828"/>
    </row>
    <row r="829" spans="3:4">
      <c r="C829"/>
      <c r="D829"/>
    </row>
    <row r="830" spans="3:4">
      <c r="C830"/>
      <c r="D830"/>
    </row>
    <row r="831" spans="3:4">
      <c r="C831"/>
      <c r="D831"/>
    </row>
    <row r="832" spans="3:4">
      <c r="C832"/>
      <c r="D832"/>
    </row>
    <row r="833" spans="3:4">
      <c r="C833"/>
      <c r="D833"/>
    </row>
    <row r="834" spans="3:4">
      <c r="C834"/>
      <c r="D834"/>
    </row>
    <row r="835" spans="3:4">
      <c r="C835"/>
      <c r="D835"/>
    </row>
    <row r="836" spans="3:4">
      <c r="C836"/>
      <c r="D836"/>
    </row>
    <row r="837" spans="3:4">
      <c r="C837"/>
      <c r="D837"/>
    </row>
    <row r="838" spans="3:4">
      <c r="C838"/>
      <c r="D838"/>
    </row>
    <row r="839" spans="3:4">
      <c r="C839"/>
      <c r="D839"/>
    </row>
    <row r="840" spans="3:4">
      <c r="C840"/>
      <c r="D840"/>
    </row>
    <row r="841" spans="3:4">
      <c r="C841"/>
      <c r="D841"/>
    </row>
    <row r="842" spans="3:4">
      <c r="C842"/>
      <c r="D842"/>
    </row>
    <row r="843" spans="3:4">
      <c r="C843"/>
      <c r="D843"/>
    </row>
    <row r="844" spans="3:4">
      <c r="C844"/>
      <c r="D844"/>
    </row>
    <row r="845" spans="3:4">
      <c r="C845"/>
      <c r="D845"/>
    </row>
    <row r="846" spans="3:4">
      <c r="C846"/>
      <c r="D846"/>
    </row>
    <row r="847" spans="3:4">
      <c r="C847"/>
      <c r="D847"/>
    </row>
    <row r="848" spans="3:4">
      <c r="C848"/>
      <c r="D848"/>
    </row>
    <row r="849" spans="3:4">
      <c r="C849"/>
      <c r="D849"/>
    </row>
    <row r="850" spans="3:4">
      <c r="C850"/>
      <c r="D850"/>
    </row>
    <row r="851" spans="3:4">
      <c r="C851"/>
      <c r="D851"/>
    </row>
    <row r="852" spans="3:4">
      <c r="C852"/>
      <c r="D852"/>
    </row>
    <row r="853" spans="3:4">
      <c r="C853"/>
      <c r="D853"/>
    </row>
    <row r="854" spans="3:4">
      <c r="C854"/>
      <c r="D854"/>
    </row>
    <row r="855" spans="3:4">
      <c r="C855"/>
      <c r="D855"/>
    </row>
    <row r="856" spans="3:4">
      <c r="C856"/>
      <c r="D856"/>
    </row>
    <row r="857" spans="3:4">
      <c r="C857"/>
      <c r="D857"/>
    </row>
    <row r="858" spans="3:4">
      <c r="C858"/>
      <c r="D858"/>
    </row>
    <row r="859" spans="3:4">
      <c r="C859"/>
      <c r="D859"/>
    </row>
    <row r="860" spans="3:4">
      <c r="C860"/>
      <c r="D860"/>
    </row>
    <row r="861" spans="3:4">
      <c r="C861"/>
      <c r="D861"/>
    </row>
    <row r="862" spans="3:4">
      <c r="C862"/>
      <c r="D862"/>
    </row>
    <row r="863" spans="3:4">
      <c r="C863"/>
      <c r="D863"/>
    </row>
    <row r="864" spans="3:4">
      <c r="C864"/>
      <c r="D864"/>
    </row>
    <row r="865" spans="3:4">
      <c r="C865"/>
      <c r="D865"/>
    </row>
    <row r="866" spans="3:4">
      <c r="C866"/>
      <c r="D866"/>
    </row>
    <row r="867" spans="3:4">
      <c r="C867"/>
      <c r="D867"/>
    </row>
    <row r="868" spans="3:4">
      <c r="C868"/>
      <c r="D868"/>
    </row>
    <row r="869" spans="3:4">
      <c r="C869"/>
      <c r="D869"/>
    </row>
    <row r="870" spans="3:4">
      <c r="C870"/>
      <c r="D870"/>
    </row>
    <row r="871" spans="3:4">
      <c r="C871"/>
      <c r="D871"/>
    </row>
    <row r="872" spans="3:4">
      <c r="C872"/>
      <c r="D872"/>
    </row>
    <row r="873" spans="3:4">
      <c r="C873"/>
      <c r="D873"/>
    </row>
    <row r="874" spans="3:4">
      <c r="C874"/>
      <c r="D874"/>
    </row>
    <row r="875" spans="3:4">
      <c r="C875"/>
      <c r="D875"/>
    </row>
    <row r="876" spans="3:4">
      <c r="C876"/>
      <c r="D876"/>
    </row>
    <row r="877" spans="3:4">
      <c r="C877"/>
      <c r="D877"/>
    </row>
    <row r="878" spans="3:4">
      <c r="C878"/>
      <c r="D878"/>
    </row>
    <row r="879" spans="3:4">
      <c r="C879"/>
      <c r="D879"/>
    </row>
    <row r="880" spans="3:4">
      <c r="C880"/>
      <c r="D880"/>
    </row>
    <row r="881" spans="3:4">
      <c r="C881"/>
      <c r="D881"/>
    </row>
    <row r="882" spans="3:4">
      <c r="C882"/>
      <c r="D882"/>
    </row>
    <row r="883" spans="3:4">
      <c r="C883"/>
      <c r="D883"/>
    </row>
    <row r="884" spans="3:4">
      <c r="C884"/>
      <c r="D884"/>
    </row>
    <row r="885" spans="3:4">
      <c r="C885"/>
      <c r="D885"/>
    </row>
    <row r="886" spans="3:4">
      <c r="C886"/>
      <c r="D886"/>
    </row>
    <row r="887" spans="3:4">
      <c r="C887"/>
      <c r="D887"/>
    </row>
    <row r="888" spans="3:4">
      <c r="C888"/>
      <c r="D888"/>
    </row>
    <row r="889" spans="3:4">
      <c r="C889"/>
      <c r="D889"/>
    </row>
    <row r="890" spans="3:4">
      <c r="C890"/>
      <c r="D890"/>
    </row>
    <row r="891" spans="3:4">
      <c r="C891"/>
      <c r="D891"/>
    </row>
    <row r="892" spans="3:4">
      <c r="C892"/>
      <c r="D892"/>
    </row>
    <row r="893" spans="3:4">
      <c r="C893"/>
      <c r="D893"/>
    </row>
    <row r="894" spans="3:4">
      <c r="C894"/>
      <c r="D894"/>
    </row>
    <row r="895" spans="3:4">
      <c r="C895"/>
      <c r="D895"/>
    </row>
    <row r="896" spans="3:4">
      <c r="C896"/>
      <c r="D896"/>
    </row>
    <row r="897" spans="3:4">
      <c r="C897"/>
      <c r="D897"/>
    </row>
    <row r="898" spans="3:4">
      <c r="C898"/>
      <c r="D898"/>
    </row>
    <row r="899" spans="3:4">
      <c r="C899"/>
      <c r="D899"/>
    </row>
    <row r="900" spans="3:4">
      <c r="C900"/>
      <c r="D900"/>
    </row>
    <row r="901" spans="3:4">
      <c r="C901"/>
      <c r="D901"/>
    </row>
    <row r="902" spans="3:4">
      <c r="C902"/>
      <c r="D902"/>
    </row>
    <row r="903" spans="3:4">
      <c r="C903"/>
      <c r="D903"/>
    </row>
    <row r="904" spans="3:4">
      <c r="C904"/>
      <c r="D904"/>
    </row>
    <row r="905" spans="3:4">
      <c r="C905"/>
      <c r="D905"/>
    </row>
    <row r="906" spans="3:4">
      <c r="C906"/>
      <c r="D906"/>
    </row>
    <row r="907" spans="3:4">
      <c r="C907"/>
      <c r="D907"/>
    </row>
    <row r="908" spans="3:4">
      <c r="C908"/>
      <c r="D908"/>
    </row>
    <row r="909" spans="3:4">
      <c r="C909"/>
      <c r="D909"/>
    </row>
    <row r="910" spans="3:4">
      <c r="C910"/>
      <c r="D910"/>
    </row>
    <row r="911" spans="3:4">
      <c r="C911"/>
      <c r="D911"/>
    </row>
    <row r="912" spans="3:4">
      <c r="C912"/>
      <c r="D912"/>
    </row>
    <row r="913" spans="3:4">
      <c r="C913"/>
      <c r="D913"/>
    </row>
    <row r="914" spans="3:4">
      <c r="C914"/>
      <c r="D914"/>
    </row>
    <row r="915" spans="3:4">
      <c r="C915"/>
      <c r="D915"/>
    </row>
    <row r="916" spans="3:4">
      <c r="C916"/>
      <c r="D916"/>
    </row>
    <row r="917" spans="3:4">
      <c r="C917"/>
      <c r="D917"/>
    </row>
    <row r="918" spans="3:4">
      <c r="C918"/>
      <c r="D918"/>
    </row>
    <row r="919" spans="3:4">
      <c r="C919"/>
      <c r="D919"/>
    </row>
    <row r="920" spans="3:4">
      <c r="C920"/>
      <c r="D920"/>
    </row>
    <row r="921" spans="3:4">
      <c r="C921"/>
      <c r="D921"/>
    </row>
    <row r="922" spans="3:4">
      <c r="C922"/>
      <c r="D922"/>
    </row>
    <row r="923" spans="3:4">
      <c r="C923"/>
      <c r="D923"/>
    </row>
    <row r="924" spans="3:4">
      <c r="C924"/>
      <c r="D924"/>
    </row>
    <row r="925" spans="3:4">
      <c r="C925"/>
      <c r="D925"/>
    </row>
    <row r="926" spans="3:4">
      <c r="C926"/>
      <c r="D926"/>
    </row>
    <row r="927" spans="3:4">
      <c r="C927"/>
      <c r="D927"/>
    </row>
    <row r="928" spans="3:4">
      <c r="C928"/>
      <c r="D928"/>
    </row>
    <row r="929" spans="3:4">
      <c r="C929"/>
      <c r="D929"/>
    </row>
    <row r="930" spans="3:4">
      <c r="C930"/>
      <c r="D930"/>
    </row>
    <row r="931" spans="3:4">
      <c r="C931"/>
      <c r="D931"/>
    </row>
    <row r="932" spans="3:4">
      <c r="C932"/>
      <c r="D932"/>
    </row>
    <row r="933" spans="3:4">
      <c r="C933"/>
      <c r="D933"/>
    </row>
    <row r="934" spans="3:4">
      <c r="C934"/>
      <c r="D934"/>
    </row>
    <row r="935" spans="3:4">
      <c r="C935"/>
      <c r="D935"/>
    </row>
    <row r="936" spans="3:4">
      <c r="C936"/>
      <c r="D936"/>
    </row>
    <row r="937" spans="3:4">
      <c r="C937"/>
      <c r="D937"/>
    </row>
    <row r="938" spans="3:4">
      <c r="C938"/>
      <c r="D938"/>
    </row>
    <row r="939" spans="3:4">
      <c r="C939"/>
      <c r="D939"/>
    </row>
    <row r="940" spans="3:4">
      <c r="C940"/>
      <c r="D940"/>
    </row>
    <row r="941" spans="3:4">
      <c r="C941"/>
      <c r="D941"/>
    </row>
    <row r="942" spans="3:4">
      <c r="C942"/>
      <c r="D942"/>
    </row>
    <row r="943" spans="3:4">
      <c r="C943"/>
      <c r="D943"/>
    </row>
    <row r="944" spans="3:4">
      <c r="C944"/>
      <c r="D944"/>
    </row>
    <row r="945" spans="3:4">
      <c r="C945"/>
      <c r="D945"/>
    </row>
    <row r="946" spans="3:4">
      <c r="C946"/>
      <c r="D946"/>
    </row>
    <row r="947" spans="3:4">
      <c r="C947"/>
      <c r="D947"/>
    </row>
    <row r="948" spans="3:4">
      <c r="C948"/>
      <c r="D948"/>
    </row>
    <row r="949" spans="3:4">
      <c r="C949"/>
      <c r="D949"/>
    </row>
    <row r="950" spans="3:4">
      <c r="C950"/>
      <c r="D950"/>
    </row>
    <row r="951" spans="3:4">
      <c r="C951"/>
      <c r="D951"/>
    </row>
    <row r="952" spans="3:4">
      <c r="C952"/>
      <c r="D952"/>
    </row>
    <row r="953" spans="3:4">
      <c r="C953"/>
      <c r="D953"/>
    </row>
    <row r="954" spans="3:4">
      <c r="C954"/>
      <c r="D954"/>
    </row>
    <row r="955" spans="3:4">
      <c r="C955"/>
      <c r="D955"/>
    </row>
    <row r="956" spans="3:4">
      <c r="C956"/>
      <c r="D956"/>
    </row>
    <row r="957" spans="3:4">
      <c r="C957"/>
      <c r="D957"/>
    </row>
    <row r="958" spans="3:4">
      <c r="C958"/>
      <c r="D958"/>
    </row>
    <row r="959" spans="3:4">
      <c r="C959"/>
      <c r="D959"/>
    </row>
    <row r="960" spans="3:4">
      <c r="C960"/>
      <c r="D960"/>
    </row>
    <row r="961" spans="3:4">
      <c r="C961"/>
      <c r="D961"/>
    </row>
    <row r="962" spans="3:4">
      <c r="C962"/>
      <c r="D962"/>
    </row>
    <row r="963" spans="3:4">
      <c r="C963"/>
      <c r="D963"/>
    </row>
    <row r="964" spans="3:4">
      <c r="C964"/>
      <c r="D964"/>
    </row>
    <row r="965" spans="3:4">
      <c r="C965"/>
      <c r="D965"/>
    </row>
    <row r="966" spans="3:4">
      <c r="C966"/>
      <c r="D966"/>
    </row>
    <row r="967" spans="3:4">
      <c r="C967"/>
      <c r="D967"/>
    </row>
    <row r="968" spans="3:4">
      <c r="C968"/>
      <c r="D968"/>
    </row>
    <row r="969" spans="3:4">
      <c r="C969"/>
      <c r="D969"/>
    </row>
    <row r="970" spans="3:4">
      <c r="C970"/>
      <c r="D970"/>
    </row>
    <row r="971" spans="3:4">
      <c r="C971"/>
      <c r="D971"/>
    </row>
    <row r="972" spans="3:4">
      <c r="C972"/>
      <c r="D972"/>
    </row>
    <row r="973" spans="3:4">
      <c r="C973"/>
      <c r="D973"/>
    </row>
    <row r="974" spans="3:4">
      <c r="C974"/>
      <c r="D974"/>
    </row>
    <row r="975" spans="3:4">
      <c r="C975"/>
      <c r="D975"/>
    </row>
    <row r="976" spans="3:4">
      <c r="C976"/>
      <c r="D976"/>
    </row>
    <row r="977" spans="3:4">
      <c r="C977"/>
      <c r="D977"/>
    </row>
    <row r="978" spans="3:4">
      <c r="C978"/>
      <c r="D978"/>
    </row>
    <row r="979" spans="3:4">
      <c r="C979"/>
      <c r="D979"/>
    </row>
    <row r="980" spans="3:4">
      <c r="C980"/>
      <c r="D980"/>
    </row>
    <row r="981" spans="3:4">
      <c r="C981"/>
      <c r="D981"/>
    </row>
    <row r="982" spans="3:4">
      <c r="C982"/>
      <c r="D982"/>
    </row>
    <row r="983" spans="3:4">
      <c r="C983"/>
      <c r="D983"/>
    </row>
    <row r="984" spans="3:4">
      <c r="C984"/>
      <c r="D984"/>
    </row>
    <row r="985" spans="3:4">
      <c r="C985"/>
      <c r="D985"/>
    </row>
    <row r="986" spans="3:4">
      <c r="C986"/>
      <c r="D986"/>
    </row>
    <row r="987" spans="3:4">
      <c r="C987"/>
      <c r="D987"/>
    </row>
    <row r="988" spans="3:4">
      <c r="C988"/>
      <c r="D988"/>
    </row>
    <row r="989" spans="3:4">
      <c r="C989"/>
      <c r="D989"/>
    </row>
    <row r="990" spans="3:4">
      <c r="C990"/>
      <c r="D990"/>
    </row>
    <row r="991" spans="3:4">
      <c r="C991"/>
      <c r="D991"/>
    </row>
    <row r="992" spans="3:4">
      <c r="C992"/>
      <c r="D992"/>
    </row>
    <row r="993" spans="3:4">
      <c r="C993"/>
      <c r="D993"/>
    </row>
    <row r="994" spans="3:4">
      <c r="C994"/>
      <c r="D994"/>
    </row>
    <row r="995" spans="3:4">
      <c r="C995"/>
      <c r="D995"/>
    </row>
    <row r="996" spans="3:4">
      <c r="C996"/>
      <c r="D996"/>
    </row>
    <row r="997" spans="3:4">
      <c r="C997"/>
      <c r="D997"/>
    </row>
    <row r="998" spans="3:4">
      <c r="C998"/>
      <c r="D998"/>
    </row>
    <row r="999" spans="3:4">
      <c r="C999"/>
      <c r="D999"/>
    </row>
    <row r="1000" spans="3:4">
      <c r="C1000"/>
      <c r="D1000"/>
    </row>
    <row r="1001" spans="3:4">
      <c r="C1001"/>
      <c r="D1001"/>
    </row>
    <row r="1002" spans="3:4">
      <c r="C1002"/>
      <c r="D1002"/>
    </row>
    <row r="1003" spans="3:4">
      <c r="C1003"/>
      <c r="D1003"/>
    </row>
    <row r="1004" spans="3:4">
      <c r="C1004"/>
      <c r="D1004"/>
    </row>
    <row r="1005" spans="3:4">
      <c r="C1005"/>
      <c r="D1005"/>
    </row>
    <row r="1006" spans="3:4">
      <c r="C1006"/>
      <c r="D1006"/>
    </row>
    <row r="1007" spans="3:4">
      <c r="C1007"/>
      <c r="D1007"/>
    </row>
    <row r="1008" spans="3:4">
      <c r="C1008"/>
      <c r="D1008"/>
    </row>
    <row r="1009" spans="3:4">
      <c r="C1009"/>
      <c r="D1009"/>
    </row>
    <row r="1010" spans="3:4">
      <c r="C1010"/>
      <c r="D1010"/>
    </row>
    <row r="1011" spans="3:4">
      <c r="C1011"/>
      <c r="D1011"/>
    </row>
    <row r="1012" spans="3:4">
      <c r="C1012"/>
      <c r="D1012"/>
    </row>
    <row r="1013" spans="3:4">
      <c r="C1013"/>
      <c r="D1013"/>
    </row>
    <row r="1014" spans="3:4">
      <c r="C1014"/>
      <c r="D1014"/>
    </row>
    <row r="1015" spans="3:4">
      <c r="C1015"/>
      <c r="D1015"/>
    </row>
    <row r="1016" spans="3:4">
      <c r="C1016"/>
      <c r="D1016"/>
    </row>
    <row r="1017" spans="3:4">
      <c r="C1017"/>
      <c r="D1017"/>
    </row>
    <row r="1018" spans="3:4">
      <c r="C1018"/>
      <c r="D1018"/>
    </row>
    <row r="1019" spans="3:4">
      <c r="C1019"/>
      <c r="D1019"/>
    </row>
    <row r="1020" spans="3:4">
      <c r="C1020"/>
      <c r="D1020"/>
    </row>
    <row r="1021" spans="3:4">
      <c r="C1021"/>
      <c r="D1021"/>
    </row>
    <row r="1022" spans="3:4">
      <c r="C1022"/>
      <c r="D1022"/>
    </row>
    <row r="1023" spans="3:4">
      <c r="C1023"/>
      <c r="D1023"/>
    </row>
    <row r="1024" spans="3:4">
      <c r="C1024"/>
      <c r="D1024"/>
    </row>
    <row r="1025" spans="3:4">
      <c r="C1025"/>
      <c r="D1025"/>
    </row>
    <row r="1026" spans="3:4">
      <c r="C1026"/>
      <c r="D1026"/>
    </row>
    <row r="1027" spans="3:4">
      <c r="C1027"/>
      <c r="D1027"/>
    </row>
    <row r="1028" spans="3:4">
      <c r="C1028"/>
      <c r="D1028"/>
    </row>
    <row r="1029" spans="3:4">
      <c r="C1029"/>
      <c r="D1029"/>
    </row>
    <row r="1030" spans="3:4">
      <c r="C1030"/>
      <c r="D1030"/>
    </row>
    <row r="1031" spans="3:4">
      <c r="C1031"/>
      <c r="D1031"/>
    </row>
    <row r="1032" spans="3:4">
      <c r="C1032"/>
      <c r="D1032"/>
    </row>
    <row r="1033" spans="3:4">
      <c r="C1033"/>
      <c r="D1033"/>
    </row>
    <row r="1034" spans="3:4">
      <c r="C1034"/>
      <c r="D1034"/>
    </row>
    <row r="1035" spans="3:4">
      <c r="C1035"/>
      <c r="D1035"/>
    </row>
    <row r="1036" spans="3:4">
      <c r="C1036"/>
      <c r="D1036"/>
    </row>
    <row r="1037" spans="3:4">
      <c r="C1037"/>
      <c r="D1037"/>
    </row>
    <row r="1038" spans="3:4">
      <c r="C1038"/>
      <c r="D1038"/>
    </row>
    <row r="1039" spans="3:4">
      <c r="C1039"/>
      <c r="D1039"/>
    </row>
    <row r="1040" spans="3:4">
      <c r="C1040"/>
      <c r="D1040"/>
    </row>
    <row r="1041" spans="3:4">
      <c r="C1041"/>
      <c r="D1041"/>
    </row>
    <row r="1042" spans="3:4">
      <c r="C1042"/>
      <c r="D1042"/>
    </row>
    <row r="1043" spans="3:4">
      <c r="C1043"/>
      <c r="D1043"/>
    </row>
    <row r="1044" spans="3:4">
      <c r="C1044"/>
      <c r="D1044"/>
    </row>
    <row r="1045" spans="3:4">
      <c r="C1045"/>
      <c r="D1045"/>
    </row>
    <row r="1046" spans="3:4">
      <c r="C1046"/>
      <c r="D1046"/>
    </row>
    <row r="1047" spans="3:4">
      <c r="C1047"/>
      <c r="D1047"/>
    </row>
    <row r="1048" spans="3:4">
      <c r="C1048"/>
      <c r="D1048"/>
    </row>
    <row r="1049" spans="3:4">
      <c r="C1049"/>
      <c r="D1049"/>
    </row>
    <row r="1050" spans="3:4">
      <c r="C1050"/>
      <c r="D1050"/>
    </row>
    <row r="1051" spans="3:4">
      <c r="C1051"/>
      <c r="D1051"/>
    </row>
    <row r="1052" spans="3:4">
      <c r="C1052"/>
      <c r="D1052"/>
    </row>
    <row r="1053" spans="3:4">
      <c r="C1053"/>
      <c r="D1053"/>
    </row>
    <row r="1054" spans="3:4">
      <c r="C1054"/>
      <c r="D1054"/>
    </row>
    <row r="1055" spans="3:4">
      <c r="C1055"/>
      <c r="D1055"/>
    </row>
    <row r="1056" spans="3:4">
      <c r="C1056"/>
      <c r="D1056"/>
    </row>
    <row r="1057" spans="3:4">
      <c r="C1057"/>
      <c r="D1057"/>
    </row>
    <row r="1058" spans="3:4">
      <c r="C1058"/>
      <c r="D1058"/>
    </row>
    <row r="1059" spans="3:4">
      <c r="C1059"/>
      <c r="D1059"/>
    </row>
    <row r="1060" spans="3:4">
      <c r="C1060"/>
      <c r="D1060"/>
    </row>
    <row r="1061" spans="3:4">
      <c r="C1061"/>
      <c r="D1061"/>
    </row>
    <row r="1062" spans="3:4">
      <c r="C1062"/>
      <c r="D1062"/>
    </row>
    <row r="1063" spans="3:4">
      <c r="C1063"/>
      <c r="D1063"/>
    </row>
    <row r="1064" spans="3:4">
      <c r="C1064"/>
      <c r="D1064"/>
    </row>
    <row r="1065" spans="3:4">
      <c r="C1065"/>
      <c r="D1065"/>
    </row>
    <row r="1066" spans="3:4">
      <c r="C1066"/>
      <c r="D1066"/>
    </row>
    <row r="1067" spans="3:4">
      <c r="C1067"/>
      <c r="D1067"/>
    </row>
    <row r="1068" spans="3:4">
      <c r="C1068"/>
      <c r="D1068"/>
    </row>
    <row r="1069" spans="3:4">
      <c r="C1069"/>
      <c r="D1069"/>
    </row>
    <row r="1070" spans="3:4">
      <c r="C1070"/>
      <c r="D1070"/>
    </row>
    <row r="1071" spans="3:4">
      <c r="C1071"/>
      <c r="D1071"/>
    </row>
    <row r="1072" spans="3:4">
      <c r="C1072"/>
      <c r="D1072"/>
    </row>
    <row r="1073" spans="3:4">
      <c r="C1073"/>
      <c r="D1073"/>
    </row>
    <row r="1074" spans="3:4">
      <c r="C1074"/>
      <c r="D1074"/>
    </row>
    <row r="1075" spans="3:4">
      <c r="C1075"/>
      <c r="D1075"/>
    </row>
    <row r="1076" spans="3:4">
      <c r="C1076"/>
      <c r="D1076"/>
    </row>
    <row r="1077" spans="3:4">
      <c r="C1077"/>
      <c r="D1077"/>
    </row>
    <row r="1078" spans="3:4">
      <c r="C1078"/>
      <c r="D1078"/>
    </row>
    <row r="1079" spans="3:4">
      <c r="C1079"/>
      <c r="D1079"/>
    </row>
    <row r="1080" spans="3:4">
      <c r="C1080"/>
      <c r="D1080"/>
    </row>
    <row r="1081" spans="3:4">
      <c r="C1081"/>
      <c r="D1081"/>
    </row>
    <row r="1082" spans="3:4">
      <c r="C1082"/>
      <c r="D1082"/>
    </row>
    <row r="1083" spans="3:4">
      <c r="C1083"/>
      <c r="D1083"/>
    </row>
    <row r="1084" spans="3:4">
      <c r="C1084"/>
      <c r="D1084"/>
    </row>
    <row r="1085" spans="3:4">
      <c r="C1085"/>
      <c r="D1085"/>
    </row>
    <row r="1086" spans="3:4">
      <c r="C1086"/>
      <c r="D1086"/>
    </row>
    <row r="1087" spans="3:4">
      <c r="C1087"/>
      <c r="D1087"/>
    </row>
    <row r="1088" spans="3:4">
      <c r="C1088"/>
      <c r="D1088"/>
    </row>
    <row r="1089" spans="3:4">
      <c r="C1089"/>
      <c r="D1089"/>
    </row>
    <row r="1090" spans="3:4">
      <c r="C1090"/>
      <c r="D1090"/>
    </row>
    <row r="1091" spans="3:4">
      <c r="C1091"/>
      <c r="D1091"/>
    </row>
    <row r="1092" spans="3:4">
      <c r="C1092"/>
      <c r="D1092"/>
    </row>
    <row r="1093" spans="3:4">
      <c r="C1093"/>
      <c r="D1093"/>
    </row>
    <row r="1094" spans="3:4">
      <c r="C1094"/>
      <c r="D1094"/>
    </row>
    <row r="1095" spans="3:4">
      <c r="C1095"/>
      <c r="D1095"/>
    </row>
    <row r="1096" spans="3:4">
      <c r="C1096"/>
      <c r="D1096"/>
    </row>
    <row r="1097" spans="3:4">
      <c r="C1097"/>
      <c r="D1097"/>
    </row>
    <row r="1098" spans="3:4">
      <c r="C1098"/>
      <c r="D1098"/>
    </row>
    <row r="1099" spans="3:4">
      <c r="C1099"/>
      <c r="D1099"/>
    </row>
    <row r="1100" spans="3:4">
      <c r="C1100"/>
      <c r="D1100"/>
    </row>
    <row r="1101" spans="3:4">
      <c r="C1101"/>
      <c r="D1101"/>
    </row>
    <row r="1102" spans="3:4">
      <c r="C1102"/>
      <c r="D1102"/>
    </row>
    <row r="1103" spans="3:4">
      <c r="C1103"/>
      <c r="D1103"/>
    </row>
    <row r="1104" spans="3:4">
      <c r="C1104"/>
      <c r="D1104"/>
    </row>
    <row r="1105" spans="3:4">
      <c r="C1105"/>
      <c r="D1105"/>
    </row>
    <row r="1106" spans="3:4">
      <c r="C1106"/>
      <c r="D1106"/>
    </row>
    <row r="1107" spans="3:4">
      <c r="C1107"/>
      <c r="D1107"/>
    </row>
    <row r="1108" spans="3:4">
      <c r="C1108"/>
      <c r="D1108"/>
    </row>
    <row r="1109" spans="3:4">
      <c r="C1109"/>
      <c r="D1109"/>
    </row>
    <row r="1110" spans="3:4">
      <c r="C1110"/>
      <c r="D1110"/>
    </row>
    <row r="1111" spans="3:4">
      <c r="C1111"/>
      <c r="D1111"/>
    </row>
    <row r="1112" spans="3:4">
      <c r="C1112"/>
      <c r="D1112"/>
    </row>
    <row r="1113" spans="3:4">
      <c r="C1113"/>
      <c r="D1113"/>
    </row>
    <row r="1114" spans="3:4">
      <c r="C1114"/>
      <c r="D1114"/>
    </row>
    <row r="1115" spans="3:4">
      <c r="C1115"/>
      <c r="D1115"/>
    </row>
    <row r="1116" spans="3:4">
      <c r="C1116"/>
      <c r="D1116"/>
    </row>
    <row r="1117" spans="3:4">
      <c r="C1117"/>
      <c r="D1117"/>
    </row>
    <row r="1118" spans="3:4">
      <c r="C1118"/>
      <c r="D1118"/>
    </row>
    <row r="1119" spans="3:4">
      <c r="C1119"/>
      <c r="D1119"/>
    </row>
    <row r="1120" spans="3:4">
      <c r="C1120"/>
      <c r="D1120"/>
    </row>
    <row r="1121" spans="3:4">
      <c r="C1121"/>
      <c r="D1121"/>
    </row>
    <row r="1122" spans="3:4">
      <c r="C1122"/>
      <c r="D1122"/>
    </row>
    <row r="1123" spans="3:4">
      <c r="C1123"/>
      <c r="D1123"/>
    </row>
    <row r="1124" spans="3:4">
      <c r="C1124"/>
      <c r="D1124"/>
    </row>
    <row r="1125" spans="3:4">
      <c r="C1125"/>
      <c r="D1125"/>
    </row>
    <row r="1126" spans="3:4">
      <c r="C1126"/>
      <c r="D1126"/>
    </row>
    <row r="1127" spans="3:4">
      <c r="C1127"/>
      <c r="D1127"/>
    </row>
    <row r="1128" spans="3:4">
      <c r="C1128"/>
      <c r="D1128"/>
    </row>
    <row r="1129" spans="3:4">
      <c r="C1129"/>
      <c r="D1129"/>
    </row>
    <row r="1130" spans="3:4">
      <c r="C1130"/>
      <c r="D1130"/>
    </row>
    <row r="1131" spans="3:4">
      <c r="C1131"/>
      <c r="D1131"/>
    </row>
    <row r="1132" spans="3:4">
      <c r="C1132"/>
      <c r="D1132"/>
    </row>
    <row r="1133" spans="3:4">
      <c r="C1133"/>
      <c r="D1133"/>
    </row>
    <row r="1134" spans="3:4">
      <c r="C1134"/>
      <c r="D1134"/>
    </row>
    <row r="1135" spans="3:4">
      <c r="C1135"/>
      <c r="D1135"/>
    </row>
    <row r="1136" spans="3:4">
      <c r="C1136"/>
      <c r="D1136"/>
    </row>
    <row r="1137" spans="3:4">
      <c r="C1137"/>
      <c r="D1137"/>
    </row>
    <row r="1138" spans="3:4">
      <c r="C1138"/>
      <c r="D1138"/>
    </row>
    <row r="1139" spans="3:4">
      <c r="C1139"/>
      <c r="D1139"/>
    </row>
    <row r="1140" spans="3:4">
      <c r="C1140"/>
      <c r="D1140"/>
    </row>
    <row r="1141" spans="3:4">
      <c r="C1141"/>
      <c r="D1141"/>
    </row>
    <row r="1142" spans="3:4">
      <c r="C1142"/>
      <c r="D1142"/>
    </row>
    <row r="1143" spans="3:4">
      <c r="C1143"/>
      <c r="D1143"/>
    </row>
    <row r="1144" spans="3:4">
      <c r="C1144"/>
      <c r="D1144"/>
    </row>
    <row r="1145" spans="3:4">
      <c r="C1145"/>
      <c r="D1145"/>
    </row>
    <row r="1146" spans="3:4">
      <c r="C1146"/>
      <c r="D1146"/>
    </row>
    <row r="1147" spans="3:4">
      <c r="C1147"/>
      <c r="D1147"/>
    </row>
    <row r="1148" spans="3:4">
      <c r="C1148"/>
      <c r="D1148"/>
    </row>
    <row r="1149" spans="3:4">
      <c r="C1149"/>
      <c r="D1149"/>
    </row>
    <row r="1150" spans="3:4">
      <c r="C1150"/>
      <c r="D1150"/>
    </row>
    <row r="1151" spans="3:4">
      <c r="C1151"/>
      <c r="D1151"/>
    </row>
    <row r="1152" spans="3:4">
      <c r="C1152"/>
      <c r="D1152"/>
    </row>
    <row r="1153" spans="3:4">
      <c r="C1153"/>
      <c r="D1153"/>
    </row>
    <row r="1154" spans="3:4">
      <c r="C1154"/>
      <c r="D1154"/>
    </row>
    <row r="1155" spans="3:4">
      <c r="C1155"/>
      <c r="D1155"/>
    </row>
    <row r="1156" spans="3:4">
      <c r="C1156"/>
      <c r="D1156"/>
    </row>
    <row r="1157" spans="3:4">
      <c r="C1157"/>
      <c r="D1157"/>
    </row>
    <row r="1158" spans="3:4">
      <c r="C1158"/>
      <c r="D1158"/>
    </row>
    <row r="1159" spans="3:4">
      <c r="C1159"/>
      <c r="D1159"/>
    </row>
    <row r="1160" spans="3:4">
      <c r="C1160"/>
      <c r="D1160"/>
    </row>
    <row r="1161" spans="3:4">
      <c r="C1161"/>
      <c r="D1161"/>
    </row>
    <row r="1162" spans="3:4">
      <c r="C1162"/>
      <c r="D1162"/>
    </row>
    <row r="1163" spans="3:4">
      <c r="C1163"/>
      <c r="D1163"/>
    </row>
    <row r="1164" spans="3:4">
      <c r="C1164"/>
      <c r="D1164"/>
    </row>
    <row r="1165" spans="3:4">
      <c r="C1165"/>
      <c r="D1165"/>
    </row>
    <row r="1166" spans="3:4">
      <c r="C1166"/>
      <c r="D1166"/>
    </row>
    <row r="1167" spans="3:4">
      <c r="C1167"/>
      <c r="D1167"/>
    </row>
    <row r="1168" spans="3:4">
      <c r="C1168"/>
      <c r="D1168"/>
    </row>
    <row r="1169" spans="3:4">
      <c r="C1169"/>
      <c r="D1169"/>
    </row>
    <row r="1170" spans="3:4">
      <c r="C1170"/>
      <c r="D1170"/>
    </row>
    <row r="1171" spans="3:4">
      <c r="C1171"/>
      <c r="D1171"/>
    </row>
    <row r="1172" spans="3:4">
      <c r="C1172"/>
      <c r="D1172"/>
    </row>
    <row r="1173" spans="3:4">
      <c r="C1173"/>
      <c r="D1173"/>
    </row>
    <row r="1174" spans="3:4">
      <c r="C1174"/>
      <c r="D1174"/>
    </row>
    <row r="1175" spans="3:4">
      <c r="C1175"/>
      <c r="D1175"/>
    </row>
    <row r="1176" spans="3:4">
      <c r="C1176"/>
      <c r="D1176"/>
    </row>
    <row r="1177" spans="3:4">
      <c r="C1177"/>
      <c r="D1177"/>
    </row>
    <row r="1178" spans="3:4">
      <c r="C1178"/>
      <c r="D1178"/>
    </row>
    <row r="1179" spans="3:4">
      <c r="C1179"/>
      <c r="D1179"/>
    </row>
    <row r="1180" spans="3:4">
      <c r="C1180"/>
      <c r="D1180"/>
    </row>
    <row r="1181" spans="3:4">
      <c r="C1181"/>
      <c r="D1181"/>
    </row>
    <row r="1182" spans="3:4">
      <c r="C1182"/>
      <c r="D1182"/>
    </row>
    <row r="1183" spans="3:4">
      <c r="C1183"/>
      <c r="D1183"/>
    </row>
    <row r="1184" spans="3:4">
      <c r="C1184"/>
      <c r="D1184"/>
    </row>
    <row r="1185" spans="3:4">
      <c r="C1185"/>
      <c r="D1185"/>
    </row>
    <row r="1186" spans="3:4">
      <c r="C1186"/>
      <c r="D1186"/>
    </row>
    <row r="1187" spans="3:4">
      <c r="C1187"/>
      <c r="D1187"/>
    </row>
    <row r="1188" spans="3:4">
      <c r="C1188"/>
      <c r="D1188"/>
    </row>
    <row r="1189" spans="3:4">
      <c r="C1189"/>
      <c r="D1189"/>
    </row>
    <row r="1190" spans="3:4">
      <c r="C1190"/>
      <c r="D1190"/>
    </row>
    <row r="1191" spans="3:4">
      <c r="C1191"/>
      <c r="D1191"/>
    </row>
    <row r="1192" spans="3:4">
      <c r="C1192"/>
      <c r="D1192"/>
    </row>
    <row r="1193" spans="3:4">
      <c r="C1193"/>
      <c r="D1193"/>
    </row>
    <row r="1194" spans="3:4">
      <c r="C1194"/>
      <c r="D1194"/>
    </row>
    <row r="1195" spans="3:4">
      <c r="C1195"/>
      <c r="D1195"/>
    </row>
    <row r="1196" spans="3:4">
      <c r="C1196"/>
      <c r="D1196"/>
    </row>
    <row r="1197" spans="3:4">
      <c r="C1197"/>
      <c r="D1197"/>
    </row>
    <row r="1198" spans="3:4">
      <c r="C1198"/>
      <c r="D1198"/>
    </row>
    <row r="1199" spans="3:4">
      <c r="C1199"/>
      <c r="D1199"/>
    </row>
    <row r="1200" spans="3:4">
      <c r="C1200"/>
      <c r="D1200"/>
    </row>
    <row r="1201" spans="3:4">
      <c r="C1201"/>
      <c r="D1201"/>
    </row>
    <row r="1202" spans="3:4">
      <c r="C1202"/>
      <c r="D1202"/>
    </row>
    <row r="1203" spans="3:4">
      <c r="C1203"/>
      <c r="D1203"/>
    </row>
    <row r="1204" spans="3:4">
      <c r="C1204"/>
      <c r="D1204"/>
    </row>
    <row r="1205" spans="3:4">
      <c r="C1205"/>
      <c r="D1205"/>
    </row>
    <row r="1206" spans="3:4">
      <c r="C1206"/>
      <c r="D1206"/>
    </row>
    <row r="1207" spans="3:4">
      <c r="C1207"/>
      <c r="D1207"/>
    </row>
    <row r="1208" spans="3:4">
      <c r="C1208"/>
      <c r="D1208"/>
    </row>
    <row r="1209" spans="3:4">
      <c r="C1209"/>
      <c r="D1209"/>
    </row>
    <row r="1210" spans="3:4">
      <c r="C1210"/>
      <c r="D1210"/>
    </row>
    <row r="1211" spans="3:4">
      <c r="C1211"/>
      <c r="D1211"/>
    </row>
    <row r="1212" spans="3:4">
      <c r="C1212"/>
      <c r="D1212"/>
    </row>
    <row r="1213" spans="3:4">
      <c r="C1213"/>
      <c r="D1213"/>
    </row>
    <row r="1214" spans="3:4">
      <c r="C1214"/>
      <c r="D1214"/>
    </row>
    <row r="1215" spans="3:4">
      <c r="C1215"/>
      <c r="D1215"/>
    </row>
    <row r="1216" spans="3:4">
      <c r="C1216"/>
      <c r="D1216"/>
    </row>
    <row r="1217" spans="3:4">
      <c r="C1217"/>
      <c r="D1217"/>
    </row>
    <row r="1218" spans="3:4">
      <c r="C1218"/>
      <c r="D1218"/>
    </row>
    <row r="1219" spans="3:4">
      <c r="C1219"/>
      <c r="D1219"/>
    </row>
    <row r="1220" spans="3:4">
      <c r="C1220"/>
      <c r="D1220"/>
    </row>
    <row r="1221" spans="3:4">
      <c r="C1221"/>
      <c r="D1221"/>
    </row>
    <row r="1222" spans="3:4">
      <c r="C1222"/>
      <c r="D1222"/>
    </row>
    <row r="1223" spans="3:4">
      <c r="C1223"/>
      <c r="D1223"/>
    </row>
    <row r="1224" spans="3:4">
      <c r="C1224"/>
      <c r="D1224"/>
    </row>
    <row r="1225" spans="3:4">
      <c r="C1225"/>
      <c r="D1225"/>
    </row>
    <row r="1226" spans="3:4">
      <c r="C1226"/>
      <c r="D1226"/>
    </row>
    <row r="1227" spans="3:4">
      <c r="C1227"/>
      <c r="D1227"/>
    </row>
    <row r="1228" spans="3:4">
      <c r="C1228"/>
      <c r="D1228"/>
    </row>
    <row r="1229" spans="3:4">
      <c r="C1229"/>
      <c r="D1229"/>
    </row>
    <row r="1230" spans="3:4">
      <c r="C1230"/>
      <c r="D1230"/>
    </row>
    <row r="1231" spans="3:4">
      <c r="C1231"/>
      <c r="D1231"/>
    </row>
    <row r="1232" spans="3:4">
      <c r="C1232"/>
      <c r="D1232"/>
    </row>
    <row r="1233" spans="3:4">
      <c r="C1233"/>
      <c r="D1233"/>
    </row>
    <row r="1234" spans="3:4">
      <c r="C1234"/>
      <c r="D1234"/>
    </row>
    <row r="1235" spans="3:4">
      <c r="C1235"/>
      <c r="D1235"/>
    </row>
    <row r="1236" spans="3:4">
      <c r="C1236"/>
      <c r="D1236"/>
    </row>
    <row r="1237" spans="3:4">
      <c r="C1237"/>
      <c r="D1237"/>
    </row>
    <row r="1238" spans="3:4">
      <c r="C1238"/>
      <c r="D1238"/>
    </row>
    <row r="1239" spans="3:4">
      <c r="C1239"/>
      <c r="D1239"/>
    </row>
    <row r="1240" spans="3:4">
      <c r="C1240"/>
      <c r="D1240"/>
    </row>
    <row r="1241" spans="3:4">
      <c r="C1241"/>
      <c r="D1241"/>
    </row>
    <row r="1242" spans="3:4">
      <c r="C1242"/>
      <c r="D1242"/>
    </row>
    <row r="1243" spans="3:4">
      <c r="C1243"/>
      <c r="D1243"/>
    </row>
    <row r="1244" spans="3:4">
      <c r="C1244"/>
      <c r="D1244"/>
    </row>
    <row r="1245" spans="3:4">
      <c r="C1245"/>
      <c r="D1245"/>
    </row>
    <row r="1246" spans="3:4">
      <c r="C1246"/>
      <c r="D1246"/>
    </row>
    <row r="1247" spans="3:4">
      <c r="C1247"/>
      <c r="D1247"/>
    </row>
    <row r="1248" spans="3:4">
      <c r="C1248"/>
      <c r="D1248"/>
    </row>
    <row r="1249" spans="3:4">
      <c r="C1249"/>
      <c r="D1249"/>
    </row>
    <row r="1250" spans="3:4">
      <c r="C1250"/>
      <c r="D1250"/>
    </row>
    <row r="1251" spans="3:4">
      <c r="C1251"/>
      <c r="D1251"/>
    </row>
    <row r="1252" spans="3:4">
      <c r="C1252"/>
      <c r="D1252"/>
    </row>
    <row r="1253" spans="3:4">
      <c r="C1253"/>
      <c r="D1253"/>
    </row>
    <row r="1254" spans="3:4">
      <c r="C1254"/>
      <c r="D1254"/>
    </row>
    <row r="1255" spans="3:4">
      <c r="C1255"/>
      <c r="D1255"/>
    </row>
    <row r="1256" spans="3:4">
      <c r="C1256"/>
      <c r="D1256"/>
    </row>
    <row r="1257" spans="3:4">
      <c r="C1257"/>
      <c r="D1257"/>
    </row>
    <row r="1258" spans="3:4">
      <c r="C1258"/>
      <c r="D1258"/>
    </row>
    <row r="1259" spans="3:4">
      <c r="C1259"/>
      <c r="D1259"/>
    </row>
    <row r="1260" spans="3:4">
      <c r="C1260"/>
      <c r="D1260"/>
    </row>
    <row r="1261" spans="3:4">
      <c r="C1261"/>
      <c r="D1261"/>
    </row>
    <row r="1262" spans="3:4">
      <c r="C1262"/>
      <c r="D1262"/>
    </row>
    <row r="1263" spans="3:4">
      <c r="C1263"/>
      <c r="D1263"/>
    </row>
    <row r="1264" spans="3:4">
      <c r="C1264"/>
      <c r="D1264"/>
    </row>
    <row r="1265" spans="3:4">
      <c r="C1265"/>
      <c r="D1265"/>
    </row>
    <row r="1266" spans="3:4">
      <c r="C1266"/>
      <c r="D1266"/>
    </row>
    <row r="1267" spans="3:4">
      <c r="C1267"/>
      <c r="D1267"/>
    </row>
    <row r="1268" spans="3:4">
      <c r="C1268"/>
      <c r="D1268"/>
    </row>
    <row r="1269" spans="3:4">
      <c r="C1269"/>
      <c r="D1269"/>
    </row>
    <row r="1270" spans="3:4">
      <c r="C1270"/>
      <c r="D1270"/>
    </row>
    <row r="1271" spans="3:4">
      <c r="C1271"/>
      <c r="D1271"/>
    </row>
    <row r="1272" spans="3:4">
      <c r="C1272"/>
      <c r="D1272"/>
    </row>
    <row r="1273" spans="3:4">
      <c r="C1273"/>
      <c r="D1273"/>
    </row>
    <row r="1274" spans="3:4">
      <c r="C1274"/>
      <c r="D1274"/>
    </row>
    <row r="1275" spans="3:4">
      <c r="C1275"/>
      <c r="D1275"/>
    </row>
    <row r="1276" spans="3:4">
      <c r="C1276"/>
      <c r="D1276"/>
    </row>
    <row r="1277" spans="3:4">
      <c r="C1277"/>
      <c r="D1277"/>
    </row>
    <row r="1278" spans="3:4">
      <c r="C1278"/>
      <c r="D1278"/>
    </row>
    <row r="1279" spans="3:4">
      <c r="C1279"/>
      <c r="D1279"/>
    </row>
    <row r="1280" spans="3:4">
      <c r="C1280"/>
      <c r="D1280"/>
    </row>
    <row r="1281" spans="3:4">
      <c r="C1281"/>
      <c r="D1281"/>
    </row>
    <row r="1282" spans="3:4">
      <c r="C1282"/>
      <c r="D1282"/>
    </row>
    <row r="1283" spans="3:4">
      <c r="C1283"/>
      <c r="D1283"/>
    </row>
    <row r="1284" spans="3:4">
      <c r="C1284"/>
      <c r="D1284"/>
    </row>
    <row r="1285" spans="3:4">
      <c r="C1285"/>
      <c r="D1285"/>
    </row>
    <row r="1286" spans="3:4">
      <c r="C1286"/>
      <c r="D1286"/>
    </row>
    <row r="1287" spans="3:4">
      <c r="C1287"/>
      <c r="D1287"/>
    </row>
    <row r="1288" spans="3:4">
      <c r="C1288"/>
      <c r="D1288"/>
    </row>
    <row r="1289" spans="3:4">
      <c r="C1289"/>
      <c r="D1289"/>
    </row>
    <row r="1290" spans="3:4">
      <c r="C1290"/>
      <c r="D1290"/>
    </row>
    <row r="1291" spans="3:4">
      <c r="C1291"/>
      <c r="D1291"/>
    </row>
    <row r="1292" spans="3:4">
      <c r="C1292"/>
      <c r="D1292"/>
    </row>
    <row r="1293" spans="3:4">
      <c r="C1293"/>
      <c r="D1293"/>
    </row>
    <row r="1294" spans="3:4">
      <c r="C1294"/>
      <c r="D1294"/>
    </row>
    <row r="1295" spans="3:4">
      <c r="C1295"/>
      <c r="D1295"/>
    </row>
    <row r="1296" spans="3:4">
      <c r="C1296"/>
      <c r="D1296"/>
    </row>
    <row r="1297" spans="3:4">
      <c r="C1297"/>
      <c r="D1297"/>
    </row>
    <row r="1298" spans="3:4">
      <c r="C1298"/>
      <c r="D1298"/>
    </row>
    <row r="1299" spans="3:4">
      <c r="C1299"/>
      <c r="D1299"/>
    </row>
    <row r="1300" spans="3:4">
      <c r="C1300"/>
      <c r="D1300"/>
    </row>
    <row r="1301" spans="3:4">
      <c r="C1301"/>
      <c r="D1301"/>
    </row>
    <row r="1302" spans="3:4">
      <c r="C1302"/>
      <c r="D1302"/>
    </row>
    <row r="1303" spans="3:4">
      <c r="C1303"/>
      <c r="D1303"/>
    </row>
    <row r="1304" spans="3:4">
      <c r="C1304"/>
      <c r="D1304"/>
    </row>
    <row r="1305" spans="3:4">
      <c r="C1305"/>
      <c r="D1305"/>
    </row>
    <row r="1306" spans="3:4">
      <c r="C1306"/>
      <c r="D1306"/>
    </row>
    <row r="1307" spans="3:4">
      <c r="C1307"/>
      <c r="D1307"/>
    </row>
    <row r="1308" spans="3:4">
      <c r="C1308"/>
      <c r="D1308"/>
    </row>
    <row r="1309" spans="3:4">
      <c r="C1309"/>
      <c r="D1309"/>
    </row>
    <row r="1310" spans="3:4">
      <c r="C1310"/>
      <c r="D1310"/>
    </row>
    <row r="1311" spans="3:4">
      <c r="C1311"/>
      <c r="D1311"/>
    </row>
    <row r="1312" spans="3:4">
      <c r="C1312"/>
      <c r="D1312"/>
    </row>
    <row r="1313" spans="3:4">
      <c r="C1313"/>
      <c r="D1313"/>
    </row>
    <row r="1314" spans="3:4">
      <c r="C1314"/>
      <c r="D1314"/>
    </row>
    <row r="1315" spans="3:4">
      <c r="C1315"/>
      <c r="D1315"/>
    </row>
    <row r="1316" spans="3:4">
      <c r="C1316"/>
      <c r="D1316"/>
    </row>
    <row r="1317" spans="3:4">
      <c r="C1317"/>
      <c r="D1317"/>
    </row>
    <row r="1318" spans="3:4">
      <c r="C1318"/>
      <c r="D1318"/>
    </row>
    <row r="1319" spans="3:4">
      <c r="C1319"/>
      <c r="D1319"/>
    </row>
    <row r="1320" spans="3:4">
      <c r="C1320"/>
      <c r="D1320"/>
    </row>
    <row r="1321" spans="3:4">
      <c r="C1321"/>
      <c r="D1321"/>
    </row>
    <row r="1322" spans="3:4">
      <c r="C1322"/>
      <c r="D1322"/>
    </row>
    <row r="1323" spans="3:4">
      <c r="C1323"/>
      <c r="D1323"/>
    </row>
    <row r="1324" spans="3:4">
      <c r="C1324"/>
      <c r="D1324"/>
    </row>
    <row r="1325" spans="3:4">
      <c r="C1325"/>
      <c r="D1325"/>
    </row>
    <row r="1326" spans="3:4">
      <c r="C1326"/>
      <c r="D1326"/>
    </row>
    <row r="1327" spans="3:4">
      <c r="C1327"/>
      <c r="D1327"/>
    </row>
    <row r="1328" spans="3:4">
      <c r="C1328"/>
      <c r="D1328"/>
    </row>
    <row r="1329" spans="3:4">
      <c r="C1329"/>
      <c r="D1329"/>
    </row>
    <row r="1330" spans="3:4">
      <c r="C1330"/>
      <c r="D1330"/>
    </row>
    <row r="1331" spans="3:4">
      <c r="C1331"/>
      <c r="D1331"/>
    </row>
    <row r="1332" spans="3:4">
      <c r="C1332"/>
      <c r="D1332"/>
    </row>
    <row r="1333" spans="3:4">
      <c r="C1333"/>
      <c r="D1333"/>
    </row>
    <row r="1334" spans="3:4">
      <c r="C1334"/>
      <c r="D1334"/>
    </row>
    <row r="1335" spans="3:4">
      <c r="C1335"/>
      <c r="D1335"/>
    </row>
    <row r="1336" spans="3:4">
      <c r="C1336"/>
      <c r="D1336"/>
    </row>
    <row r="1337" spans="3:4">
      <c r="C1337"/>
      <c r="D1337"/>
    </row>
    <row r="1338" spans="3:4">
      <c r="C1338"/>
      <c r="D1338"/>
    </row>
    <row r="1339" spans="3:4">
      <c r="C1339"/>
      <c r="D1339"/>
    </row>
    <row r="1340" spans="3:4">
      <c r="C1340"/>
      <c r="D1340"/>
    </row>
    <row r="1341" spans="3:4">
      <c r="C1341"/>
      <c r="D1341"/>
    </row>
    <row r="1342" spans="3:4">
      <c r="C1342"/>
      <c r="D1342"/>
    </row>
    <row r="1343" spans="3:4">
      <c r="C1343"/>
      <c r="D1343"/>
    </row>
    <row r="1344" spans="3:4">
      <c r="C1344"/>
      <c r="D1344"/>
    </row>
    <row r="1345" spans="3:4">
      <c r="C1345"/>
      <c r="D1345"/>
    </row>
    <row r="1346" spans="3:4">
      <c r="C1346"/>
      <c r="D1346"/>
    </row>
    <row r="1347" spans="3:4">
      <c r="C1347"/>
      <c r="D1347"/>
    </row>
    <row r="1348" spans="3:4">
      <c r="C1348"/>
      <c r="D1348"/>
    </row>
    <row r="1349" spans="3:4">
      <c r="C1349"/>
      <c r="D1349"/>
    </row>
    <row r="1350" spans="3:4">
      <c r="C1350"/>
      <c r="D1350"/>
    </row>
    <row r="1351" spans="3:4">
      <c r="C1351"/>
      <c r="D1351"/>
    </row>
    <row r="1352" spans="3:4">
      <c r="C1352"/>
      <c r="D1352"/>
    </row>
    <row r="1353" spans="3:4">
      <c r="C1353"/>
      <c r="D1353"/>
    </row>
    <row r="1354" spans="3:4">
      <c r="C1354"/>
      <c r="D1354"/>
    </row>
    <row r="1355" spans="3:4">
      <c r="C1355"/>
      <c r="D1355"/>
    </row>
    <row r="1356" spans="3:4">
      <c r="C1356"/>
      <c r="D1356"/>
    </row>
    <row r="1357" spans="3:4">
      <c r="C1357"/>
      <c r="D1357"/>
    </row>
    <row r="1358" spans="3:4">
      <c r="C1358"/>
      <c r="D1358"/>
    </row>
    <row r="1359" spans="3:4">
      <c r="C1359"/>
      <c r="D1359"/>
    </row>
    <row r="1360" spans="3:4">
      <c r="C1360"/>
      <c r="D1360"/>
    </row>
    <row r="1361" spans="3:4">
      <c r="C1361"/>
      <c r="D1361"/>
    </row>
    <row r="1362" spans="3:4">
      <c r="C1362"/>
      <c r="D1362"/>
    </row>
    <row r="1363" spans="3:4">
      <c r="C1363"/>
      <c r="D1363"/>
    </row>
    <row r="1364" spans="3:4">
      <c r="C1364"/>
      <c r="D1364"/>
    </row>
    <row r="1365" spans="3:4">
      <c r="C1365"/>
      <c r="D1365"/>
    </row>
    <row r="1366" spans="3:4">
      <c r="C1366"/>
      <c r="D1366"/>
    </row>
    <row r="1367" spans="3:4">
      <c r="C1367"/>
      <c r="D1367"/>
    </row>
    <row r="1368" spans="3:4">
      <c r="C1368"/>
      <c r="D1368"/>
    </row>
    <row r="1369" spans="3:4">
      <c r="C1369"/>
      <c r="D1369"/>
    </row>
    <row r="1370" spans="3:4">
      <c r="C1370"/>
      <c r="D1370"/>
    </row>
    <row r="1371" spans="3:4">
      <c r="C1371"/>
      <c r="D1371"/>
    </row>
    <row r="1372" spans="3:4">
      <c r="C1372"/>
      <c r="D1372"/>
    </row>
    <row r="1373" spans="3:4">
      <c r="C1373"/>
      <c r="D1373"/>
    </row>
    <row r="1374" spans="3:4">
      <c r="C1374"/>
      <c r="D1374"/>
    </row>
    <row r="1375" spans="3:4">
      <c r="C1375"/>
      <c r="D1375"/>
    </row>
    <row r="1376" spans="3:4">
      <c r="C1376"/>
      <c r="D1376"/>
    </row>
    <row r="1377" spans="3:4">
      <c r="C1377"/>
      <c r="D1377"/>
    </row>
    <row r="1378" spans="3:4">
      <c r="C1378"/>
      <c r="D1378"/>
    </row>
    <row r="1379" spans="3:4">
      <c r="C1379"/>
      <c r="D1379"/>
    </row>
    <row r="1380" spans="3:4">
      <c r="C1380"/>
      <c r="D1380"/>
    </row>
    <row r="1381" spans="3:4">
      <c r="C1381"/>
      <c r="D1381"/>
    </row>
    <row r="1382" spans="3:4">
      <c r="C1382"/>
      <c r="D1382"/>
    </row>
    <row r="1383" spans="3:4">
      <c r="C1383"/>
      <c r="D1383"/>
    </row>
    <row r="1384" spans="3:4">
      <c r="C1384"/>
      <c r="D1384"/>
    </row>
    <row r="1385" spans="3:4">
      <c r="C1385"/>
      <c r="D1385"/>
    </row>
    <row r="1386" spans="3:4">
      <c r="C1386"/>
      <c r="D1386"/>
    </row>
    <row r="1387" spans="3:4">
      <c r="C1387"/>
      <c r="D1387"/>
    </row>
    <row r="1388" spans="3:4">
      <c r="C1388"/>
      <c r="D1388"/>
    </row>
    <row r="1389" spans="3:4">
      <c r="C1389"/>
      <c r="D1389"/>
    </row>
    <row r="1390" spans="3:4">
      <c r="C1390"/>
      <c r="D1390"/>
    </row>
    <row r="1391" spans="3:4">
      <c r="C1391"/>
      <c r="D1391"/>
    </row>
    <row r="1392" spans="3:4">
      <c r="C1392"/>
      <c r="D1392"/>
    </row>
    <row r="1393" spans="3:4">
      <c r="C1393"/>
      <c r="D1393"/>
    </row>
    <row r="1394" spans="3:4">
      <c r="C1394"/>
      <c r="D1394"/>
    </row>
    <row r="1395" spans="3:4">
      <c r="C1395"/>
      <c r="D1395"/>
    </row>
    <row r="1396" spans="3:4">
      <c r="C1396"/>
      <c r="D1396"/>
    </row>
    <row r="1397" spans="3:4">
      <c r="C1397"/>
      <c r="D1397"/>
    </row>
    <row r="1398" spans="3:4">
      <c r="C1398"/>
      <c r="D1398"/>
    </row>
    <row r="1399" spans="3:4">
      <c r="C1399"/>
      <c r="D1399"/>
    </row>
    <row r="1400" spans="3:4">
      <c r="C1400"/>
      <c r="D1400"/>
    </row>
    <row r="1401" spans="3:4">
      <c r="C1401"/>
      <c r="D1401"/>
    </row>
    <row r="1402" spans="3:4">
      <c r="C1402"/>
      <c r="D1402"/>
    </row>
    <row r="1403" spans="3:4">
      <c r="C1403"/>
      <c r="D1403"/>
    </row>
    <row r="1404" spans="3:4">
      <c r="C1404"/>
      <c r="D1404"/>
    </row>
    <row r="1405" spans="3:4">
      <c r="C1405"/>
      <c r="D1405"/>
    </row>
    <row r="1406" spans="3:4">
      <c r="C1406"/>
      <c r="D1406"/>
    </row>
    <row r="1407" spans="3:4">
      <c r="C1407"/>
      <c r="D1407"/>
    </row>
    <row r="1408" spans="3:4">
      <c r="C1408"/>
      <c r="D1408"/>
    </row>
    <row r="1409" spans="3:4">
      <c r="C1409"/>
      <c r="D1409"/>
    </row>
    <row r="1410" spans="3:4">
      <c r="C1410"/>
      <c r="D1410"/>
    </row>
    <row r="1411" spans="3:4">
      <c r="C1411"/>
      <c r="D1411"/>
    </row>
    <row r="1412" spans="3:4">
      <c r="C1412"/>
      <c r="D1412"/>
    </row>
    <row r="1413" spans="3:4">
      <c r="C1413"/>
      <c r="D1413"/>
    </row>
    <row r="1414" spans="3:4">
      <c r="C1414"/>
      <c r="D1414"/>
    </row>
    <row r="1415" spans="3:4">
      <c r="C1415"/>
      <c r="D1415"/>
    </row>
    <row r="1416" spans="3:4">
      <c r="C1416"/>
      <c r="D1416"/>
    </row>
    <row r="1417" spans="3:4">
      <c r="C1417"/>
      <c r="D1417"/>
    </row>
    <row r="1418" spans="3:4">
      <c r="C1418"/>
      <c r="D1418"/>
    </row>
    <row r="1419" spans="3:4">
      <c r="C1419"/>
      <c r="D1419"/>
    </row>
    <row r="1420" spans="3:4">
      <c r="C1420"/>
      <c r="D1420"/>
    </row>
    <row r="1421" spans="3:4">
      <c r="C1421"/>
      <c r="D1421"/>
    </row>
    <row r="1422" spans="3:4">
      <c r="C1422"/>
      <c r="D1422"/>
    </row>
    <row r="1423" spans="3:4">
      <c r="C1423"/>
      <c r="D1423"/>
    </row>
    <row r="1424" spans="3:4">
      <c r="C1424"/>
      <c r="D1424"/>
    </row>
    <row r="1425" spans="3:4">
      <c r="C1425"/>
      <c r="D1425"/>
    </row>
    <row r="1426" spans="3:4">
      <c r="C1426"/>
      <c r="D1426"/>
    </row>
    <row r="1427" spans="3:4">
      <c r="C1427"/>
      <c r="D1427"/>
    </row>
    <row r="1428" spans="3:4">
      <c r="C1428"/>
      <c r="D1428"/>
    </row>
    <row r="1429" spans="3:4">
      <c r="C1429"/>
      <c r="D1429"/>
    </row>
    <row r="1430" spans="3:4">
      <c r="C1430"/>
      <c r="D1430"/>
    </row>
    <row r="1431" spans="3:4">
      <c r="C1431"/>
      <c r="D1431"/>
    </row>
    <row r="1432" spans="3:4">
      <c r="C1432"/>
      <c r="D1432"/>
    </row>
    <row r="1433" spans="3:4">
      <c r="C1433"/>
      <c r="D1433"/>
    </row>
    <row r="1434" spans="3:4">
      <c r="C1434"/>
      <c r="D1434"/>
    </row>
    <row r="1435" spans="3:4">
      <c r="C1435"/>
      <c r="D1435"/>
    </row>
    <row r="1436" spans="3:4">
      <c r="C1436"/>
      <c r="D1436"/>
    </row>
    <row r="1437" spans="3:4">
      <c r="C1437"/>
      <c r="D1437"/>
    </row>
    <row r="1438" spans="3:4">
      <c r="C1438"/>
      <c r="D1438"/>
    </row>
    <row r="1439" spans="3:4">
      <c r="C1439"/>
      <c r="D1439"/>
    </row>
    <row r="1440" spans="3:4">
      <c r="C1440"/>
      <c r="D1440"/>
    </row>
    <row r="1441" spans="3:4">
      <c r="C1441"/>
      <c r="D1441"/>
    </row>
    <row r="1442" spans="3:4">
      <c r="C1442"/>
      <c r="D1442"/>
    </row>
    <row r="1443" spans="3:4">
      <c r="C1443"/>
      <c r="D1443"/>
    </row>
    <row r="1444" spans="3:4">
      <c r="C1444"/>
      <c r="D1444"/>
    </row>
    <row r="1445" spans="3:4">
      <c r="C1445"/>
      <c r="D1445"/>
    </row>
    <row r="1446" spans="3:4">
      <c r="C1446"/>
      <c r="D1446"/>
    </row>
    <row r="1447" spans="3:4">
      <c r="C1447"/>
      <c r="D1447"/>
    </row>
    <row r="1448" spans="3:4">
      <c r="C1448"/>
      <c r="D1448"/>
    </row>
    <row r="1449" spans="3:4">
      <c r="C1449"/>
      <c r="D1449"/>
    </row>
    <row r="1450" spans="3:4">
      <c r="C1450"/>
      <c r="D1450"/>
    </row>
    <row r="1451" spans="3:4">
      <c r="C1451"/>
      <c r="D1451"/>
    </row>
    <row r="1452" spans="3:4">
      <c r="C1452"/>
      <c r="D1452"/>
    </row>
    <row r="1453" spans="3:4">
      <c r="C1453"/>
      <c r="D1453"/>
    </row>
    <row r="1454" spans="3:4">
      <c r="C1454"/>
      <c r="D1454"/>
    </row>
    <row r="1455" spans="3:4">
      <c r="C1455"/>
      <c r="D1455"/>
    </row>
    <row r="1456" spans="3:4">
      <c r="C1456"/>
      <c r="D1456"/>
    </row>
    <row r="1457" spans="3:4">
      <c r="C1457"/>
      <c r="D1457"/>
    </row>
    <row r="1458" spans="3:4">
      <c r="C1458"/>
      <c r="D1458"/>
    </row>
    <row r="1459" spans="3:4">
      <c r="C1459"/>
      <c r="D1459"/>
    </row>
    <row r="1460" spans="3:4">
      <c r="C1460"/>
      <c r="D1460"/>
    </row>
    <row r="1461" spans="3:4">
      <c r="C1461"/>
      <c r="D1461"/>
    </row>
    <row r="1462" spans="3:4">
      <c r="C1462"/>
      <c r="D1462"/>
    </row>
    <row r="1463" spans="3:4">
      <c r="C1463"/>
      <c r="D1463"/>
    </row>
    <row r="1464" spans="3:4">
      <c r="C1464"/>
      <c r="D1464"/>
    </row>
    <row r="1465" spans="3:4">
      <c r="C1465"/>
      <c r="D1465"/>
    </row>
    <row r="1466" spans="3:4">
      <c r="C1466"/>
      <c r="D1466"/>
    </row>
    <row r="1467" spans="3:4">
      <c r="C1467"/>
      <c r="D1467"/>
    </row>
    <row r="1468" spans="3:4">
      <c r="C1468"/>
      <c r="D1468"/>
    </row>
    <row r="1469" spans="3:4">
      <c r="C1469"/>
      <c r="D1469"/>
    </row>
    <row r="1470" spans="3:4">
      <c r="C1470"/>
      <c r="D1470"/>
    </row>
    <row r="1471" spans="3:4">
      <c r="C1471"/>
      <c r="D1471"/>
    </row>
    <row r="1472" spans="3:4">
      <c r="C1472"/>
      <c r="D1472"/>
    </row>
    <row r="1473" spans="3:4">
      <c r="C1473"/>
      <c r="D1473"/>
    </row>
    <row r="1474" spans="3:4">
      <c r="C1474"/>
      <c r="D1474"/>
    </row>
    <row r="1475" spans="3:4">
      <c r="C1475"/>
      <c r="D1475"/>
    </row>
    <row r="1476" spans="3:4">
      <c r="C1476"/>
      <c r="D1476"/>
    </row>
    <row r="1477" spans="3:4">
      <c r="C1477"/>
      <c r="D1477"/>
    </row>
    <row r="1478" spans="3:4">
      <c r="C1478"/>
      <c r="D1478"/>
    </row>
    <row r="1479" spans="3:4">
      <c r="C1479"/>
      <c r="D1479"/>
    </row>
    <row r="1480" spans="3:4">
      <c r="C1480"/>
      <c r="D1480"/>
    </row>
    <row r="1481" spans="3:4">
      <c r="C1481"/>
      <c r="D1481"/>
    </row>
    <row r="1482" spans="3:4">
      <c r="C1482"/>
      <c r="D1482"/>
    </row>
    <row r="1483" spans="3:4">
      <c r="C1483"/>
      <c r="D1483"/>
    </row>
    <row r="1484" spans="3:4">
      <c r="C1484"/>
      <c r="D1484"/>
    </row>
    <row r="1485" spans="3:4">
      <c r="C1485"/>
      <c r="D1485"/>
    </row>
    <row r="1486" spans="3:4">
      <c r="C1486"/>
      <c r="D1486"/>
    </row>
    <row r="1487" spans="3:4">
      <c r="C1487"/>
      <c r="D1487"/>
    </row>
    <row r="1488" spans="3:4">
      <c r="C1488"/>
      <c r="D1488"/>
    </row>
    <row r="1489" spans="3:4">
      <c r="C1489"/>
      <c r="D1489"/>
    </row>
    <row r="1490" spans="3:4">
      <c r="C1490"/>
      <c r="D1490"/>
    </row>
    <row r="1491" spans="3:4">
      <c r="C1491"/>
      <c r="D1491"/>
    </row>
    <row r="1492" spans="3:4">
      <c r="C1492"/>
      <c r="D1492"/>
    </row>
    <row r="1493" spans="3:4">
      <c r="C1493"/>
      <c r="D1493"/>
    </row>
    <row r="1494" spans="3:4">
      <c r="C1494"/>
      <c r="D1494"/>
    </row>
    <row r="1495" spans="3:4">
      <c r="C1495"/>
      <c r="D1495"/>
    </row>
    <row r="1496" spans="3:4">
      <c r="C1496"/>
      <c r="D1496"/>
    </row>
    <row r="1497" spans="3:4">
      <c r="C1497"/>
      <c r="D1497"/>
    </row>
    <row r="1498" spans="3:4">
      <c r="C1498"/>
      <c r="D1498"/>
    </row>
    <row r="1499" spans="3:4">
      <c r="C1499"/>
      <c r="D1499"/>
    </row>
    <row r="1500" spans="3:4">
      <c r="C1500"/>
      <c r="D1500"/>
    </row>
    <row r="1501" spans="3:4">
      <c r="C1501"/>
      <c r="D1501"/>
    </row>
    <row r="1502" spans="3:4">
      <c r="C1502"/>
      <c r="D1502"/>
    </row>
    <row r="1503" spans="3:4">
      <c r="C1503"/>
      <c r="D1503"/>
    </row>
    <row r="1504" spans="3:4">
      <c r="C1504"/>
      <c r="D1504"/>
    </row>
    <row r="1505" spans="3:4">
      <c r="C1505"/>
      <c r="D1505"/>
    </row>
    <row r="1506" spans="3:4">
      <c r="C1506"/>
      <c r="D1506"/>
    </row>
    <row r="1507" spans="3:4">
      <c r="C1507"/>
      <c r="D1507"/>
    </row>
    <row r="1508" spans="3:4">
      <c r="C1508"/>
      <c r="D1508"/>
    </row>
    <row r="1509" spans="3:4">
      <c r="C1509"/>
      <c r="D1509"/>
    </row>
    <row r="1510" spans="3:4">
      <c r="C1510"/>
      <c r="D1510"/>
    </row>
    <row r="1511" spans="3:4">
      <c r="C1511"/>
      <c r="D1511"/>
    </row>
    <row r="1512" spans="3:4">
      <c r="C1512"/>
      <c r="D1512"/>
    </row>
    <row r="1513" spans="3:4">
      <c r="C1513"/>
      <c r="D1513"/>
    </row>
    <row r="1514" spans="3:4">
      <c r="C1514"/>
      <c r="D1514"/>
    </row>
    <row r="1515" spans="3:4">
      <c r="C1515"/>
      <c r="D1515"/>
    </row>
    <row r="1516" spans="3:4">
      <c r="C1516"/>
      <c r="D1516"/>
    </row>
    <row r="1517" spans="3:4">
      <c r="C1517"/>
      <c r="D1517"/>
    </row>
    <row r="1518" spans="3:4">
      <c r="C1518"/>
      <c r="D1518"/>
    </row>
    <row r="1519" spans="3:4">
      <c r="C1519"/>
      <c r="D1519"/>
    </row>
    <row r="1520" spans="3:4">
      <c r="C1520"/>
      <c r="D1520"/>
    </row>
    <row r="1521" spans="3:4">
      <c r="C1521"/>
      <c r="D1521"/>
    </row>
    <row r="1522" spans="3:4">
      <c r="C1522"/>
      <c r="D1522"/>
    </row>
    <row r="1523" spans="3:4">
      <c r="C1523"/>
      <c r="D1523"/>
    </row>
    <row r="1524" spans="3:4">
      <c r="C1524"/>
      <c r="D1524"/>
    </row>
    <row r="1525" spans="3:4">
      <c r="C1525"/>
      <c r="D1525"/>
    </row>
    <row r="1526" spans="3:4">
      <c r="C1526"/>
      <c r="D1526"/>
    </row>
    <row r="1527" spans="3:4">
      <c r="C1527"/>
      <c r="D1527"/>
    </row>
    <row r="1528" spans="3:4">
      <c r="C1528"/>
      <c r="D1528"/>
    </row>
    <row r="1529" spans="3:4">
      <c r="C1529"/>
      <c r="D1529"/>
    </row>
    <row r="1530" spans="3:4">
      <c r="C1530"/>
      <c r="D1530"/>
    </row>
    <row r="1531" spans="3:4">
      <c r="C1531"/>
      <c r="D1531"/>
    </row>
    <row r="1532" spans="3:4">
      <c r="C1532"/>
      <c r="D1532"/>
    </row>
    <row r="1533" spans="3:4">
      <c r="C1533"/>
      <c r="D1533"/>
    </row>
    <row r="1534" spans="3:4">
      <c r="C1534"/>
      <c r="D1534"/>
    </row>
    <row r="1535" spans="3:4">
      <c r="C1535"/>
      <c r="D1535"/>
    </row>
    <row r="1536" spans="3:4">
      <c r="C1536"/>
      <c r="D1536"/>
    </row>
    <row r="1537" spans="3:4">
      <c r="C1537"/>
      <c r="D1537"/>
    </row>
    <row r="1538" spans="3:4">
      <c r="C1538"/>
      <c r="D1538"/>
    </row>
    <row r="1539" spans="3:4">
      <c r="C1539"/>
      <c r="D1539"/>
    </row>
    <row r="1540" spans="3:4">
      <c r="C1540"/>
      <c r="D1540"/>
    </row>
    <row r="1541" spans="3:4">
      <c r="C1541"/>
      <c r="D1541"/>
    </row>
    <row r="1542" spans="3:4">
      <c r="C1542"/>
      <c r="D1542"/>
    </row>
    <row r="1543" spans="3:4">
      <c r="C1543"/>
      <c r="D1543"/>
    </row>
    <row r="1544" spans="3:4">
      <c r="C1544"/>
      <c r="D1544"/>
    </row>
    <row r="1545" spans="3:4">
      <c r="C1545"/>
      <c r="D1545"/>
    </row>
    <row r="1546" spans="3:4">
      <c r="C1546"/>
      <c r="D1546"/>
    </row>
    <row r="1547" spans="3:4">
      <c r="C1547"/>
      <c r="D1547"/>
    </row>
    <row r="1548" spans="3:4">
      <c r="C1548"/>
      <c r="D1548"/>
    </row>
    <row r="1549" spans="3:4">
      <c r="C1549"/>
      <c r="D1549"/>
    </row>
    <row r="1550" spans="3:4">
      <c r="C1550"/>
      <c r="D1550"/>
    </row>
    <row r="1551" spans="3:4">
      <c r="C1551"/>
      <c r="D1551"/>
    </row>
    <row r="1552" spans="3:4">
      <c r="C1552"/>
      <c r="D1552"/>
    </row>
    <row r="1553" spans="3:4">
      <c r="C1553"/>
      <c r="D1553"/>
    </row>
    <row r="1554" spans="3:4">
      <c r="C1554"/>
      <c r="D1554"/>
    </row>
    <row r="1555" spans="3:4">
      <c r="C1555"/>
      <c r="D1555"/>
    </row>
    <row r="1556" spans="3:4">
      <c r="C1556"/>
      <c r="D1556"/>
    </row>
    <row r="1557" spans="3:4">
      <c r="C1557"/>
      <c r="D1557"/>
    </row>
    <row r="1558" spans="3:4">
      <c r="C1558"/>
      <c r="D1558"/>
    </row>
    <row r="1559" spans="3:4">
      <c r="C1559"/>
      <c r="D1559"/>
    </row>
    <row r="1560" spans="3:4">
      <c r="C1560"/>
      <c r="D1560"/>
    </row>
    <row r="1561" spans="3:4">
      <c r="C1561"/>
      <c r="D1561"/>
    </row>
    <row r="1562" spans="3:4">
      <c r="C1562"/>
      <c r="D1562"/>
    </row>
    <row r="1563" spans="3:4">
      <c r="C1563"/>
      <c r="D1563"/>
    </row>
  </sheetData>
  <pageMargins left="0.7" right="0.7" top="0.75" bottom="0.75" header="0.3" footer="0.3"/>
  <headerFooter>
    <oddFooter>&amp;C_x000D_&amp;1#&amp;"Calibri"&amp;10&amp;K000000 Internal</oddFooter>
  </headerFooter>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F988"/>
  <sheetViews>
    <sheetView showGridLines="0" zoomScale="115" zoomScaleNormal="115" workbookViewId="0">
      <pane xSplit="1" ySplit="2" topLeftCell="B3" activePane="bottomRight" state="frozen"/>
      <selection pane="topRight" activeCell="B1" sqref="B1"/>
      <selection pane="bottomLeft" activeCell="A3" sqref="A3"/>
      <selection pane="bottomRight" activeCell="Z4" sqref="Z4:Z25"/>
    </sheetView>
  </sheetViews>
  <sheetFormatPr defaultColWidth="11.42578125" defaultRowHeight="12.75"/>
  <cols>
    <col min="1" max="1" width="3.42578125" style="1" customWidth="1"/>
    <col min="2" max="17" width="14.5703125" style="1" customWidth="1"/>
    <col min="18" max="20" width="15.5703125" style="1" bestFit="1" customWidth="1"/>
    <col min="21" max="23" width="15.5703125" style="1" customWidth="1"/>
    <col min="24" max="24" width="16.7109375" style="1" customWidth="1"/>
    <col min="25" max="25" width="17.42578125" style="1" customWidth="1"/>
    <col min="26" max="26" width="15.28515625" style="1" customWidth="1"/>
    <col min="27" max="27" width="15.42578125" style="1" bestFit="1" customWidth="1"/>
    <col min="28" max="28" width="18.28515625" style="1" customWidth="1"/>
    <col min="29" max="30" width="11.42578125" style="1"/>
    <col min="31" max="31" width="5.7109375" style="1" customWidth="1"/>
    <col min="32" max="16384" width="11.42578125" style="1"/>
  </cols>
  <sheetData>
    <row r="1" spans="2:32" ht="33" customHeight="1">
      <c r="B1" s="103" t="s">
        <v>49</v>
      </c>
    </row>
    <row r="2" spans="2:32" ht="51">
      <c r="B2" s="104" t="s">
        <v>88</v>
      </c>
      <c r="C2" s="104" t="s">
        <v>91</v>
      </c>
      <c r="D2" s="104" t="s">
        <v>89</v>
      </c>
      <c r="E2" s="104" t="s">
        <v>92</v>
      </c>
      <c r="F2" s="104" t="s">
        <v>124</v>
      </c>
      <c r="G2" s="104" t="s">
        <v>123</v>
      </c>
      <c r="H2" s="104" t="s">
        <v>118</v>
      </c>
      <c r="I2" s="104" t="s">
        <v>133</v>
      </c>
      <c r="J2" s="104" t="s">
        <v>4679</v>
      </c>
      <c r="K2" s="104" t="s">
        <v>90</v>
      </c>
      <c r="L2" s="104" t="s">
        <v>94</v>
      </c>
      <c r="M2" s="104" t="s">
        <v>114</v>
      </c>
      <c r="N2" s="104" t="s">
        <v>128</v>
      </c>
      <c r="O2" s="104" t="s">
        <v>129</v>
      </c>
      <c r="P2" s="104" t="s">
        <v>120</v>
      </c>
      <c r="Q2" s="104" t="s">
        <v>93</v>
      </c>
      <c r="R2" s="104" t="s">
        <v>121</v>
      </c>
      <c r="S2" s="104" t="s">
        <v>130</v>
      </c>
      <c r="T2" s="104" t="s">
        <v>116</v>
      </c>
      <c r="U2" s="104" t="s">
        <v>117</v>
      </c>
      <c r="V2" s="104" t="s">
        <v>4427</v>
      </c>
      <c r="W2" s="104" t="s">
        <v>122</v>
      </c>
      <c r="X2" s="2" t="s">
        <v>48</v>
      </c>
      <c r="AF2" s="98"/>
    </row>
    <row r="3" spans="2:32">
      <c r="B3" s="10">
        <v>44197</v>
      </c>
      <c r="C3" s="10">
        <v>44197</v>
      </c>
      <c r="D3" s="10">
        <v>44197</v>
      </c>
      <c r="E3" s="10">
        <v>44197</v>
      </c>
      <c r="F3" s="10">
        <v>44197</v>
      </c>
      <c r="G3" s="10">
        <v>44197</v>
      </c>
      <c r="H3" s="110">
        <v>44682</v>
      </c>
      <c r="I3" s="110">
        <v>45413</v>
      </c>
      <c r="J3" s="10">
        <v>46115</v>
      </c>
      <c r="K3" s="10">
        <v>44197</v>
      </c>
      <c r="L3" s="10">
        <v>44197</v>
      </c>
      <c r="M3" s="10">
        <v>44197</v>
      </c>
      <c r="N3" s="10">
        <v>44197</v>
      </c>
      <c r="O3" s="10">
        <v>44197</v>
      </c>
      <c r="P3" s="10">
        <v>44197</v>
      </c>
      <c r="Q3" s="10">
        <v>44197</v>
      </c>
      <c r="R3" s="10">
        <v>44288</v>
      </c>
      <c r="S3" s="10">
        <v>44481</v>
      </c>
      <c r="T3" s="10">
        <v>44481</v>
      </c>
      <c r="U3" s="10">
        <v>44481</v>
      </c>
      <c r="V3" s="110">
        <v>46023</v>
      </c>
      <c r="W3" s="10">
        <v>44927</v>
      </c>
      <c r="X3" s="102" t="s">
        <v>114</v>
      </c>
      <c r="Y3" s="102" t="s">
        <v>129</v>
      </c>
      <c r="Z3" s="102"/>
      <c r="AA3" s="102"/>
      <c r="AB3" s="102"/>
      <c r="AC3" s="102"/>
      <c r="AD3" s="102"/>
    </row>
    <row r="4" spans="2:32">
      <c r="B4" s="10">
        <v>44263</v>
      </c>
      <c r="C4" s="10">
        <v>44288</v>
      </c>
      <c r="D4" s="10">
        <v>44288</v>
      </c>
      <c r="E4" s="10">
        <v>44202</v>
      </c>
      <c r="F4" s="10">
        <v>44288</v>
      </c>
      <c r="G4" s="10">
        <v>44202</v>
      </c>
      <c r="H4" s="110">
        <v>44707</v>
      </c>
      <c r="I4" s="110">
        <v>45421</v>
      </c>
      <c r="J4" s="10">
        <v>46126</v>
      </c>
      <c r="K4" s="10">
        <v>44288</v>
      </c>
      <c r="L4" s="10">
        <v>44291</v>
      </c>
      <c r="M4" s="10">
        <v>44238</v>
      </c>
      <c r="N4" s="10">
        <v>44214</v>
      </c>
      <c r="O4" s="10">
        <v>44270</v>
      </c>
      <c r="P4" s="10">
        <v>44242</v>
      </c>
      <c r="Q4" s="10">
        <v>44202</v>
      </c>
      <c r="R4" s="10">
        <v>44291</v>
      </c>
      <c r="S4" s="10">
        <v>44501</v>
      </c>
      <c r="T4" s="10">
        <v>44501</v>
      </c>
      <c r="U4" s="10">
        <v>44501</v>
      </c>
      <c r="V4" s="110">
        <v>46028</v>
      </c>
      <c r="W4" s="10">
        <v>45023</v>
      </c>
      <c r="X4" s="10">
        <v>44234</v>
      </c>
      <c r="Y4" s="10">
        <v>44646</v>
      </c>
      <c r="Z4" s="10"/>
      <c r="AA4" s="10"/>
      <c r="AB4" s="10"/>
      <c r="AC4" s="10"/>
      <c r="AD4" s="10"/>
    </row>
    <row r="5" spans="2:32">
      <c r="B5" s="10">
        <v>44288</v>
      </c>
      <c r="C5" s="10">
        <v>44291</v>
      </c>
      <c r="D5" s="10">
        <v>44291</v>
      </c>
      <c r="E5" s="10">
        <v>44288</v>
      </c>
      <c r="F5" s="10">
        <v>44291</v>
      </c>
      <c r="G5" s="10">
        <v>44288</v>
      </c>
      <c r="H5" s="110">
        <v>44718</v>
      </c>
      <c r="I5" s="110">
        <v>45431</v>
      </c>
      <c r="J5" s="10">
        <v>46143</v>
      </c>
      <c r="K5" s="10">
        <v>44291</v>
      </c>
      <c r="L5" s="10">
        <v>44317</v>
      </c>
      <c r="M5" s="10">
        <v>44239</v>
      </c>
      <c r="N5" s="10">
        <v>44288</v>
      </c>
      <c r="O5" s="10">
        <v>44288</v>
      </c>
      <c r="P5" s="10">
        <v>44243</v>
      </c>
      <c r="Q5" s="10">
        <v>44291</v>
      </c>
      <c r="R5" s="10">
        <v>44317</v>
      </c>
      <c r="S5" s="10">
        <v>44536</v>
      </c>
      <c r="T5" s="10">
        <v>44536</v>
      </c>
      <c r="U5" s="10">
        <v>44536</v>
      </c>
      <c r="V5" s="110">
        <v>46115</v>
      </c>
      <c r="W5" s="10">
        <v>45026</v>
      </c>
      <c r="X5" s="10">
        <v>44247</v>
      </c>
      <c r="Y5" s="10">
        <v>44849</v>
      </c>
      <c r="Z5" s="10"/>
      <c r="AA5" s="10"/>
      <c r="AB5" s="10"/>
      <c r="AC5" s="10"/>
      <c r="AD5" s="10"/>
    </row>
    <row r="6" spans="2:32">
      <c r="B6" s="10">
        <v>44291</v>
      </c>
      <c r="C6" s="10">
        <v>44317</v>
      </c>
      <c r="D6" s="10">
        <v>44317</v>
      </c>
      <c r="E6" s="10">
        <v>44291</v>
      </c>
      <c r="F6" s="10">
        <v>44317</v>
      </c>
      <c r="G6" s="10">
        <v>44291</v>
      </c>
      <c r="H6" s="110">
        <v>44728</v>
      </c>
      <c r="I6" s="110">
        <v>45432</v>
      </c>
      <c r="J6" s="10">
        <v>46169</v>
      </c>
      <c r="K6" s="10">
        <v>44317</v>
      </c>
      <c r="L6" s="10">
        <v>44329</v>
      </c>
      <c r="M6" s="10">
        <v>44242</v>
      </c>
      <c r="N6" s="10">
        <v>44291</v>
      </c>
      <c r="O6" s="10">
        <v>44291</v>
      </c>
      <c r="P6" s="10">
        <v>44288</v>
      </c>
      <c r="Q6" s="10">
        <v>44317</v>
      </c>
      <c r="R6" s="10">
        <v>44324</v>
      </c>
      <c r="S6" s="10">
        <v>44538</v>
      </c>
      <c r="T6" s="10">
        <v>44538</v>
      </c>
      <c r="U6" s="10">
        <v>44538</v>
      </c>
      <c r="V6" s="110">
        <v>46143</v>
      </c>
      <c r="W6" s="10">
        <v>45047</v>
      </c>
      <c r="X6" s="10">
        <v>44311</v>
      </c>
      <c r="Y6" s="110">
        <v>45507</v>
      </c>
      <c r="Z6" s="10"/>
      <c r="AA6" s="10"/>
      <c r="AB6" s="10"/>
      <c r="AC6" s="10"/>
      <c r="AD6" s="10"/>
    </row>
    <row r="7" spans="2:32">
      <c r="B7" s="10">
        <v>44317</v>
      </c>
      <c r="C7" s="10">
        <v>44329</v>
      </c>
      <c r="D7" s="10">
        <v>44329</v>
      </c>
      <c r="E7" s="10">
        <v>44317</v>
      </c>
      <c r="F7" s="10">
        <v>44329</v>
      </c>
      <c r="G7" s="10">
        <v>44317</v>
      </c>
      <c r="H7" s="110">
        <v>44824</v>
      </c>
      <c r="I7" s="110">
        <v>45568</v>
      </c>
      <c r="J7" s="10">
        <v>46269</v>
      </c>
      <c r="K7" s="10">
        <v>44324</v>
      </c>
      <c r="L7" s="10">
        <v>44340</v>
      </c>
      <c r="M7" s="10">
        <v>44243</v>
      </c>
      <c r="N7" s="10">
        <v>44347</v>
      </c>
      <c r="O7" s="10">
        <v>44317</v>
      </c>
      <c r="P7" s="10">
        <v>44307</v>
      </c>
      <c r="Q7" s="10">
        <v>44329</v>
      </c>
      <c r="R7" s="10">
        <v>44329</v>
      </c>
      <c r="S7" s="10">
        <v>44555</v>
      </c>
      <c r="T7" s="10">
        <v>44555</v>
      </c>
      <c r="U7" s="10">
        <v>44555</v>
      </c>
      <c r="V7" s="110">
        <v>46249</v>
      </c>
      <c r="W7" s="10">
        <v>45054</v>
      </c>
      <c r="X7" s="10">
        <v>44324</v>
      </c>
      <c r="Y7" s="110">
        <v>45633</v>
      </c>
      <c r="Z7" s="10"/>
      <c r="AA7" s="10"/>
      <c r="AB7" s="10"/>
      <c r="AC7" s="10"/>
      <c r="AD7" s="10"/>
    </row>
    <row r="8" spans="2:32">
      <c r="B8" s="10">
        <v>44329</v>
      </c>
      <c r="C8" s="10">
        <v>44340</v>
      </c>
      <c r="D8" s="10">
        <v>44340</v>
      </c>
      <c r="E8" s="10">
        <v>44329</v>
      </c>
      <c r="F8" s="10">
        <v>44340</v>
      </c>
      <c r="G8" s="10">
        <v>44329</v>
      </c>
      <c r="H8" s="110">
        <v>44837</v>
      </c>
      <c r="I8" s="110">
        <v>45596</v>
      </c>
      <c r="J8" s="10">
        <v>46297</v>
      </c>
      <c r="K8" s="10">
        <v>44382</v>
      </c>
      <c r="L8" s="10">
        <v>44398</v>
      </c>
      <c r="M8" s="10">
        <v>44244</v>
      </c>
      <c r="N8" s="10">
        <v>44382</v>
      </c>
      <c r="O8" s="10">
        <v>44340</v>
      </c>
      <c r="P8" s="10">
        <v>44317</v>
      </c>
      <c r="Q8" s="10">
        <v>44340</v>
      </c>
      <c r="R8" s="10">
        <v>44340</v>
      </c>
      <c r="S8" s="110">
        <v>44562</v>
      </c>
      <c r="T8" s="110">
        <v>44562</v>
      </c>
      <c r="U8" s="110">
        <v>44562</v>
      </c>
      <c r="V8" s="110">
        <v>46307</v>
      </c>
      <c r="W8" s="10">
        <v>45064</v>
      </c>
      <c r="X8" s="10">
        <v>44457</v>
      </c>
      <c r="Y8" s="110">
        <v>45640</v>
      </c>
      <c r="Z8" s="10"/>
      <c r="AA8" s="10"/>
      <c r="AB8" s="10"/>
      <c r="AC8" s="10"/>
      <c r="AD8" s="10"/>
    </row>
    <row r="9" spans="2:32">
      <c r="B9" s="10">
        <v>44340</v>
      </c>
      <c r="C9" s="10">
        <v>44350</v>
      </c>
      <c r="D9" s="10">
        <v>44472</v>
      </c>
      <c r="E9" s="10">
        <v>44340</v>
      </c>
      <c r="F9" s="10">
        <v>44350</v>
      </c>
      <c r="G9" s="10">
        <v>44340</v>
      </c>
      <c r="H9" s="110">
        <v>44865</v>
      </c>
      <c r="I9" s="110">
        <v>45616</v>
      </c>
      <c r="J9" s="10">
        <v>46381</v>
      </c>
      <c r="K9" s="10">
        <v>44383</v>
      </c>
      <c r="L9" s="10">
        <v>44423</v>
      </c>
      <c r="M9" s="10">
        <v>44291</v>
      </c>
      <c r="N9" s="10">
        <v>44445</v>
      </c>
      <c r="O9" s="10">
        <v>44428</v>
      </c>
      <c r="P9" s="10">
        <v>44350</v>
      </c>
      <c r="Q9" s="10">
        <v>44350</v>
      </c>
      <c r="R9" s="10">
        <v>44391</v>
      </c>
      <c r="S9" s="110">
        <v>44567</v>
      </c>
      <c r="T9" s="110">
        <v>44567</v>
      </c>
      <c r="U9" s="110">
        <v>44567</v>
      </c>
      <c r="V9" s="110">
        <v>46328</v>
      </c>
      <c r="W9" s="10">
        <v>45074</v>
      </c>
      <c r="X9" s="10">
        <v>44465</v>
      </c>
      <c r="Y9" s="10">
        <v>45794</v>
      </c>
      <c r="Z9" s="10"/>
      <c r="AA9" s="10"/>
      <c r="AB9" s="10"/>
      <c r="AC9" s="10"/>
      <c r="AD9" s="10"/>
    </row>
    <row r="10" spans="2:32">
      <c r="B10" s="10">
        <v>44472</v>
      </c>
      <c r="C10" s="10">
        <v>44472</v>
      </c>
      <c r="D10" s="10">
        <v>44500</v>
      </c>
      <c r="E10" s="10">
        <v>44350</v>
      </c>
      <c r="F10" s="10">
        <v>44472</v>
      </c>
      <c r="G10" s="10">
        <v>44350</v>
      </c>
      <c r="H10" s="110">
        <v>44919</v>
      </c>
      <c r="I10" s="110">
        <v>45650</v>
      </c>
      <c r="J10" s="10"/>
      <c r="K10" s="10">
        <v>44467</v>
      </c>
      <c r="L10" s="10">
        <v>44501</v>
      </c>
      <c r="M10" s="10">
        <v>44319</v>
      </c>
      <c r="N10" s="10">
        <v>44525</v>
      </c>
      <c r="O10" s="10">
        <v>44492</v>
      </c>
      <c r="P10" s="10">
        <v>44386</v>
      </c>
      <c r="Q10" s="10">
        <v>44423</v>
      </c>
      <c r="R10" s="10">
        <v>44423</v>
      </c>
      <c r="S10" s="110">
        <v>44665</v>
      </c>
      <c r="T10" s="110">
        <v>44648</v>
      </c>
      <c r="U10" s="110">
        <v>44665</v>
      </c>
      <c r="V10" s="110">
        <v>46364</v>
      </c>
      <c r="W10" s="10">
        <v>45075</v>
      </c>
      <c r="X10" s="10">
        <v>44478</v>
      </c>
      <c r="Y10" s="10">
        <v>45948</v>
      </c>
      <c r="Z10" s="10"/>
      <c r="AA10" s="10"/>
      <c r="AB10" s="10"/>
      <c r="AC10" s="10"/>
      <c r="AD10" s="10"/>
    </row>
    <row r="11" spans="2:32">
      <c r="B11" s="10">
        <v>44554</v>
      </c>
      <c r="C11" s="10">
        <v>44501</v>
      </c>
      <c r="D11" s="10">
        <v>44554</v>
      </c>
      <c r="E11" s="10">
        <v>44423</v>
      </c>
      <c r="F11" s="10">
        <v>44554</v>
      </c>
      <c r="G11" s="10">
        <v>44472</v>
      </c>
      <c r="H11" s="110">
        <v>44920</v>
      </c>
      <c r="I11" s="110">
        <v>45651</v>
      </c>
      <c r="J11" s="10"/>
      <c r="K11" s="10">
        <v>44497</v>
      </c>
      <c r="L11" s="10">
        <v>44511</v>
      </c>
      <c r="M11" s="10">
        <v>44320</v>
      </c>
      <c r="N11" s="10">
        <v>44526</v>
      </c>
      <c r="O11" s="10">
        <v>44501</v>
      </c>
      <c r="P11" s="10">
        <v>44446</v>
      </c>
      <c r="Q11" s="10">
        <v>44495</v>
      </c>
      <c r="R11" s="10">
        <v>44501</v>
      </c>
      <c r="S11" s="110">
        <v>44666</v>
      </c>
      <c r="T11" s="110">
        <v>44665</v>
      </c>
      <c r="U11" s="110">
        <v>44666</v>
      </c>
      <c r="V11" s="110">
        <v>46381</v>
      </c>
      <c r="W11" s="10">
        <v>45121</v>
      </c>
      <c r="X11" s="110">
        <v>44590</v>
      </c>
      <c r="Y11" s="110">
        <v>46032</v>
      </c>
      <c r="Z11" s="10"/>
      <c r="AA11" s="10"/>
      <c r="AB11" s="10"/>
      <c r="AC11" s="10"/>
      <c r="AD11" s="10"/>
    </row>
    <row r="12" spans="2:32">
      <c r="B12" s="10">
        <v>44555</v>
      </c>
      <c r="C12" s="10">
        <v>44554</v>
      </c>
      <c r="D12" s="10">
        <v>44555</v>
      </c>
      <c r="E12" s="10">
        <v>44472</v>
      </c>
      <c r="F12" s="10">
        <v>44555</v>
      </c>
      <c r="G12" s="10">
        <v>44501</v>
      </c>
      <c r="H12" s="110">
        <v>44921</v>
      </c>
      <c r="I12" s="110">
        <v>45652</v>
      </c>
      <c r="J12" s="10"/>
      <c r="K12" s="10">
        <v>44517</v>
      </c>
      <c r="L12" s="10">
        <v>44554</v>
      </c>
      <c r="M12" s="10">
        <v>44321</v>
      </c>
      <c r="N12" s="10">
        <v>44553</v>
      </c>
      <c r="O12" s="10">
        <v>44554</v>
      </c>
      <c r="P12" s="10">
        <v>44481</v>
      </c>
      <c r="Q12" s="10">
        <v>44501</v>
      </c>
      <c r="R12" s="10">
        <v>44511</v>
      </c>
      <c r="S12" s="110">
        <v>44674</v>
      </c>
      <c r="T12" s="110">
        <v>44666</v>
      </c>
      <c r="U12" s="110">
        <v>44682</v>
      </c>
      <c r="V12" s="110">
        <v>46118</v>
      </c>
      <c r="W12" s="10">
        <v>45153</v>
      </c>
      <c r="X12" s="110">
        <v>44591</v>
      </c>
      <c r="Y12" s="110">
        <v>46242</v>
      </c>
      <c r="Z12" s="10"/>
      <c r="AA12" s="10"/>
      <c r="AB12" s="10"/>
      <c r="AC12" s="10"/>
      <c r="AD12" s="10"/>
    </row>
    <row r="13" spans="2:32">
      <c r="B13" s="10">
        <v>44556</v>
      </c>
      <c r="C13" s="10">
        <v>44555</v>
      </c>
      <c r="D13" s="10">
        <v>44556</v>
      </c>
      <c r="E13" s="10">
        <v>44501</v>
      </c>
      <c r="F13" s="10">
        <v>44556</v>
      </c>
      <c r="G13" s="10">
        <v>44554</v>
      </c>
      <c r="H13" s="110">
        <v>44926</v>
      </c>
      <c r="I13" s="110">
        <v>45657</v>
      </c>
      <c r="J13" s="10"/>
      <c r="K13" s="10">
        <v>44554</v>
      </c>
      <c r="L13" s="10">
        <v>44555</v>
      </c>
      <c r="M13" s="10">
        <v>44361</v>
      </c>
      <c r="N13" s="10">
        <v>44554</v>
      </c>
      <c r="O13" s="10">
        <v>44555</v>
      </c>
      <c r="P13" s="10">
        <v>44502</v>
      </c>
      <c r="Q13" s="10">
        <v>44538</v>
      </c>
      <c r="R13" s="10">
        <v>44555</v>
      </c>
      <c r="S13" s="110">
        <v>44682</v>
      </c>
      <c r="T13" s="110">
        <v>44682</v>
      </c>
      <c r="U13" s="110">
        <v>44683</v>
      </c>
      <c r="V13" s="110">
        <v>46167</v>
      </c>
      <c r="W13" s="10">
        <v>45231</v>
      </c>
      <c r="X13" s="110">
        <v>44653</v>
      </c>
      <c r="Y13" s="110">
        <v>46368</v>
      </c>
      <c r="Z13" s="10"/>
      <c r="AA13" s="10"/>
      <c r="AB13" s="10"/>
      <c r="AC13" s="10"/>
      <c r="AD13" s="10"/>
    </row>
    <row r="14" spans="2:32">
      <c r="B14" s="10">
        <v>44561</v>
      </c>
      <c r="C14" s="10">
        <v>44556</v>
      </c>
      <c r="D14" s="10">
        <v>44561</v>
      </c>
      <c r="E14" s="10">
        <v>44554</v>
      </c>
      <c r="F14" s="10">
        <v>44561</v>
      </c>
      <c r="G14" s="10">
        <v>44555</v>
      </c>
      <c r="H14" s="10">
        <v>44927</v>
      </c>
      <c r="I14" s="10">
        <v>45658</v>
      </c>
      <c r="J14" s="10"/>
      <c r="K14" s="10">
        <v>44555</v>
      </c>
      <c r="L14" s="10">
        <v>44561</v>
      </c>
      <c r="M14" s="10">
        <v>44459</v>
      </c>
      <c r="N14" s="10">
        <v>44560</v>
      </c>
      <c r="O14" s="10">
        <v>44556</v>
      </c>
      <c r="P14" s="10">
        <v>44515</v>
      </c>
      <c r="Q14" s="10">
        <v>44554</v>
      </c>
      <c r="R14" s="10">
        <v>44556</v>
      </c>
      <c r="S14" s="110">
        <v>44683</v>
      </c>
      <c r="T14" s="110">
        <v>44698</v>
      </c>
      <c r="U14" s="110">
        <v>44697</v>
      </c>
      <c r="V14" s="110">
        <v>46197</v>
      </c>
      <c r="W14" s="10">
        <v>45241</v>
      </c>
      <c r="X14" s="110">
        <v>44675</v>
      </c>
      <c r="Y14" s="10"/>
      <c r="Z14" s="10"/>
      <c r="AA14" s="10"/>
      <c r="AB14" s="10"/>
      <c r="AC14" s="10"/>
      <c r="AD14" s="10"/>
    </row>
    <row r="15" spans="2:32">
      <c r="B15" s="110">
        <v>44562</v>
      </c>
      <c r="C15" s="10">
        <v>44561</v>
      </c>
      <c r="D15" s="110">
        <v>44562</v>
      </c>
      <c r="E15" s="10">
        <v>44555</v>
      </c>
      <c r="F15" s="110">
        <v>44562</v>
      </c>
      <c r="G15" s="10">
        <v>44556</v>
      </c>
      <c r="H15" s="10">
        <v>45023</v>
      </c>
      <c r="I15" s="10">
        <v>45765</v>
      </c>
      <c r="J15" s="10"/>
      <c r="K15" s="10">
        <v>44556</v>
      </c>
      <c r="L15" s="110">
        <v>44562</v>
      </c>
      <c r="M15" s="10">
        <v>44460</v>
      </c>
      <c r="N15" s="10">
        <v>44561</v>
      </c>
      <c r="O15" s="10">
        <v>44561</v>
      </c>
      <c r="P15" s="10">
        <v>44520</v>
      </c>
      <c r="Q15" s="10">
        <v>44555</v>
      </c>
      <c r="R15" s="110">
        <v>44562</v>
      </c>
      <c r="S15" s="110">
        <v>44788</v>
      </c>
      <c r="T15" s="110">
        <v>44736</v>
      </c>
      <c r="U15" s="110">
        <v>44767</v>
      </c>
      <c r="V15" s="110">
        <v>46276</v>
      </c>
      <c r="W15" s="10">
        <v>45285</v>
      </c>
      <c r="X15" s="110">
        <v>44688</v>
      </c>
      <c r="Y15" s="10"/>
      <c r="Z15" s="10"/>
      <c r="AA15" s="10"/>
      <c r="AB15" s="10"/>
      <c r="AC15" s="10"/>
      <c r="AD15" s="10"/>
    </row>
    <row r="16" spans="2:32">
      <c r="B16" s="110">
        <v>44628</v>
      </c>
      <c r="C16" s="110">
        <v>44562</v>
      </c>
      <c r="D16" s="110">
        <v>44666</v>
      </c>
      <c r="E16" s="10">
        <v>44556</v>
      </c>
      <c r="F16" s="110">
        <v>44666</v>
      </c>
      <c r="G16" s="10">
        <v>44561</v>
      </c>
      <c r="H16" s="10">
        <v>45025</v>
      </c>
      <c r="I16" s="10">
        <v>45767</v>
      </c>
      <c r="J16" s="10"/>
      <c r="K16" s="10">
        <v>44561</v>
      </c>
      <c r="L16" s="110">
        <v>44669</v>
      </c>
      <c r="M16" s="10">
        <v>44470</v>
      </c>
      <c r="N16" s="110">
        <v>44562</v>
      </c>
      <c r="O16" s="110">
        <v>44562</v>
      </c>
      <c r="P16" s="10">
        <v>44538</v>
      </c>
      <c r="Q16" s="10">
        <v>44556</v>
      </c>
      <c r="R16" s="110">
        <v>44669</v>
      </c>
      <c r="S16" s="110">
        <v>44846</v>
      </c>
      <c r="T16" s="110">
        <v>44767</v>
      </c>
      <c r="U16" s="110">
        <v>44788</v>
      </c>
      <c r="V16" s="110">
        <v>46289</v>
      </c>
      <c r="W16" s="10">
        <v>45286</v>
      </c>
      <c r="X16" s="110">
        <v>44842</v>
      </c>
      <c r="Y16" s="10"/>
      <c r="Z16" s="10"/>
      <c r="AA16" s="10"/>
      <c r="AB16" s="10"/>
      <c r="AC16" s="10"/>
      <c r="AD16" s="10"/>
    </row>
    <row r="17" spans="2:30">
      <c r="B17" s="110">
        <v>44666</v>
      </c>
      <c r="C17" s="110">
        <v>44666</v>
      </c>
      <c r="D17" s="110">
        <v>44669</v>
      </c>
      <c r="E17" s="10">
        <v>44561</v>
      </c>
      <c r="F17" s="110">
        <v>44669</v>
      </c>
      <c r="G17" s="110">
        <v>44562</v>
      </c>
      <c r="H17" s="10">
        <v>45026</v>
      </c>
      <c r="I17" s="10">
        <v>45768</v>
      </c>
      <c r="J17" s="10"/>
      <c r="K17" s="110">
        <v>44562</v>
      </c>
      <c r="L17" s="110">
        <v>44682</v>
      </c>
      <c r="M17" s="10">
        <v>44473</v>
      </c>
      <c r="N17" s="110">
        <v>44578</v>
      </c>
      <c r="O17" s="110">
        <v>44634</v>
      </c>
      <c r="P17" s="10">
        <v>44554</v>
      </c>
      <c r="Q17" s="10">
        <v>44561</v>
      </c>
      <c r="R17" s="110">
        <v>44682</v>
      </c>
      <c r="S17" s="110">
        <v>44866</v>
      </c>
      <c r="T17" s="110">
        <v>44788</v>
      </c>
      <c r="U17" s="110">
        <v>44846</v>
      </c>
      <c r="V17" s="110">
        <v>46382</v>
      </c>
      <c r="W17" s="110">
        <v>45292</v>
      </c>
      <c r="X17" s="110">
        <v>44843</v>
      </c>
      <c r="Y17" s="10"/>
      <c r="Z17" s="10"/>
      <c r="AA17" s="10"/>
      <c r="AB17" s="10"/>
      <c r="AC17" s="10"/>
      <c r="AD17" s="10"/>
    </row>
    <row r="18" spans="2:30">
      <c r="B18" s="110">
        <v>44669</v>
      </c>
      <c r="C18" s="110">
        <v>44669</v>
      </c>
      <c r="D18" s="110">
        <v>44682</v>
      </c>
      <c r="E18" s="110">
        <v>44562</v>
      </c>
      <c r="F18" s="110">
        <v>44682</v>
      </c>
      <c r="G18" s="110">
        <v>44567</v>
      </c>
      <c r="H18" s="10">
        <v>45047</v>
      </c>
      <c r="I18" s="10">
        <v>45778</v>
      </c>
      <c r="J18" s="10"/>
      <c r="K18" s="110">
        <v>44666</v>
      </c>
      <c r="L18" s="110">
        <v>44707</v>
      </c>
      <c r="M18" s="10">
        <v>44474</v>
      </c>
      <c r="N18" s="110">
        <v>44666</v>
      </c>
      <c r="O18" s="110">
        <v>44635</v>
      </c>
      <c r="P18" s="10">
        <v>44555</v>
      </c>
      <c r="Q18" s="110">
        <v>44562</v>
      </c>
      <c r="R18" s="110">
        <v>44689</v>
      </c>
      <c r="S18" s="110">
        <v>44901</v>
      </c>
      <c r="T18" s="110">
        <v>44789</v>
      </c>
      <c r="U18" s="110">
        <v>44866</v>
      </c>
      <c r="V18" s="10"/>
      <c r="W18" s="110">
        <v>45380</v>
      </c>
      <c r="X18" s="10">
        <v>44954</v>
      </c>
      <c r="Y18" s="10"/>
      <c r="Z18" s="10"/>
      <c r="AA18" s="10"/>
      <c r="AB18" s="10"/>
      <c r="AC18" s="10"/>
      <c r="AD18" s="10"/>
    </row>
    <row r="19" spans="2:30">
      <c r="B19" s="110">
        <v>44682</v>
      </c>
      <c r="C19" s="110">
        <v>44682</v>
      </c>
      <c r="D19" s="110">
        <v>44707</v>
      </c>
      <c r="E19" s="110">
        <v>44567</v>
      </c>
      <c r="F19" s="110">
        <v>44707</v>
      </c>
      <c r="G19" s="110">
        <v>44666</v>
      </c>
      <c r="H19" s="10">
        <v>45064</v>
      </c>
      <c r="I19" s="10">
        <v>45806</v>
      </c>
      <c r="J19" s="10"/>
      <c r="K19" s="110">
        <v>44669</v>
      </c>
      <c r="L19" s="110">
        <v>44718</v>
      </c>
      <c r="M19" s="10">
        <v>44475</v>
      </c>
      <c r="N19" s="110">
        <v>44669</v>
      </c>
      <c r="O19" s="110">
        <v>44666</v>
      </c>
      <c r="P19" s="10">
        <v>44561</v>
      </c>
      <c r="Q19" s="110">
        <v>44567</v>
      </c>
      <c r="R19" s="110">
        <v>44707</v>
      </c>
      <c r="S19" s="110">
        <v>44903</v>
      </c>
      <c r="T19" s="110">
        <v>44846</v>
      </c>
      <c r="U19" s="110">
        <v>44874</v>
      </c>
      <c r="V19" s="10"/>
      <c r="W19" s="110">
        <v>45383</v>
      </c>
      <c r="X19" s="10">
        <v>44955</v>
      </c>
      <c r="Y19" s="10"/>
      <c r="Z19" s="10"/>
      <c r="AA19" s="10"/>
      <c r="AB19" s="10"/>
      <c r="AC19" s="10"/>
      <c r="AD19" s="10"/>
    </row>
    <row r="20" spans="2:30">
      <c r="B20" s="110">
        <v>44707</v>
      </c>
      <c r="C20" s="110">
        <v>44707</v>
      </c>
      <c r="D20" s="110">
        <v>44718</v>
      </c>
      <c r="E20" s="110">
        <v>44666</v>
      </c>
      <c r="F20" s="110">
        <v>44718</v>
      </c>
      <c r="G20" s="110">
        <v>44669</v>
      </c>
      <c r="H20" s="10">
        <v>45074</v>
      </c>
      <c r="I20" s="10">
        <v>45816</v>
      </c>
      <c r="J20" s="10"/>
      <c r="K20" s="110">
        <v>44682</v>
      </c>
      <c r="L20" s="110">
        <v>44763</v>
      </c>
      <c r="M20" s="10">
        <v>44476</v>
      </c>
      <c r="N20" s="110">
        <v>44711</v>
      </c>
      <c r="O20" s="110">
        <v>44669</v>
      </c>
      <c r="P20" s="110">
        <v>44562</v>
      </c>
      <c r="Q20" s="110">
        <v>44669</v>
      </c>
      <c r="R20" s="110">
        <v>44718</v>
      </c>
      <c r="S20" s="110">
        <v>44919</v>
      </c>
      <c r="T20" s="110">
        <v>44866</v>
      </c>
      <c r="U20" s="110">
        <v>44901</v>
      </c>
      <c r="V20" s="10"/>
      <c r="W20" s="110">
        <v>45413</v>
      </c>
      <c r="X20" s="10">
        <v>45039</v>
      </c>
      <c r="Y20" s="10"/>
      <c r="Z20" s="10"/>
      <c r="AA20" s="10"/>
      <c r="AB20" s="10"/>
      <c r="AC20" s="10"/>
      <c r="AD20" s="10"/>
    </row>
    <row r="21" spans="2:30">
      <c r="B21" s="110">
        <v>44718</v>
      </c>
      <c r="C21" s="110">
        <v>44718</v>
      </c>
      <c r="D21" s="110">
        <v>44837</v>
      </c>
      <c r="E21" s="110">
        <v>44669</v>
      </c>
      <c r="F21" s="110">
        <v>44728</v>
      </c>
      <c r="G21" s="110">
        <v>44682</v>
      </c>
      <c r="H21" s="10">
        <v>45075</v>
      </c>
      <c r="I21" s="10">
        <v>45817</v>
      </c>
      <c r="J21" s="10"/>
      <c r="K21" s="110">
        <v>44689</v>
      </c>
      <c r="L21" s="110">
        <v>44788</v>
      </c>
      <c r="M21" s="110">
        <v>44562</v>
      </c>
      <c r="N21" s="110">
        <v>44746</v>
      </c>
      <c r="O21" s="110">
        <v>44682</v>
      </c>
      <c r="P21" s="110">
        <v>44620</v>
      </c>
      <c r="Q21" s="110">
        <v>44682</v>
      </c>
      <c r="R21" s="110">
        <v>44756</v>
      </c>
      <c r="S21" s="110">
        <v>44920</v>
      </c>
      <c r="T21" s="110">
        <v>44901</v>
      </c>
      <c r="U21" s="110">
        <v>44903</v>
      </c>
      <c r="V21" s="10"/>
      <c r="W21" s="110">
        <v>45420</v>
      </c>
      <c r="X21" s="10">
        <v>45052</v>
      </c>
      <c r="Y21" s="10"/>
      <c r="Z21" s="10"/>
      <c r="AA21" s="10"/>
      <c r="AB21" s="10"/>
      <c r="AC21" s="10"/>
      <c r="AD21" s="10"/>
    </row>
    <row r="22" spans="2:30">
      <c r="B22" s="110">
        <v>44837</v>
      </c>
      <c r="C22" s="110">
        <v>44728</v>
      </c>
      <c r="D22" s="110">
        <v>44865</v>
      </c>
      <c r="E22" s="110">
        <v>44682</v>
      </c>
      <c r="F22" s="110">
        <v>44837</v>
      </c>
      <c r="G22" s="110">
        <v>44707</v>
      </c>
      <c r="H22" s="10">
        <v>45189</v>
      </c>
      <c r="I22" s="10">
        <v>45933</v>
      </c>
      <c r="J22" s="10"/>
      <c r="K22" s="110">
        <v>44747</v>
      </c>
      <c r="L22" s="110">
        <v>44866</v>
      </c>
      <c r="M22" s="110">
        <v>44564</v>
      </c>
      <c r="N22" s="110">
        <v>44809</v>
      </c>
      <c r="O22" s="110">
        <v>44718</v>
      </c>
      <c r="P22" s="110">
        <v>44621</v>
      </c>
      <c r="Q22" s="110">
        <v>44707</v>
      </c>
      <c r="R22" s="110">
        <v>44788</v>
      </c>
      <c r="S22" s="110">
        <v>44921</v>
      </c>
      <c r="T22" s="110">
        <v>44903</v>
      </c>
      <c r="U22" s="110">
        <v>44919</v>
      </c>
      <c r="V22" s="10"/>
      <c r="W22" s="110">
        <v>45421</v>
      </c>
      <c r="X22" s="10">
        <v>45102</v>
      </c>
      <c r="Y22" s="10"/>
      <c r="Z22" s="10"/>
      <c r="AA22" s="10"/>
      <c r="AB22" s="10"/>
      <c r="AC22" s="10"/>
      <c r="AD22" s="10"/>
    </row>
    <row r="23" spans="2:30">
      <c r="B23" s="110">
        <v>44919</v>
      </c>
      <c r="C23" s="110">
        <v>44837</v>
      </c>
      <c r="D23" s="110">
        <v>44919</v>
      </c>
      <c r="E23" s="110">
        <v>44707</v>
      </c>
      <c r="F23" s="110">
        <v>44919</v>
      </c>
      <c r="G23" s="110">
        <v>44718</v>
      </c>
      <c r="H23" s="10">
        <v>45202</v>
      </c>
      <c r="I23" s="10">
        <v>46016</v>
      </c>
      <c r="J23" s="10"/>
      <c r="K23" s="110">
        <v>44748</v>
      </c>
      <c r="L23" s="110">
        <v>44876</v>
      </c>
      <c r="M23" s="110">
        <v>44592</v>
      </c>
      <c r="N23" s="110">
        <v>44889</v>
      </c>
      <c r="O23" s="110">
        <v>44793</v>
      </c>
      <c r="P23" s="110">
        <v>44666</v>
      </c>
      <c r="Q23" s="110">
        <v>44718</v>
      </c>
      <c r="R23" s="110">
        <v>44866</v>
      </c>
      <c r="S23" s="10">
        <v>44928</v>
      </c>
      <c r="T23" s="110">
        <v>44919</v>
      </c>
      <c r="U23" s="110">
        <v>44920</v>
      </c>
      <c r="V23" s="10"/>
      <c r="W23" s="110">
        <v>45431</v>
      </c>
      <c r="X23" s="10">
        <v>45206</v>
      </c>
      <c r="Y23" s="10"/>
      <c r="Z23" s="10"/>
      <c r="AA23" s="10"/>
      <c r="AB23" s="10"/>
      <c r="AC23" s="10"/>
      <c r="AD23" s="10"/>
    </row>
    <row r="24" spans="2:30">
      <c r="B24" s="110">
        <v>44920</v>
      </c>
      <c r="C24" s="110">
        <v>44866</v>
      </c>
      <c r="D24" s="110">
        <v>44920</v>
      </c>
      <c r="E24" s="110">
        <v>44718</v>
      </c>
      <c r="F24" s="110">
        <v>44920</v>
      </c>
      <c r="G24" s="110">
        <v>44728</v>
      </c>
      <c r="H24" s="10">
        <v>45230</v>
      </c>
      <c r="I24" s="10">
        <v>46017</v>
      </c>
      <c r="J24" s="10"/>
      <c r="K24" s="110">
        <v>44832</v>
      </c>
      <c r="L24" s="110">
        <v>44919</v>
      </c>
      <c r="M24" s="110">
        <v>44593</v>
      </c>
      <c r="N24" s="110">
        <v>44890</v>
      </c>
      <c r="O24" s="110">
        <v>44857</v>
      </c>
      <c r="P24" s="110">
        <v>44672</v>
      </c>
      <c r="Q24" s="110">
        <v>44728</v>
      </c>
      <c r="R24" s="110">
        <v>44876</v>
      </c>
      <c r="S24" s="10">
        <v>44932</v>
      </c>
      <c r="T24" s="110">
        <v>44920</v>
      </c>
      <c r="U24" s="110">
        <v>44921</v>
      </c>
      <c r="V24" s="10"/>
      <c r="W24" s="110">
        <v>45487</v>
      </c>
      <c r="X24" s="10">
        <v>45207</v>
      </c>
      <c r="Y24" s="10"/>
      <c r="Z24" s="10"/>
      <c r="AA24" s="10"/>
      <c r="AB24" s="10"/>
      <c r="AC24" s="10"/>
      <c r="AD24" s="10"/>
    </row>
    <row r="25" spans="2:30">
      <c r="B25" s="110">
        <v>44921</v>
      </c>
      <c r="C25" s="110">
        <v>44919</v>
      </c>
      <c r="D25" s="110">
        <v>44921</v>
      </c>
      <c r="E25" s="110">
        <v>44728</v>
      </c>
      <c r="F25" s="110">
        <v>44921</v>
      </c>
      <c r="G25" s="110">
        <v>44837</v>
      </c>
      <c r="H25" s="10">
        <v>45285</v>
      </c>
      <c r="I25" s="10">
        <v>45961</v>
      </c>
      <c r="J25" s="10"/>
      <c r="K25" s="110">
        <v>44862</v>
      </c>
      <c r="L25" s="110">
        <v>44920</v>
      </c>
      <c r="M25" s="110">
        <v>44594</v>
      </c>
      <c r="N25" s="110">
        <v>44918</v>
      </c>
      <c r="O25" s="110">
        <v>44865</v>
      </c>
      <c r="P25" s="110">
        <v>44728</v>
      </c>
      <c r="Q25" s="110">
        <v>44788</v>
      </c>
      <c r="R25" s="110">
        <v>44920</v>
      </c>
      <c r="S25" s="10">
        <v>44956</v>
      </c>
      <c r="T25" s="110">
        <v>44921</v>
      </c>
      <c r="U25" s="10">
        <v>44932</v>
      </c>
      <c r="V25" s="10"/>
      <c r="W25" s="110">
        <v>45519</v>
      </c>
      <c r="X25" s="110">
        <v>45326</v>
      </c>
      <c r="Y25" s="10"/>
      <c r="Z25" s="10"/>
      <c r="AA25" s="10"/>
      <c r="AB25" s="10"/>
      <c r="AC25" s="10"/>
      <c r="AD25" s="10"/>
    </row>
    <row r="26" spans="2:30">
      <c r="B26" s="110">
        <v>44926</v>
      </c>
      <c r="C26" s="110">
        <v>44920</v>
      </c>
      <c r="D26" s="110">
        <v>44926</v>
      </c>
      <c r="E26" s="110">
        <v>44788</v>
      </c>
      <c r="F26" s="110">
        <v>44926</v>
      </c>
      <c r="G26" s="110">
        <v>44866</v>
      </c>
      <c r="H26" s="10">
        <v>45286</v>
      </c>
      <c r="I26" s="10">
        <v>45980</v>
      </c>
      <c r="J26" s="10"/>
      <c r="K26" s="110">
        <v>44882</v>
      </c>
      <c r="L26" s="110">
        <v>44926</v>
      </c>
      <c r="M26" s="110">
        <v>44595</v>
      </c>
      <c r="N26" s="110">
        <v>44921</v>
      </c>
      <c r="O26" s="110">
        <v>44866</v>
      </c>
      <c r="P26" s="110">
        <v>44811</v>
      </c>
      <c r="Q26" s="110">
        <v>44860</v>
      </c>
      <c r="R26" s="10">
        <v>44927</v>
      </c>
      <c r="S26" s="10">
        <v>44991</v>
      </c>
      <c r="T26" s="10">
        <v>44932</v>
      </c>
      <c r="U26" s="10">
        <v>45005</v>
      </c>
      <c r="V26" s="10"/>
      <c r="W26" s="110">
        <v>45597</v>
      </c>
      <c r="X26" s="110">
        <v>45340</v>
      </c>
      <c r="Y26" s="10"/>
      <c r="Z26" s="10"/>
      <c r="AA26" s="10"/>
      <c r="AB26" s="10"/>
      <c r="AC26" s="10"/>
      <c r="AD26" s="10"/>
    </row>
    <row r="27" spans="2:30">
      <c r="B27" s="10">
        <v>44927</v>
      </c>
      <c r="C27" s="110">
        <v>44921</v>
      </c>
      <c r="D27" s="10">
        <v>44927</v>
      </c>
      <c r="E27" s="110">
        <v>44837</v>
      </c>
      <c r="F27" s="10">
        <v>44927</v>
      </c>
      <c r="G27" s="110">
        <v>44919</v>
      </c>
      <c r="H27" s="110">
        <v>45292</v>
      </c>
      <c r="I27" s="10">
        <v>46015</v>
      </c>
      <c r="J27" s="10"/>
      <c r="K27" s="110">
        <v>44919</v>
      </c>
      <c r="L27" s="10">
        <v>44927</v>
      </c>
      <c r="M27" s="110">
        <v>44596</v>
      </c>
      <c r="N27" s="110">
        <v>44925</v>
      </c>
      <c r="O27" s="110">
        <v>44919</v>
      </c>
      <c r="P27" s="110">
        <v>44846</v>
      </c>
      <c r="Q27" s="110">
        <v>44866</v>
      </c>
      <c r="R27" s="10">
        <v>45026</v>
      </c>
      <c r="S27" s="10">
        <v>45022</v>
      </c>
      <c r="T27" s="10">
        <v>45013</v>
      </c>
      <c r="U27" s="10">
        <v>45022</v>
      </c>
      <c r="V27" s="10"/>
      <c r="W27" s="110">
        <v>45607</v>
      </c>
      <c r="X27" s="110">
        <v>45389</v>
      </c>
      <c r="Y27" s="10"/>
      <c r="Z27" s="10"/>
      <c r="AA27" s="10"/>
      <c r="AB27" s="10"/>
      <c r="AC27" s="10"/>
      <c r="AD27" s="10"/>
    </row>
    <row r="28" spans="2:30">
      <c r="B28" s="10">
        <v>44993</v>
      </c>
      <c r="C28" s="110">
        <v>44926</v>
      </c>
      <c r="D28" s="10">
        <v>45023</v>
      </c>
      <c r="E28" s="110">
        <v>44866</v>
      </c>
      <c r="F28" s="10">
        <v>45023</v>
      </c>
      <c r="G28" s="110">
        <v>44920</v>
      </c>
      <c r="H28" s="110">
        <v>45380</v>
      </c>
      <c r="I28" s="10">
        <v>46022</v>
      </c>
      <c r="J28" s="10"/>
      <c r="K28" s="110">
        <v>44920</v>
      </c>
      <c r="L28" s="10">
        <v>45026</v>
      </c>
      <c r="M28" s="110">
        <v>44655</v>
      </c>
      <c r="N28" s="10">
        <v>44928</v>
      </c>
      <c r="O28" s="110">
        <v>44920</v>
      </c>
      <c r="P28" s="110">
        <v>44867</v>
      </c>
      <c r="Q28" s="110">
        <v>44903</v>
      </c>
      <c r="R28" s="10">
        <v>45047</v>
      </c>
      <c r="S28" s="10">
        <v>45023</v>
      </c>
      <c r="T28" s="10">
        <v>45022</v>
      </c>
      <c r="U28" s="10">
        <v>45023</v>
      </c>
      <c r="V28" s="10"/>
      <c r="W28" s="110">
        <v>45651</v>
      </c>
      <c r="X28" s="110">
        <v>45410</v>
      </c>
      <c r="Y28" s="10"/>
      <c r="Z28" s="10"/>
      <c r="AA28" s="10"/>
      <c r="AB28" s="10"/>
      <c r="AC28" s="10"/>
      <c r="AD28" s="10"/>
    </row>
    <row r="29" spans="2:30">
      <c r="B29" s="10">
        <v>45023</v>
      </c>
      <c r="C29" s="10">
        <v>44927</v>
      </c>
      <c r="D29" s="10">
        <v>45025</v>
      </c>
      <c r="E29" s="110">
        <v>44919</v>
      </c>
      <c r="F29" s="10">
        <v>45025</v>
      </c>
      <c r="G29" s="110">
        <v>44921</v>
      </c>
      <c r="H29" s="110">
        <v>45382</v>
      </c>
      <c r="I29" s="110">
        <v>46023</v>
      </c>
      <c r="J29" s="10"/>
      <c r="K29" s="110">
        <v>44921</v>
      </c>
      <c r="L29" s="10">
        <v>45047</v>
      </c>
      <c r="M29" s="110">
        <v>44656</v>
      </c>
      <c r="N29" s="10">
        <v>44942</v>
      </c>
      <c r="O29" s="110">
        <v>44921</v>
      </c>
      <c r="P29" s="110">
        <v>44880</v>
      </c>
      <c r="Q29" s="110">
        <v>44919</v>
      </c>
      <c r="R29" s="10">
        <v>45054</v>
      </c>
      <c r="S29" s="10">
        <v>45040</v>
      </c>
      <c r="T29" s="10">
        <v>45023</v>
      </c>
      <c r="U29" s="10">
        <v>45047</v>
      </c>
      <c r="V29" s="10"/>
      <c r="W29" s="110">
        <v>45652</v>
      </c>
      <c r="X29" s="110">
        <v>45423</v>
      </c>
      <c r="Y29" s="10"/>
      <c r="Z29" s="10"/>
      <c r="AA29" s="10"/>
      <c r="AB29" s="10"/>
      <c r="AC29" s="10"/>
      <c r="AD29" s="10"/>
    </row>
    <row r="30" spans="2:30">
      <c r="B30" s="10">
        <v>45025</v>
      </c>
      <c r="C30" s="10">
        <v>45023</v>
      </c>
      <c r="D30" s="10">
        <v>45026</v>
      </c>
      <c r="E30" s="110">
        <v>44920</v>
      </c>
      <c r="F30" s="10">
        <v>45026</v>
      </c>
      <c r="G30" s="110">
        <v>44926</v>
      </c>
      <c r="H30" s="110">
        <v>45383</v>
      </c>
      <c r="I30" s="110">
        <v>46115</v>
      </c>
      <c r="J30" s="10"/>
      <c r="K30" s="10">
        <v>44927</v>
      </c>
      <c r="L30" s="10">
        <v>45064</v>
      </c>
      <c r="M30" s="110">
        <v>44683</v>
      </c>
      <c r="N30" s="10">
        <v>44977</v>
      </c>
      <c r="O30" s="110">
        <v>44926</v>
      </c>
      <c r="P30" s="110">
        <v>44903</v>
      </c>
      <c r="Q30" s="110">
        <v>44920</v>
      </c>
      <c r="R30" s="10">
        <v>45064</v>
      </c>
      <c r="S30" s="10">
        <v>45047</v>
      </c>
      <c r="T30" s="10">
        <v>45047</v>
      </c>
      <c r="U30" s="10">
        <v>45048</v>
      </c>
      <c r="V30" s="10"/>
      <c r="W30" s="10">
        <v>45658</v>
      </c>
      <c r="X30" s="110">
        <v>45549</v>
      </c>
      <c r="Y30" s="107"/>
      <c r="Z30" s="107"/>
      <c r="AA30" s="107"/>
      <c r="AB30" s="107"/>
      <c r="AC30" s="107"/>
      <c r="AD30" s="107"/>
    </row>
    <row r="31" spans="2:30">
      <c r="B31" s="10">
        <v>45026</v>
      </c>
      <c r="C31" s="10">
        <v>45025</v>
      </c>
      <c r="D31" s="10">
        <v>45047</v>
      </c>
      <c r="E31" s="110">
        <v>44921</v>
      </c>
      <c r="F31" s="10">
        <v>45047</v>
      </c>
      <c r="G31" s="10">
        <v>44927</v>
      </c>
      <c r="H31" s="110">
        <v>45413</v>
      </c>
      <c r="I31" s="110">
        <v>46118</v>
      </c>
      <c r="J31" s="10"/>
      <c r="K31" s="10">
        <v>45023</v>
      </c>
      <c r="L31" s="10">
        <v>45075</v>
      </c>
      <c r="M31" s="110">
        <v>44684</v>
      </c>
      <c r="N31" s="10">
        <v>45023</v>
      </c>
      <c r="O31" s="10">
        <v>44927</v>
      </c>
      <c r="P31" s="110">
        <v>44919</v>
      </c>
      <c r="Q31" s="110">
        <v>44921</v>
      </c>
      <c r="R31" s="10">
        <v>45074</v>
      </c>
      <c r="S31" s="10">
        <v>45153</v>
      </c>
      <c r="T31" s="10">
        <v>45063</v>
      </c>
      <c r="U31" s="10">
        <v>45061</v>
      </c>
      <c r="V31" s="10"/>
      <c r="W31" s="10">
        <v>45768</v>
      </c>
      <c r="X31" s="110">
        <v>45564</v>
      </c>
      <c r="Y31" s="107"/>
      <c r="Z31" s="107"/>
      <c r="AA31" s="107"/>
      <c r="AB31" s="107"/>
      <c r="AC31" s="107"/>
      <c r="AD31" s="107"/>
    </row>
    <row r="32" spans="2:30">
      <c r="B32" s="10">
        <v>45047</v>
      </c>
      <c r="C32" s="10">
        <v>45026</v>
      </c>
      <c r="D32" s="10">
        <v>45064</v>
      </c>
      <c r="E32" s="110">
        <v>44926</v>
      </c>
      <c r="F32" s="10">
        <v>45064</v>
      </c>
      <c r="G32" s="10">
        <v>44932</v>
      </c>
      <c r="H32" s="110">
        <v>45421</v>
      </c>
      <c r="I32" s="110">
        <v>46143</v>
      </c>
      <c r="J32" s="10"/>
      <c r="K32" s="10">
        <v>45026</v>
      </c>
      <c r="L32" s="10">
        <v>45128</v>
      </c>
      <c r="M32" s="110">
        <v>44685</v>
      </c>
      <c r="N32" s="10">
        <v>45026</v>
      </c>
      <c r="O32" s="10">
        <v>45000</v>
      </c>
      <c r="P32" s="110">
        <v>44920</v>
      </c>
      <c r="Q32" s="110">
        <v>44926</v>
      </c>
      <c r="R32" s="10">
        <v>45075</v>
      </c>
      <c r="S32" s="10">
        <v>45211</v>
      </c>
      <c r="T32" s="10">
        <v>45132</v>
      </c>
      <c r="U32" s="10">
        <v>45153</v>
      </c>
      <c r="V32" s="10"/>
      <c r="W32" s="10">
        <v>45778</v>
      </c>
      <c r="X32" s="110">
        <v>45577</v>
      </c>
      <c r="Y32" s="107"/>
      <c r="Z32" s="107"/>
      <c r="AA32" s="107"/>
      <c r="AB32" s="107"/>
      <c r="AC32" s="107"/>
      <c r="AD32" s="107"/>
    </row>
    <row r="33" spans="2:30">
      <c r="B33" s="10">
        <v>45064</v>
      </c>
      <c r="C33" s="10">
        <v>45047</v>
      </c>
      <c r="D33" s="10">
        <v>45074</v>
      </c>
      <c r="E33" s="10">
        <v>44927</v>
      </c>
      <c r="F33" s="10">
        <v>45074</v>
      </c>
      <c r="G33" s="10">
        <v>45023</v>
      </c>
      <c r="H33" s="110">
        <v>45431</v>
      </c>
      <c r="I33" s="110">
        <v>46156</v>
      </c>
      <c r="J33" s="10"/>
      <c r="K33" s="10">
        <v>45047</v>
      </c>
      <c r="L33" s="10">
        <v>45153</v>
      </c>
      <c r="M33" s="110">
        <v>44715</v>
      </c>
      <c r="N33" s="10">
        <v>45075</v>
      </c>
      <c r="O33" s="10">
        <v>45023</v>
      </c>
      <c r="P33" s="110">
        <v>44926</v>
      </c>
      <c r="Q33" s="10">
        <v>44927</v>
      </c>
      <c r="R33" s="10">
        <v>45121</v>
      </c>
      <c r="S33" s="10">
        <v>45231</v>
      </c>
      <c r="T33" s="10">
        <v>45153</v>
      </c>
      <c r="U33" s="10">
        <v>45211</v>
      </c>
      <c r="V33" s="10"/>
      <c r="W33" s="10">
        <v>45785</v>
      </c>
      <c r="X33" s="10">
        <v>45683</v>
      </c>
      <c r="Y33" s="107"/>
      <c r="Z33" s="107"/>
      <c r="AA33" s="107"/>
      <c r="AB33" s="107"/>
      <c r="AC33" s="107"/>
      <c r="AD33" s="107"/>
    </row>
    <row r="34" spans="2:30">
      <c r="B34" s="10">
        <v>45074</v>
      </c>
      <c r="C34" s="10">
        <v>45064</v>
      </c>
      <c r="D34" s="10">
        <v>45075</v>
      </c>
      <c r="E34" s="10">
        <v>44932</v>
      </c>
      <c r="F34" s="10">
        <v>45075</v>
      </c>
      <c r="G34" s="10">
        <v>45025</v>
      </c>
      <c r="H34" s="110">
        <v>45432</v>
      </c>
      <c r="I34" s="110">
        <v>46167</v>
      </c>
      <c r="J34" s="10"/>
      <c r="K34" s="10">
        <v>45054</v>
      </c>
      <c r="L34" s="10">
        <v>45231</v>
      </c>
      <c r="M34" s="110">
        <v>44816</v>
      </c>
      <c r="N34" s="10">
        <v>45096</v>
      </c>
      <c r="O34" s="10">
        <v>45025</v>
      </c>
      <c r="P34" s="10">
        <v>44927</v>
      </c>
      <c r="Q34" s="10">
        <v>44932</v>
      </c>
      <c r="R34" s="10">
        <v>45153</v>
      </c>
      <c r="S34" s="10">
        <v>45266</v>
      </c>
      <c r="T34" s="10">
        <v>45154</v>
      </c>
      <c r="U34" s="10">
        <v>45231</v>
      </c>
      <c r="V34" s="10"/>
      <c r="W34" s="10">
        <v>45806</v>
      </c>
      <c r="X34" s="10">
        <v>45696</v>
      </c>
      <c r="Y34" s="107"/>
      <c r="Z34" s="107"/>
      <c r="AA34" s="107"/>
      <c r="AB34" s="107"/>
      <c r="AC34" s="107"/>
      <c r="AD34" s="107"/>
    </row>
    <row r="35" spans="2:30">
      <c r="B35" s="10">
        <v>45075</v>
      </c>
      <c r="C35" s="10">
        <v>45074</v>
      </c>
      <c r="D35" s="10">
        <v>45202</v>
      </c>
      <c r="E35" s="10">
        <v>45023</v>
      </c>
      <c r="F35" s="10">
        <v>45085</v>
      </c>
      <c r="G35" s="10">
        <v>45026</v>
      </c>
      <c r="H35" s="110">
        <v>45555</v>
      </c>
      <c r="I35" s="110">
        <v>46298</v>
      </c>
      <c r="J35" s="10"/>
      <c r="K35" s="10">
        <v>45112</v>
      </c>
      <c r="L35" s="10">
        <v>45241</v>
      </c>
      <c r="M35" s="110">
        <v>44837</v>
      </c>
      <c r="N35" s="10">
        <v>45111</v>
      </c>
      <c r="O35" s="10">
        <v>45026</v>
      </c>
      <c r="P35" s="10">
        <v>44977</v>
      </c>
      <c r="Q35" s="10">
        <v>45025</v>
      </c>
      <c r="R35" s="10">
        <v>45231</v>
      </c>
      <c r="S35" s="10">
        <v>45268</v>
      </c>
      <c r="T35" s="10">
        <v>45211</v>
      </c>
      <c r="U35" s="10">
        <v>45239</v>
      </c>
      <c r="V35" s="10"/>
      <c r="W35" s="10">
        <v>45852</v>
      </c>
      <c r="X35" s="10">
        <v>45774</v>
      </c>
      <c r="Y35" s="107"/>
      <c r="Z35" s="107"/>
      <c r="AA35" s="107"/>
      <c r="AB35" s="107"/>
      <c r="AC35" s="107"/>
      <c r="AD35" s="107"/>
    </row>
    <row r="36" spans="2:30">
      <c r="B36" s="10">
        <v>45202</v>
      </c>
      <c r="C36" s="10">
        <v>45075</v>
      </c>
      <c r="D36" s="10">
        <v>45230</v>
      </c>
      <c r="E36" s="10">
        <v>45025</v>
      </c>
      <c r="F36" s="10">
        <v>45202</v>
      </c>
      <c r="G36" s="10">
        <v>45047</v>
      </c>
      <c r="H36" s="110">
        <v>45568</v>
      </c>
      <c r="I36" s="110">
        <v>46380</v>
      </c>
      <c r="J36" s="10"/>
      <c r="K36" s="10">
        <v>45113</v>
      </c>
      <c r="L36" s="10">
        <v>45285</v>
      </c>
      <c r="M36" s="110">
        <v>44838</v>
      </c>
      <c r="N36" s="10">
        <v>45173</v>
      </c>
      <c r="O36" s="10">
        <v>45047</v>
      </c>
      <c r="P36" s="10">
        <v>45023</v>
      </c>
      <c r="Q36" s="10">
        <v>45026</v>
      </c>
      <c r="R36" s="10">
        <v>45241</v>
      </c>
      <c r="S36" s="10">
        <v>45285</v>
      </c>
      <c r="T36" s="10">
        <v>45231</v>
      </c>
      <c r="U36" s="10">
        <v>45266</v>
      </c>
      <c r="V36" s="10"/>
      <c r="W36" s="10">
        <v>45884</v>
      </c>
      <c r="X36" s="10">
        <v>45928</v>
      </c>
      <c r="Y36" s="107"/>
      <c r="Z36" s="107"/>
      <c r="AA36" s="107"/>
      <c r="AB36" s="107"/>
      <c r="AC36" s="107"/>
      <c r="AD36" s="107"/>
    </row>
    <row r="37" spans="2:30">
      <c r="B37" s="10">
        <v>45285</v>
      </c>
      <c r="C37" s="10">
        <v>45085</v>
      </c>
      <c r="D37" s="10">
        <v>45285</v>
      </c>
      <c r="E37" s="10">
        <v>45026</v>
      </c>
      <c r="F37" s="10">
        <v>45285</v>
      </c>
      <c r="G37" s="10">
        <v>45064</v>
      </c>
      <c r="H37" s="110">
        <v>45596</v>
      </c>
      <c r="I37" s="110">
        <v>46381</v>
      </c>
      <c r="J37" s="10"/>
      <c r="K37" s="10">
        <v>45197</v>
      </c>
      <c r="L37" s="110">
        <v>45292</v>
      </c>
      <c r="M37" s="110">
        <v>44839</v>
      </c>
      <c r="N37" s="10">
        <v>45253</v>
      </c>
      <c r="O37" s="10">
        <v>45074</v>
      </c>
      <c r="P37" s="10">
        <v>45037</v>
      </c>
      <c r="Q37" s="10">
        <v>45047</v>
      </c>
      <c r="R37" s="10">
        <v>45285</v>
      </c>
      <c r="S37" s="110">
        <v>45292</v>
      </c>
      <c r="T37" s="10">
        <v>45266</v>
      </c>
      <c r="U37" s="10">
        <v>45268</v>
      </c>
      <c r="V37" s="10"/>
      <c r="W37" s="10">
        <v>45962</v>
      </c>
      <c r="X37" s="10">
        <v>45941</v>
      </c>
      <c r="Y37" s="107"/>
      <c r="Z37" s="107"/>
      <c r="AA37" s="107"/>
      <c r="AB37" s="107"/>
      <c r="AC37" s="107"/>
      <c r="AD37" s="107"/>
    </row>
    <row r="38" spans="2:30">
      <c r="B38" s="10">
        <v>45286</v>
      </c>
      <c r="C38" s="10">
        <v>45202</v>
      </c>
      <c r="D38" s="10">
        <v>45286</v>
      </c>
      <c r="E38" s="10">
        <v>45047</v>
      </c>
      <c r="F38" s="10">
        <v>45286</v>
      </c>
      <c r="G38" s="10">
        <v>45074</v>
      </c>
      <c r="H38" s="110">
        <v>45650</v>
      </c>
      <c r="I38" s="110">
        <v>46387</v>
      </c>
      <c r="J38" s="10"/>
      <c r="K38" s="10">
        <v>45227</v>
      </c>
      <c r="L38" s="110">
        <v>45383</v>
      </c>
      <c r="M38" s="110">
        <v>44840</v>
      </c>
      <c r="N38" s="10">
        <v>45254</v>
      </c>
      <c r="O38" s="10">
        <v>45075</v>
      </c>
      <c r="P38" s="10">
        <v>45047</v>
      </c>
      <c r="Q38" s="10">
        <v>45064</v>
      </c>
      <c r="R38" s="110">
        <v>45292</v>
      </c>
      <c r="S38" s="110">
        <v>45297</v>
      </c>
      <c r="T38" s="10">
        <v>45268</v>
      </c>
      <c r="U38" s="10">
        <v>45285</v>
      </c>
      <c r="V38" s="10"/>
      <c r="W38" s="10">
        <v>45972</v>
      </c>
      <c r="X38" s="110">
        <v>46026</v>
      </c>
      <c r="Y38" s="107"/>
      <c r="Z38" s="107"/>
      <c r="AA38" s="107"/>
      <c r="AB38" s="107"/>
      <c r="AC38" s="107"/>
      <c r="AD38" s="107"/>
    </row>
    <row r="39" spans="2:30">
      <c r="B39" s="110">
        <v>45292</v>
      </c>
      <c r="C39" s="10">
        <v>45231</v>
      </c>
      <c r="D39" s="110">
        <v>45292</v>
      </c>
      <c r="E39" s="10">
        <v>45064</v>
      </c>
      <c r="F39" s="110">
        <v>45292</v>
      </c>
      <c r="G39" s="10">
        <v>45075</v>
      </c>
      <c r="H39" s="110">
        <v>45651</v>
      </c>
      <c r="I39" s="110">
        <v>46326</v>
      </c>
      <c r="J39" s="10"/>
      <c r="K39" s="10">
        <v>45247</v>
      </c>
      <c r="L39" s="110">
        <v>45413</v>
      </c>
      <c r="M39" s="110">
        <v>44841</v>
      </c>
      <c r="N39" s="10">
        <v>45285</v>
      </c>
      <c r="O39" s="10">
        <v>45158</v>
      </c>
      <c r="P39" s="10">
        <v>45085</v>
      </c>
      <c r="Q39" s="10">
        <v>45074</v>
      </c>
      <c r="R39" s="110">
        <v>45383</v>
      </c>
      <c r="S39" s="110">
        <v>45320</v>
      </c>
      <c r="T39" s="10">
        <v>45285</v>
      </c>
      <c r="U39" s="110">
        <v>45292</v>
      </c>
      <c r="V39" s="10"/>
      <c r="W39" s="10">
        <v>46016</v>
      </c>
      <c r="X39" s="110">
        <v>46067</v>
      </c>
      <c r="Y39" s="107"/>
      <c r="Z39" s="107"/>
      <c r="AA39" s="107"/>
      <c r="AB39" s="107"/>
      <c r="AC39" s="107"/>
      <c r="AD39" s="107"/>
    </row>
    <row r="40" spans="2:30">
      <c r="B40" s="110">
        <v>45359</v>
      </c>
      <c r="C40" s="10">
        <v>45285</v>
      </c>
      <c r="D40" s="110">
        <v>45380</v>
      </c>
      <c r="E40" s="10">
        <v>45074</v>
      </c>
      <c r="F40" s="110">
        <v>45380</v>
      </c>
      <c r="G40" s="10">
        <v>45085</v>
      </c>
      <c r="H40" s="110">
        <v>45652</v>
      </c>
      <c r="I40" s="110">
        <v>46344</v>
      </c>
      <c r="J40" s="10"/>
      <c r="K40" s="10">
        <v>45284</v>
      </c>
      <c r="L40" s="110">
        <v>45421</v>
      </c>
      <c r="M40" s="10">
        <v>44927</v>
      </c>
      <c r="N40" s="10">
        <v>45286</v>
      </c>
      <c r="O40" s="10">
        <v>45222</v>
      </c>
      <c r="P40" s="10">
        <v>45116</v>
      </c>
      <c r="Q40" s="10">
        <v>45075</v>
      </c>
      <c r="R40" s="110">
        <v>45413</v>
      </c>
      <c r="S40" s="110">
        <v>45356</v>
      </c>
      <c r="T40" s="110">
        <v>45292</v>
      </c>
      <c r="U40" s="110">
        <v>45297</v>
      </c>
      <c r="V40" s="10"/>
      <c r="W40" s="10">
        <v>45765</v>
      </c>
      <c r="X40" s="110">
        <v>46081</v>
      </c>
      <c r="Y40" s="107"/>
      <c r="Z40" s="107"/>
      <c r="AA40" s="107"/>
      <c r="AB40" s="107"/>
      <c r="AC40" s="107"/>
      <c r="AD40" s="107"/>
    </row>
    <row r="41" spans="2:30">
      <c r="B41" s="110">
        <v>45380</v>
      </c>
      <c r="C41" s="10">
        <v>45286</v>
      </c>
      <c r="D41" s="110">
        <v>45382</v>
      </c>
      <c r="E41" s="10">
        <v>45075</v>
      </c>
      <c r="F41" s="110">
        <v>45382</v>
      </c>
      <c r="G41" s="10">
        <v>45202</v>
      </c>
      <c r="H41" s="110">
        <v>45657</v>
      </c>
      <c r="I41" s="10"/>
      <c r="J41" s="10"/>
      <c r="K41" s="10">
        <v>45285</v>
      </c>
      <c r="L41" s="110">
        <v>45432</v>
      </c>
      <c r="M41" s="10">
        <v>44928</v>
      </c>
      <c r="N41" s="110">
        <v>45292</v>
      </c>
      <c r="O41" s="10">
        <v>45231</v>
      </c>
      <c r="P41" s="10">
        <v>45176</v>
      </c>
      <c r="Q41" s="10">
        <v>45085</v>
      </c>
      <c r="R41" s="110">
        <v>45420</v>
      </c>
      <c r="S41" s="110">
        <v>45379</v>
      </c>
      <c r="T41" s="110">
        <v>45297</v>
      </c>
      <c r="U41" s="110">
        <v>45379</v>
      </c>
      <c r="V41" s="10"/>
      <c r="W41" s="10">
        <v>46017</v>
      </c>
      <c r="X41" s="110">
        <v>46151</v>
      </c>
      <c r="Y41" s="107"/>
      <c r="Z41" s="107"/>
      <c r="AA41" s="107"/>
      <c r="AB41" s="107"/>
      <c r="AC41" s="107"/>
      <c r="AD41" s="107"/>
    </row>
    <row r="42" spans="2:30">
      <c r="B42" s="110">
        <v>45382</v>
      </c>
      <c r="C42" s="110">
        <v>45292</v>
      </c>
      <c r="D42" s="110">
        <v>45383</v>
      </c>
      <c r="E42" s="10">
        <v>45085</v>
      </c>
      <c r="F42" s="110">
        <v>45383</v>
      </c>
      <c r="G42" s="10">
        <v>45231</v>
      </c>
      <c r="H42" s="10">
        <v>45658</v>
      </c>
      <c r="I42" s="10"/>
      <c r="J42" s="10"/>
      <c r="K42" s="10">
        <v>45286</v>
      </c>
      <c r="L42" s="110">
        <v>45494</v>
      </c>
      <c r="M42" s="10">
        <v>44948</v>
      </c>
      <c r="N42" s="110">
        <v>45292</v>
      </c>
      <c r="O42" s="10">
        <v>45284</v>
      </c>
      <c r="P42" s="10">
        <v>45211</v>
      </c>
      <c r="Q42" s="10">
        <v>45153</v>
      </c>
      <c r="R42" s="110">
        <v>45421</v>
      </c>
      <c r="S42" s="110">
        <v>45380</v>
      </c>
      <c r="T42" s="110">
        <v>45335</v>
      </c>
      <c r="U42" s="110">
        <v>45380</v>
      </c>
      <c r="V42" s="10"/>
      <c r="W42" s="110">
        <v>46023</v>
      </c>
      <c r="X42" s="110">
        <v>46285</v>
      </c>
      <c r="Y42" s="107"/>
      <c r="Z42" s="107"/>
      <c r="AA42" s="107"/>
      <c r="AB42" s="107"/>
      <c r="AC42" s="107"/>
      <c r="AD42" s="107"/>
    </row>
    <row r="43" spans="2:30">
      <c r="B43" s="110">
        <v>45383</v>
      </c>
      <c r="C43" s="110">
        <v>45380</v>
      </c>
      <c r="D43" s="110">
        <v>45413</v>
      </c>
      <c r="E43" s="10">
        <v>45153</v>
      </c>
      <c r="F43" s="110">
        <v>45413</v>
      </c>
      <c r="G43" s="10">
        <v>45285</v>
      </c>
      <c r="H43" s="10">
        <v>45765</v>
      </c>
      <c r="I43" s="10"/>
      <c r="J43" s="10"/>
      <c r="K43" s="110">
        <v>45292</v>
      </c>
      <c r="L43" s="110">
        <v>45519</v>
      </c>
      <c r="M43" s="10">
        <v>44949</v>
      </c>
      <c r="N43" s="110">
        <v>45306</v>
      </c>
      <c r="O43" s="10">
        <v>45285</v>
      </c>
      <c r="P43" s="10">
        <v>45232</v>
      </c>
      <c r="Q43" s="10">
        <v>45225</v>
      </c>
      <c r="R43" s="110">
        <v>45431</v>
      </c>
      <c r="S43" s="110">
        <v>45405</v>
      </c>
      <c r="T43" s="110">
        <v>45379</v>
      </c>
      <c r="U43" s="110">
        <v>45413</v>
      </c>
      <c r="V43" s="10"/>
      <c r="W43" s="110">
        <v>46118</v>
      </c>
      <c r="X43" s="110">
        <v>46305</v>
      </c>
      <c r="Y43" s="107"/>
      <c r="Z43" s="107"/>
      <c r="AA43" s="107"/>
      <c r="AB43" s="107"/>
      <c r="AC43" s="107"/>
      <c r="AD43" s="107"/>
    </row>
    <row r="44" spans="2:30">
      <c r="B44" s="110">
        <v>45413</v>
      </c>
      <c r="C44" s="110">
        <v>45382</v>
      </c>
      <c r="D44" s="110">
        <v>45421</v>
      </c>
      <c r="E44" s="10">
        <v>45202</v>
      </c>
      <c r="F44" s="110">
        <v>45421</v>
      </c>
      <c r="G44" s="10">
        <v>45286</v>
      </c>
      <c r="H44" s="10">
        <v>45767</v>
      </c>
      <c r="I44" s="10"/>
      <c r="J44" s="10"/>
      <c r="K44" s="110">
        <v>45380</v>
      </c>
      <c r="L44" s="110">
        <v>45597</v>
      </c>
      <c r="M44" s="10">
        <v>44950</v>
      </c>
      <c r="N44" s="110">
        <v>45341</v>
      </c>
      <c r="O44" s="10">
        <v>45286</v>
      </c>
      <c r="P44" s="10">
        <v>45245</v>
      </c>
      <c r="Q44" s="10">
        <v>45231</v>
      </c>
      <c r="R44" s="110">
        <v>45487</v>
      </c>
      <c r="S44" s="110">
        <v>45413</v>
      </c>
      <c r="T44" s="110">
        <v>45380</v>
      </c>
      <c r="U44" s="110">
        <v>45414</v>
      </c>
      <c r="V44" s="10"/>
      <c r="W44" s="110">
        <v>46143</v>
      </c>
      <c r="X44" s="107"/>
      <c r="Y44" s="107"/>
      <c r="Z44" s="107"/>
      <c r="AA44" s="107"/>
      <c r="AB44" s="107"/>
      <c r="AC44" s="107"/>
      <c r="AD44" s="107"/>
    </row>
    <row r="45" spans="2:30">
      <c r="B45" s="110">
        <v>45421</v>
      </c>
      <c r="C45" s="110">
        <v>45383</v>
      </c>
      <c r="D45" s="110">
        <v>45431</v>
      </c>
      <c r="E45" s="10">
        <v>45231</v>
      </c>
      <c r="F45" s="110">
        <v>45431</v>
      </c>
      <c r="G45" s="110">
        <v>45292</v>
      </c>
      <c r="H45" s="10">
        <v>45768</v>
      </c>
      <c r="I45" s="10"/>
      <c r="J45" s="10"/>
      <c r="K45" s="110">
        <v>45383</v>
      </c>
      <c r="L45" s="110">
        <v>45607</v>
      </c>
      <c r="M45" s="10">
        <v>44951</v>
      </c>
      <c r="N45" s="110">
        <v>45380</v>
      </c>
      <c r="O45" s="10">
        <v>45291</v>
      </c>
      <c r="P45" s="10">
        <v>45250</v>
      </c>
      <c r="Q45" s="10">
        <v>45268</v>
      </c>
      <c r="R45" s="110">
        <v>45519</v>
      </c>
      <c r="S45" s="110">
        <v>45519</v>
      </c>
      <c r="T45" s="110">
        <v>45413</v>
      </c>
      <c r="U45" s="110">
        <v>45427</v>
      </c>
      <c r="V45" s="10"/>
      <c r="W45" s="110">
        <v>46150</v>
      </c>
      <c r="X45" s="107"/>
      <c r="Y45" s="107"/>
      <c r="Z45" s="107"/>
      <c r="AA45" s="107"/>
      <c r="AB45" s="107"/>
      <c r="AC45" s="107"/>
      <c r="AD45" s="107"/>
    </row>
    <row r="46" spans="2:30">
      <c r="B46" s="110">
        <v>45431</v>
      </c>
      <c r="C46" s="110">
        <v>45413</v>
      </c>
      <c r="D46" s="110">
        <v>45432</v>
      </c>
      <c r="E46" s="10">
        <v>45285</v>
      </c>
      <c r="F46" s="110">
        <v>45432</v>
      </c>
      <c r="G46" s="110">
        <v>45297</v>
      </c>
      <c r="H46" s="10">
        <v>45778</v>
      </c>
      <c r="I46" s="10"/>
      <c r="J46" s="10"/>
      <c r="K46" s="110">
        <v>45413</v>
      </c>
      <c r="L46" s="110">
        <v>45651</v>
      </c>
      <c r="M46" s="10">
        <v>44952</v>
      </c>
      <c r="N46" s="110">
        <v>45382</v>
      </c>
      <c r="O46" s="110">
        <v>45292</v>
      </c>
      <c r="P46" s="10">
        <v>45268</v>
      </c>
      <c r="Q46" s="10">
        <v>45285</v>
      </c>
      <c r="R46" s="110">
        <v>45597</v>
      </c>
      <c r="S46" s="110">
        <v>45577</v>
      </c>
      <c r="T46" s="110">
        <v>45429</v>
      </c>
      <c r="U46" s="110">
        <v>45498</v>
      </c>
      <c r="V46" s="10"/>
      <c r="W46" s="110">
        <v>46156</v>
      </c>
    </row>
    <row r="47" spans="2:30">
      <c r="B47" s="110">
        <v>45432</v>
      </c>
      <c r="C47" s="110">
        <v>45421</v>
      </c>
      <c r="D47" s="110">
        <v>45568</v>
      </c>
      <c r="E47" s="10">
        <v>45286</v>
      </c>
      <c r="F47" s="110">
        <v>45442</v>
      </c>
      <c r="G47" s="110">
        <v>45380</v>
      </c>
      <c r="H47" s="10">
        <v>45806</v>
      </c>
      <c r="I47" s="10"/>
      <c r="J47" s="10"/>
      <c r="K47" s="110">
        <v>45420</v>
      </c>
      <c r="L47" s="10">
        <v>45658</v>
      </c>
      <c r="M47" s="10">
        <v>44953</v>
      </c>
      <c r="N47" s="110">
        <v>45439</v>
      </c>
      <c r="O47" s="110">
        <v>45366</v>
      </c>
      <c r="P47" s="10">
        <v>45285</v>
      </c>
      <c r="Q47" s="10">
        <v>45286</v>
      </c>
      <c r="R47" s="110">
        <v>45607</v>
      </c>
      <c r="S47" s="110">
        <v>45597</v>
      </c>
      <c r="T47" s="110">
        <v>45498</v>
      </c>
      <c r="U47" s="110">
        <v>45519</v>
      </c>
      <c r="V47" s="10"/>
      <c r="W47" s="110">
        <v>46217</v>
      </c>
    </row>
    <row r="48" spans="2:30">
      <c r="B48" s="110">
        <v>45568</v>
      </c>
      <c r="C48" s="110">
        <v>45431</v>
      </c>
      <c r="D48" s="110">
        <v>45596</v>
      </c>
      <c r="E48" s="110">
        <v>45292</v>
      </c>
      <c r="F48" s="110">
        <v>45568</v>
      </c>
      <c r="G48" s="110">
        <v>45382</v>
      </c>
      <c r="H48" s="10">
        <v>45816</v>
      </c>
      <c r="I48" s="10"/>
      <c r="J48" s="10"/>
      <c r="K48" s="110">
        <v>45478</v>
      </c>
      <c r="L48" s="10">
        <v>45768</v>
      </c>
      <c r="M48" s="10">
        <v>45021</v>
      </c>
      <c r="N48" s="110">
        <v>45462</v>
      </c>
      <c r="O48" s="110">
        <v>45380</v>
      </c>
      <c r="P48" s="110">
        <v>45292</v>
      </c>
      <c r="Q48" s="110">
        <v>45292</v>
      </c>
      <c r="R48" s="110">
        <v>45651</v>
      </c>
      <c r="S48" s="110">
        <v>45632</v>
      </c>
      <c r="T48" s="110">
        <v>45519</v>
      </c>
      <c r="U48" s="110">
        <v>45577</v>
      </c>
      <c r="V48" s="10"/>
      <c r="W48" s="110">
        <v>46249</v>
      </c>
    </row>
    <row r="49" spans="2:23">
      <c r="B49" s="110">
        <v>45650</v>
      </c>
      <c r="C49" s="110">
        <v>45432</v>
      </c>
      <c r="D49" s="110">
        <v>45650</v>
      </c>
      <c r="E49" s="110">
        <v>45297</v>
      </c>
      <c r="F49" s="110">
        <v>45650</v>
      </c>
      <c r="G49" s="110">
        <v>45383</v>
      </c>
      <c r="H49" s="10">
        <v>45817</v>
      </c>
      <c r="I49" s="10"/>
      <c r="J49" s="10"/>
      <c r="K49" s="110">
        <v>45479</v>
      </c>
      <c r="L49" s="10">
        <v>45778</v>
      </c>
      <c r="M49" s="10">
        <v>45047</v>
      </c>
      <c r="N49" s="110">
        <v>45477</v>
      </c>
      <c r="O49" s="110">
        <v>45383</v>
      </c>
      <c r="P49" s="110">
        <v>45335</v>
      </c>
      <c r="Q49" s="110">
        <v>45297</v>
      </c>
      <c r="R49" s="10">
        <v>45658</v>
      </c>
      <c r="S49" s="110">
        <v>45635</v>
      </c>
      <c r="T49" s="110">
        <v>45520</v>
      </c>
      <c r="U49" s="110">
        <v>45597</v>
      </c>
      <c r="V49" s="10"/>
      <c r="W49" s="110">
        <v>46327</v>
      </c>
    </row>
    <row r="50" spans="2:23">
      <c r="B50" s="110">
        <v>45651</v>
      </c>
      <c r="C50" s="110">
        <v>45442</v>
      </c>
      <c r="D50" s="110">
        <v>45651</v>
      </c>
      <c r="E50" s="110">
        <v>45380</v>
      </c>
      <c r="F50" s="110">
        <v>45651</v>
      </c>
      <c r="G50" s="110">
        <v>45413</v>
      </c>
      <c r="H50" s="10">
        <v>45933</v>
      </c>
      <c r="I50" s="10"/>
      <c r="J50" s="10"/>
      <c r="K50" s="110">
        <v>45563</v>
      </c>
      <c r="L50" s="10">
        <v>45806</v>
      </c>
      <c r="M50" s="10">
        <v>45048</v>
      </c>
      <c r="N50" s="110">
        <v>45537</v>
      </c>
      <c r="O50" s="110">
        <v>45413</v>
      </c>
      <c r="P50" s="110">
        <v>45380</v>
      </c>
      <c r="Q50" s="110">
        <v>45382</v>
      </c>
      <c r="R50" s="10">
        <v>45768</v>
      </c>
      <c r="S50" s="110">
        <v>45651</v>
      </c>
      <c r="T50" s="110">
        <v>45577</v>
      </c>
      <c r="U50" s="110">
        <v>45605</v>
      </c>
      <c r="V50" s="10"/>
      <c r="W50" s="110">
        <v>46337</v>
      </c>
    </row>
    <row r="51" spans="2:23">
      <c r="B51" s="110">
        <v>45652</v>
      </c>
      <c r="C51" s="110">
        <v>45568</v>
      </c>
      <c r="D51" s="110">
        <v>45652</v>
      </c>
      <c r="E51" s="110">
        <v>45382</v>
      </c>
      <c r="F51" s="110">
        <v>45652</v>
      </c>
      <c r="G51" s="110">
        <v>45421</v>
      </c>
      <c r="H51" s="10">
        <v>46016</v>
      </c>
      <c r="I51" s="10"/>
      <c r="J51" s="10"/>
      <c r="K51" s="110">
        <v>45593</v>
      </c>
      <c r="L51" s="10">
        <v>45817</v>
      </c>
      <c r="M51" s="10">
        <v>45049</v>
      </c>
      <c r="N51" s="110">
        <v>45624</v>
      </c>
      <c r="O51" s="110">
        <v>45432</v>
      </c>
      <c r="P51" s="110">
        <v>45403</v>
      </c>
      <c r="Q51" s="110">
        <v>45383</v>
      </c>
      <c r="R51" s="10">
        <v>45778</v>
      </c>
      <c r="S51" s="10">
        <v>45658</v>
      </c>
      <c r="T51" s="110">
        <v>45597</v>
      </c>
      <c r="U51" s="110">
        <v>45632</v>
      </c>
      <c r="V51" s="10"/>
      <c r="W51" s="110">
        <v>46381</v>
      </c>
    </row>
    <row r="52" spans="2:23">
      <c r="B52" s="110">
        <v>45657</v>
      </c>
      <c r="C52" s="110">
        <v>45597</v>
      </c>
      <c r="D52" s="110">
        <v>45657</v>
      </c>
      <c r="E52" s="110">
        <v>45383</v>
      </c>
      <c r="F52" s="110">
        <v>45657</v>
      </c>
      <c r="G52" s="110">
        <v>45431</v>
      </c>
      <c r="H52" s="10">
        <v>46017</v>
      </c>
      <c r="I52" s="10"/>
      <c r="J52" s="10"/>
      <c r="K52" s="110">
        <v>45613</v>
      </c>
      <c r="L52" s="10">
        <v>45859</v>
      </c>
      <c r="M52" s="10">
        <v>45099</v>
      </c>
      <c r="N52" s="110">
        <v>45625</v>
      </c>
      <c r="O52" s="110">
        <v>45523</v>
      </c>
      <c r="P52" s="110">
        <v>45413</v>
      </c>
      <c r="Q52" s="110">
        <v>45413</v>
      </c>
      <c r="R52" s="10">
        <v>45785</v>
      </c>
      <c r="S52" s="10">
        <v>45765</v>
      </c>
      <c r="T52" s="110">
        <v>45632</v>
      </c>
      <c r="U52" s="110">
        <v>45651</v>
      </c>
      <c r="V52" s="10"/>
      <c r="W52" s="110">
        <v>46115</v>
      </c>
    </row>
    <row r="53" spans="2:23">
      <c r="B53" s="10">
        <v>45658</v>
      </c>
      <c r="C53" s="110">
        <v>45650</v>
      </c>
      <c r="D53" s="10">
        <v>45658</v>
      </c>
      <c r="E53" s="110">
        <v>45413</v>
      </c>
      <c r="F53" s="10">
        <v>45658</v>
      </c>
      <c r="G53" s="110">
        <v>45432</v>
      </c>
      <c r="H53" s="10">
        <v>46015</v>
      </c>
      <c r="I53" s="10"/>
      <c r="J53" s="10"/>
      <c r="K53" s="110">
        <v>45650</v>
      </c>
      <c r="L53" s="10">
        <v>45884</v>
      </c>
      <c r="M53" s="10">
        <v>45100</v>
      </c>
      <c r="N53" s="110">
        <v>45650</v>
      </c>
      <c r="O53" s="110">
        <v>45524</v>
      </c>
      <c r="P53" s="110">
        <v>45442</v>
      </c>
      <c r="Q53" s="110">
        <v>45421</v>
      </c>
      <c r="R53" s="10">
        <v>45806</v>
      </c>
      <c r="S53" s="10">
        <v>45778</v>
      </c>
      <c r="T53" s="110">
        <v>45651</v>
      </c>
      <c r="U53" s="10">
        <v>45658</v>
      </c>
      <c r="V53" s="10"/>
      <c r="W53" s="110">
        <v>46382</v>
      </c>
    </row>
    <row r="54" spans="2:23">
      <c r="B54" s="10">
        <v>45765</v>
      </c>
      <c r="C54" s="110">
        <v>45651</v>
      </c>
      <c r="D54" s="10">
        <v>45765</v>
      </c>
      <c r="E54" s="110">
        <v>45421</v>
      </c>
      <c r="F54" s="10">
        <v>45765</v>
      </c>
      <c r="G54" s="110">
        <v>45442</v>
      </c>
      <c r="H54" s="10">
        <v>46022</v>
      </c>
      <c r="I54" s="10"/>
      <c r="J54" s="10"/>
      <c r="K54" s="110">
        <v>45651</v>
      </c>
      <c r="L54" s="10">
        <v>45962</v>
      </c>
      <c r="M54" s="10">
        <v>45198</v>
      </c>
      <c r="N54" s="110">
        <v>45651</v>
      </c>
      <c r="O54" s="110">
        <v>45588</v>
      </c>
      <c r="P54" s="110">
        <v>45482</v>
      </c>
      <c r="Q54" s="110">
        <v>45431</v>
      </c>
      <c r="R54" s="10">
        <v>45852</v>
      </c>
      <c r="S54" s="10">
        <v>45884</v>
      </c>
      <c r="T54" s="10">
        <v>45658</v>
      </c>
      <c r="U54" s="10">
        <v>45765</v>
      </c>
      <c r="V54" s="10"/>
      <c r="W54" s="10"/>
    </row>
    <row r="55" spans="2:23">
      <c r="B55" s="10">
        <v>45767</v>
      </c>
      <c r="C55" s="110">
        <v>45652</v>
      </c>
      <c r="D55" s="10">
        <v>45767</v>
      </c>
      <c r="E55" s="110">
        <v>45431</v>
      </c>
      <c r="F55" s="10">
        <v>45767</v>
      </c>
      <c r="G55" s="110">
        <v>45568</v>
      </c>
      <c r="H55" s="110">
        <v>46023</v>
      </c>
      <c r="I55" s="10"/>
      <c r="J55" s="10"/>
      <c r="K55" s="110">
        <v>45652</v>
      </c>
      <c r="L55" s="10">
        <v>45972</v>
      </c>
      <c r="M55" s="10">
        <v>45200</v>
      </c>
      <c r="N55" s="110">
        <v>45657</v>
      </c>
      <c r="O55" s="110">
        <v>45597</v>
      </c>
      <c r="P55" s="110">
        <v>45542</v>
      </c>
      <c r="Q55" s="110">
        <v>45432</v>
      </c>
      <c r="R55" s="10">
        <v>45884</v>
      </c>
      <c r="S55" s="10">
        <v>45962</v>
      </c>
      <c r="T55" s="10">
        <v>45765</v>
      </c>
      <c r="U55" s="10">
        <v>45778</v>
      </c>
      <c r="V55" s="10"/>
      <c r="W55" s="10"/>
    </row>
    <row r="56" spans="2:23">
      <c r="B56" s="10">
        <v>45768</v>
      </c>
      <c r="C56" s="110">
        <v>45657</v>
      </c>
      <c r="D56" s="10">
        <v>45768</v>
      </c>
      <c r="E56" s="110">
        <v>45432</v>
      </c>
      <c r="F56" s="10">
        <v>45768</v>
      </c>
      <c r="G56" s="110">
        <v>45597</v>
      </c>
      <c r="H56" s="110">
        <v>46115</v>
      </c>
      <c r="I56" s="10"/>
      <c r="J56" s="10"/>
      <c r="K56" s="10">
        <v>45658</v>
      </c>
      <c r="L56" s="10">
        <v>46016</v>
      </c>
      <c r="M56" s="10">
        <v>45201</v>
      </c>
      <c r="N56" s="10">
        <v>45658</v>
      </c>
      <c r="O56" s="110">
        <v>45650</v>
      </c>
      <c r="P56" s="110">
        <v>45577</v>
      </c>
      <c r="Q56" s="110">
        <v>45442</v>
      </c>
      <c r="R56" s="10">
        <v>45962</v>
      </c>
      <c r="S56" s="10">
        <v>45997</v>
      </c>
      <c r="T56" s="10">
        <v>45778</v>
      </c>
      <c r="U56" s="10">
        <v>45884</v>
      </c>
      <c r="V56" s="10"/>
      <c r="W56" s="10"/>
    </row>
    <row r="57" spans="2:23">
      <c r="B57" s="10">
        <v>45778</v>
      </c>
      <c r="C57" s="10">
        <v>45658</v>
      </c>
      <c r="D57" s="10">
        <v>45778</v>
      </c>
      <c r="E57" s="110">
        <v>45442</v>
      </c>
      <c r="F57" s="10">
        <v>45778</v>
      </c>
      <c r="G57" s="110">
        <v>45650</v>
      </c>
      <c r="H57" s="110">
        <v>46118</v>
      </c>
      <c r="I57" s="10"/>
      <c r="J57" s="10"/>
      <c r="K57" s="10">
        <v>45765</v>
      </c>
      <c r="L57" s="110">
        <v>46023</v>
      </c>
      <c r="M57" s="10">
        <v>45202</v>
      </c>
      <c r="N57" s="10">
        <v>45677</v>
      </c>
      <c r="O57" s="110">
        <v>45651</v>
      </c>
      <c r="P57" s="110">
        <v>45598</v>
      </c>
      <c r="Q57" s="110">
        <v>45519</v>
      </c>
      <c r="R57" s="10">
        <v>45972</v>
      </c>
      <c r="S57" s="10">
        <v>45999</v>
      </c>
      <c r="T57" s="10">
        <v>45884</v>
      </c>
      <c r="U57" s="10">
        <v>45962</v>
      </c>
      <c r="V57" s="10"/>
      <c r="W57" s="10"/>
    </row>
    <row r="58" spans="2:23">
      <c r="B58" s="10">
        <v>45806</v>
      </c>
      <c r="C58" s="10">
        <v>45765</v>
      </c>
      <c r="D58" s="10">
        <v>45806</v>
      </c>
      <c r="E58" s="110">
        <v>45519</v>
      </c>
      <c r="F58" s="10">
        <v>45806</v>
      </c>
      <c r="G58" s="110">
        <v>45651</v>
      </c>
      <c r="H58" s="110">
        <v>46143</v>
      </c>
      <c r="I58" s="10"/>
      <c r="J58" s="10"/>
      <c r="K58" s="10">
        <v>45768</v>
      </c>
      <c r="L58" s="110">
        <v>46118</v>
      </c>
      <c r="M58" s="10">
        <v>45203</v>
      </c>
      <c r="N58" s="10">
        <v>45705</v>
      </c>
      <c r="O58" s="110">
        <v>45653</v>
      </c>
      <c r="P58" s="110">
        <v>45611</v>
      </c>
      <c r="Q58" s="110">
        <v>45591</v>
      </c>
      <c r="R58" s="10">
        <v>46016</v>
      </c>
      <c r="S58" s="10">
        <v>46016</v>
      </c>
      <c r="T58" s="10">
        <v>45962</v>
      </c>
      <c r="U58" s="10">
        <v>45997</v>
      </c>
      <c r="V58" s="10"/>
      <c r="W58" s="10"/>
    </row>
    <row r="59" spans="2:23">
      <c r="B59" s="10">
        <v>45816</v>
      </c>
      <c r="C59" s="10">
        <v>45767</v>
      </c>
      <c r="D59" s="10">
        <v>45816</v>
      </c>
      <c r="E59" s="110">
        <v>45568</v>
      </c>
      <c r="F59" s="10">
        <v>45816</v>
      </c>
      <c r="G59" s="110">
        <v>45652</v>
      </c>
      <c r="H59" s="110">
        <v>46156</v>
      </c>
      <c r="I59" s="10"/>
      <c r="J59" s="10"/>
      <c r="K59" s="10">
        <v>45778</v>
      </c>
      <c r="L59" s="110">
        <v>46143</v>
      </c>
      <c r="M59" s="10">
        <v>45204</v>
      </c>
      <c r="N59" s="10">
        <v>45765</v>
      </c>
      <c r="O59" s="110">
        <v>45657</v>
      </c>
      <c r="P59" s="110">
        <v>45616</v>
      </c>
      <c r="Q59" s="110">
        <v>45597</v>
      </c>
      <c r="R59" s="110">
        <v>46023</v>
      </c>
      <c r="S59" s="10">
        <v>45663</v>
      </c>
      <c r="T59" s="10">
        <v>45997</v>
      </c>
      <c r="U59" s="10">
        <v>45999</v>
      </c>
      <c r="V59" s="10"/>
      <c r="W59" s="107"/>
    </row>
    <row r="60" spans="2:23">
      <c r="B60" s="10">
        <v>45817</v>
      </c>
      <c r="C60" s="10">
        <v>45768</v>
      </c>
      <c r="D60" s="10">
        <v>45817</v>
      </c>
      <c r="E60" s="110">
        <v>45597</v>
      </c>
      <c r="F60" s="10">
        <v>45817</v>
      </c>
      <c r="G60" s="110">
        <v>45657</v>
      </c>
      <c r="H60" s="110">
        <v>46167</v>
      </c>
      <c r="I60" s="10"/>
      <c r="J60" s="10"/>
      <c r="K60" s="10">
        <v>45785</v>
      </c>
      <c r="L60" s="110">
        <v>46156</v>
      </c>
      <c r="M60" s="10">
        <v>45205</v>
      </c>
      <c r="N60" s="10">
        <v>45768</v>
      </c>
      <c r="O60" s="10">
        <v>45658</v>
      </c>
      <c r="P60" s="110">
        <v>45634</v>
      </c>
      <c r="Q60" s="110">
        <v>45634</v>
      </c>
      <c r="R60" s="110">
        <v>46118</v>
      </c>
      <c r="S60" s="10">
        <v>45686</v>
      </c>
      <c r="T60" s="10">
        <v>45999</v>
      </c>
      <c r="U60" s="10">
        <v>46016</v>
      </c>
      <c r="V60" s="10"/>
      <c r="W60" s="107"/>
    </row>
    <row r="61" spans="2:23">
      <c r="B61" s="10">
        <v>45933</v>
      </c>
      <c r="C61" s="10">
        <v>45778</v>
      </c>
      <c r="D61" s="10">
        <v>45933</v>
      </c>
      <c r="E61" s="110">
        <v>45650</v>
      </c>
      <c r="F61" s="10">
        <v>45933</v>
      </c>
      <c r="G61" s="10">
        <v>45658</v>
      </c>
      <c r="H61" s="110">
        <v>46298</v>
      </c>
      <c r="I61" s="10"/>
      <c r="J61" s="10"/>
      <c r="K61" s="10">
        <v>45843</v>
      </c>
      <c r="L61" s="110">
        <v>46167</v>
      </c>
      <c r="M61" s="110">
        <v>45292</v>
      </c>
      <c r="N61" s="10">
        <v>45803</v>
      </c>
      <c r="O61" s="10">
        <v>45765</v>
      </c>
      <c r="P61" s="110">
        <v>45650</v>
      </c>
      <c r="Q61" s="110">
        <v>45650</v>
      </c>
      <c r="R61" s="110">
        <v>46143</v>
      </c>
      <c r="S61" s="10">
        <v>45721</v>
      </c>
      <c r="T61" s="10">
        <v>46016</v>
      </c>
      <c r="U61" s="10">
        <v>45663</v>
      </c>
      <c r="V61" s="10"/>
      <c r="W61" s="107"/>
    </row>
    <row r="62" spans="2:23">
      <c r="B62" s="10">
        <v>46016</v>
      </c>
      <c r="C62" s="10">
        <v>45806</v>
      </c>
      <c r="D62" s="10">
        <v>46016</v>
      </c>
      <c r="E62" s="110">
        <v>45651</v>
      </c>
      <c r="F62" s="10">
        <v>46016</v>
      </c>
      <c r="G62" s="10">
        <v>45765</v>
      </c>
      <c r="H62" s="110">
        <v>46380</v>
      </c>
      <c r="I62" s="10"/>
      <c r="J62" s="10"/>
      <c r="K62" s="10">
        <v>45844</v>
      </c>
      <c r="L62" s="110">
        <v>46214</v>
      </c>
      <c r="M62" s="110">
        <v>45334</v>
      </c>
      <c r="N62" s="10">
        <v>45827</v>
      </c>
      <c r="O62" s="10">
        <v>45768</v>
      </c>
      <c r="P62" s="110">
        <v>45651</v>
      </c>
      <c r="Q62" s="110">
        <v>45651</v>
      </c>
      <c r="R62" s="110">
        <v>46150</v>
      </c>
      <c r="S62" s="10">
        <v>45764</v>
      </c>
      <c r="T62" s="10">
        <v>45663</v>
      </c>
      <c r="U62" s="10">
        <v>45764</v>
      </c>
      <c r="V62" s="10"/>
      <c r="W62" s="107"/>
    </row>
    <row r="63" spans="2:23">
      <c r="B63" s="10">
        <v>46017</v>
      </c>
      <c r="C63" s="10">
        <v>45816</v>
      </c>
      <c r="D63" s="10">
        <v>46017</v>
      </c>
      <c r="E63" s="110">
        <v>45652</v>
      </c>
      <c r="F63" s="10">
        <v>46017</v>
      </c>
      <c r="G63" s="10">
        <v>45767</v>
      </c>
      <c r="H63" s="110">
        <v>46381</v>
      </c>
      <c r="I63" s="10"/>
      <c r="J63" s="10"/>
      <c r="K63" s="10">
        <v>45928</v>
      </c>
      <c r="L63" s="110">
        <v>46224</v>
      </c>
      <c r="M63" s="110">
        <v>45335</v>
      </c>
      <c r="N63" s="10">
        <v>45842</v>
      </c>
      <c r="O63" s="10">
        <v>45778</v>
      </c>
      <c r="P63" s="110">
        <v>45657</v>
      </c>
      <c r="Q63" s="110">
        <v>45652</v>
      </c>
      <c r="R63" s="110">
        <v>46156</v>
      </c>
      <c r="S63" s="10">
        <v>45770</v>
      </c>
      <c r="T63" s="10">
        <v>45720</v>
      </c>
      <c r="U63" s="10">
        <v>45779</v>
      </c>
      <c r="V63" s="10"/>
      <c r="W63" s="107"/>
    </row>
    <row r="64" spans="2:23">
      <c r="B64" s="10">
        <v>45724</v>
      </c>
      <c r="C64" s="10">
        <v>45817</v>
      </c>
      <c r="D64" s="10">
        <v>45961</v>
      </c>
      <c r="E64" s="110">
        <v>45657</v>
      </c>
      <c r="F64" s="10">
        <v>45827</v>
      </c>
      <c r="G64" s="10">
        <v>45768</v>
      </c>
      <c r="H64" s="110">
        <v>46387</v>
      </c>
      <c r="I64" s="10"/>
      <c r="J64" s="10"/>
      <c r="K64" s="10">
        <v>45958</v>
      </c>
      <c r="L64" s="110">
        <v>46249</v>
      </c>
      <c r="M64" s="110">
        <v>45336</v>
      </c>
      <c r="N64" s="10">
        <v>45901</v>
      </c>
      <c r="O64" s="10">
        <v>45779</v>
      </c>
      <c r="P64" s="10">
        <v>45658</v>
      </c>
      <c r="Q64" s="110">
        <v>45657</v>
      </c>
      <c r="R64" s="110">
        <v>46217</v>
      </c>
      <c r="S64" s="10">
        <v>45943</v>
      </c>
      <c r="T64" s="10">
        <v>45744</v>
      </c>
      <c r="U64" s="10">
        <v>45792</v>
      </c>
      <c r="V64" s="10"/>
      <c r="W64" s="107"/>
    </row>
    <row r="65" spans="2:23">
      <c r="B65" s="10">
        <v>45785</v>
      </c>
      <c r="C65" s="10">
        <v>45933</v>
      </c>
      <c r="D65" s="10">
        <v>46015</v>
      </c>
      <c r="E65" s="10">
        <v>45658</v>
      </c>
      <c r="F65" s="10">
        <v>46015</v>
      </c>
      <c r="G65" s="10">
        <v>45778</v>
      </c>
      <c r="H65" s="110">
        <v>46285</v>
      </c>
      <c r="I65" s="10"/>
      <c r="J65" s="10"/>
      <c r="K65" s="10">
        <v>45978</v>
      </c>
      <c r="L65" s="110">
        <v>46327</v>
      </c>
      <c r="M65" s="110">
        <v>45337</v>
      </c>
      <c r="N65" s="10">
        <v>45988</v>
      </c>
      <c r="O65" s="10">
        <v>45817</v>
      </c>
      <c r="P65" s="10">
        <v>45720</v>
      </c>
      <c r="Q65" s="10">
        <v>45658</v>
      </c>
      <c r="R65" s="110">
        <v>46249</v>
      </c>
      <c r="S65" s="110">
        <v>46023</v>
      </c>
      <c r="T65" s="10">
        <v>45764</v>
      </c>
      <c r="U65" s="10">
        <v>45863</v>
      </c>
      <c r="V65" s="10"/>
      <c r="W65" s="107"/>
    </row>
    <row r="66" spans="2:23">
      <c r="B66" s="10">
        <v>46015</v>
      </c>
      <c r="C66" s="10">
        <v>46016</v>
      </c>
      <c r="D66" s="10">
        <v>46022</v>
      </c>
      <c r="E66" s="10">
        <v>45765</v>
      </c>
      <c r="F66" s="10">
        <v>46022</v>
      </c>
      <c r="G66" s="10">
        <v>45806</v>
      </c>
      <c r="H66" s="110">
        <v>46327</v>
      </c>
      <c r="I66" s="10"/>
      <c r="J66" s="10"/>
      <c r="K66" s="10">
        <v>46015</v>
      </c>
      <c r="L66" s="110">
        <v>46381</v>
      </c>
      <c r="M66" s="110">
        <v>45338</v>
      </c>
      <c r="N66" s="10">
        <v>45989</v>
      </c>
      <c r="O66" s="10">
        <v>45889</v>
      </c>
      <c r="P66" s="10">
        <v>45765</v>
      </c>
      <c r="Q66" s="10">
        <v>45663</v>
      </c>
      <c r="R66" s="110">
        <v>46327</v>
      </c>
      <c r="S66" s="110">
        <v>46028</v>
      </c>
      <c r="T66" s="10">
        <v>45794</v>
      </c>
      <c r="U66" s="10">
        <v>45971</v>
      </c>
      <c r="V66" s="10"/>
      <c r="W66" s="107"/>
    </row>
    <row r="67" spans="2:23">
      <c r="B67" s="10">
        <v>46022</v>
      </c>
      <c r="C67" s="10">
        <v>46017</v>
      </c>
      <c r="D67" s="110">
        <v>46023</v>
      </c>
      <c r="E67" s="10">
        <v>45767</v>
      </c>
      <c r="F67" s="110">
        <v>46023</v>
      </c>
      <c r="G67" s="10">
        <v>45816</v>
      </c>
      <c r="H67" s="10"/>
      <c r="I67" s="10"/>
      <c r="J67" s="10"/>
      <c r="K67" s="10">
        <v>46016</v>
      </c>
      <c r="L67" s="10"/>
      <c r="M67" s="110">
        <v>45386</v>
      </c>
      <c r="N67" s="10">
        <v>46015</v>
      </c>
      <c r="O67" s="10">
        <v>45953</v>
      </c>
      <c r="P67" s="10">
        <v>45768</v>
      </c>
      <c r="Q67" s="10">
        <v>45767</v>
      </c>
      <c r="R67" s="110">
        <v>46337</v>
      </c>
      <c r="S67" s="110">
        <v>46115</v>
      </c>
      <c r="T67" s="10">
        <v>45863</v>
      </c>
      <c r="U67" s="110">
        <v>46023</v>
      </c>
      <c r="V67" s="107"/>
      <c r="W67" s="107"/>
    </row>
    <row r="68" spans="2:23">
      <c r="B68" s="110">
        <v>46023</v>
      </c>
      <c r="C68" s="10">
        <v>45827</v>
      </c>
      <c r="D68" s="110">
        <v>46115</v>
      </c>
      <c r="E68" s="10">
        <v>45768</v>
      </c>
      <c r="F68" s="110">
        <v>46115</v>
      </c>
      <c r="G68" s="10">
        <v>45817</v>
      </c>
      <c r="H68" s="10"/>
      <c r="I68" s="10"/>
      <c r="J68" s="10"/>
      <c r="K68" s="10">
        <v>46017</v>
      </c>
      <c r="L68" s="10"/>
      <c r="M68" s="110">
        <v>45387</v>
      </c>
      <c r="N68" s="10">
        <v>46016</v>
      </c>
      <c r="O68" s="10">
        <v>45954</v>
      </c>
      <c r="P68" s="10">
        <v>45778</v>
      </c>
      <c r="Q68" s="10">
        <v>45768</v>
      </c>
      <c r="R68" s="110">
        <v>46381</v>
      </c>
      <c r="S68" s="110">
        <v>46143</v>
      </c>
      <c r="T68" s="110">
        <v>46023</v>
      </c>
      <c r="U68" s="110">
        <v>46028</v>
      </c>
      <c r="V68" s="107"/>
      <c r="W68" s="107"/>
    </row>
    <row r="69" spans="2:23">
      <c r="B69" s="110">
        <v>46089</v>
      </c>
      <c r="C69" s="10">
        <v>45962</v>
      </c>
      <c r="D69" s="110">
        <v>46118</v>
      </c>
      <c r="E69" s="10">
        <v>45778</v>
      </c>
      <c r="F69" s="110">
        <v>46118</v>
      </c>
      <c r="G69" s="10">
        <v>45933</v>
      </c>
      <c r="H69" s="10"/>
      <c r="I69" s="10"/>
      <c r="J69" s="10"/>
      <c r="K69" s="110">
        <v>46023</v>
      </c>
      <c r="L69" s="10"/>
      <c r="M69" s="110">
        <v>45413</v>
      </c>
      <c r="N69" s="10">
        <v>46022</v>
      </c>
      <c r="O69" s="10">
        <v>46015</v>
      </c>
      <c r="P69" s="10">
        <v>45827</v>
      </c>
      <c r="Q69" s="10">
        <v>45778</v>
      </c>
      <c r="R69" s="107"/>
      <c r="S69" s="110">
        <v>46249</v>
      </c>
      <c r="T69" s="110">
        <v>46028</v>
      </c>
      <c r="U69" s="110">
        <v>46115</v>
      </c>
      <c r="V69" s="107"/>
      <c r="W69" s="107"/>
    </row>
    <row r="70" spans="2:23">
      <c r="B70" s="110">
        <v>46115</v>
      </c>
      <c r="C70" s="10">
        <v>46015</v>
      </c>
      <c r="D70" s="110">
        <v>46143</v>
      </c>
      <c r="E70" s="10">
        <v>45806</v>
      </c>
      <c r="F70" s="110">
        <v>46143</v>
      </c>
      <c r="G70" s="10">
        <v>46016</v>
      </c>
      <c r="H70" s="10"/>
      <c r="I70" s="10"/>
      <c r="J70" s="10"/>
      <c r="K70" s="110">
        <v>46115</v>
      </c>
      <c r="L70" s="107"/>
      <c r="M70" s="110">
        <v>45414</v>
      </c>
      <c r="N70" s="136">
        <v>46023</v>
      </c>
      <c r="O70" s="10">
        <v>46016</v>
      </c>
      <c r="P70" s="10">
        <v>45847</v>
      </c>
      <c r="Q70" s="10">
        <v>45806</v>
      </c>
      <c r="R70" s="107"/>
      <c r="S70" s="110">
        <v>46307</v>
      </c>
      <c r="T70" s="110">
        <v>46115</v>
      </c>
      <c r="U70" s="110">
        <v>46143</v>
      </c>
      <c r="V70" s="107"/>
      <c r="W70" s="107"/>
    </row>
    <row r="71" spans="2:23">
      <c r="B71" s="110">
        <v>46118</v>
      </c>
      <c r="C71" s="10">
        <v>46022</v>
      </c>
      <c r="D71" s="110">
        <v>46156</v>
      </c>
      <c r="E71" s="10">
        <v>45816</v>
      </c>
      <c r="F71" s="110">
        <v>46156</v>
      </c>
      <c r="G71" s="10">
        <v>46017</v>
      </c>
      <c r="H71" s="10"/>
      <c r="I71" s="10"/>
      <c r="J71" s="10"/>
      <c r="K71" s="110">
        <v>46118</v>
      </c>
      <c r="L71" s="107"/>
      <c r="M71" s="110">
        <v>45415</v>
      </c>
      <c r="N71" s="136">
        <v>46041</v>
      </c>
      <c r="O71" s="10">
        <v>46017</v>
      </c>
      <c r="P71" s="10">
        <v>45907</v>
      </c>
      <c r="Q71" s="10">
        <v>45816</v>
      </c>
      <c r="R71" s="107"/>
      <c r="S71" s="110">
        <v>46328</v>
      </c>
      <c r="T71" s="110">
        <v>46143</v>
      </c>
      <c r="U71" s="110">
        <v>46249</v>
      </c>
      <c r="V71" s="107"/>
      <c r="W71" s="107"/>
    </row>
    <row r="72" spans="2:23">
      <c r="B72" s="110">
        <v>46143</v>
      </c>
      <c r="C72" s="110">
        <v>46023</v>
      </c>
      <c r="D72" s="110">
        <v>46167</v>
      </c>
      <c r="E72" s="10">
        <v>45817</v>
      </c>
      <c r="F72" s="110">
        <v>46167</v>
      </c>
      <c r="G72" s="10">
        <v>45827</v>
      </c>
      <c r="H72" s="10"/>
      <c r="I72" s="10"/>
      <c r="J72" s="10"/>
      <c r="K72" s="110">
        <v>46143</v>
      </c>
      <c r="L72" s="107"/>
      <c r="M72" s="110">
        <v>45453</v>
      </c>
      <c r="N72" s="136">
        <v>46069</v>
      </c>
      <c r="O72" s="10">
        <v>46022</v>
      </c>
      <c r="P72" s="10">
        <v>45942</v>
      </c>
      <c r="Q72" s="10">
        <v>45817</v>
      </c>
      <c r="R72" s="107"/>
      <c r="S72" s="110">
        <v>46364</v>
      </c>
      <c r="T72" s="110">
        <v>46249</v>
      </c>
      <c r="U72" s="110">
        <v>46307</v>
      </c>
      <c r="V72" s="107"/>
      <c r="W72" s="107"/>
    </row>
    <row r="73" spans="2:23">
      <c r="B73" s="110">
        <v>46156</v>
      </c>
      <c r="C73" s="110">
        <v>46115</v>
      </c>
      <c r="D73" s="110">
        <v>46298</v>
      </c>
      <c r="E73" s="10">
        <v>45933</v>
      </c>
      <c r="F73" s="110">
        <v>46298</v>
      </c>
      <c r="G73" s="10">
        <v>45663</v>
      </c>
      <c r="H73" s="10"/>
      <c r="I73" s="10"/>
      <c r="J73" s="10"/>
      <c r="K73" s="110">
        <v>46150</v>
      </c>
      <c r="L73" s="107"/>
      <c r="M73" s="110">
        <v>45551</v>
      </c>
      <c r="N73" s="136">
        <v>46115</v>
      </c>
      <c r="O73" s="110">
        <v>46023</v>
      </c>
      <c r="P73" s="10">
        <v>45963</v>
      </c>
      <c r="Q73" s="10">
        <v>45827</v>
      </c>
      <c r="R73" s="107"/>
      <c r="S73" s="110">
        <v>46381</v>
      </c>
      <c r="T73" s="110">
        <v>46307</v>
      </c>
      <c r="U73" s="110">
        <v>46328</v>
      </c>
      <c r="V73" s="107"/>
      <c r="W73" s="107"/>
    </row>
    <row r="74" spans="2:23">
      <c r="B74" s="110">
        <v>46167</v>
      </c>
      <c r="C74" s="110">
        <v>46118</v>
      </c>
      <c r="D74" s="110">
        <v>46380</v>
      </c>
      <c r="E74" s="10">
        <v>46016</v>
      </c>
      <c r="F74" s="110">
        <v>46380</v>
      </c>
      <c r="G74" s="10">
        <v>45962</v>
      </c>
      <c r="H74" s="10"/>
      <c r="I74" s="10"/>
      <c r="J74" s="10"/>
      <c r="K74" s="110">
        <v>46208</v>
      </c>
      <c r="L74" s="107"/>
      <c r="M74" s="110">
        <v>45552</v>
      </c>
      <c r="N74" s="136">
        <v>46118</v>
      </c>
      <c r="O74" s="110">
        <v>46024</v>
      </c>
      <c r="P74" s="10">
        <v>45976</v>
      </c>
      <c r="Q74" s="10">
        <v>45884</v>
      </c>
      <c r="R74" s="107"/>
      <c r="S74" s="110">
        <v>46051</v>
      </c>
      <c r="T74" s="110">
        <v>46328</v>
      </c>
      <c r="U74" s="110">
        <v>46364</v>
      </c>
      <c r="V74" s="107"/>
      <c r="W74" s="107"/>
    </row>
    <row r="75" spans="2:23">
      <c r="B75" s="110">
        <v>46298</v>
      </c>
      <c r="C75" s="110">
        <v>46143</v>
      </c>
      <c r="D75" s="110">
        <v>46381</v>
      </c>
      <c r="E75" s="10">
        <v>46017</v>
      </c>
      <c r="F75" s="110">
        <v>46381</v>
      </c>
      <c r="G75" s="10">
        <v>46015</v>
      </c>
      <c r="H75" s="10"/>
      <c r="I75" s="10"/>
      <c r="J75" s="10"/>
      <c r="K75" s="110">
        <v>46209</v>
      </c>
      <c r="L75" s="107"/>
      <c r="M75" s="110">
        <v>45566</v>
      </c>
      <c r="N75" s="136">
        <v>46167</v>
      </c>
      <c r="O75" s="110">
        <v>46096</v>
      </c>
      <c r="P75" s="10">
        <v>45981</v>
      </c>
      <c r="Q75" s="10">
        <v>45956</v>
      </c>
      <c r="R75" s="107"/>
      <c r="S75" s="110">
        <v>46086</v>
      </c>
      <c r="T75" s="110">
        <v>46364</v>
      </c>
      <c r="U75" s="110">
        <v>46381</v>
      </c>
      <c r="V75" s="107"/>
      <c r="W75" s="107"/>
    </row>
    <row r="76" spans="2:23">
      <c r="B76" s="110">
        <v>46380</v>
      </c>
      <c r="C76" s="110">
        <v>46156</v>
      </c>
      <c r="D76" s="110">
        <v>46387</v>
      </c>
      <c r="E76" s="10">
        <v>45663</v>
      </c>
      <c r="F76" s="110">
        <v>46387</v>
      </c>
      <c r="G76" s="10">
        <v>46022</v>
      </c>
      <c r="H76" s="10"/>
      <c r="I76" s="10"/>
      <c r="J76" s="10"/>
      <c r="K76" s="110">
        <v>46293</v>
      </c>
      <c r="L76" s="107"/>
      <c r="M76" s="110">
        <v>45567</v>
      </c>
      <c r="N76" s="136">
        <v>46192</v>
      </c>
      <c r="O76" s="110">
        <v>46115</v>
      </c>
      <c r="P76" s="10">
        <v>45999</v>
      </c>
      <c r="Q76" s="10">
        <v>45962</v>
      </c>
      <c r="R76" s="107"/>
      <c r="S76" s="110">
        <v>46114</v>
      </c>
      <c r="T76" s="110">
        <v>46381</v>
      </c>
      <c r="U76" s="110">
        <v>46114</v>
      </c>
      <c r="V76" s="107"/>
      <c r="W76" s="107"/>
    </row>
    <row r="77" spans="2:23">
      <c r="B77" s="110">
        <v>46381</v>
      </c>
      <c r="C77" s="110">
        <v>46167</v>
      </c>
      <c r="D77" s="110">
        <v>46326</v>
      </c>
      <c r="E77" s="10">
        <v>45827</v>
      </c>
      <c r="F77" s="110">
        <v>46177</v>
      </c>
      <c r="G77" s="110">
        <v>46023</v>
      </c>
      <c r="H77" s="10"/>
      <c r="I77" s="10"/>
      <c r="J77" s="10"/>
      <c r="K77" s="110">
        <v>46323</v>
      </c>
      <c r="L77" s="107"/>
      <c r="M77" s="110">
        <v>45568</v>
      </c>
      <c r="N77" s="136">
        <v>46206</v>
      </c>
      <c r="O77" s="110">
        <v>46118</v>
      </c>
      <c r="P77" s="10">
        <v>46015</v>
      </c>
      <c r="Q77" s="10">
        <v>45999</v>
      </c>
      <c r="R77" s="107"/>
      <c r="S77" s="110">
        <v>46135</v>
      </c>
      <c r="T77" s="110">
        <v>46100</v>
      </c>
      <c r="U77" s="110">
        <v>46144</v>
      </c>
      <c r="V77" s="107"/>
      <c r="W77" s="107"/>
    </row>
    <row r="78" spans="2:23">
      <c r="B78" s="110">
        <v>46387</v>
      </c>
      <c r="C78" s="110">
        <v>46298</v>
      </c>
      <c r="D78" s="10"/>
      <c r="E78" s="10">
        <v>45884</v>
      </c>
      <c r="F78" s="10"/>
      <c r="G78" s="110">
        <v>46115</v>
      </c>
      <c r="H78" s="10"/>
      <c r="I78" s="10"/>
      <c r="J78" s="10"/>
      <c r="K78" s="110">
        <v>46343</v>
      </c>
      <c r="L78" s="107"/>
      <c r="M78" s="110">
        <v>45569</v>
      </c>
      <c r="N78" s="136">
        <v>45176</v>
      </c>
      <c r="O78" s="110">
        <v>46143</v>
      </c>
      <c r="P78" s="10">
        <v>46016</v>
      </c>
      <c r="Q78" s="10">
        <v>46016</v>
      </c>
      <c r="R78" s="107"/>
      <c r="S78" s="110">
        <v>46363</v>
      </c>
      <c r="T78" s="110">
        <v>46109</v>
      </c>
      <c r="U78" s="110">
        <v>46157</v>
      </c>
      <c r="V78" s="107"/>
      <c r="W78" s="107"/>
    </row>
    <row r="79" spans="2:23">
      <c r="B79" s="10"/>
      <c r="C79" s="110">
        <v>46380</v>
      </c>
      <c r="D79" s="10"/>
      <c r="E79" s="10">
        <v>45962</v>
      </c>
      <c r="F79" s="10"/>
      <c r="G79" s="110">
        <v>46118</v>
      </c>
      <c r="H79" s="10"/>
      <c r="I79" s="10"/>
      <c r="J79" s="10"/>
      <c r="K79" s="110">
        <v>46380</v>
      </c>
      <c r="L79" s="107"/>
      <c r="M79" s="110">
        <v>45572</v>
      </c>
      <c r="N79" s="136">
        <v>46352</v>
      </c>
      <c r="O79" s="110">
        <v>46167</v>
      </c>
      <c r="P79" s="10">
        <v>46022</v>
      </c>
      <c r="Q79" s="10">
        <v>46017</v>
      </c>
      <c r="R79" s="107"/>
      <c r="S79" s="107"/>
      <c r="T79" s="110">
        <v>46114</v>
      </c>
      <c r="U79" s="110">
        <v>46335</v>
      </c>
      <c r="V79" s="107"/>
      <c r="W79" s="107"/>
    </row>
    <row r="80" spans="2:23">
      <c r="B80" s="10"/>
      <c r="C80" s="110">
        <v>46381</v>
      </c>
      <c r="D80" s="10"/>
      <c r="E80" s="10">
        <v>46015</v>
      </c>
      <c r="F80" s="10"/>
      <c r="G80" s="110">
        <v>46143</v>
      </c>
      <c r="H80" s="10"/>
      <c r="I80" s="10"/>
      <c r="J80" s="107"/>
      <c r="K80" s="110">
        <v>46381</v>
      </c>
      <c r="L80" s="107"/>
      <c r="M80" s="10">
        <v>45658</v>
      </c>
      <c r="N80" s="136">
        <v>46353</v>
      </c>
      <c r="O80" s="110">
        <v>46254</v>
      </c>
      <c r="P80" s="110">
        <v>46023</v>
      </c>
      <c r="Q80" s="110">
        <v>46023</v>
      </c>
      <c r="R80" s="107"/>
      <c r="S80" s="107"/>
      <c r="T80" s="110">
        <v>46157</v>
      </c>
      <c r="U80" s="110">
        <v>46363</v>
      </c>
      <c r="V80" s="107"/>
      <c r="W80" s="107"/>
    </row>
    <row r="81" spans="2:23">
      <c r="B81" s="10"/>
      <c r="C81" s="110">
        <v>46387</v>
      </c>
      <c r="D81" s="10"/>
      <c r="E81" s="10">
        <v>46022</v>
      </c>
      <c r="F81" s="10"/>
      <c r="G81" s="110">
        <v>46156</v>
      </c>
      <c r="H81" s="10"/>
      <c r="I81" s="10"/>
      <c r="J81" s="107"/>
      <c r="K81" s="110">
        <v>46382</v>
      </c>
      <c r="L81" s="107"/>
      <c r="M81" s="10">
        <v>45685</v>
      </c>
      <c r="N81" s="136">
        <v>46380</v>
      </c>
      <c r="O81" s="110">
        <v>46255</v>
      </c>
      <c r="P81" s="110">
        <v>46070</v>
      </c>
      <c r="Q81" s="110">
        <v>46028</v>
      </c>
      <c r="R81" s="107"/>
      <c r="S81" s="107"/>
      <c r="T81" s="110">
        <v>46228</v>
      </c>
      <c r="U81" s="107"/>
      <c r="V81" s="107"/>
      <c r="W81" s="107"/>
    </row>
    <row r="82" spans="2:23">
      <c r="B82" s="10"/>
      <c r="C82" s="110">
        <v>46177</v>
      </c>
      <c r="D82" s="10"/>
      <c r="E82" s="110">
        <v>46023</v>
      </c>
      <c r="F82" s="10"/>
      <c r="G82" s="110">
        <v>46167</v>
      </c>
      <c r="H82" s="10"/>
      <c r="I82" s="10"/>
      <c r="J82" s="107"/>
      <c r="K82" s="107"/>
      <c r="L82" s="107"/>
      <c r="M82" s="10">
        <v>45686</v>
      </c>
      <c r="N82" s="136">
        <v>46381</v>
      </c>
      <c r="O82" s="110">
        <v>46318</v>
      </c>
      <c r="P82" s="110">
        <v>46115</v>
      </c>
      <c r="Q82" s="110">
        <v>46117</v>
      </c>
      <c r="R82" s="107"/>
      <c r="S82" s="107"/>
      <c r="T82" s="110">
        <v>46251</v>
      </c>
      <c r="U82" s="107"/>
      <c r="V82" s="107"/>
      <c r="W82" s="107"/>
    </row>
    <row r="83" spans="2:23">
      <c r="B83" s="10"/>
      <c r="C83" s="110">
        <v>46327</v>
      </c>
      <c r="D83" s="10"/>
      <c r="E83" s="110">
        <v>46115</v>
      </c>
      <c r="F83" s="10"/>
      <c r="G83" s="110">
        <v>46298</v>
      </c>
      <c r="H83" s="10"/>
      <c r="I83" s="10"/>
      <c r="J83" s="107"/>
      <c r="K83" s="107"/>
      <c r="L83" s="107"/>
      <c r="M83" s="10">
        <v>45687</v>
      </c>
      <c r="N83" s="136">
        <v>46387</v>
      </c>
      <c r="O83" s="110">
        <v>46380</v>
      </c>
      <c r="P83" s="110">
        <v>46133</v>
      </c>
      <c r="Q83" s="110">
        <v>46118</v>
      </c>
      <c r="R83" s="107"/>
      <c r="S83" s="107"/>
      <c r="T83" s="107"/>
      <c r="U83" s="107"/>
      <c r="V83" s="107"/>
      <c r="W83" s="107"/>
    </row>
    <row r="84" spans="2:23">
      <c r="B84" s="10"/>
      <c r="C84" s="10"/>
      <c r="D84" s="10"/>
      <c r="E84" s="110">
        <v>46118</v>
      </c>
      <c r="F84" s="10"/>
      <c r="G84" s="110">
        <v>46380</v>
      </c>
      <c r="H84" s="10"/>
      <c r="I84" s="10"/>
      <c r="J84" s="107"/>
      <c r="K84" s="107"/>
      <c r="L84" s="107"/>
      <c r="M84" s="10">
        <v>45688</v>
      </c>
      <c r="N84" s="107"/>
      <c r="O84" s="110">
        <v>46381</v>
      </c>
      <c r="P84" s="110">
        <v>46143</v>
      </c>
      <c r="Q84" s="110">
        <v>46143</v>
      </c>
      <c r="R84" s="107"/>
      <c r="S84" s="107"/>
      <c r="T84" s="107"/>
      <c r="U84" s="107"/>
      <c r="V84" s="107"/>
      <c r="W84" s="107"/>
    </row>
    <row r="85" spans="2:23">
      <c r="B85" s="10"/>
      <c r="C85" s="10"/>
      <c r="D85" s="10"/>
      <c r="E85" s="110">
        <v>46143</v>
      </c>
      <c r="F85" s="10"/>
      <c r="G85" s="110">
        <v>46381</v>
      </c>
      <c r="H85" s="10"/>
      <c r="I85" s="10"/>
      <c r="J85" s="107"/>
      <c r="K85" s="107"/>
      <c r="L85" s="107"/>
      <c r="M85" s="10">
        <v>45691</v>
      </c>
      <c r="N85" s="107"/>
      <c r="O85" s="110">
        <v>46382</v>
      </c>
      <c r="P85" s="110">
        <v>46177</v>
      </c>
      <c r="Q85" s="110">
        <v>46156</v>
      </c>
      <c r="R85" s="107"/>
      <c r="S85" s="107"/>
      <c r="T85" s="107"/>
      <c r="U85" s="107"/>
      <c r="V85" s="107"/>
      <c r="W85" s="107"/>
    </row>
    <row r="86" spans="2:23">
      <c r="B86" s="10"/>
      <c r="C86" s="10"/>
      <c r="D86" s="10"/>
      <c r="E86" s="110">
        <v>46156</v>
      </c>
      <c r="F86" s="10"/>
      <c r="G86" s="110">
        <v>46387</v>
      </c>
      <c r="H86" s="10"/>
      <c r="I86" s="10"/>
      <c r="J86" s="107"/>
      <c r="K86" s="107"/>
      <c r="L86" s="107"/>
      <c r="M86" s="10">
        <v>45692</v>
      </c>
      <c r="N86" s="107"/>
      <c r="O86" s="107"/>
      <c r="P86" s="110">
        <v>46212</v>
      </c>
      <c r="Q86" s="110">
        <v>46166</v>
      </c>
      <c r="R86" s="107"/>
      <c r="S86" s="107"/>
      <c r="T86" s="107"/>
      <c r="U86" s="107"/>
      <c r="V86" s="107"/>
      <c r="W86" s="107"/>
    </row>
    <row r="87" spans="2:23">
      <c r="B87" s="10"/>
      <c r="C87" s="10"/>
      <c r="D87" s="10"/>
      <c r="E87" s="110">
        <v>46167</v>
      </c>
      <c r="F87" s="10"/>
      <c r="G87" s="110">
        <v>46028</v>
      </c>
      <c r="H87" s="10"/>
      <c r="I87" s="10"/>
      <c r="J87" s="107"/>
      <c r="K87" s="107"/>
      <c r="L87" s="107"/>
      <c r="M87" s="10">
        <v>45751</v>
      </c>
      <c r="N87" s="107"/>
      <c r="O87" s="107"/>
      <c r="P87" s="110">
        <v>46272</v>
      </c>
      <c r="Q87" s="110">
        <v>46167</v>
      </c>
      <c r="R87" s="107"/>
      <c r="S87" s="107"/>
      <c r="T87" s="107"/>
      <c r="U87" s="107"/>
      <c r="V87" s="107"/>
      <c r="W87" s="107"/>
    </row>
    <row r="88" spans="2:23">
      <c r="B88" s="10"/>
      <c r="C88" s="10"/>
      <c r="D88" s="10"/>
      <c r="E88" s="110">
        <v>46298</v>
      </c>
      <c r="F88" s="10"/>
      <c r="G88" s="110">
        <v>46177</v>
      </c>
      <c r="H88" s="10"/>
      <c r="I88" s="10"/>
      <c r="J88" s="107"/>
      <c r="K88" s="107"/>
      <c r="L88" s="107"/>
      <c r="M88" s="10">
        <v>45778</v>
      </c>
      <c r="N88" s="107"/>
      <c r="O88" s="107"/>
      <c r="P88" s="110">
        <v>46307</v>
      </c>
      <c r="Q88" s="110">
        <v>46177</v>
      </c>
      <c r="R88" s="107"/>
      <c r="S88" s="107"/>
      <c r="T88" s="107"/>
      <c r="U88" s="107"/>
      <c r="V88" s="107"/>
      <c r="W88" s="107"/>
    </row>
    <row r="89" spans="2:23">
      <c r="B89" s="10"/>
      <c r="C89" s="10"/>
      <c r="D89" s="10"/>
      <c r="E89" s="110">
        <v>46380</v>
      </c>
      <c r="F89" s="10"/>
      <c r="G89" s="110">
        <v>46327</v>
      </c>
      <c r="H89" s="10"/>
      <c r="I89" s="10"/>
      <c r="J89" s="107"/>
      <c r="K89" s="107"/>
      <c r="L89" s="107"/>
      <c r="M89" s="10">
        <v>45779</v>
      </c>
      <c r="N89" s="107"/>
      <c r="O89" s="107"/>
      <c r="P89" s="110">
        <v>46328</v>
      </c>
      <c r="Q89" s="110">
        <v>46249</v>
      </c>
      <c r="R89" s="107"/>
      <c r="S89" s="107"/>
      <c r="T89" s="107"/>
      <c r="U89" s="107"/>
      <c r="V89" s="107"/>
      <c r="W89" s="107"/>
    </row>
    <row r="90" spans="2:23">
      <c r="B90" s="10"/>
      <c r="C90" s="10"/>
      <c r="D90" s="10"/>
      <c r="E90" s="110">
        <v>46381</v>
      </c>
      <c r="F90" s="10"/>
      <c r="G90" s="10"/>
      <c r="H90" s="10"/>
      <c r="I90" s="10"/>
      <c r="J90" s="107"/>
      <c r="K90" s="107"/>
      <c r="L90" s="107"/>
      <c r="M90" s="10">
        <v>45782</v>
      </c>
      <c r="N90" s="107"/>
      <c r="O90" s="107"/>
      <c r="P90" s="110">
        <v>46341</v>
      </c>
      <c r="Q90" s="110">
        <v>46321</v>
      </c>
      <c r="R90" s="107"/>
      <c r="S90" s="107"/>
      <c r="T90" s="107"/>
      <c r="U90" s="107"/>
      <c r="V90" s="107"/>
      <c r="W90" s="107"/>
    </row>
    <row r="91" spans="2:23">
      <c r="B91" s="10"/>
      <c r="C91" s="10"/>
      <c r="D91" s="10"/>
      <c r="E91" s="110">
        <v>46387</v>
      </c>
      <c r="F91" s="10"/>
      <c r="G91" s="10"/>
      <c r="H91" s="10"/>
      <c r="I91" s="10"/>
      <c r="J91" s="107"/>
      <c r="K91" s="107"/>
      <c r="L91" s="107"/>
      <c r="M91" s="10">
        <v>45810</v>
      </c>
      <c r="N91" s="107"/>
      <c r="O91" s="107"/>
      <c r="P91" s="110">
        <v>46346</v>
      </c>
      <c r="Q91" s="110">
        <v>46327</v>
      </c>
      <c r="R91" s="107"/>
      <c r="S91" s="107"/>
      <c r="T91" s="107"/>
      <c r="U91" s="107"/>
      <c r="V91" s="107"/>
      <c r="W91" s="107"/>
    </row>
    <row r="92" spans="2:23">
      <c r="B92" s="10"/>
      <c r="C92" s="10"/>
      <c r="D92" s="10"/>
      <c r="E92" s="110">
        <v>46028</v>
      </c>
      <c r="F92" s="10"/>
      <c r="G92" s="10"/>
      <c r="H92" s="10"/>
      <c r="I92" s="10"/>
      <c r="J92" s="107"/>
      <c r="K92" s="107"/>
      <c r="L92" s="107"/>
      <c r="M92" s="10">
        <v>45931</v>
      </c>
      <c r="N92" s="107"/>
      <c r="O92" s="107"/>
      <c r="P92" s="110">
        <v>46364</v>
      </c>
      <c r="Q92" s="110">
        <v>46364</v>
      </c>
      <c r="R92" s="107"/>
      <c r="S92" s="107"/>
      <c r="T92" s="107"/>
      <c r="U92" s="107"/>
      <c r="V92" s="107"/>
      <c r="W92" s="107"/>
    </row>
    <row r="93" spans="2:23">
      <c r="B93" s="10"/>
      <c r="C93" s="10"/>
      <c r="D93" s="10"/>
      <c r="E93" s="110">
        <v>46177</v>
      </c>
      <c r="F93" s="10"/>
      <c r="G93" s="10"/>
      <c r="H93" s="10"/>
      <c r="I93" s="10"/>
      <c r="J93" s="107"/>
      <c r="K93" s="107"/>
      <c r="L93" s="107"/>
      <c r="M93" s="10">
        <v>45932</v>
      </c>
      <c r="N93" s="107"/>
      <c r="O93" s="107"/>
      <c r="P93" s="110">
        <v>46381</v>
      </c>
      <c r="Q93" s="110">
        <v>46380</v>
      </c>
      <c r="R93" s="107"/>
      <c r="S93" s="107"/>
      <c r="T93" s="107"/>
      <c r="U93" s="107"/>
      <c r="V93" s="107"/>
      <c r="W93" s="107"/>
    </row>
    <row r="94" spans="2:23">
      <c r="B94" s="10"/>
      <c r="C94" s="10"/>
      <c r="D94" s="10"/>
      <c r="E94" s="110">
        <v>46249</v>
      </c>
      <c r="F94" s="10"/>
      <c r="G94" s="10"/>
      <c r="H94" s="10"/>
      <c r="I94" s="10"/>
      <c r="J94" s="107"/>
      <c r="K94" s="107"/>
      <c r="L94" s="107"/>
      <c r="M94" s="10">
        <v>45933</v>
      </c>
      <c r="N94" s="107"/>
      <c r="O94" s="107"/>
      <c r="P94" s="107"/>
      <c r="Q94" s="110">
        <v>46381</v>
      </c>
      <c r="R94" s="107"/>
      <c r="S94" s="107"/>
      <c r="T94" s="107"/>
      <c r="U94" s="107"/>
      <c r="V94" s="107"/>
      <c r="W94" s="107"/>
    </row>
    <row r="95" spans="2:23">
      <c r="B95" s="10"/>
      <c r="C95" s="10"/>
      <c r="D95" s="10"/>
      <c r="E95" s="110">
        <v>46327</v>
      </c>
      <c r="F95" s="10"/>
      <c r="G95" s="10"/>
      <c r="H95" s="10"/>
      <c r="I95" s="10"/>
      <c r="J95" s="107"/>
      <c r="K95" s="107"/>
      <c r="L95" s="107"/>
      <c r="M95" s="10">
        <v>45936</v>
      </c>
      <c r="N95" s="107"/>
      <c r="O95" s="107"/>
      <c r="P95" s="107"/>
      <c r="Q95" s="110">
        <v>46382</v>
      </c>
      <c r="R95" s="107"/>
      <c r="S95" s="107"/>
      <c r="T95" s="107"/>
      <c r="U95" s="107"/>
      <c r="V95" s="107"/>
      <c r="W95" s="107"/>
    </row>
    <row r="96" spans="2:23">
      <c r="B96" s="10"/>
      <c r="C96" s="10"/>
      <c r="D96" s="10"/>
      <c r="E96" s="10"/>
      <c r="F96" s="10"/>
      <c r="G96" s="10"/>
      <c r="H96" s="10"/>
      <c r="I96" s="10"/>
      <c r="J96" s="107"/>
      <c r="K96" s="107"/>
      <c r="L96" s="107"/>
      <c r="M96" s="10">
        <v>45937</v>
      </c>
      <c r="N96" s="107"/>
      <c r="O96" s="107"/>
      <c r="P96" s="107"/>
      <c r="Q96" s="110">
        <v>46387</v>
      </c>
      <c r="R96" s="107"/>
      <c r="S96" s="107"/>
      <c r="T96" s="107"/>
      <c r="U96" s="107"/>
      <c r="V96" s="107"/>
      <c r="W96" s="107"/>
    </row>
    <row r="97" spans="2:23">
      <c r="B97" s="10"/>
      <c r="C97" s="10"/>
      <c r="D97" s="10"/>
      <c r="E97" s="10"/>
      <c r="F97" s="10"/>
      <c r="G97" s="10"/>
      <c r="H97" s="10"/>
      <c r="I97" s="10"/>
      <c r="J97" s="107"/>
      <c r="K97" s="107"/>
      <c r="L97" s="107"/>
      <c r="M97" s="10">
        <v>45938</v>
      </c>
      <c r="N97" s="107"/>
      <c r="O97" s="107"/>
      <c r="P97" s="107"/>
      <c r="Q97" s="107"/>
      <c r="R97" s="107"/>
      <c r="S97" s="107"/>
      <c r="T97" s="107"/>
      <c r="U97" s="107"/>
      <c r="V97" s="107"/>
      <c r="W97" s="107"/>
    </row>
    <row r="98" spans="2:23">
      <c r="B98" s="10"/>
      <c r="C98" s="10"/>
      <c r="D98" s="10"/>
      <c r="E98" s="10"/>
      <c r="F98" s="10"/>
      <c r="G98" s="10"/>
      <c r="H98" s="10"/>
      <c r="I98" s="10"/>
      <c r="J98" s="107"/>
      <c r="K98" s="107"/>
      <c r="L98" s="107"/>
      <c r="M98" s="110">
        <v>46023</v>
      </c>
      <c r="N98" s="107"/>
      <c r="O98" s="107"/>
      <c r="P98" s="107"/>
      <c r="Q98" s="107"/>
      <c r="R98" s="107"/>
      <c r="S98" s="107"/>
      <c r="T98" s="107"/>
      <c r="U98" s="107"/>
      <c r="V98" s="107"/>
      <c r="W98" s="107"/>
    </row>
    <row r="99" spans="2:23">
      <c r="B99" s="10"/>
      <c r="C99" s="10"/>
      <c r="D99" s="10"/>
      <c r="E99" s="10"/>
      <c r="F99" s="10"/>
      <c r="G99" s="10"/>
      <c r="H99" s="10"/>
      <c r="I99" s="10"/>
      <c r="J99" s="107"/>
      <c r="K99" s="107"/>
      <c r="L99" s="107"/>
      <c r="M99" s="110">
        <v>46024</v>
      </c>
      <c r="N99" s="107"/>
      <c r="O99" s="107"/>
      <c r="P99" s="107"/>
      <c r="Q99" s="107"/>
      <c r="R99" s="107"/>
      <c r="S99" s="107"/>
      <c r="T99" s="107"/>
      <c r="U99" s="107"/>
      <c r="V99" s="107"/>
      <c r="W99" s="107"/>
    </row>
    <row r="100" spans="2:23">
      <c r="B100" s="10"/>
      <c r="C100" s="10"/>
      <c r="D100" s="10"/>
      <c r="E100" s="10"/>
      <c r="F100" s="10"/>
      <c r="G100" s="10"/>
      <c r="H100" s="10"/>
      <c r="I100" s="10"/>
      <c r="J100" s="107"/>
      <c r="K100" s="107"/>
      <c r="L100" s="107"/>
      <c r="M100" s="110">
        <v>46069</v>
      </c>
      <c r="N100" s="107"/>
      <c r="O100" s="107"/>
      <c r="P100" s="107"/>
      <c r="Q100" s="107"/>
      <c r="R100" s="107"/>
      <c r="S100" s="107"/>
      <c r="T100" s="107"/>
      <c r="U100" s="107"/>
      <c r="V100" s="107"/>
      <c r="W100" s="107"/>
    </row>
    <row r="101" spans="2:23">
      <c r="B101" s="10"/>
      <c r="C101" s="10"/>
      <c r="D101" s="10"/>
      <c r="E101" s="10"/>
      <c r="F101" s="10"/>
      <c r="G101" s="10"/>
      <c r="H101" s="10"/>
      <c r="I101" s="10"/>
      <c r="J101" s="107"/>
      <c r="K101" s="107"/>
      <c r="L101" s="107"/>
      <c r="M101" s="110">
        <v>46070</v>
      </c>
      <c r="N101" s="107"/>
      <c r="O101" s="107"/>
      <c r="P101" s="107"/>
      <c r="Q101" s="107"/>
      <c r="R101" s="107"/>
      <c r="S101" s="107"/>
      <c r="T101" s="107"/>
      <c r="U101" s="107"/>
      <c r="V101" s="107"/>
      <c r="W101" s="107"/>
    </row>
    <row r="102" spans="2:23">
      <c r="B102" s="10"/>
      <c r="C102" s="10"/>
      <c r="D102" s="10"/>
      <c r="E102" s="10"/>
      <c r="F102" s="10"/>
      <c r="G102" s="10"/>
      <c r="H102" s="10"/>
      <c r="I102" s="10"/>
      <c r="J102" s="107"/>
      <c r="K102" s="107"/>
      <c r="L102" s="107"/>
      <c r="M102" s="110">
        <v>46071</v>
      </c>
      <c r="N102" s="107"/>
      <c r="O102" s="107"/>
      <c r="P102" s="107"/>
      <c r="Q102" s="107"/>
      <c r="R102" s="107"/>
      <c r="S102" s="107"/>
      <c r="T102" s="107"/>
      <c r="U102" s="107"/>
      <c r="V102" s="107"/>
      <c r="W102" s="107"/>
    </row>
    <row r="103" spans="2:23">
      <c r="B103" s="10"/>
      <c r="C103" s="10"/>
      <c r="D103" s="10"/>
      <c r="E103" s="10"/>
      <c r="F103" s="10"/>
      <c r="G103" s="10"/>
      <c r="H103" s="10"/>
      <c r="I103" s="10"/>
      <c r="J103" s="107"/>
      <c r="K103" s="107"/>
      <c r="L103" s="107"/>
      <c r="M103" s="110">
        <v>46072</v>
      </c>
      <c r="N103" s="107"/>
      <c r="O103" s="107"/>
      <c r="P103" s="107"/>
      <c r="Q103" s="107"/>
      <c r="R103" s="107"/>
      <c r="S103" s="107"/>
      <c r="T103" s="107"/>
      <c r="U103" s="107"/>
      <c r="V103" s="107"/>
      <c r="W103" s="107"/>
    </row>
    <row r="104" spans="2:23">
      <c r="B104" s="10"/>
      <c r="C104" s="10"/>
      <c r="D104" s="10"/>
      <c r="E104" s="10"/>
      <c r="F104" s="10"/>
      <c r="G104" s="10"/>
      <c r="H104" s="10"/>
      <c r="I104" s="10"/>
      <c r="J104" s="107"/>
      <c r="K104" s="107"/>
      <c r="L104" s="107"/>
      <c r="M104" s="110">
        <v>46073</v>
      </c>
      <c r="N104" s="107"/>
      <c r="O104" s="107"/>
      <c r="P104" s="107"/>
      <c r="Q104" s="107"/>
      <c r="R104" s="107"/>
      <c r="S104" s="107"/>
      <c r="T104" s="107"/>
      <c r="U104" s="107"/>
      <c r="V104" s="107"/>
      <c r="W104" s="107"/>
    </row>
    <row r="105" spans="2:23">
      <c r="B105" s="10"/>
      <c r="C105" s="10"/>
      <c r="D105" s="10"/>
      <c r="E105" s="10"/>
      <c r="F105" s="10"/>
      <c r="G105" s="10"/>
      <c r="H105" s="10"/>
      <c r="I105" s="10"/>
      <c r="J105" s="107"/>
      <c r="K105" s="107"/>
      <c r="L105" s="107"/>
      <c r="M105" s="110">
        <v>46076</v>
      </c>
      <c r="N105" s="107"/>
      <c r="O105" s="107"/>
      <c r="P105" s="107"/>
      <c r="Q105" s="107"/>
      <c r="R105" s="107"/>
      <c r="S105" s="107"/>
      <c r="T105" s="107"/>
      <c r="U105" s="107"/>
      <c r="V105" s="107"/>
      <c r="W105" s="107"/>
    </row>
    <row r="106" spans="2:23">
      <c r="B106" s="10"/>
      <c r="C106" s="10"/>
      <c r="D106" s="10"/>
      <c r="E106" s="10"/>
      <c r="F106" s="10"/>
      <c r="G106" s="10"/>
      <c r="H106" s="10"/>
      <c r="I106" s="10"/>
      <c r="J106" s="107"/>
      <c r="K106" s="107"/>
      <c r="L106" s="107"/>
      <c r="M106" s="110">
        <v>46118</v>
      </c>
      <c r="N106" s="107"/>
      <c r="O106" s="107"/>
      <c r="P106" s="107"/>
      <c r="Q106" s="107"/>
      <c r="R106" s="107"/>
      <c r="S106" s="107"/>
      <c r="T106" s="107"/>
      <c r="U106" s="107"/>
      <c r="V106" s="107"/>
      <c r="W106" s="107"/>
    </row>
    <row r="107" spans="2:23">
      <c r="B107" s="10"/>
      <c r="C107" s="10"/>
      <c r="D107" s="10"/>
      <c r="E107" s="10"/>
      <c r="F107" s="10"/>
      <c r="G107" s="10"/>
      <c r="H107" s="10"/>
      <c r="I107" s="10"/>
      <c r="J107" s="107"/>
      <c r="K107" s="107"/>
      <c r="L107" s="107"/>
      <c r="M107" s="110">
        <v>46143</v>
      </c>
      <c r="N107" s="107"/>
      <c r="O107" s="107"/>
      <c r="P107" s="107"/>
      <c r="Q107" s="107"/>
      <c r="R107" s="107"/>
      <c r="S107" s="107"/>
      <c r="T107" s="107"/>
      <c r="U107" s="107"/>
      <c r="V107" s="107"/>
      <c r="W107" s="107"/>
    </row>
    <row r="108" spans="2:23">
      <c r="B108" s="10"/>
      <c r="C108" s="10"/>
      <c r="D108" s="10"/>
      <c r="E108" s="10"/>
      <c r="F108" s="10"/>
      <c r="G108" s="10"/>
      <c r="H108" s="10"/>
      <c r="I108" s="10"/>
      <c r="J108" s="107"/>
      <c r="K108" s="107"/>
      <c r="L108" s="107"/>
      <c r="M108" s="110">
        <v>46146</v>
      </c>
      <c r="N108" s="107"/>
      <c r="O108" s="107"/>
      <c r="P108" s="107"/>
      <c r="Q108" s="107"/>
      <c r="R108" s="107"/>
      <c r="S108" s="107"/>
      <c r="T108" s="107"/>
      <c r="U108" s="107"/>
      <c r="V108" s="107"/>
      <c r="W108" s="107"/>
    </row>
    <row r="109" spans="2:23">
      <c r="B109" s="10"/>
      <c r="C109" s="10"/>
      <c r="D109" s="10"/>
      <c r="E109" s="10"/>
      <c r="F109" s="10"/>
      <c r="G109" s="10"/>
      <c r="H109" s="10"/>
      <c r="I109" s="10"/>
      <c r="J109" s="107"/>
      <c r="K109" s="107"/>
      <c r="L109" s="107"/>
      <c r="M109" s="110">
        <v>46147</v>
      </c>
      <c r="N109" s="107"/>
      <c r="O109" s="107"/>
      <c r="P109" s="107"/>
      <c r="Q109" s="107"/>
      <c r="R109" s="107"/>
      <c r="S109" s="107"/>
      <c r="T109" s="107"/>
      <c r="U109" s="107"/>
      <c r="V109" s="107"/>
      <c r="W109" s="107"/>
    </row>
    <row r="110" spans="2:23">
      <c r="B110" s="10"/>
      <c r="C110" s="10"/>
      <c r="D110" s="10"/>
      <c r="E110" s="10"/>
      <c r="F110" s="10"/>
      <c r="G110" s="10"/>
      <c r="H110" s="10"/>
      <c r="I110" s="10"/>
      <c r="J110" s="107"/>
      <c r="K110" s="107"/>
      <c r="L110" s="107"/>
      <c r="M110" s="110">
        <v>46192</v>
      </c>
      <c r="N110" s="107"/>
      <c r="O110" s="107"/>
      <c r="P110" s="107"/>
      <c r="Q110" s="107"/>
      <c r="R110" s="107"/>
      <c r="S110" s="107"/>
      <c r="T110" s="107"/>
      <c r="U110" s="107"/>
      <c r="V110" s="107"/>
      <c r="W110" s="107"/>
    </row>
    <row r="111" spans="2:23">
      <c r="B111" s="10"/>
      <c r="C111" s="10"/>
      <c r="D111" s="10"/>
      <c r="E111" s="10"/>
      <c r="F111" s="10"/>
      <c r="G111" s="10"/>
      <c r="H111" s="10"/>
      <c r="I111" s="10"/>
      <c r="J111" s="107"/>
      <c r="K111" s="107"/>
      <c r="L111" s="107"/>
      <c r="M111" s="110">
        <v>46290</v>
      </c>
      <c r="N111" s="107"/>
      <c r="O111" s="107"/>
      <c r="P111" s="107"/>
      <c r="Q111" s="107"/>
      <c r="R111" s="107"/>
      <c r="S111" s="107"/>
      <c r="T111" s="107"/>
      <c r="U111" s="107"/>
      <c r="V111" s="107"/>
      <c r="W111" s="107"/>
    </row>
    <row r="112" spans="2:23">
      <c r="B112" s="10"/>
      <c r="C112" s="10"/>
      <c r="D112" s="10"/>
      <c r="E112" s="10"/>
      <c r="F112" s="10"/>
      <c r="G112" s="10"/>
      <c r="H112" s="10"/>
      <c r="I112" s="10"/>
      <c r="J112" s="107"/>
      <c r="K112" s="107"/>
      <c r="L112" s="107"/>
      <c r="M112" s="110">
        <v>46296</v>
      </c>
      <c r="N112" s="107"/>
      <c r="O112" s="107"/>
      <c r="P112" s="107"/>
      <c r="Q112" s="107"/>
      <c r="R112" s="107"/>
      <c r="S112" s="107"/>
      <c r="T112" s="107"/>
      <c r="U112" s="107"/>
      <c r="V112" s="107"/>
      <c r="W112" s="107"/>
    </row>
    <row r="113" spans="2:23">
      <c r="B113" s="10"/>
      <c r="C113" s="10"/>
      <c r="D113" s="10"/>
      <c r="E113" s="10"/>
      <c r="F113" s="10"/>
      <c r="G113" s="10"/>
      <c r="H113" s="10"/>
      <c r="I113" s="10"/>
      <c r="J113" s="107"/>
      <c r="K113" s="107"/>
      <c r="L113" s="107"/>
      <c r="M113" s="110">
        <v>46297</v>
      </c>
      <c r="N113" s="107"/>
      <c r="O113" s="107"/>
      <c r="P113" s="107"/>
      <c r="Q113" s="107"/>
      <c r="R113" s="107"/>
      <c r="S113" s="107"/>
      <c r="T113" s="107"/>
      <c r="U113" s="107"/>
      <c r="V113" s="107"/>
      <c r="W113" s="107"/>
    </row>
    <row r="114" spans="2:23">
      <c r="B114" s="10"/>
      <c r="C114" s="10"/>
      <c r="D114" s="10"/>
      <c r="E114" s="10"/>
      <c r="F114" s="10"/>
      <c r="G114" s="10"/>
      <c r="H114" s="10"/>
      <c r="I114" s="10"/>
      <c r="J114" s="107"/>
      <c r="K114" s="107"/>
      <c r="L114" s="107"/>
      <c r="M114" s="110">
        <v>46300</v>
      </c>
      <c r="N114" s="107"/>
      <c r="O114" s="107"/>
      <c r="P114" s="107"/>
      <c r="Q114" s="107"/>
      <c r="R114" s="107"/>
      <c r="S114" s="107"/>
      <c r="T114" s="107"/>
      <c r="U114" s="107"/>
      <c r="V114" s="107"/>
      <c r="W114" s="107"/>
    </row>
    <row r="115" spans="2:23">
      <c r="B115" s="10"/>
      <c r="C115" s="10"/>
      <c r="D115" s="10"/>
      <c r="E115" s="10"/>
      <c r="F115" s="10"/>
      <c r="G115" s="10"/>
      <c r="H115" s="10"/>
      <c r="I115" s="10"/>
      <c r="J115" s="107"/>
      <c r="K115" s="107"/>
      <c r="L115" s="107"/>
      <c r="M115" s="110">
        <v>46301</v>
      </c>
      <c r="N115" s="107"/>
      <c r="O115" s="107"/>
      <c r="P115" s="107"/>
      <c r="Q115" s="107"/>
      <c r="R115" s="107"/>
      <c r="S115" s="107"/>
      <c r="T115" s="107"/>
      <c r="U115" s="107"/>
      <c r="V115" s="107"/>
      <c r="W115" s="107"/>
    </row>
    <row r="116" spans="2:23">
      <c r="B116" s="10"/>
      <c r="C116" s="10"/>
      <c r="D116" s="10"/>
      <c r="E116" s="10"/>
      <c r="F116" s="10"/>
      <c r="G116" s="10"/>
      <c r="H116" s="10"/>
      <c r="I116" s="10"/>
      <c r="J116" s="107"/>
      <c r="K116" s="107"/>
      <c r="L116" s="107"/>
      <c r="M116" s="110">
        <v>46302</v>
      </c>
      <c r="N116" s="107"/>
      <c r="O116" s="107"/>
      <c r="P116" s="107"/>
      <c r="Q116" s="107"/>
      <c r="R116" s="107"/>
      <c r="S116" s="107"/>
      <c r="T116" s="107"/>
      <c r="U116" s="107"/>
      <c r="V116" s="107"/>
      <c r="W116" s="107"/>
    </row>
    <row r="117" spans="2:23">
      <c r="B117" s="10"/>
      <c r="C117" s="10"/>
      <c r="D117" s="10"/>
      <c r="E117" s="10"/>
      <c r="F117" s="10"/>
      <c r="G117" s="10"/>
      <c r="H117" s="10"/>
      <c r="I117" s="10"/>
      <c r="J117" s="107"/>
      <c r="K117" s="107"/>
      <c r="L117" s="107"/>
      <c r="M117" s="107"/>
      <c r="N117" s="107"/>
      <c r="O117" s="107"/>
      <c r="P117" s="107"/>
      <c r="Q117" s="107"/>
      <c r="R117" s="107"/>
      <c r="S117" s="107"/>
      <c r="T117" s="107"/>
      <c r="U117" s="107"/>
      <c r="V117" s="107"/>
      <c r="W117" s="107"/>
    </row>
    <row r="118" spans="2:23">
      <c r="B118" s="10"/>
      <c r="C118" s="10"/>
      <c r="D118" s="10"/>
      <c r="E118" s="10"/>
      <c r="F118" s="10"/>
      <c r="G118" s="10"/>
      <c r="H118" s="10"/>
      <c r="I118" s="10"/>
      <c r="J118" s="107"/>
      <c r="K118" s="107"/>
      <c r="L118" s="107"/>
      <c r="M118" s="107"/>
      <c r="N118" s="107"/>
      <c r="O118" s="107"/>
      <c r="P118" s="107"/>
      <c r="Q118" s="107"/>
      <c r="R118" s="107"/>
      <c r="S118" s="107"/>
      <c r="T118" s="107"/>
      <c r="U118" s="107"/>
      <c r="V118" s="107"/>
      <c r="W118" s="107"/>
    </row>
    <row r="119" spans="2:23">
      <c r="B119" s="10"/>
      <c r="C119" s="10"/>
      <c r="D119" s="10"/>
      <c r="E119" s="10"/>
      <c r="F119" s="10"/>
      <c r="G119" s="10"/>
      <c r="H119" s="10"/>
      <c r="I119" s="10"/>
      <c r="J119" s="107"/>
      <c r="K119" s="107"/>
      <c r="L119" s="107"/>
      <c r="M119" s="107"/>
      <c r="N119" s="107"/>
      <c r="O119" s="107"/>
      <c r="P119" s="107"/>
      <c r="Q119" s="107"/>
      <c r="R119" s="107"/>
      <c r="S119" s="107"/>
      <c r="T119" s="107"/>
      <c r="U119" s="107"/>
      <c r="V119" s="107"/>
      <c r="W119" s="107"/>
    </row>
    <row r="120" spans="2:23">
      <c r="B120" s="10"/>
      <c r="C120" s="10"/>
      <c r="D120" s="10"/>
      <c r="E120" s="10"/>
      <c r="F120" s="10"/>
      <c r="G120" s="10"/>
      <c r="H120" s="10"/>
      <c r="I120" s="10"/>
      <c r="J120" s="107"/>
      <c r="K120" s="107"/>
      <c r="L120" s="107"/>
      <c r="M120" s="107"/>
      <c r="N120" s="107"/>
      <c r="O120" s="107"/>
      <c r="P120" s="107"/>
      <c r="Q120" s="107"/>
      <c r="R120" s="107"/>
      <c r="S120" s="107"/>
      <c r="T120" s="107"/>
      <c r="U120" s="107"/>
      <c r="V120" s="107"/>
      <c r="W120" s="107"/>
    </row>
    <row r="121" spans="2:23">
      <c r="B121" s="10"/>
      <c r="C121" s="10"/>
      <c r="D121" s="10"/>
      <c r="E121" s="10"/>
      <c r="F121" s="10"/>
      <c r="G121" s="10"/>
      <c r="H121" s="10"/>
      <c r="I121" s="10"/>
      <c r="J121" s="107"/>
      <c r="K121" s="107"/>
      <c r="L121" s="107"/>
      <c r="M121" s="107"/>
      <c r="N121" s="107"/>
      <c r="O121" s="107"/>
      <c r="P121" s="107"/>
      <c r="Q121" s="107"/>
      <c r="R121" s="107"/>
      <c r="S121" s="107"/>
      <c r="T121" s="107"/>
      <c r="U121" s="107"/>
      <c r="V121" s="107"/>
      <c r="W121" s="107"/>
    </row>
    <row r="122" spans="2:23">
      <c r="B122" s="10"/>
      <c r="C122" s="10"/>
      <c r="D122" s="10"/>
      <c r="E122" s="10"/>
      <c r="F122" s="10"/>
      <c r="G122" s="10"/>
      <c r="H122" s="10"/>
      <c r="I122" s="10"/>
      <c r="J122" s="107"/>
      <c r="K122" s="107"/>
      <c r="L122" s="107"/>
      <c r="M122" s="107"/>
      <c r="N122" s="107"/>
      <c r="O122" s="107"/>
      <c r="P122" s="107"/>
      <c r="Q122" s="107"/>
      <c r="R122" s="107"/>
      <c r="S122" s="107"/>
      <c r="T122" s="107"/>
      <c r="U122" s="107"/>
      <c r="V122" s="107"/>
      <c r="W122" s="107"/>
    </row>
    <row r="123" spans="2:23">
      <c r="B123" s="10"/>
      <c r="C123" s="10"/>
      <c r="D123" s="10"/>
      <c r="E123" s="10"/>
      <c r="F123" s="10"/>
      <c r="G123" s="10"/>
      <c r="H123" s="10"/>
      <c r="I123" s="10"/>
      <c r="J123" s="107"/>
      <c r="K123" s="107"/>
      <c r="L123" s="107"/>
      <c r="M123" s="107"/>
      <c r="N123" s="107"/>
      <c r="O123" s="107"/>
      <c r="P123" s="107"/>
      <c r="Q123" s="107"/>
      <c r="R123" s="107"/>
      <c r="S123" s="107"/>
      <c r="T123" s="107"/>
      <c r="U123" s="107"/>
      <c r="V123" s="107"/>
      <c r="W123" s="107"/>
    </row>
    <row r="124" spans="2:23">
      <c r="B124" s="10"/>
      <c r="C124" s="10"/>
      <c r="D124" s="10"/>
      <c r="E124" s="10"/>
      <c r="F124" s="10"/>
      <c r="G124" s="10"/>
      <c r="H124" s="10"/>
      <c r="I124" s="10"/>
      <c r="J124" s="107"/>
      <c r="K124" s="107"/>
      <c r="L124" s="107"/>
      <c r="M124" s="107"/>
      <c r="N124" s="107"/>
      <c r="O124" s="107"/>
      <c r="P124" s="107"/>
      <c r="Q124" s="107"/>
      <c r="R124" s="107"/>
      <c r="S124" s="107"/>
      <c r="T124" s="107"/>
      <c r="U124" s="107"/>
      <c r="V124" s="107"/>
      <c r="W124" s="107"/>
    </row>
    <row r="125" spans="2:23">
      <c r="B125" s="10"/>
      <c r="C125" s="10"/>
      <c r="D125" s="10"/>
      <c r="E125" s="10"/>
      <c r="F125" s="10"/>
      <c r="G125" s="10"/>
      <c r="H125" s="10"/>
      <c r="I125" s="10"/>
      <c r="J125" s="107"/>
      <c r="K125" s="107"/>
      <c r="L125" s="107"/>
      <c r="M125" s="107"/>
      <c r="N125" s="107"/>
      <c r="O125" s="107"/>
      <c r="P125" s="107"/>
      <c r="Q125" s="107"/>
      <c r="R125" s="107"/>
      <c r="S125" s="107"/>
      <c r="T125" s="107"/>
      <c r="U125" s="107"/>
      <c r="V125" s="107"/>
      <c r="W125" s="107"/>
    </row>
    <row r="126" spans="2:23">
      <c r="B126" s="10"/>
      <c r="C126" s="10"/>
      <c r="D126" s="10"/>
      <c r="E126" s="10"/>
      <c r="F126" s="10"/>
      <c r="G126" s="10"/>
      <c r="H126" s="10"/>
      <c r="I126" s="10"/>
      <c r="J126" s="107"/>
      <c r="K126" s="107"/>
      <c r="L126" s="107"/>
      <c r="M126" s="107"/>
      <c r="N126" s="107"/>
      <c r="O126" s="107"/>
      <c r="P126" s="107"/>
      <c r="Q126" s="107"/>
      <c r="R126" s="107"/>
      <c r="S126" s="107"/>
      <c r="T126" s="107"/>
      <c r="U126" s="107"/>
      <c r="V126" s="107"/>
      <c r="W126" s="107"/>
    </row>
    <row r="127" spans="2:23">
      <c r="B127" s="10"/>
      <c r="C127" s="10"/>
      <c r="D127" s="10"/>
      <c r="E127" s="10"/>
      <c r="F127" s="10"/>
      <c r="G127" s="10"/>
      <c r="H127" s="10"/>
      <c r="I127" s="10"/>
      <c r="J127" s="107"/>
      <c r="K127" s="107"/>
      <c r="L127" s="107"/>
      <c r="M127" s="107"/>
      <c r="N127" s="107"/>
      <c r="O127" s="107"/>
      <c r="P127" s="107"/>
      <c r="Q127" s="107"/>
      <c r="R127" s="107"/>
      <c r="S127" s="107"/>
      <c r="T127" s="107"/>
      <c r="U127" s="107"/>
      <c r="V127" s="107"/>
      <c r="W127" s="107"/>
    </row>
    <row r="128" spans="2:23">
      <c r="B128" s="10"/>
      <c r="C128" s="10"/>
      <c r="D128" s="10"/>
      <c r="E128" s="10"/>
      <c r="F128" s="10"/>
      <c r="G128" s="10"/>
      <c r="H128" s="10"/>
      <c r="I128" s="10"/>
      <c r="J128" s="107"/>
      <c r="K128" s="107"/>
      <c r="L128" s="107"/>
      <c r="M128" s="107"/>
      <c r="N128" s="107"/>
      <c r="O128" s="107"/>
      <c r="P128" s="107"/>
      <c r="Q128" s="107"/>
      <c r="R128" s="107"/>
      <c r="S128" s="107"/>
      <c r="T128" s="107"/>
      <c r="U128" s="107"/>
      <c r="V128" s="107"/>
      <c r="W128" s="107"/>
    </row>
    <row r="129" spans="2:23">
      <c r="B129" s="10"/>
      <c r="C129" s="10"/>
      <c r="D129" s="10"/>
      <c r="E129" s="10"/>
      <c r="F129" s="10"/>
      <c r="G129" s="10"/>
      <c r="H129" s="10"/>
      <c r="I129" s="10"/>
      <c r="J129" s="107"/>
      <c r="K129" s="107"/>
      <c r="L129" s="107"/>
      <c r="M129" s="107"/>
      <c r="N129" s="107"/>
      <c r="O129" s="107"/>
      <c r="P129" s="107"/>
      <c r="Q129" s="107"/>
      <c r="R129" s="107"/>
      <c r="S129" s="107"/>
      <c r="T129" s="107"/>
      <c r="U129" s="107"/>
      <c r="V129" s="107"/>
      <c r="W129" s="107"/>
    </row>
    <row r="130" spans="2:23">
      <c r="B130" s="10"/>
      <c r="C130" s="10"/>
      <c r="D130" s="10"/>
      <c r="E130" s="10"/>
      <c r="F130" s="10"/>
      <c r="G130" s="10"/>
      <c r="H130" s="10"/>
      <c r="I130" s="10"/>
      <c r="J130" s="107"/>
      <c r="K130" s="107"/>
      <c r="L130" s="107"/>
      <c r="M130" s="107"/>
      <c r="N130" s="107"/>
      <c r="O130" s="107"/>
      <c r="P130" s="107"/>
      <c r="Q130" s="107"/>
      <c r="R130" s="107"/>
      <c r="S130" s="107"/>
      <c r="T130" s="107"/>
      <c r="U130" s="107"/>
      <c r="V130" s="107"/>
      <c r="W130" s="107"/>
    </row>
    <row r="131" spans="2:23">
      <c r="B131" s="10"/>
      <c r="C131" s="10"/>
      <c r="D131" s="10"/>
      <c r="E131" s="10"/>
      <c r="F131" s="10"/>
      <c r="G131" s="10"/>
      <c r="H131" s="10"/>
      <c r="I131" s="10"/>
      <c r="J131" s="107"/>
      <c r="K131" s="107"/>
      <c r="L131" s="107"/>
      <c r="M131" s="107"/>
      <c r="N131" s="107"/>
      <c r="O131" s="107"/>
      <c r="P131" s="107"/>
      <c r="Q131" s="107"/>
      <c r="R131" s="107"/>
      <c r="S131" s="107"/>
      <c r="T131" s="107"/>
      <c r="U131" s="107"/>
      <c r="V131" s="107"/>
      <c r="W131" s="107"/>
    </row>
    <row r="132" spans="2:23">
      <c r="B132" s="10"/>
      <c r="C132" s="10"/>
      <c r="D132" s="10"/>
      <c r="E132" s="10"/>
      <c r="F132" s="10"/>
      <c r="G132" s="10"/>
      <c r="H132" s="10"/>
      <c r="I132" s="10"/>
      <c r="J132" s="107"/>
      <c r="K132" s="107"/>
      <c r="L132" s="107"/>
      <c r="M132" s="107"/>
      <c r="N132" s="107"/>
      <c r="O132" s="107"/>
      <c r="P132" s="107"/>
      <c r="Q132" s="107"/>
      <c r="R132" s="107"/>
      <c r="S132" s="107"/>
      <c r="T132" s="107"/>
      <c r="U132" s="107"/>
      <c r="V132" s="107"/>
      <c r="W132" s="107"/>
    </row>
    <row r="133" spans="2:23">
      <c r="B133" s="10"/>
      <c r="C133" s="10"/>
      <c r="D133" s="10"/>
      <c r="E133" s="10"/>
      <c r="F133" s="10"/>
      <c r="G133" s="10"/>
      <c r="H133" s="10"/>
      <c r="I133" s="10"/>
      <c r="J133" s="107"/>
      <c r="K133" s="107"/>
      <c r="L133" s="107"/>
      <c r="M133" s="107"/>
      <c r="N133" s="107"/>
      <c r="O133" s="107"/>
      <c r="P133" s="107"/>
      <c r="Q133" s="107"/>
      <c r="R133" s="107"/>
      <c r="S133" s="107"/>
      <c r="T133" s="107"/>
      <c r="U133" s="107"/>
      <c r="V133" s="107"/>
      <c r="W133" s="107"/>
    </row>
    <row r="134" spans="2:23">
      <c r="B134" s="10"/>
      <c r="C134" s="10"/>
      <c r="D134" s="10"/>
      <c r="E134" s="10"/>
      <c r="F134" s="10"/>
      <c r="G134" s="10"/>
      <c r="H134" s="10"/>
      <c r="I134" s="10"/>
      <c r="J134" s="107"/>
      <c r="K134" s="107"/>
      <c r="L134" s="107"/>
      <c r="M134" s="107"/>
      <c r="N134" s="107"/>
      <c r="O134" s="107"/>
      <c r="P134" s="107"/>
      <c r="Q134" s="107"/>
      <c r="R134" s="107"/>
      <c r="S134" s="107"/>
      <c r="T134" s="107"/>
      <c r="U134" s="107"/>
      <c r="V134" s="107"/>
      <c r="W134" s="107"/>
    </row>
    <row r="135" spans="2:23">
      <c r="B135" s="10"/>
      <c r="C135" s="10"/>
      <c r="D135" s="10"/>
      <c r="E135" s="10"/>
      <c r="F135" s="10"/>
      <c r="G135" s="10"/>
      <c r="H135" s="10"/>
      <c r="I135" s="10"/>
      <c r="J135" s="107"/>
      <c r="K135" s="107"/>
      <c r="L135" s="107"/>
      <c r="M135" s="107"/>
      <c r="N135" s="107"/>
      <c r="O135" s="107"/>
      <c r="P135" s="107"/>
      <c r="Q135" s="107"/>
      <c r="R135" s="107"/>
      <c r="S135" s="107"/>
      <c r="T135" s="107"/>
      <c r="U135" s="107"/>
      <c r="V135" s="107"/>
      <c r="W135" s="107"/>
    </row>
    <row r="136" spans="2:23">
      <c r="B136" s="10"/>
      <c r="C136" s="10"/>
      <c r="D136" s="10"/>
      <c r="E136" s="10"/>
      <c r="F136" s="10"/>
      <c r="G136" s="10"/>
      <c r="H136" s="10"/>
      <c r="I136" s="10"/>
      <c r="J136" s="107"/>
      <c r="K136" s="107"/>
      <c r="L136" s="107"/>
      <c r="M136" s="107"/>
      <c r="N136" s="107"/>
      <c r="O136" s="107"/>
      <c r="P136" s="107"/>
      <c r="Q136" s="107"/>
      <c r="R136" s="107"/>
      <c r="S136" s="107"/>
      <c r="T136" s="107"/>
      <c r="U136" s="107"/>
      <c r="V136" s="107"/>
      <c r="W136" s="107"/>
    </row>
    <row r="137" spans="2:23">
      <c r="B137" s="10"/>
      <c r="C137" s="10"/>
      <c r="D137" s="10"/>
      <c r="E137" s="10"/>
      <c r="F137" s="10"/>
      <c r="G137" s="10"/>
      <c r="H137" s="10"/>
      <c r="I137" s="10"/>
      <c r="J137" s="107"/>
      <c r="K137" s="107"/>
      <c r="L137" s="107"/>
      <c r="M137" s="107"/>
      <c r="N137" s="107"/>
      <c r="O137" s="107"/>
      <c r="P137" s="107"/>
      <c r="Q137" s="107"/>
      <c r="R137" s="107"/>
      <c r="S137" s="107"/>
      <c r="T137" s="107"/>
      <c r="U137" s="107"/>
      <c r="V137" s="107"/>
      <c r="W137" s="107"/>
    </row>
    <row r="138" spans="2:23">
      <c r="B138" s="10"/>
      <c r="C138" s="10"/>
      <c r="D138" s="10"/>
      <c r="E138" s="10"/>
      <c r="F138" s="10"/>
      <c r="G138" s="10"/>
      <c r="H138" s="10"/>
      <c r="I138" s="10"/>
      <c r="J138" s="107"/>
      <c r="K138" s="107"/>
      <c r="L138" s="107"/>
      <c r="M138" s="107"/>
      <c r="N138" s="107"/>
      <c r="O138" s="107"/>
      <c r="P138" s="107"/>
      <c r="Q138" s="107"/>
      <c r="R138" s="107"/>
      <c r="S138" s="107"/>
      <c r="T138" s="107"/>
      <c r="U138" s="107"/>
      <c r="V138" s="107"/>
      <c r="W138" s="107"/>
    </row>
    <row r="139" spans="2:23">
      <c r="B139" s="10"/>
      <c r="C139" s="10"/>
      <c r="D139" s="10"/>
      <c r="E139" s="10"/>
      <c r="F139" s="10"/>
      <c r="G139" s="10"/>
      <c r="H139" s="10"/>
      <c r="I139" s="10"/>
      <c r="J139" s="107"/>
      <c r="K139" s="107"/>
      <c r="L139" s="107"/>
      <c r="M139" s="107"/>
      <c r="N139" s="107"/>
      <c r="O139" s="107"/>
      <c r="P139" s="107"/>
      <c r="Q139" s="107"/>
      <c r="R139" s="107"/>
      <c r="S139" s="107"/>
      <c r="T139" s="107"/>
      <c r="U139" s="107"/>
      <c r="V139" s="107"/>
      <c r="W139" s="107"/>
    </row>
    <row r="140" spans="2:23">
      <c r="B140" s="10"/>
      <c r="C140" s="10"/>
      <c r="D140" s="10"/>
      <c r="E140" s="10"/>
      <c r="F140" s="10"/>
      <c r="G140" s="10"/>
      <c r="H140" s="10"/>
      <c r="I140" s="10"/>
      <c r="J140" s="107"/>
      <c r="K140" s="107"/>
      <c r="L140" s="107"/>
      <c r="M140" s="107"/>
      <c r="N140" s="107"/>
      <c r="O140" s="107"/>
      <c r="P140" s="107"/>
      <c r="Q140" s="107"/>
      <c r="R140" s="107"/>
      <c r="S140" s="107"/>
      <c r="T140" s="107"/>
      <c r="U140" s="107"/>
      <c r="V140" s="107"/>
      <c r="W140" s="107"/>
    </row>
    <row r="141" spans="2:23">
      <c r="B141" s="10"/>
      <c r="C141" s="10"/>
      <c r="D141" s="10"/>
      <c r="E141" s="10"/>
      <c r="F141" s="10"/>
      <c r="G141" s="10"/>
      <c r="H141" s="10"/>
      <c r="I141" s="10"/>
      <c r="J141" s="107"/>
      <c r="K141" s="107"/>
      <c r="L141" s="107"/>
      <c r="M141" s="107"/>
      <c r="N141" s="107"/>
      <c r="O141" s="107"/>
      <c r="P141" s="107"/>
      <c r="Q141" s="107"/>
      <c r="R141" s="107"/>
      <c r="S141" s="107"/>
      <c r="T141" s="107"/>
      <c r="U141" s="107"/>
      <c r="V141" s="107"/>
      <c r="W141" s="107"/>
    </row>
    <row r="142" spans="2:23">
      <c r="B142" s="10"/>
      <c r="C142" s="10"/>
      <c r="D142" s="10"/>
      <c r="E142" s="10"/>
      <c r="F142" s="10"/>
      <c r="G142" s="10"/>
      <c r="H142" s="10"/>
      <c r="I142" s="10"/>
      <c r="J142" s="107"/>
      <c r="K142" s="107"/>
      <c r="L142" s="107"/>
      <c r="M142" s="107"/>
      <c r="N142" s="107"/>
      <c r="O142" s="107"/>
      <c r="P142" s="107"/>
      <c r="Q142" s="107"/>
      <c r="R142" s="107"/>
      <c r="S142" s="107"/>
      <c r="T142" s="107"/>
      <c r="U142" s="107"/>
      <c r="V142" s="107"/>
      <c r="W142" s="107"/>
    </row>
    <row r="143" spans="2:23">
      <c r="B143" s="10"/>
      <c r="C143" s="10"/>
      <c r="D143" s="10"/>
      <c r="E143" s="10"/>
      <c r="F143" s="10"/>
      <c r="G143" s="10"/>
      <c r="H143" s="10"/>
      <c r="I143" s="10"/>
      <c r="J143" s="107"/>
      <c r="K143" s="107"/>
      <c r="L143" s="107"/>
      <c r="M143" s="107"/>
      <c r="N143" s="107"/>
      <c r="O143" s="107"/>
      <c r="P143" s="107"/>
      <c r="Q143" s="107"/>
      <c r="R143" s="107"/>
      <c r="S143" s="107"/>
      <c r="T143" s="107"/>
      <c r="U143" s="107"/>
      <c r="V143" s="107"/>
      <c r="W143" s="107"/>
    </row>
    <row r="144" spans="2:23">
      <c r="B144" s="10"/>
      <c r="C144" s="10"/>
      <c r="D144" s="10"/>
      <c r="E144" s="10"/>
      <c r="F144" s="10"/>
      <c r="G144" s="10"/>
      <c r="H144" s="10"/>
      <c r="I144" s="10"/>
      <c r="J144" s="107"/>
      <c r="K144" s="107"/>
      <c r="L144" s="107"/>
      <c r="M144" s="107"/>
      <c r="N144" s="107"/>
      <c r="O144" s="107"/>
      <c r="P144" s="107"/>
      <c r="Q144" s="107"/>
      <c r="R144" s="107"/>
      <c r="S144" s="107"/>
      <c r="T144" s="107"/>
      <c r="U144" s="107"/>
      <c r="V144" s="107"/>
      <c r="W144" s="107"/>
    </row>
    <row r="145" spans="2:23">
      <c r="B145" s="10"/>
      <c r="C145" s="10"/>
      <c r="D145" s="10"/>
      <c r="E145" s="10"/>
      <c r="F145" s="10"/>
      <c r="G145" s="10"/>
      <c r="H145" s="10"/>
      <c r="I145" s="10"/>
      <c r="J145" s="107"/>
      <c r="K145" s="107"/>
      <c r="L145" s="107"/>
      <c r="M145" s="107"/>
      <c r="N145" s="107"/>
      <c r="O145" s="107"/>
      <c r="P145" s="107"/>
      <c r="Q145" s="107"/>
      <c r="R145" s="107"/>
      <c r="S145" s="107"/>
      <c r="T145" s="107"/>
      <c r="U145" s="107"/>
      <c r="V145" s="107"/>
      <c r="W145" s="107"/>
    </row>
    <row r="146" spans="2:23">
      <c r="B146" s="10"/>
      <c r="C146" s="10"/>
      <c r="D146" s="10"/>
      <c r="E146" s="10"/>
      <c r="F146" s="10"/>
      <c r="G146" s="10"/>
      <c r="H146" s="10"/>
      <c r="I146" s="10"/>
      <c r="J146" s="107"/>
      <c r="K146" s="107"/>
      <c r="L146" s="107"/>
      <c r="M146" s="107"/>
      <c r="N146" s="107"/>
      <c r="O146" s="107"/>
      <c r="P146" s="107"/>
      <c r="Q146" s="107"/>
      <c r="R146" s="107"/>
      <c r="S146" s="107"/>
      <c r="T146" s="107"/>
      <c r="U146" s="107"/>
      <c r="V146" s="107"/>
      <c r="W146" s="107"/>
    </row>
    <row r="147" spans="2:23">
      <c r="B147" s="10"/>
      <c r="C147" s="10"/>
      <c r="D147" s="10"/>
      <c r="E147" s="10"/>
      <c r="F147" s="10"/>
      <c r="G147" s="10"/>
      <c r="H147" s="10"/>
      <c r="I147" s="10"/>
      <c r="J147" s="107"/>
      <c r="K147" s="107"/>
      <c r="L147" s="107"/>
      <c r="M147" s="107"/>
      <c r="N147" s="107"/>
      <c r="O147" s="107"/>
      <c r="P147" s="107"/>
      <c r="Q147" s="107"/>
      <c r="R147" s="107"/>
      <c r="S147" s="107"/>
      <c r="T147" s="107"/>
      <c r="U147" s="107"/>
      <c r="V147" s="107"/>
      <c r="W147" s="107"/>
    </row>
    <row r="148" spans="2:23">
      <c r="B148" s="10"/>
      <c r="C148" s="10"/>
      <c r="D148" s="10"/>
      <c r="E148" s="10"/>
      <c r="F148" s="10"/>
      <c r="G148" s="10"/>
      <c r="H148" s="10"/>
      <c r="I148" s="10"/>
      <c r="J148" s="107"/>
      <c r="K148" s="107"/>
      <c r="L148" s="107"/>
      <c r="M148" s="107"/>
      <c r="N148" s="107"/>
      <c r="O148" s="107"/>
      <c r="P148" s="107"/>
      <c r="Q148" s="107"/>
      <c r="R148" s="107"/>
      <c r="S148" s="107"/>
      <c r="T148" s="107"/>
      <c r="U148" s="107"/>
      <c r="V148" s="107"/>
      <c r="W148" s="107"/>
    </row>
    <row r="149" spans="2:23">
      <c r="B149" s="10"/>
      <c r="C149" s="10"/>
      <c r="D149" s="10"/>
      <c r="E149" s="10"/>
      <c r="F149" s="10"/>
      <c r="G149" s="10"/>
      <c r="H149" s="10"/>
      <c r="I149" s="10"/>
      <c r="J149" s="107"/>
      <c r="K149" s="107"/>
      <c r="L149" s="107"/>
      <c r="M149" s="107"/>
      <c r="N149" s="107"/>
      <c r="O149" s="107"/>
      <c r="P149" s="107"/>
      <c r="Q149" s="107"/>
      <c r="R149" s="107"/>
      <c r="S149" s="107"/>
      <c r="T149" s="107"/>
      <c r="U149" s="107"/>
      <c r="V149" s="107"/>
      <c r="W149" s="107"/>
    </row>
    <row r="150" spans="2:23">
      <c r="B150" s="10"/>
      <c r="C150" s="10"/>
      <c r="D150" s="10"/>
      <c r="E150" s="10"/>
      <c r="F150" s="10"/>
      <c r="G150" s="10"/>
      <c r="H150" s="10"/>
      <c r="I150" s="10"/>
      <c r="J150" s="107"/>
      <c r="K150" s="107"/>
      <c r="L150" s="107"/>
      <c r="M150" s="107"/>
      <c r="N150" s="107"/>
      <c r="O150" s="107"/>
      <c r="P150" s="107"/>
      <c r="Q150" s="107"/>
      <c r="R150" s="107"/>
      <c r="S150" s="107"/>
      <c r="T150" s="107"/>
      <c r="U150" s="107"/>
      <c r="V150" s="107"/>
      <c r="W150" s="107"/>
    </row>
    <row r="151" spans="2:23">
      <c r="B151" s="10"/>
      <c r="C151" s="10"/>
      <c r="D151" s="10"/>
      <c r="E151" s="10"/>
      <c r="F151" s="10"/>
      <c r="G151" s="10"/>
      <c r="H151" s="10"/>
      <c r="I151" s="10"/>
      <c r="J151" s="107"/>
      <c r="K151" s="107"/>
      <c r="L151" s="107"/>
      <c r="M151" s="107"/>
      <c r="N151" s="107"/>
      <c r="O151" s="107"/>
      <c r="P151" s="107"/>
      <c r="Q151" s="107"/>
      <c r="R151" s="107"/>
      <c r="S151" s="107"/>
      <c r="T151" s="107"/>
      <c r="U151" s="107"/>
      <c r="V151" s="107"/>
      <c r="W151" s="107"/>
    </row>
    <row r="152" spans="2:23">
      <c r="B152" s="10"/>
      <c r="C152" s="10"/>
      <c r="D152" s="10"/>
      <c r="E152" s="10"/>
      <c r="F152" s="10"/>
      <c r="G152" s="10"/>
      <c r="H152" s="10"/>
      <c r="I152" s="10"/>
      <c r="J152" s="107"/>
      <c r="K152" s="107"/>
      <c r="L152" s="107"/>
      <c r="M152" s="107"/>
      <c r="N152" s="107"/>
      <c r="O152" s="107"/>
      <c r="P152" s="107"/>
      <c r="Q152" s="107"/>
      <c r="R152" s="107"/>
      <c r="S152" s="107"/>
      <c r="T152" s="107"/>
      <c r="U152" s="107"/>
      <c r="V152" s="107"/>
      <c r="W152" s="107"/>
    </row>
    <row r="153" spans="2:23">
      <c r="B153" s="10"/>
      <c r="C153" s="10"/>
      <c r="D153" s="10"/>
      <c r="E153" s="10"/>
      <c r="F153" s="10"/>
      <c r="G153" s="10"/>
      <c r="H153" s="10"/>
      <c r="I153" s="10"/>
      <c r="J153" s="107"/>
      <c r="K153" s="107"/>
      <c r="L153" s="107"/>
      <c r="M153" s="107"/>
      <c r="N153" s="107"/>
      <c r="O153" s="107"/>
      <c r="P153" s="107"/>
      <c r="Q153" s="107"/>
      <c r="R153" s="107"/>
      <c r="S153" s="107"/>
      <c r="T153" s="107"/>
      <c r="U153" s="107"/>
      <c r="V153" s="107"/>
      <c r="W153" s="107"/>
    </row>
    <row r="154" spans="2:23">
      <c r="B154" s="10"/>
      <c r="C154" s="10"/>
      <c r="D154" s="10"/>
      <c r="E154" s="10"/>
      <c r="F154" s="10"/>
      <c r="G154" s="10"/>
      <c r="H154" s="10"/>
      <c r="I154" s="10"/>
      <c r="J154" s="107"/>
      <c r="K154" s="107"/>
      <c r="L154" s="107"/>
      <c r="M154" s="107"/>
      <c r="N154" s="107"/>
      <c r="O154" s="107"/>
      <c r="P154" s="107"/>
      <c r="Q154" s="107"/>
      <c r="R154" s="107"/>
      <c r="S154" s="107"/>
      <c r="T154" s="107"/>
      <c r="U154" s="107"/>
      <c r="V154" s="107"/>
      <c r="W154" s="107"/>
    </row>
    <row r="155" spans="2:23">
      <c r="B155" s="10"/>
      <c r="C155" s="10"/>
      <c r="D155" s="10"/>
      <c r="E155" s="10"/>
      <c r="F155" s="10"/>
      <c r="G155" s="10"/>
      <c r="H155" s="10"/>
      <c r="I155" s="10"/>
      <c r="J155" s="107"/>
      <c r="K155" s="107"/>
      <c r="L155" s="107"/>
      <c r="M155" s="107"/>
      <c r="N155" s="107"/>
      <c r="O155" s="107"/>
      <c r="P155" s="107"/>
      <c r="Q155" s="107"/>
      <c r="R155" s="107"/>
      <c r="S155" s="107"/>
      <c r="T155" s="107"/>
      <c r="U155" s="107"/>
      <c r="V155" s="107"/>
      <c r="W155" s="107"/>
    </row>
    <row r="156" spans="2:23">
      <c r="B156" s="10"/>
      <c r="C156" s="10"/>
      <c r="D156" s="10"/>
      <c r="E156" s="10"/>
      <c r="F156" s="10"/>
      <c r="G156" s="10"/>
      <c r="H156" s="10"/>
      <c r="I156" s="10"/>
      <c r="J156" s="107"/>
      <c r="K156" s="107"/>
      <c r="L156" s="107"/>
      <c r="M156" s="107"/>
      <c r="N156" s="107"/>
      <c r="O156" s="107"/>
      <c r="P156" s="107"/>
      <c r="Q156" s="107"/>
      <c r="R156" s="107"/>
      <c r="S156" s="107"/>
      <c r="T156" s="107"/>
      <c r="U156" s="107"/>
      <c r="V156" s="107"/>
      <c r="W156" s="107"/>
    </row>
    <row r="157" spans="2:23">
      <c r="B157" s="10"/>
      <c r="C157" s="10"/>
      <c r="D157" s="10"/>
      <c r="E157" s="10"/>
      <c r="F157" s="10"/>
      <c r="G157" s="10"/>
      <c r="H157" s="10"/>
      <c r="I157" s="10"/>
      <c r="J157" s="107"/>
      <c r="K157" s="107"/>
      <c r="L157" s="107"/>
      <c r="M157" s="107"/>
      <c r="N157" s="107"/>
      <c r="O157" s="107"/>
      <c r="P157" s="107"/>
      <c r="Q157" s="107"/>
      <c r="R157" s="107"/>
      <c r="S157" s="107"/>
      <c r="T157" s="107"/>
      <c r="U157" s="107"/>
      <c r="V157" s="107"/>
      <c r="W157" s="107"/>
    </row>
    <row r="158" spans="2:23">
      <c r="B158" s="10"/>
      <c r="C158" s="10"/>
      <c r="D158" s="10"/>
      <c r="E158" s="10"/>
      <c r="F158" s="10"/>
      <c r="G158" s="10"/>
      <c r="H158" s="10"/>
      <c r="I158" s="10"/>
      <c r="J158" s="107"/>
      <c r="K158" s="107"/>
      <c r="L158" s="107"/>
      <c r="M158" s="107"/>
      <c r="N158" s="107"/>
      <c r="O158" s="107"/>
      <c r="P158" s="107"/>
      <c r="Q158" s="107"/>
      <c r="R158" s="107"/>
      <c r="S158" s="107"/>
      <c r="T158" s="107"/>
      <c r="U158" s="107"/>
      <c r="V158" s="107"/>
      <c r="W158" s="107"/>
    </row>
    <row r="159" spans="2:23">
      <c r="B159" s="10"/>
      <c r="C159" s="10"/>
      <c r="D159" s="10"/>
      <c r="E159" s="10"/>
      <c r="F159" s="10"/>
      <c r="G159" s="10"/>
      <c r="H159" s="10"/>
      <c r="I159" s="10"/>
      <c r="J159" s="107"/>
      <c r="K159" s="107"/>
      <c r="L159" s="107"/>
      <c r="M159" s="107"/>
      <c r="N159" s="107"/>
      <c r="O159" s="107"/>
      <c r="P159" s="107"/>
      <c r="Q159" s="107"/>
      <c r="R159" s="107"/>
      <c r="S159" s="107"/>
      <c r="T159" s="107"/>
      <c r="U159" s="107"/>
      <c r="V159" s="107"/>
      <c r="W159" s="107"/>
    </row>
    <row r="160" spans="2:23">
      <c r="B160" s="10"/>
      <c r="C160" s="10"/>
      <c r="D160" s="10"/>
      <c r="E160" s="107"/>
      <c r="F160" s="10"/>
      <c r="G160" s="10"/>
      <c r="H160" s="10"/>
      <c r="I160" s="10"/>
      <c r="J160" s="107"/>
      <c r="K160" s="107"/>
      <c r="L160" s="107"/>
      <c r="M160" s="107"/>
      <c r="N160" s="107"/>
      <c r="O160" s="107"/>
      <c r="P160" s="107"/>
      <c r="Q160" s="107"/>
      <c r="R160" s="107"/>
      <c r="S160" s="107"/>
      <c r="T160" s="107"/>
      <c r="U160" s="107"/>
      <c r="V160" s="107"/>
      <c r="W160" s="107"/>
    </row>
    <row r="161" spans="2:23">
      <c r="B161" s="10"/>
      <c r="C161" s="10"/>
      <c r="D161" s="10"/>
      <c r="E161" s="107"/>
      <c r="F161" s="10"/>
      <c r="G161" s="10"/>
      <c r="H161" s="10"/>
      <c r="I161" s="107"/>
      <c r="J161" s="107"/>
      <c r="K161" s="107"/>
      <c r="L161" s="107"/>
      <c r="M161" s="107"/>
      <c r="N161" s="107"/>
      <c r="O161" s="107"/>
      <c r="P161" s="107"/>
      <c r="Q161" s="107"/>
      <c r="R161" s="107"/>
      <c r="S161" s="107"/>
      <c r="T161" s="107"/>
      <c r="U161" s="107"/>
      <c r="V161" s="107"/>
      <c r="W161" s="107"/>
    </row>
    <row r="162" spans="2:23">
      <c r="B162" s="10"/>
      <c r="C162" s="10"/>
      <c r="D162" s="10"/>
      <c r="E162" s="107"/>
      <c r="F162" s="10"/>
      <c r="G162" s="107"/>
      <c r="H162" s="107"/>
      <c r="I162" s="107"/>
      <c r="J162" s="107"/>
      <c r="K162" s="107"/>
      <c r="L162" s="107"/>
      <c r="M162" s="107"/>
      <c r="N162" s="107"/>
      <c r="O162" s="107"/>
      <c r="P162" s="107"/>
      <c r="Q162" s="107"/>
      <c r="R162" s="107"/>
      <c r="S162" s="107"/>
      <c r="T162" s="107"/>
      <c r="U162" s="107"/>
      <c r="V162" s="107"/>
      <c r="W162" s="107"/>
    </row>
    <row r="163" spans="2:23">
      <c r="B163" s="10"/>
      <c r="C163" s="107"/>
      <c r="D163" s="10"/>
      <c r="E163" s="107"/>
      <c r="F163" s="10"/>
      <c r="G163" s="107"/>
      <c r="H163" s="107"/>
      <c r="I163" s="107"/>
      <c r="J163" s="107"/>
      <c r="K163" s="107"/>
      <c r="L163" s="107"/>
      <c r="M163" s="107"/>
      <c r="N163" s="107"/>
      <c r="O163" s="107"/>
      <c r="P163" s="107"/>
      <c r="Q163" s="107"/>
      <c r="R163" s="107"/>
      <c r="S163" s="107"/>
      <c r="T163" s="107"/>
      <c r="U163" s="107"/>
      <c r="V163" s="107"/>
      <c r="W163" s="107"/>
    </row>
    <row r="164" spans="2:23">
      <c r="B164" s="107"/>
      <c r="C164" s="107"/>
      <c r="D164" s="10"/>
      <c r="E164" s="107"/>
      <c r="F164" s="10"/>
      <c r="G164" s="107"/>
      <c r="H164" s="107"/>
      <c r="I164" s="107"/>
      <c r="J164" s="107"/>
      <c r="K164" s="107"/>
      <c r="L164" s="107"/>
      <c r="M164" s="107"/>
      <c r="N164" s="107"/>
      <c r="O164" s="107"/>
      <c r="P164" s="107"/>
      <c r="Q164" s="107"/>
      <c r="R164" s="107"/>
      <c r="S164" s="107"/>
      <c r="T164" s="107"/>
      <c r="U164" s="107"/>
      <c r="V164" s="107"/>
      <c r="W164" s="107"/>
    </row>
    <row r="165" spans="2:23">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row>
    <row r="166" spans="2:23">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row>
    <row r="167" spans="2:23">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row>
    <row r="168" spans="2:23">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row>
    <row r="169" spans="2:23">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row>
    <row r="170" spans="2:23">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row>
    <row r="171" spans="2:23">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row>
    <row r="172" spans="2:23">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row>
    <row r="173" spans="2:23">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row>
    <row r="174" spans="2:23">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row>
    <row r="175" spans="2:23">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row>
    <row r="176" spans="2:23">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row>
    <row r="177" spans="2:23">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row>
    <row r="178" spans="2:23">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row>
    <row r="179" spans="2:23">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row>
    <row r="180" spans="2:23">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row>
    <row r="181" spans="2:23">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row>
    <row r="182" spans="2:23">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row>
    <row r="183" spans="2:23">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row>
    <row r="184" spans="2:23">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row>
    <row r="185" spans="2:23">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row>
    <row r="186" spans="2:23">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row>
    <row r="187" spans="2:23">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row>
    <row r="188" spans="2:23">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row>
    <row r="189" spans="2:23">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row>
    <row r="190" spans="2:23">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row>
    <row r="191" spans="2:23">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row>
    <row r="192" spans="2:23">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row>
    <row r="193" spans="2:23">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row>
    <row r="194" spans="2:23">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row>
    <row r="195" spans="2:23">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row>
    <row r="196" spans="2:23">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row>
    <row r="197" spans="2:23">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row>
    <row r="198" spans="2:23">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row>
    <row r="199" spans="2:23">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row>
    <row r="200" spans="2:23">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row>
    <row r="201" spans="2:23">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row>
    <row r="202" spans="2:23">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row>
    <row r="203" spans="2:23">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row>
    <row r="204" spans="2:23">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row>
    <row r="205" spans="2:23">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row>
    <row r="206" spans="2:23">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row>
    <row r="207" spans="2:23">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row>
    <row r="208" spans="2:23">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row>
    <row r="209" spans="2:23">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row>
    <row r="210" spans="2:23">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row>
    <row r="211" spans="2:23">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row>
    <row r="212" spans="2:23">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row>
    <row r="213" spans="2:23">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row>
    <row r="214" spans="2:23">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row>
    <row r="215" spans="2:23">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row>
    <row r="216" spans="2:23">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row>
    <row r="217" spans="2:23">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row>
    <row r="218" spans="2:23">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row>
    <row r="219" spans="2:23">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row>
    <row r="220" spans="2:23">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row>
    <row r="221" spans="2:23">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row>
    <row r="222" spans="2:23">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row>
    <row r="223" spans="2:23">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row>
    <row r="224" spans="2:23">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row>
    <row r="225" spans="2:23">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row>
    <row r="226" spans="2:23">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row>
    <row r="227" spans="2:23">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row>
    <row r="228" spans="2:23">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row>
    <row r="229" spans="2:23">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row>
    <row r="230" spans="2:23">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row>
    <row r="231" spans="2:23">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row>
    <row r="232" spans="2:23">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row>
    <row r="233" spans="2:23">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row>
    <row r="234" spans="2:23">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row>
    <row r="235" spans="2:23">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row>
    <row r="236" spans="2:23">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row>
    <row r="237" spans="2:23">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row>
    <row r="238" spans="2:23">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row>
    <row r="239" spans="2:23">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row>
    <row r="240" spans="2:23">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row>
    <row r="241" spans="2:23">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row>
    <row r="242" spans="2:23">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row>
    <row r="243" spans="2:23">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row>
    <row r="244" spans="2:23">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row>
    <row r="245" spans="2:23">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row>
    <row r="246" spans="2:23">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row>
    <row r="247" spans="2:23">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row>
    <row r="248" spans="2:23">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row>
    <row r="249" spans="2:23">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row>
    <row r="250" spans="2:23">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row>
    <row r="251" spans="2:23">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row>
    <row r="252" spans="2:23">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row>
    <row r="253" spans="2:23">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row>
    <row r="254" spans="2:23">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row>
    <row r="255" spans="2:23">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row>
    <row r="256" spans="2:23">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row>
    <row r="257" spans="2:23">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row>
    <row r="258" spans="2:23">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row>
    <row r="259" spans="2:23">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row>
    <row r="260" spans="2:23">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row>
    <row r="261" spans="2:23">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row>
    <row r="262" spans="2:23">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row>
    <row r="263" spans="2:23">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row>
    <row r="264" spans="2:23">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row>
    <row r="265" spans="2:23">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row>
    <row r="266" spans="2:23">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row>
    <row r="267" spans="2:23">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row>
    <row r="268" spans="2:23">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row>
    <row r="269" spans="2:23">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row>
    <row r="270" spans="2:23">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row>
    <row r="271" spans="2:23">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row>
    <row r="272" spans="2:23">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row>
    <row r="273" spans="2:23">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row>
    <row r="274" spans="2:23">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row>
    <row r="275" spans="2:23">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row>
    <row r="276" spans="2:23">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row>
    <row r="277" spans="2:23">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row>
    <row r="278" spans="2:23">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row>
    <row r="279" spans="2:23">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row>
    <row r="280" spans="2:23">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row>
    <row r="281" spans="2:23">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row>
    <row r="282" spans="2:23">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row>
    <row r="283" spans="2:23">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row>
    <row r="284" spans="2:23">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row>
    <row r="285" spans="2:23">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row>
    <row r="286" spans="2:23">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row>
    <row r="287" spans="2:23">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row>
    <row r="288" spans="2:23">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row>
    <row r="289" spans="2:23">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row>
    <row r="290" spans="2:23">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row>
    <row r="291" spans="2:23">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row>
    <row r="292" spans="2:23">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row>
    <row r="293" spans="2:23">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row>
    <row r="294" spans="2:23">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row>
    <row r="295" spans="2:23">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row>
    <row r="296" spans="2:23">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row>
    <row r="297" spans="2:23">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row>
    <row r="298" spans="2:23">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row>
    <row r="299" spans="2:23">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row>
    <row r="300" spans="2:23">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row>
    <row r="301" spans="2:23">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row>
    <row r="302" spans="2:23">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row>
    <row r="303" spans="2:23">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row>
    <row r="304" spans="2:23">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row>
    <row r="305" spans="2:23">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row>
    <row r="306" spans="2:23">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row>
    <row r="307" spans="2:23">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row>
    <row r="308" spans="2:23">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row>
    <row r="309" spans="2:23">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row>
    <row r="310" spans="2:23">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row>
    <row r="311" spans="2:23">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row>
    <row r="312" spans="2:23">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row>
    <row r="313" spans="2:23">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row>
    <row r="314" spans="2:23">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row>
    <row r="315" spans="2:23">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row>
    <row r="316" spans="2:23">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row>
    <row r="317" spans="2:23">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row>
    <row r="318" spans="2:23">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row>
    <row r="319" spans="2:23">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row>
    <row r="320" spans="2:23">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row>
    <row r="321" spans="2:23">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row>
    <row r="322" spans="2:23">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row>
    <row r="323" spans="2:23">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row>
    <row r="324" spans="2:23">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row>
    <row r="325" spans="2:23">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row>
    <row r="326" spans="2:23">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row>
    <row r="327" spans="2:23">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row>
    <row r="328" spans="2:23">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row>
    <row r="329" spans="2:23">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row>
    <row r="330" spans="2:23">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row>
    <row r="331" spans="2:23">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row>
    <row r="332" spans="2:23">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row>
    <row r="333" spans="2:23">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row>
    <row r="334" spans="2:23">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row>
    <row r="335" spans="2:23">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row>
    <row r="336" spans="2:23">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row>
    <row r="337" spans="2:23">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row>
    <row r="338" spans="2:23">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row>
    <row r="339" spans="2:23">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row>
    <row r="340" spans="2:23">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row>
    <row r="341" spans="2:23">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row>
    <row r="342" spans="2:23">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row>
    <row r="343" spans="2:23">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row>
    <row r="344" spans="2:23">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row>
    <row r="345" spans="2:23">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row>
    <row r="346" spans="2:23">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row>
    <row r="347" spans="2:23">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row>
    <row r="348" spans="2:23">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row>
    <row r="349" spans="2:23">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row>
    <row r="350" spans="2:23">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row>
    <row r="351" spans="2:23">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row>
    <row r="352" spans="2:23">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row>
    <row r="353" spans="2:23">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row>
    <row r="354" spans="2:23">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row>
    <row r="355" spans="2:23">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row>
    <row r="356" spans="2:23">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row>
    <row r="357" spans="2:23">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row>
    <row r="358" spans="2:23">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row>
    <row r="359" spans="2:23">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row>
    <row r="360" spans="2:23">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row>
    <row r="361" spans="2:23">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row>
    <row r="362" spans="2:23">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row>
    <row r="363" spans="2:23">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row>
    <row r="364" spans="2:23">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row>
    <row r="365" spans="2:23">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row>
    <row r="366" spans="2:23">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row>
    <row r="367" spans="2:23">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row>
    <row r="368" spans="2:23">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row>
    <row r="369" spans="2:23">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row>
    <row r="370" spans="2:23">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row>
    <row r="371" spans="2:23">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row>
    <row r="372" spans="2:23">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row>
    <row r="373" spans="2:23">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row>
    <row r="374" spans="2:23">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row>
    <row r="375" spans="2:23">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row>
    <row r="376" spans="2:23">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row>
    <row r="377" spans="2:23">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row>
    <row r="378" spans="2:23">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row>
    <row r="379" spans="2:23">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row>
    <row r="380" spans="2:23">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row>
    <row r="381" spans="2:23">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row>
    <row r="382" spans="2:23">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row>
    <row r="383" spans="2:23">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row>
    <row r="384" spans="2:23">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row>
    <row r="385" spans="2:23">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row>
    <row r="386" spans="2:23">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row>
    <row r="387" spans="2:23">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row>
    <row r="388" spans="2:23">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row>
    <row r="389" spans="2:23">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row>
    <row r="390" spans="2:23">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row>
    <row r="391" spans="2:23">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row>
    <row r="392" spans="2:23">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row>
    <row r="393" spans="2:23">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row>
    <row r="394" spans="2:23">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row>
    <row r="395" spans="2:23">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row>
    <row r="396" spans="2:23">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row>
    <row r="397" spans="2:23">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row>
    <row r="398" spans="2:23">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row>
    <row r="399" spans="2:23">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row>
    <row r="400" spans="2:23">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row>
    <row r="401" spans="2:23">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row>
    <row r="402" spans="2:23">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row>
    <row r="403" spans="2:23">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row>
    <row r="404" spans="2:23">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row>
    <row r="405" spans="2:23">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row>
    <row r="406" spans="2:23">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row>
    <row r="407" spans="2:23">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row>
    <row r="408" spans="2:23">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row>
    <row r="409" spans="2:23">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row>
    <row r="410" spans="2:23">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row>
    <row r="411" spans="2:23">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row>
    <row r="412" spans="2:23">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row>
    <row r="413" spans="2:23">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row>
    <row r="414" spans="2:23">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row>
    <row r="415" spans="2:23">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row>
    <row r="416" spans="2:23">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row>
    <row r="417" spans="2:23">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row>
    <row r="418" spans="2:23">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row>
    <row r="419" spans="2:23">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row>
    <row r="420" spans="2:23">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row>
    <row r="421" spans="2:23">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row>
    <row r="422" spans="2:23">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row>
    <row r="423" spans="2:23">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row>
    <row r="424" spans="2:23">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row>
    <row r="425" spans="2:23">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row>
    <row r="426" spans="2:23">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row>
    <row r="427" spans="2:23">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row>
    <row r="428" spans="2:23">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row>
    <row r="429" spans="2:23">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row>
    <row r="430" spans="2:23">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row>
    <row r="431" spans="2:23">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row>
    <row r="432" spans="2:23">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row>
    <row r="433" spans="2:23">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row>
    <row r="434" spans="2:23">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row>
    <row r="435" spans="2:23">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row>
    <row r="436" spans="2:23">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row>
    <row r="437" spans="2:23">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row>
    <row r="438" spans="2:23">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row>
    <row r="439" spans="2:23">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row>
    <row r="440" spans="2:23">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row>
    <row r="441" spans="2:23">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row>
    <row r="442" spans="2:23">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row>
    <row r="443" spans="2:23">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row>
    <row r="444" spans="2:23">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row>
    <row r="445" spans="2:23">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row>
    <row r="446" spans="2:23">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row>
    <row r="447" spans="2:23">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row>
    <row r="448" spans="2:23">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row>
    <row r="449" spans="2:23">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row>
    <row r="450" spans="2:23">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row>
    <row r="451" spans="2:23">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row>
    <row r="452" spans="2:23">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row>
    <row r="453" spans="2:23">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row>
    <row r="454" spans="2:23">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row>
    <row r="455" spans="2:23">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row>
    <row r="456" spans="2:23">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row>
    <row r="457" spans="2:23">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row>
    <row r="458" spans="2:23">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row>
    <row r="459" spans="2:23">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row>
    <row r="460" spans="2:23">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row>
    <row r="461" spans="2:23">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row>
    <row r="462" spans="2:23">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row>
    <row r="463" spans="2:23">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row>
    <row r="464" spans="2:23">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row>
    <row r="465" spans="2:23">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row>
    <row r="466" spans="2:23">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row>
    <row r="467" spans="2:23">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row>
    <row r="468" spans="2:23">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row>
    <row r="469" spans="2:23">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row>
    <row r="470" spans="2:23">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row>
    <row r="471" spans="2:23">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row>
    <row r="472" spans="2:23">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row>
    <row r="473" spans="2:23">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row>
    <row r="474" spans="2:23">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row>
    <row r="475" spans="2:23">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row>
    <row r="476" spans="2:23">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row>
    <row r="477" spans="2:23">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row>
    <row r="478" spans="2:23">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row>
    <row r="479" spans="2:23">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row>
    <row r="480" spans="2:23">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row>
    <row r="481" spans="2:23">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row>
    <row r="482" spans="2:23">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row>
    <row r="483" spans="2:23">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row>
    <row r="484" spans="2:23">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row>
    <row r="485" spans="2:23">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row>
    <row r="486" spans="2:23">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row>
    <row r="487" spans="2:23">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row>
    <row r="488" spans="2:23">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row>
    <row r="489" spans="2:23">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row>
    <row r="490" spans="2:23">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row>
    <row r="491" spans="2:23">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row>
    <row r="492" spans="2:23">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row>
    <row r="493" spans="2:23">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row>
    <row r="494" spans="2:23">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row>
    <row r="495" spans="2:23">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row>
    <row r="496" spans="2:23">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row>
    <row r="497" spans="2:23">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row>
    <row r="498" spans="2:23">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row>
    <row r="499" spans="2:23">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row>
    <row r="500" spans="2:23">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row>
    <row r="501" spans="2:23">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row>
    <row r="502" spans="2:23">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row>
    <row r="503" spans="2:23">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row>
    <row r="504" spans="2:23">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row>
    <row r="505" spans="2:23">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row>
    <row r="506" spans="2:23">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row>
    <row r="507" spans="2:23">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row>
    <row r="508" spans="2:23">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row>
    <row r="509" spans="2:23">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row>
    <row r="510" spans="2:23">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row>
    <row r="511" spans="2:23">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row>
    <row r="512" spans="2:23">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row>
    <row r="513" spans="2:23">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row>
    <row r="514" spans="2:23">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row>
    <row r="515" spans="2:23">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row>
    <row r="516" spans="2:23">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row>
    <row r="517" spans="2:23">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row>
    <row r="518" spans="2:23">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row>
    <row r="519" spans="2:23">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row>
    <row r="520" spans="2:23">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row>
    <row r="521" spans="2:23">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row>
    <row r="522" spans="2:23">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row>
    <row r="523" spans="2:23">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row>
    <row r="524" spans="2:23">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row>
    <row r="525" spans="2:23">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row>
    <row r="526" spans="2:23">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row>
    <row r="527" spans="2:23">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row>
    <row r="528" spans="2:23">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row>
    <row r="529" spans="2:23">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row>
    <row r="530" spans="2:23">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row>
    <row r="531" spans="2:23">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row>
    <row r="532" spans="2:23">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row>
    <row r="533" spans="2:23">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row>
    <row r="534" spans="2:23">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row>
    <row r="535" spans="2:23">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row>
    <row r="536" spans="2:23">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row>
    <row r="537" spans="2:23">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row>
    <row r="538" spans="2:23">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row>
    <row r="539" spans="2:23">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row>
    <row r="540" spans="2:23">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row>
    <row r="541" spans="2:23">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row>
    <row r="542" spans="2:23">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row>
    <row r="543" spans="2:23">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row>
    <row r="544" spans="2:23">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row>
    <row r="545" spans="2:23">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row>
    <row r="546" spans="2:23">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row>
    <row r="547" spans="2:23">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row>
    <row r="548" spans="2:23">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row>
    <row r="549" spans="2:23">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row>
    <row r="550" spans="2:23">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row>
    <row r="551" spans="2:23">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row>
    <row r="552" spans="2:23">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row>
    <row r="553" spans="2:23">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row>
    <row r="554" spans="2:23">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row>
    <row r="555" spans="2:23">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row>
    <row r="556" spans="2:23">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row>
    <row r="557" spans="2:23">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row>
    <row r="558" spans="2:23">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row>
    <row r="559" spans="2:23">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row>
    <row r="560" spans="2:23">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row>
    <row r="561" spans="2:23">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row>
    <row r="562" spans="2:23">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row>
    <row r="563" spans="2:23">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row>
    <row r="564" spans="2:23">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row>
    <row r="565" spans="2:23">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row>
    <row r="566" spans="2:23">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row>
    <row r="567" spans="2:23">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row>
    <row r="568" spans="2:23">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row>
    <row r="569" spans="2:23">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row>
    <row r="570" spans="2:23">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row>
    <row r="571" spans="2:23">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row>
    <row r="572" spans="2:23">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row>
    <row r="573" spans="2:23">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row>
    <row r="574" spans="2:23">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row>
    <row r="575" spans="2:23">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row>
    <row r="576" spans="2:23">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row>
    <row r="577" spans="2:23">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row>
    <row r="578" spans="2:23">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row>
    <row r="579" spans="2:23">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row>
    <row r="580" spans="2:23">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row>
    <row r="581" spans="2:23">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row>
    <row r="582" spans="2:23">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row>
    <row r="583" spans="2:23">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row>
    <row r="584" spans="2:23">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row>
    <row r="585" spans="2:23">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row>
    <row r="586" spans="2:23">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row>
    <row r="587" spans="2:23">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row>
    <row r="588" spans="2:23">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row>
    <row r="589" spans="2:23">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row>
    <row r="590" spans="2:23">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row>
    <row r="591" spans="2:23">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row>
    <row r="592" spans="2:23">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row>
    <row r="593" spans="2:23">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row>
    <row r="594" spans="2:23">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row>
    <row r="595" spans="2:23">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row>
    <row r="596" spans="2:23">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row>
    <row r="597" spans="2:23">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row>
    <row r="598" spans="2:23">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row>
    <row r="599" spans="2:23">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row>
    <row r="600" spans="2:23">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row>
    <row r="601" spans="2:23">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row>
    <row r="602" spans="2:23">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row>
    <row r="603" spans="2:23">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row>
    <row r="604" spans="2:23">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row>
    <row r="605" spans="2:23">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row>
    <row r="606" spans="2:23">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row>
    <row r="607" spans="2:23">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row>
    <row r="608" spans="2:23">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row>
    <row r="609" spans="2:23">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row>
    <row r="610" spans="2:23">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row>
    <row r="611" spans="2:23">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row>
    <row r="612" spans="2:23">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row>
    <row r="613" spans="2:23">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row>
    <row r="614" spans="2:23">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row>
    <row r="615" spans="2:23">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row>
    <row r="616" spans="2:23">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row>
    <row r="617" spans="2:23">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row>
    <row r="618" spans="2:23">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row>
    <row r="619" spans="2:23">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row>
    <row r="620" spans="2:23">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row>
    <row r="621" spans="2:23">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row>
    <row r="622" spans="2:23">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row>
    <row r="623" spans="2:23">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row>
    <row r="624" spans="2:23">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row>
    <row r="625" spans="2:23">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row>
    <row r="626" spans="2:23">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row>
    <row r="627" spans="2:23">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row>
    <row r="628" spans="2:23">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row>
    <row r="629" spans="2:23">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row>
    <row r="630" spans="2:23">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row>
    <row r="631" spans="2:23">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row>
    <row r="632" spans="2:23">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row>
    <row r="633" spans="2:23">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row>
    <row r="634" spans="2:23">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row>
    <row r="635" spans="2:23">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row>
    <row r="636" spans="2:23">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row>
    <row r="637" spans="2:23">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row>
    <row r="638" spans="2:23">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row>
    <row r="639" spans="2:23">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row>
    <row r="640" spans="2:23">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row>
    <row r="641" spans="2:23">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row>
    <row r="642" spans="2:23">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row>
    <row r="643" spans="2:23">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row>
    <row r="644" spans="2:23">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row>
    <row r="645" spans="2:23">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row>
    <row r="646" spans="2:23">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row>
    <row r="647" spans="2:23">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row>
    <row r="648" spans="2:23">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row>
    <row r="649" spans="2:23">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row>
    <row r="650" spans="2:23">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row>
    <row r="651" spans="2:23">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row>
    <row r="652" spans="2:23">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row>
    <row r="653" spans="2:23">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row>
    <row r="654" spans="2:23">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row>
    <row r="655" spans="2:23">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row>
    <row r="656" spans="2:23">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row>
    <row r="657" spans="2:23">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row>
    <row r="658" spans="2:23">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row>
    <row r="659" spans="2:23">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row>
    <row r="660" spans="2:23">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row>
    <row r="661" spans="2:23">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row>
    <row r="662" spans="2:23">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row>
    <row r="663" spans="2:23">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row>
    <row r="664" spans="2:23">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row>
    <row r="665" spans="2:23">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row>
    <row r="666" spans="2:23">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row>
    <row r="667" spans="2:23">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row>
    <row r="668" spans="2:23">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row>
    <row r="669" spans="2:23">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row>
    <row r="670" spans="2:23">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row>
    <row r="671" spans="2:23">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row>
    <row r="672" spans="2:23">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row>
    <row r="673" spans="2:23">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row>
    <row r="674" spans="2:23">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row>
    <row r="675" spans="2:23">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row>
    <row r="676" spans="2:23">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row>
    <row r="677" spans="2:23">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row>
    <row r="678" spans="2:23">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row>
    <row r="679" spans="2:23">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row>
    <row r="680" spans="2:23">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row>
    <row r="681" spans="2:23">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row>
    <row r="682" spans="2:23">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row>
    <row r="683" spans="2:23">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row>
    <row r="684" spans="2:23">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row>
    <row r="685" spans="2:23">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row>
    <row r="686" spans="2:23">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row>
    <row r="687" spans="2:23">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row>
    <row r="688" spans="2:23">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row>
    <row r="689" spans="2:23">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row>
    <row r="690" spans="2:23">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row>
    <row r="691" spans="2:23">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row>
    <row r="692" spans="2:23">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row>
    <row r="693" spans="2:23">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row>
    <row r="694" spans="2:23">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row>
    <row r="695" spans="2:23">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row>
    <row r="696" spans="2:23">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row>
    <row r="697" spans="2:23">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row>
    <row r="698" spans="2:23">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row>
    <row r="699" spans="2:23">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row>
    <row r="700" spans="2:23">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row>
    <row r="701" spans="2:23">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row>
    <row r="702" spans="2:23">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row>
    <row r="703" spans="2:23">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row>
    <row r="704" spans="2:23">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row>
    <row r="705" spans="2:23">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row>
    <row r="706" spans="2:23">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row>
    <row r="707" spans="2:23">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row>
    <row r="708" spans="2:23">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row>
    <row r="709" spans="2:23">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row>
    <row r="710" spans="2:23">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row>
    <row r="711" spans="2:23">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row>
    <row r="712" spans="2:23">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row>
    <row r="713" spans="2:23">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row>
    <row r="714" spans="2:23">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row>
    <row r="715" spans="2:23">
      <c r="B715" s="107"/>
      <c r="C715" s="107"/>
      <c r="D715" s="107"/>
      <c r="E715" s="107"/>
      <c r="F715" s="107"/>
      <c r="G715" s="107"/>
      <c r="H715" s="107"/>
      <c r="I715" s="107"/>
      <c r="J715" s="107"/>
      <c r="K715" s="107"/>
      <c r="L715" s="107"/>
      <c r="M715" s="107"/>
      <c r="N715" s="107"/>
      <c r="O715" s="107"/>
      <c r="P715" s="107"/>
      <c r="Q715" s="107"/>
      <c r="R715" s="107"/>
      <c r="S715" s="107"/>
      <c r="T715" s="107"/>
      <c r="U715" s="107"/>
      <c r="V715" s="107"/>
      <c r="W715" s="107"/>
    </row>
    <row r="716" spans="2:23">
      <c r="B716" s="107"/>
      <c r="C716" s="107"/>
      <c r="D716" s="107"/>
      <c r="E716" s="107"/>
      <c r="F716" s="107"/>
      <c r="G716" s="107"/>
      <c r="H716" s="107"/>
      <c r="I716" s="107"/>
      <c r="J716" s="107"/>
      <c r="K716" s="107"/>
      <c r="L716" s="107"/>
      <c r="M716" s="107"/>
      <c r="N716" s="107"/>
      <c r="O716" s="107"/>
      <c r="P716" s="107"/>
      <c r="Q716" s="107"/>
      <c r="R716" s="107"/>
      <c r="S716" s="107"/>
      <c r="T716" s="107"/>
      <c r="U716" s="107"/>
      <c r="V716" s="107"/>
      <c r="W716" s="107"/>
    </row>
    <row r="717" spans="2:23">
      <c r="B717" s="107"/>
      <c r="C717" s="107"/>
      <c r="D717" s="107"/>
      <c r="E717" s="107"/>
      <c r="F717" s="107"/>
      <c r="G717" s="107"/>
      <c r="H717" s="107"/>
      <c r="I717" s="107"/>
      <c r="J717" s="107"/>
      <c r="K717" s="107"/>
      <c r="L717" s="107"/>
      <c r="M717" s="107"/>
      <c r="N717" s="107"/>
      <c r="O717" s="107"/>
      <c r="P717" s="107"/>
      <c r="Q717" s="107"/>
      <c r="R717" s="107"/>
      <c r="S717" s="107"/>
      <c r="T717" s="107"/>
      <c r="U717" s="107"/>
      <c r="V717" s="107"/>
      <c r="W717" s="107"/>
    </row>
    <row r="718" spans="2:23">
      <c r="B718" s="107"/>
      <c r="C718" s="107"/>
      <c r="D718" s="107"/>
      <c r="E718" s="107"/>
      <c r="F718" s="107"/>
      <c r="G718" s="107"/>
      <c r="H718" s="107"/>
      <c r="I718" s="107"/>
      <c r="J718" s="107"/>
      <c r="K718" s="107"/>
      <c r="L718" s="107"/>
      <c r="M718" s="107"/>
      <c r="N718" s="107"/>
      <c r="O718" s="107"/>
      <c r="P718" s="107"/>
      <c r="Q718" s="107"/>
      <c r="R718" s="107"/>
      <c r="S718" s="107"/>
      <c r="T718" s="107"/>
      <c r="U718" s="107"/>
      <c r="V718" s="107"/>
      <c r="W718" s="107"/>
    </row>
    <row r="719" spans="2:23">
      <c r="B719" s="107"/>
      <c r="C719" s="107"/>
      <c r="D719" s="107"/>
      <c r="E719" s="107"/>
      <c r="F719" s="107"/>
      <c r="G719" s="107"/>
      <c r="H719" s="107"/>
      <c r="I719" s="107"/>
      <c r="J719" s="107"/>
      <c r="K719" s="107"/>
      <c r="L719" s="107"/>
      <c r="M719" s="107"/>
      <c r="N719" s="107"/>
      <c r="O719" s="107"/>
      <c r="P719" s="107"/>
      <c r="Q719" s="107"/>
      <c r="R719" s="107"/>
      <c r="S719" s="107"/>
      <c r="T719" s="107"/>
      <c r="U719" s="107"/>
      <c r="V719" s="107"/>
      <c r="W719" s="107"/>
    </row>
    <row r="720" spans="2:23">
      <c r="B720" s="107"/>
      <c r="C720" s="107"/>
      <c r="D720" s="107"/>
      <c r="E720" s="107"/>
      <c r="F720" s="107"/>
      <c r="G720" s="107"/>
      <c r="H720" s="107"/>
      <c r="I720" s="107"/>
      <c r="J720" s="107"/>
      <c r="K720" s="107"/>
      <c r="L720" s="107"/>
      <c r="M720" s="107"/>
      <c r="N720" s="107"/>
      <c r="O720" s="107"/>
      <c r="P720" s="107"/>
      <c r="Q720" s="107"/>
      <c r="R720" s="107"/>
      <c r="S720" s="107"/>
      <c r="T720" s="107"/>
      <c r="U720" s="107"/>
      <c r="V720" s="107"/>
      <c r="W720" s="107"/>
    </row>
    <row r="721" spans="2:23">
      <c r="B721" s="107"/>
      <c r="C721" s="107"/>
      <c r="D721" s="107"/>
      <c r="E721" s="107"/>
      <c r="F721" s="107"/>
      <c r="G721" s="107"/>
      <c r="H721" s="107"/>
      <c r="I721" s="107"/>
      <c r="J721" s="107"/>
      <c r="K721" s="107"/>
      <c r="L721" s="107"/>
      <c r="M721" s="107"/>
      <c r="N721" s="107"/>
      <c r="O721" s="107"/>
      <c r="P721" s="107"/>
      <c r="Q721" s="107"/>
      <c r="R721" s="107"/>
      <c r="S721" s="107"/>
      <c r="T721" s="107"/>
      <c r="U721" s="107"/>
      <c r="V721" s="107"/>
      <c r="W721" s="107"/>
    </row>
    <row r="722" spans="2:23">
      <c r="B722" s="107"/>
      <c r="C722" s="107"/>
      <c r="D722" s="107"/>
      <c r="E722" s="107"/>
      <c r="F722" s="107"/>
      <c r="G722" s="107"/>
      <c r="H722" s="107"/>
      <c r="I722" s="107"/>
      <c r="J722" s="107"/>
      <c r="K722" s="107"/>
      <c r="L722" s="107"/>
      <c r="M722" s="107"/>
      <c r="N722" s="107"/>
      <c r="O722" s="107"/>
      <c r="P722" s="107"/>
      <c r="Q722" s="107"/>
      <c r="R722" s="107"/>
      <c r="S722" s="107"/>
      <c r="T722" s="107"/>
      <c r="U722" s="107"/>
      <c r="V722" s="107"/>
      <c r="W722" s="107"/>
    </row>
    <row r="723" spans="2:23">
      <c r="B723" s="107"/>
      <c r="C723" s="107"/>
      <c r="D723" s="107"/>
      <c r="E723" s="107"/>
      <c r="F723" s="107"/>
      <c r="G723" s="107"/>
      <c r="H723" s="107"/>
      <c r="I723" s="107"/>
      <c r="J723" s="107"/>
      <c r="K723" s="107"/>
      <c r="L723" s="107"/>
      <c r="M723" s="107"/>
      <c r="N723" s="107"/>
      <c r="O723" s="107"/>
      <c r="P723" s="107"/>
      <c r="Q723" s="107"/>
      <c r="R723" s="107"/>
      <c r="S723" s="107"/>
      <c r="T723" s="107"/>
      <c r="U723" s="107"/>
      <c r="V723" s="107"/>
      <c r="W723" s="107"/>
    </row>
    <row r="724" spans="2:23">
      <c r="B724" s="107"/>
      <c r="C724" s="107"/>
      <c r="D724" s="107"/>
      <c r="E724" s="107"/>
      <c r="F724" s="107"/>
      <c r="G724" s="107"/>
      <c r="H724" s="107"/>
      <c r="I724" s="107"/>
      <c r="J724" s="107"/>
      <c r="K724" s="107"/>
      <c r="L724" s="107"/>
      <c r="M724" s="107"/>
      <c r="N724" s="107"/>
      <c r="O724" s="107"/>
      <c r="P724" s="107"/>
      <c r="Q724" s="107"/>
      <c r="R724" s="107"/>
      <c r="S724" s="107"/>
      <c r="T724" s="107"/>
      <c r="U724" s="107"/>
      <c r="V724" s="107"/>
      <c r="W724" s="107"/>
    </row>
    <row r="725" spans="2:23">
      <c r="B725" s="107"/>
      <c r="C725" s="107"/>
      <c r="D725" s="107"/>
      <c r="E725" s="107"/>
      <c r="F725" s="107"/>
      <c r="G725" s="107"/>
      <c r="H725" s="107"/>
      <c r="I725" s="107"/>
      <c r="J725" s="107"/>
      <c r="K725" s="107"/>
      <c r="L725" s="107"/>
      <c r="M725" s="107"/>
      <c r="N725" s="107"/>
      <c r="O725" s="107"/>
      <c r="P725" s="107"/>
      <c r="Q725" s="107"/>
      <c r="R725" s="107"/>
      <c r="S725" s="107"/>
      <c r="T725" s="107"/>
      <c r="U725" s="107"/>
      <c r="V725" s="107"/>
      <c r="W725" s="107"/>
    </row>
    <row r="726" spans="2:23">
      <c r="B726" s="107"/>
      <c r="C726" s="107"/>
      <c r="D726" s="107"/>
      <c r="E726" s="107"/>
      <c r="F726" s="107"/>
      <c r="G726" s="107"/>
      <c r="H726" s="107"/>
      <c r="I726" s="107"/>
      <c r="J726" s="107"/>
      <c r="K726" s="107"/>
      <c r="L726" s="107"/>
      <c r="M726" s="107"/>
      <c r="N726" s="107"/>
      <c r="O726" s="107"/>
      <c r="P726" s="107"/>
      <c r="Q726" s="107"/>
      <c r="R726" s="107"/>
      <c r="S726" s="107"/>
      <c r="T726" s="107"/>
      <c r="U726" s="107"/>
      <c r="V726" s="107"/>
      <c r="W726" s="107"/>
    </row>
    <row r="727" spans="2:23">
      <c r="B727" s="107"/>
      <c r="C727" s="107"/>
      <c r="D727" s="107"/>
      <c r="E727" s="107"/>
      <c r="F727" s="107"/>
      <c r="G727" s="107"/>
      <c r="H727" s="107"/>
      <c r="I727" s="107"/>
      <c r="J727" s="107"/>
      <c r="K727" s="107"/>
      <c r="L727" s="107"/>
      <c r="M727" s="107"/>
      <c r="N727" s="107"/>
      <c r="O727" s="107"/>
      <c r="P727" s="107"/>
      <c r="Q727" s="107"/>
      <c r="R727" s="107"/>
      <c r="S727" s="107"/>
      <c r="T727" s="107"/>
      <c r="U727" s="107"/>
      <c r="V727" s="107"/>
      <c r="W727" s="107"/>
    </row>
    <row r="728" spans="2:23">
      <c r="B728" s="107"/>
      <c r="C728" s="107"/>
      <c r="D728" s="107"/>
      <c r="E728" s="107"/>
      <c r="F728" s="107"/>
      <c r="G728" s="107"/>
      <c r="H728" s="107"/>
      <c r="I728" s="107"/>
      <c r="J728" s="107"/>
      <c r="K728" s="107"/>
      <c r="L728" s="107"/>
      <c r="M728" s="107"/>
      <c r="N728" s="107"/>
      <c r="O728" s="107"/>
      <c r="P728" s="107"/>
      <c r="Q728" s="107"/>
      <c r="R728" s="107"/>
      <c r="S728" s="107"/>
      <c r="T728" s="107"/>
      <c r="U728" s="107"/>
      <c r="V728" s="107"/>
      <c r="W728" s="107"/>
    </row>
    <row r="729" spans="2:23">
      <c r="B729" s="107"/>
      <c r="C729" s="107"/>
      <c r="D729" s="107"/>
      <c r="E729" s="107"/>
      <c r="F729" s="107"/>
      <c r="G729" s="107"/>
      <c r="H729" s="107"/>
      <c r="I729" s="107"/>
      <c r="J729" s="107"/>
      <c r="K729" s="107"/>
      <c r="L729" s="107"/>
      <c r="M729" s="107"/>
      <c r="N729" s="107"/>
      <c r="O729" s="107"/>
      <c r="P729" s="107"/>
      <c r="Q729" s="107"/>
      <c r="R729" s="107"/>
      <c r="S729" s="107"/>
      <c r="T729" s="107"/>
      <c r="U729" s="107"/>
      <c r="V729" s="107"/>
      <c r="W729" s="107"/>
    </row>
    <row r="730" spans="2:23">
      <c r="B730" s="107"/>
      <c r="C730" s="107"/>
      <c r="D730" s="107"/>
      <c r="E730" s="107"/>
      <c r="F730" s="107"/>
      <c r="G730" s="107"/>
      <c r="H730" s="107"/>
      <c r="I730" s="107"/>
      <c r="J730" s="107"/>
      <c r="K730" s="107"/>
      <c r="L730" s="107"/>
      <c r="M730" s="107"/>
      <c r="N730" s="107"/>
      <c r="O730" s="107"/>
      <c r="P730" s="107"/>
      <c r="Q730" s="107"/>
      <c r="R730" s="107"/>
      <c r="S730" s="107"/>
      <c r="T730" s="107"/>
      <c r="U730" s="107"/>
      <c r="V730" s="107"/>
      <c r="W730" s="107"/>
    </row>
    <row r="731" spans="2:23">
      <c r="B731" s="107"/>
      <c r="C731" s="107"/>
      <c r="D731" s="107"/>
      <c r="E731" s="107"/>
      <c r="F731" s="107"/>
      <c r="G731" s="107"/>
      <c r="H731" s="107"/>
      <c r="I731" s="107"/>
      <c r="J731" s="107"/>
      <c r="K731" s="107"/>
      <c r="L731" s="107"/>
      <c r="M731" s="107"/>
      <c r="N731" s="107"/>
      <c r="O731" s="107"/>
      <c r="P731" s="107"/>
      <c r="Q731" s="107"/>
      <c r="R731" s="107"/>
      <c r="S731" s="107"/>
      <c r="T731" s="107"/>
      <c r="U731" s="107"/>
      <c r="V731" s="107"/>
      <c r="W731" s="107"/>
    </row>
    <row r="732" spans="2:23">
      <c r="B732" s="107"/>
      <c r="C732" s="107"/>
      <c r="D732" s="107"/>
      <c r="E732" s="107"/>
      <c r="F732" s="107"/>
      <c r="G732" s="107"/>
      <c r="H732" s="107"/>
      <c r="I732" s="107"/>
      <c r="J732" s="107"/>
      <c r="K732" s="107"/>
      <c r="L732" s="107"/>
      <c r="M732" s="107"/>
      <c r="N732" s="107"/>
      <c r="O732" s="107"/>
      <c r="P732" s="107"/>
      <c r="Q732" s="107"/>
      <c r="R732" s="107"/>
      <c r="S732" s="107"/>
      <c r="T732" s="107"/>
      <c r="U732" s="107"/>
      <c r="V732" s="107"/>
      <c r="W732" s="107"/>
    </row>
    <row r="733" spans="2:23">
      <c r="B733" s="107"/>
      <c r="C733" s="107"/>
      <c r="D733" s="107"/>
      <c r="E733" s="107"/>
      <c r="F733" s="107"/>
      <c r="G733" s="107"/>
      <c r="H733" s="107"/>
      <c r="I733" s="107"/>
      <c r="J733" s="107"/>
      <c r="K733" s="107"/>
      <c r="L733" s="107"/>
      <c r="M733" s="107"/>
      <c r="N733" s="107"/>
      <c r="O733" s="107"/>
      <c r="P733" s="107"/>
      <c r="Q733" s="107"/>
      <c r="R733" s="107"/>
      <c r="S733" s="107"/>
      <c r="T733" s="107"/>
      <c r="U733" s="107"/>
      <c r="V733" s="107"/>
      <c r="W733" s="107"/>
    </row>
    <row r="734" spans="2:23">
      <c r="B734" s="107"/>
      <c r="C734" s="107"/>
      <c r="D734" s="107"/>
      <c r="E734" s="107"/>
      <c r="F734" s="107"/>
      <c r="G734" s="107"/>
      <c r="H734" s="107"/>
      <c r="I734" s="107"/>
      <c r="J734" s="107"/>
      <c r="K734" s="107"/>
      <c r="L734" s="107"/>
      <c r="M734" s="107"/>
      <c r="N734" s="107"/>
      <c r="O734" s="107"/>
      <c r="P734" s="107"/>
      <c r="Q734" s="107"/>
      <c r="R734" s="107"/>
      <c r="S734" s="107"/>
      <c r="T734" s="107"/>
      <c r="U734" s="107"/>
      <c r="V734" s="107"/>
      <c r="W734" s="107"/>
    </row>
    <row r="735" spans="2:23">
      <c r="B735" s="107"/>
      <c r="C735" s="107"/>
      <c r="D735" s="107"/>
      <c r="E735" s="107"/>
      <c r="F735" s="107"/>
      <c r="G735" s="107"/>
      <c r="H735" s="107"/>
      <c r="I735" s="107"/>
      <c r="J735" s="107"/>
      <c r="K735" s="107"/>
      <c r="L735" s="107"/>
      <c r="M735" s="107"/>
      <c r="N735" s="107"/>
      <c r="O735" s="107"/>
      <c r="P735" s="107"/>
      <c r="Q735" s="107"/>
      <c r="R735" s="107"/>
      <c r="S735" s="107"/>
      <c r="T735" s="107"/>
      <c r="U735" s="107"/>
      <c r="V735" s="107"/>
      <c r="W735" s="107"/>
    </row>
    <row r="736" spans="2:23">
      <c r="B736" s="107"/>
      <c r="C736" s="107"/>
      <c r="D736" s="107"/>
      <c r="E736" s="107"/>
      <c r="F736" s="107"/>
      <c r="G736" s="107"/>
      <c r="H736" s="107"/>
      <c r="I736" s="107"/>
      <c r="J736" s="107"/>
      <c r="K736" s="107"/>
      <c r="L736" s="107"/>
      <c r="M736" s="107"/>
      <c r="N736" s="107"/>
      <c r="O736" s="107"/>
      <c r="P736" s="107"/>
      <c r="Q736" s="107"/>
      <c r="R736" s="107"/>
      <c r="S736" s="107"/>
      <c r="T736" s="107"/>
      <c r="U736" s="107"/>
      <c r="V736" s="107"/>
      <c r="W736" s="107"/>
    </row>
    <row r="737" spans="2:23">
      <c r="B737" s="107"/>
      <c r="C737" s="107"/>
      <c r="D737" s="107"/>
      <c r="E737" s="107"/>
      <c r="F737" s="107"/>
      <c r="G737" s="107"/>
      <c r="H737" s="107"/>
      <c r="I737" s="107"/>
      <c r="J737" s="107"/>
      <c r="K737" s="107"/>
      <c r="L737" s="107"/>
      <c r="M737" s="107"/>
      <c r="N737" s="107"/>
      <c r="O737" s="107"/>
      <c r="P737" s="107"/>
      <c r="Q737" s="107"/>
      <c r="R737" s="107"/>
      <c r="S737" s="107"/>
      <c r="T737" s="107"/>
      <c r="U737" s="107"/>
      <c r="V737" s="107"/>
      <c r="W737" s="107"/>
    </row>
    <row r="738" spans="2:23">
      <c r="B738" s="107"/>
      <c r="C738" s="107"/>
      <c r="D738" s="107"/>
      <c r="E738" s="107"/>
      <c r="F738" s="107"/>
      <c r="G738" s="107"/>
      <c r="H738" s="107"/>
      <c r="I738" s="107"/>
      <c r="J738" s="107"/>
      <c r="K738" s="107"/>
      <c r="L738" s="107"/>
      <c r="M738" s="107"/>
      <c r="N738" s="107"/>
      <c r="O738" s="107"/>
      <c r="P738" s="107"/>
      <c r="Q738" s="107"/>
      <c r="R738" s="107"/>
      <c r="S738" s="107"/>
      <c r="T738" s="107"/>
      <c r="U738" s="107"/>
      <c r="V738" s="107"/>
      <c r="W738" s="107"/>
    </row>
    <row r="739" spans="2:23">
      <c r="B739" s="107"/>
      <c r="C739" s="107"/>
      <c r="D739" s="107"/>
      <c r="E739" s="107"/>
      <c r="F739" s="107"/>
      <c r="G739" s="107"/>
      <c r="H739" s="107"/>
      <c r="I739" s="107"/>
      <c r="J739" s="107"/>
      <c r="K739" s="107"/>
      <c r="L739" s="107"/>
      <c r="M739" s="107"/>
      <c r="N739" s="107"/>
      <c r="O739" s="107"/>
      <c r="P739" s="107"/>
      <c r="Q739" s="107"/>
      <c r="R739" s="107"/>
      <c r="S739" s="107"/>
      <c r="T739" s="107"/>
      <c r="U739" s="107"/>
      <c r="V739" s="107"/>
      <c r="W739" s="107"/>
    </row>
    <row r="740" spans="2:23">
      <c r="B740" s="107"/>
      <c r="C740" s="107"/>
      <c r="D740" s="107"/>
      <c r="E740" s="107"/>
      <c r="F740" s="107"/>
      <c r="G740" s="107"/>
      <c r="H740" s="107"/>
      <c r="I740" s="107"/>
      <c r="J740" s="107"/>
      <c r="K740" s="107"/>
      <c r="L740" s="107"/>
      <c r="M740" s="107"/>
      <c r="N740" s="107"/>
      <c r="O740" s="107"/>
      <c r="P740" s="107"/>
      <c r="Q740" s="107"/>
      <c r="R740" s="107"/>
      <c r="S740" s="107"/>
      <c r="T740" s="107"/>
      <c r="U740" s="107"/>
      <c r="V740" s="107"/>
      <c r="W740" s="107"/>
    </row>
    <row r="741" spans="2:23">
      <c r="B741" s="107"/>
      <c r="C741" s="107"/>
      <c r="D741" s="107"/>
      <c r="E741" s="107"/>
      <c r="F741" s="107"/>
      <c r="G741" s="107"/>
      <c r="H741" s="107"/>
      <c r="I741" s="107"/>
      <c r="J741" s="107"/>
      <c r="K741" s="107"/>
      <c r="L741" s="107"/>
      <c r="M741" s="107"/>
      <c r="N741" s="107"/>
      <c r="O741" s="107"/>
      <c r="P741" s="107"/>
      <c r="Q741" s="107"/>
      <c r="R741" s="107"/>
      <c r="S741" s="107"/>
      <c r="T741" s="107"/>
      <c r="U741" s="107"/>
      <c r="V741" s="107"/>
      <c r="W741" s="107"/>
    </row>
    <row r="742" spans="2:23">
      <c r="B742" s="107"/>
      <c r="C742" s="107"/>
      <c r="D742" s="107"/>
      <c r="E742" s="107"/>
      <c r="F742" s="107"/>
      <c r="G742" s="107"/>
      <c r="H742" s="107"/>
      <c r="I742" s="107"/>
      <c r="J742" s="107"/>
      <c r="K742" s="107"/>
      <c r="L742" s="107"/>
      <c r="M742" s="107"/>
      <c r="N742" s="107"/>
      <c r="O742" s="107"/>
      <c r="P742" s="107"/>
      <c r="Q742" s="107"/>
      <c r="R742" s="107"/>
      <c r="S742" s="107"/>
      <c r="T742" s="107"/>
      <c r="U742" s="107"/>
      <c r="V742" s="107"/>
      <c r="W742" s="107"/>
    </row>
    <row r="743" spans="2:23">
      <c r="B743" s="107"/>
      <c r="C743" s="107"/>
      <c r="D743" s="107"/>
      <c r="E743" s="107"/>
      <c r="F743" s="107"/>
      <c r="G743" s="107"/>
      <c r="H743" s="107"/>
      <c r="I743" s="107"/>
      <c r="J743" s="107"/>
      <c r="K743" s="107"/>
      <c r="L743" s="107"/>
      <c r="M743" s="107"/>
      <c r="N743" s="107"/>
      <c r="O743" s="107"/>
      <c r="P743" s="107"/>
      <c r="Q743" s="107"/>
      <c r="R743" s="107"/>
      <c r="S743" s="107"/>
      <c r="T743" s="107"/>
      <c r="U743" s="107"/>
      <c r="V743" s="107"/>
      <c r="W743" s="107"/>
    </row>
    <row r="744" spans="2:23">
      <c r="B744" s="107"/>
      <c r="C744" s="107"/>
      <c r="D744" s="107"/>
      <c r="E744" s="107"/>
      <c r="F744" s="107"/>
      <c r="G744" s="107"/>
      <c r="H744" s="107"/>
      <c r="I744" s="107"/>
      <c r="J744" s="107"/>
      <c r="K744" s="107"/>
      <c r="L744" s="107"/>
      <c r="M744" s="107"/>
      <c r="N744" s="107"/>
      <c r="O744" s="107"/>
      <c r="P744" s="107"/>
      <c r="Q744" s="107"/>
      <c r="R744" s="107"/>
      <c r="S744" s="107"/>
      <c r="T744" s="107"/>
      <c r="U744" s="107"/>
      <c r="V744" s="107"/>
      <c r="W744" s="107"/>
    </row>
    <row r="745" spans="2:23">
      <c r="B745" s="107"/>
      <c r="C745" s="107"/>
      <c r="D745" s="107"/>
      <c r="E745" s="107"/>
      <c r="F745" s="107"/>
      <c r="G745" s="107"/>
      <c r="H745" s="107"/>
      <c r="I745" s="107"/>
      <c r="J745" s="107"/>
      <c r="K745" s="107"/>
      <c r="L745" s="107"/>
      <c r="M745" s="107"/>
      <c r="N745" s="107"/>
      <c r="O745" s="107"/>
      <c r="P745" s="107"/>
      <c r="Q745" s="107"/>
      <c r="R745" s="107"/>
      <c r="S745" s="107"/>
      <c r="T745" s="107"/>
      <c r="U745" s="107"/>
      <c r="V745" s="107"/>
      <c r="W745" s="107"/>
    </row>
    <row r="746" spans="2:23">
      <c r="B746" s="107"/>
      <c r="C746" s="107"/>
      <c r="D746" s="107"/>
      <c r="E746" s="107"/>
      <c r="F746" s="107"/>
      <c r="G746" s="107"/>
      <c r="H746" s="107"/>
      <c r="I746" s="107"/>
      <c r="J746" s="107"/>
      <c r="K746" s="107"/>
      <c r="L746" s="107"/>
      <c r="M746" s="107"/>
      <c r="N746" s="107"/>
      <c r="O746" s="107"/>
      <c r="P746" s="107"/>
      <c r="Q746" s="107"/>
      <c r="R746" s="107"/>
      <c r="S746" s="107"/>
      <c r="T746" s="107"/>
      <c r="U746" s="107"/>
      <c r="V746" s="107"/>
      <c r="W746" s="107"/>
    </row>
    <row r="747" spans="2:23">
      <c r="B747" s="107"/>
      <c r="C747" s="107"/>
      <c r="D747" s="107"/>
      <c r="E747" s="107"/>
      <c r="F747" s="107"/>
      <c r="G747" s="107"/>
      <c r="H747" s="107"/>
      <c r="I747" s="107"/>
      <c r="J747" s="107"/>
      <c r="K747" s="107"/>
      <c r="L747" s="107"/>
      <c r="M747" s="107"/>
      <c r="N747" s="107"/>
      <c r="O747" s="107"/>
      <c r="P747" s="107"/>
      <c r="Q747" s="107"/>
      <c r="R747" s="107"/>
      <c r="S747" s="107"/>
      <c r="T747" s="107"/>
      <c r="U747" s="107"/>
      <c r="V747" s="107"/>
      <c r="W747" s="107"/>
    </row>
    <row r="748" spans="2:23">
      <c r="B748" s="107"/>
      <c r="C748" s="107"/>
      <c r="D748" s="107"/>
      <c r="E748" s="107"/>
      <c r="F748" s="107"/>
      <c r="G748" s="107"/>
      <c r="H748" s="107"/>
      <c r="I748" s="107"/>
      <c r="J748" s="107"/>
      <c r="K748" s="107"/>
      <c r="L748" s="107"/>
      <c r="M748" s="107"/>
      <c r="N748" s="107"/>
      <c r="O748" s="107"/>
      <c r="P748" s="107"/>
      <c r="Q748" s="107"/>
      <c r="R748" s="107"/>
      <c r="S748" s="107"/>
      <c r="T748" s="107"/>
      <c r="U748" s="107"/>
      <c r="V748" s="107"/>
      <c r="W748" s="107"/>
    </row>
    <row r="749" spans="2:23">
      <c r="B749" s="107"/>
      <c r="C749" s="107"/>
      <c r="D749" s="107"/>
      <c r="E749" s="107"/>
      <c r="F749" s="107"/>
      <c r="G749" s="107"/>
      <c r="H749" s="107"/>
      <c r="I749" s="107"/>
      <c r="J749" s="107"/>
      <c r="K749" s="107"/>
      <c r="L749" s="107"/>
      <c r="M749" s="107"/>
      <c r="N749" s="107"/>
      <c r="O749" s="107"/>
      <c r="P749" s="107"/>
      <c r="Q749" s="107"/>
      <c r="R749" s="107"/>
      <c r="S749" s="107"/>
      <c r="T749" s="107"/>
      <c r="U749" s="107"/>
      <c r="V749" s="107"/>
      <c r="W749" s="107"/>
    </row>
    <row r="750" spans="2:23">
      <c r="B750" s="107"/>
      <c r="C750" s="107"/>
      <c r="D750" s="107"/>
      <c r="E750" s="107"/>
      <c r="F750" s="107"/>
      <c r="G750" s="107"/>
      <c r="H750" s="107"/>
      <c r="I750" s="107"/>
      <c r="J750" s="107"/>
      <c r="K750" s="107"/>
      <c r="L750" s="107"/>
      <c r="M750" s="107"/>
      <c r="N750" s="107"/>
      <c r="O750" s="107"/>
      <c r="P750" s="107"/>
      <c r="Q750" s="107"/>
      <c r="R750" s="107"/>
      <c r="S750" s="107"/>
      <c r="T750" s="107"/>
      <c r="U750" s="107"/>
      <c r="V750" s="107"/>
      <c r="W750" s="107"/>
    </row>
    <row r="751" spans="2:23">
      <c r="B751" s="107"/>
      <c r="C751" s="107"/>
      <c r="D751" s="107"/>
      <c r="E751" s="107"/>
      <c r="F751" s="107"/>
      <c r="G751" s="107"/>
      <c r="H751" s="107"/>
      <c r="I751" s="107"/>
      <c r="J751" s="107"/>
      <c r="K751" s="107"/>
      <c r="L751" s="107"/>
      <c r="M751" s="107"/>
      <c r="N751" s="107"/>
      <c r="O751" s="107"/>
      <c r="P751" s="107"/>
      <c r="Q751" s="107"/>
      <c r="R751" s="107"/>
      <c r="S751" s="107"/>
      <c r="T751" s="107"/>
      <c r="U751" s="107"/>
      <c r="V751" s="107"/>
      <c r="W751" s="107"/>
    </row>
    <row r="752" spans="2:23">
      <c r="B752" s="107"/>
      <c r="C752" s="107"/>
      <c r="D752" s="107"/>
      <c r="E752" s="107"/>
      <c r="F752" s="107"/>
      <c r="G752" s="107"/>
      <c r="H752" s="107"/>
      <c r="I752" s="107"/>
      <c r="J752" s="107"/>
      <c r="K752" s="107"/>
      <c r="L752" s="107"/>
      <c r="M752" s="107"/>
      <c r="N752" s="107"/>
      <c r="O752" s="107"/>
      <c r="P752" s="107"/>
      <c r="Q752" s="107"/>
      <c r="R752" s="107"/>
      <c r="S752" s="107"/>
      <c r="T752" s="107"/>
      <c r="U752" s="107"/>
      <c r="V752" s="107"/>
      <c r="W752" s="107"/>
    </row>
    <row r="753" spans="2:23">
      <c r="B753" s="107"/>
      <c r="C753" s="107"/>
      <c r="D753" s="107"/>
      <c r="E753" s="107"/>
      <c r="F753" s="107"/>
      <c r="G753" s="107"/>
      <c r="H753" s="107"/>
      <c r="I753" s="107"/>
      <c r="J753" s="107"/>
      <c r="K753" s="107"/>
      <c r="L753" s="107"/>
      <c r="M753" s="107"/>
      <c r="N753" s="107"/>
      <c r="O753" s="107"/>
      <c r="P753" s="107"/>
      <c r="Q753" s="107"/>
      <c r="R753" s="107"/>
      <c r="S753" s="107"/>
      <c r="T753" s="107"/>
      <c r="U753" s="107"/>
      <c r="V753" s="107"/>
      <c r="W753" s="107"/>
    </row>
    <row r="754" spans="2:23">
      <c r="B754" s="107"/>
      <c r="C754" s="107"/>
      <c r="D754" s="107"/>
      <c r="E754" s="107"/>
      <c r="F754" s="107"/>
      <c r="G754" s="107"/>
      <c r="H754" s="107"/>
      <c r="I754" s="107"/>
      <c r="J754" s="107"/>
      <c r="K754" s="107"/>
      <c r="L754" s="107"/>
      <c r="M754" s="107"/>
      <c r="N754" s="107"/>
      <c r="O754" s="107"/>
      <c r="P754" s="107"/>
      <c r="Q754" s="107"/>
      <c r="R754" s="107"/>
      <c r="S754" s="107"/>
      <c r="T754" s="107"/>
      <c r="U754" s="107"/>
      <c r="V754" s="107"/>
      <c r="W754" s="107"/>
    </row>
    <row r="755" spans="2:23">
      <c r="B755" s="107"/>
      <c r="C755" s="107"/>
      <c r="D755" s="107"/>
      <c r="E755" s="107"/>
      <c r="F755" s="107"/>
      <c r="G755" s="107"/>
      <c r="H755" s="107"/>
      <c r="I755" s="107"/>
      <c r="J755" s="107"/>
      <c r="K755" s="107"/>
      <c r="L755" s="107"/>
      <c r="M755" s="107"/>
      <c r="N755" s="107"/>
      <c r="O755" s="107"/>
      <c r="P755" s="107"/>
      <c r="Q755" s="107"/>
      <c r="R755" s="107"/>
      <c r="S755" s="107"/>
      <c r="T755" s="107"/>
      <c r="U755" s="107"/>
      <c r="V755" s="107"/>
      <c r="W755" s="107"/>
    </row>
    <row r="756" spans="2:23">
      <c r="B756" s="107"/>
      <c r="C756" s="107"/>
      <c r="D756" s="107"/>
      <c r="E756" s="107"/>
      <c r="F756" s="107"/>
      <c r="G756" s="107"/>
      <c r="H756" s="107"/>
      <c r="I756" s="107"/>
      <c r="J756" s="107"/>
      <c r="K756" s="107"/>
      <c r="L756" s="107"/>
      <c r="M756" s="107"/>
      <c r="N756" s="107"/>
      <c r="O756" s="107"/>
      <c r="P756" s="107"/>
      <c r="Q756" s="107"/>
      <c r="R756" s="107"/>
      <c r="S756" s="107"/>
      <c r="T756" s="107"/>
      <c r="U756" s="107"/>
      <c r="V756" s="107"/>
      <c r="W756" s="107"/>
    </row>
    <row r="757" spans="2:23">
      <c r="B757" s="107"/>
      <c r="C757" s="107"/>
      <c r="D757" s="107"/>
      <c r="E757" s="107"/>
      <c r="F757" s="107"/>
      <c r="G757" s="107"/>
      <c r="H757" s="107"/>
      <c r="I757" s="107"/>
      <c r="J757" s="107"/>
      <c r="K757" s="107"/>
      <c r="L757" s="107"/>
      <c r="M757" s="107"/>
      <c r="N757" s="107"/>
      <c r="O757" s="107"/>
      <c r="P757" s="107"/>
      <c r="Q757" s="107"/>
      <c r="R757" s="107"/>
      <c r="S757" s="107"/>
      <c r="T757" s="107"/>
      <c r="U757" s="107"/>
      <c r="V757" s="107"/>
      <c r="W757" s="107"/>
    </row>
    <row r="758" spans="2:23">
      <c r="B758" s="107"/>
      <c r="C758" s="107"/>
      <c r="D758" s="107"/>
      <c r="E758" s="107"/>
      <c r="F758" s="107"/>
      <c r="G758" s="107"/>
      <c r="H758" s="107"/>
      <c r="I758" s="107"/>
      <c r="J758" s="107"/>
      <c r="K758" s="107"/>
      <c r="L758" s="107"/>
      <c r="M758" s="107"/>
      <c r="N758" s="107"/>
      <c r="O758" s="107"/>
      <c r="P758" s="107"/>
      <c r="Q758" s="107"/>
      <c r="R758" s="107"/>
      <c r="S758" s="107"/>
      <c r="T758" s="107"/>
      <c r="U758" s="107"/>
      <c r="V758" s="107"/>
      <c r="W758" s="107"/>
    </row>
    <row r="759" spans="2:23">
      <c r="B759" s="107"/>
      <c r="C759" s="107"/>
      <c r="D759" s="107"/>
      <c r="E759" s="107"/>
      <c r="F759" s="107"/>
      <c r="G759" s="107"/>
      <c r="H759" s="107"/>
      <c r="I759" s="107"/>
      <c r="J759" s="107"/>
      <c r="K759" s="107"/>
      <c r="L759" s="107"/>
      <c r="M759" s="107"/>
      <c r="N759" s="107"/>
      <c r="O759" s="107"/>
      <c r="P759" s="107"/>
      <c r="Q759" s="107"/>
      <c r="R759" s="107"/>
      <c r="S759" s="107"/>
      <c r="T759" s="107"/>
      <c r="U759" s="107"/>
      <c r="V759" s="107"/>
      <c r="W759" s="107"/>
    </row>
    <row r="760" spans="2:23">
      <c r="B760" s="107"/>
      <c r="C760" s="107"/>
      <c r="D760" s="107"/>
      <c r="E760" s="107"/>
      <c r="F760" s="107"/>
      <c r="G760" s="107"/>
      <c r="H760" s="107"/>
      <c r="I760" s="107"/>
      <c r="J760" s="107"/>
      <c r="K760" s="107"/>
      <c r="L760" s="107"/>
      <c r="M760" s="107"/>
      <c r="N760" s="107"/>
      <c r="O760" s="107"/>
      <c r="P760" s="107"/>
      <c r="Q760" s="107"/>
      <c r="R760" s="107"/>
      <c r="S760" s="107"/>
      <c r="T760" s="107"/>
      <c r="U760" s="107"/>
      <c r="V760" s="107"/>
      <c r="W760" s="107"/>
    </row>
    <row r="761" spans="2:23">
      <c r="B761" s="107"/>
      <c r="C761" s="107"/>
      <c r="D761" s="107"/>
      <c r="E761" s="107"/>
      <c r="F761" s="107"/>
      <c r="G761" s="107"/>
      <c r="H761" s="107"/>
      <c r="I761" s="107"/>
      <c r="J761" s="107"/>
      <c r="K761" s="107"/>
      <c r="L761" s="107"/>
      <c r="M761" s="107"/>
      <c r="N761" s="107"/>
      <c r="O761" s="107"/>
      <c r="P761" s="107"/>
      <c r="Q761" s="107"/>
      <c r="R761" s="107"/>
      <c r="S761" s="107"/>
      <c r="T761" s="107"/>
      <c r="U761" s="107"/>
      <c r="V761" s="107"/>
      <c r="W761" s="107"/>
    </row>
    <row r="762" spans="2:23">
      <c r="B762" s="107"/>
      <c r="C762" s="107"/>
      <c r="D762" s="107"/>
      <c r="E762" s="107"/>
      <c r="F762" s="107"/>
      <c r="G762" s="107"/>
      <c r="H762" s="107"/>
      <c r="I762" s="107"/>
      <c r="J762" s="107"/>
      <c r="K762" s="107"/>
      <c r="L762" s="107"/>
      <c r="M762" s="107"/>
      <c r="N762" s="107"/>
      <c r="O762" s="107"/>
      <c r="P762" s="107"/>
      <c r="Q762" s="107"/>
      <c r="R762" s="107"/>
      <c r="S762" s="107"/>
      <c r="T762" s="107"/>
      <c r="U762" s="107"/>
      <c r="V762" s="107"/>
      <c r="W762" s="107"/>
    </row>
    <row r="763" spans="2:23">
      <c r="B763" s="107"/>
      <c r="C763" s="107"/>
      <c r="D763" s="107"/>
      <c r="E763" s="107"/>
      <c r="F763" s="107"/>
      <c r="G763" s="107"/>
      <c r="H763" s="107"/>
      <c r="I763" s="107"/>
      <c r="J763" s="107"/>
      <c r="K763" s="107"/>
      <c r="L763" s="107"/>
      <c r="M763" s="107"/>
      <c r="N763" s="107"/>
      <c r="O763" s="107"/>
      <c r="P763" s="107"/>
      <c r="Q763" s="107"/>
      <c r="R763" s="107"/>
      <c r="S763" s="107"/>
      <c r="T763" s="107"/>
      <c r="U763" s="107"/>
      <c r="V763" s="107"/>
      <c r="W763" s="107"/>
    </row>
    <row r="764" spans="2:23">
      <c r="B764" s="107"/>
      <c r="C764" s="107"/>
      <c r="D764" s="107"/>
      <c r="E764" s="107"/>
      <c r="F764" s="107"/>
      <c r="G764" s="107"/>
      <c r="H764" s="107"/>
      <c r="I764" s="107"/>
      <c r="J764" s="107"/>
      <c r="K764" s="107"/>
      <c r="L764" s="107"/>
      <c r="M764" s="107"/>
      <c r="N764" s="107"/>
      <c r="O764" s="107"/>
      <c r="P764" s="107"/>
      <c r="Q764" s="107"/>
      <c r="R764" s="107"/>
      <c r="S764" s="107"/>
      <c r="T764" s="107"/>
      <c r="U764" s="107"/>
      <c r="V764" s="107"/>
      <c r="W764" s="107"/>
    </row>
    <row r="765" spans="2:23">
      <c r="B765" s="107"/>
      <c r="C765" s="107"/>
      <c r="D765" s="107"/>
      <c r="E765" s="107"/>
      <c r="F765" s="107"/>
      <c r="G765" s="107"/>
      <c r="H765" s="107"/>
      <c r="I765" s="107"/>
      <c r="J765" s="107"/>
      <c r="K765" s="107"/>
      <c r="L765" s="107"/>
      <c r="M765" s="107"/>
      <c r="N765" s="107"/>
      <c r="O765" s="107"/>
      <c r="P765" s="107"/>
      <c r="Q765" s="107"/>
      <c r="R765" s="107"/>
      <c r="S765" s="107"/>
      <c r="T765" s="107"/>
      <c r="U765" s="107"/>
      <c r="V765" s="107"/>
      <c r="W765" s="107"/>
    </row>
    <row r="766" spans="2:23">
      <c r="B766" s="107"/>
      <c r="C766" s="107"/>
      <c r="D766" s="107"/>
      <c r="E766" s="107"/>
      <c r="F766" s="107"/>
      <c r="G766" s="107"/>
      <c r="H766" s="107"/>
      <c r="I766" s="107"/>
      <c r="J766" s="107"/>
      <c r="K766" s="107"/>
      <c r="L766" s="107"/>
      <c r="M766" s="107"/>
      <c r="N766" s="107"/>
      <c r="O766" s="107"/>
      <c r="P766" s="107"/>
      <c r="Q766" s="107"/>
      <c r="R766" s="107"/>
      <c r="S766" s="107"/>
      <c r="T766" s="107"/>
      <c r="U766" s="107"/>
      <c r="V766" s="107"/>
      <c r="W766" s="107"/>
    </row>
    <row r="767" spans="2:23">
      <c r="B767" s="107"/>
      <c r="C767" s="107"/>
      <c r="D767" s="107"/>
      <c r="E767" s="107"/>
      <c r="F767" s="107"/>
      <c r="G767" s="107"/>
      <c r="H767" s="107"/>
      <c r="I767" s="107"/>
      <c r="J767" s="107"/>
      <c r="K767" s="107"/>
      <c r="L767" s="107"/>
      <c r="M767" s="107"/>
      <c r="N767" s="107"/>
      <c r="O767" s="107"/>
      <c r="P767" s="107"/>
      <c r="Q767" s="107"/>
      <c r="R767" s="107"/>
      <c r="S767" s="107"/>
      <c r="T767" s="107"/>
      <c r="U767" s="107"/>
      <c r="V767" s="107"/>
      <c r="W767" s="107"/>
    </row>
    <row r="768" spans="2:23">
      <c r="B768" s="107"/>
      <c r="C768" s="107"/>
      <c r="D768" s="107"/>
      <c r="E768" s="107"/>
      <c r="F768" s="107"/>
      <c r="G768" s="107"/>
      <c r="H768" s="107"/>
      <c r="I768" s="107"/>
      <c r="J768" s="107"/>
      <c r="K768" s="107"/>
      <c r="L768" s="107"/>
      <c r="M768" s="107"/>
      <c r="N768" s="107"/>
      <c r="O768" s="107"/>
      <c r="P768" s="107"/>
      <c r="Q768" s="107"/>
      <c r="R768" s="107"/>
      <c r="S768" s="107"/>
      <c r="T768" s="107"/>
      <c r="U768" s="107"/>
      <c r="V768" s="107"/>
      <c r="W768" s="107"/>
    </row>
    <row r="769" spans="2:23">
      <c r="B769" s="107"/>
      <c r="C769" s="107"/>
      <c r="D769" s="107"/>
      <c r="E769" s="107"/>
      <c r="F769" s="107"/>
      <c r="G769" s="107"/>
      <c r="H769" s="107"/>
      <c r="I769" s="107"/>
      <c r="J769" s="107"/>
      <c r="K769" s="107"/>
      <c r="L769" s="107"/>
      <c r="M769" s="107"/>
      <c r="N769" s="107"/>
      <c r="O769" s="107"/>
      <c r="P769" s="107"/>
      <c r="Q769" s="107"/>
      <c r="R769" s="107"/>
      <c r="S769" s="107"/>
      <c r="T769" s="107"/>
      <c r="U769" s="107"/>
      <c r="V769" s="107"/>
      <c r="W769" s="107"/>
    </row>
    <row r="770" spans="2:23">
      <c r="B770" s="107"/>
      <c r="C770" s="107"/>
      <c r="D770" s="107"/>
      <c r="E770" s="107"/>
      <c r="F770" s="107"/>
      <c r="G770" s="107"/>
      <c r="H770" s="107"/>
      <c r="I770" s="107"/>
      <c r="J770" s="107"/>
      <c r="K770" s="107"/>
      <c r="L770" s="107"/>
      <c r="M770" s="107"/>
      <c r="N770" s="107"/>
      <c r="O770" s="107"/>
      <c r="P770" s="107"/>
      <c r="Q770" s="107"/>
      <c r="R770" s="107"/>
      <c r="S770" s="107"/>
      <c r="T770" s="107"/>
      <c r="U770" s="107"/>
      <c r="V770" s="107"/>
      <c r="W770" s="107"/>
    </row>
    <row r="771" spans="2:23">
      <c r="B771" s="107"/>
      <c r="C771" s="107"/>
      <c r="D771" s="107"/>
      <c r="E771" s="107"/>
      <c r="F771" s="107"/>
      <c r="G771" s="107"/>
      <c r="H771" s="107"/>
      <c r="I771" s="107"/>
      <c r="J771" s="107"/>
      <c r="K771" s="107"/>
      <c r="L771" s="107"/>
      <c r="M771" s="107"/>
      <c r="N771" s="107"/>
      <c r="O771" s="107"/>
      <c r="P771" s="107"/>
      <c r="Q771" s="107"/>
      <c r="R771" s="107"/>
      <c r="S771" s="107"/>
      <c r="T771" s="107"/>
      <c r="U771" s="107"/>
      <c r="V771" s="107"/>
      <c r="W771" s="107"/>
    </row>
    <row r="772" spans="2:23">
      <c r="B772" s="107"/>
      <c r="C772" s="107"/>
      <c r="D772" s="107"/>
      <c r="E772" s="107"/>
      <c r="F772" s="107"/>
      <c r="G772" s="107"/>
      <c r="H772" s="107"/>
      <c r="I772" s="107"/>
      <c r="J772" s="107"/>
      <c r="K772" s="107"/>
      <c r="L772" s="107"/>
      <c r="M772" s="107"/>
      <c r="N772" s="107"/>
      <c r="O772" s="107"/>
      <c r="P772" s="107"/>
      <c r="Q772" s="107"/>
      <c r="R772" s="107"/>
      <c r="S772" s="107"/>
      <c r="T772" s="107"/>
      <c r="U772" s="107"/>
      <c r="V772" s="107"/>
      <c r="W772" s="107"/>
    </row>
    <row r="773" spans="2:23">
      <c r="B773" s="107"/>
      <c r="C773" s="107"/>
      <c r="D773" s="107"/>
      <c r="E773" s="107"/>
      <c r="F773" s="107"/>
      <c r="G773" s="107"/>
      <c r="H773" s="107"/>
      <c r="I773" s="107"/>
      <c r="J773" s="107"/>
      <c r="K773" s="107"/>
      <c r="L773" s="107"/>
      <c r="M773" s="107"/>
      <c r="N773" s="107"/>
      <c r="O773" s="107"/>
      <c r="P773" s="107"/>
      <c r="Q773" s="107"/>
      <c r="R773" s="107"/>
      <c r="S773" s="107"/>
      <c r="T773" s="107"/>
      <c r="U773" s="107"/>
      <c r="V773" s="107"/>
      <c r="W773" s="107"/>
    </row>
    <row r="774" spans="2:23">
      <c r="B774" s="107"/>
      <c r="C774" s="107"/>
      <c r="D774" s="107"/>
      <c r="E774" s="107"/>
      <c r="F774" s="107"/>
      <c r="G774" s="107"/>
      <c r="H774" s="107"/>
      <c r="I774" s="107"/>
      <c r="J774" s="107"/>
      <c r="K774" s="107"/>
      <c r="L774" s="107"/>
      <c r="M774" s="107"/>
      <c r="N774" s="107"/>
      <c r="O774" s="107"/>
      <c r="P774" s="107"/>
      <c r="Q774" s="107"/>
      <c r="R774" s="107"/>
      <c r="S774" s="107"/>
      <c r="T774" s="107"/>
      <c r="U774" s="107"/>
      <c r="V774" s="107"/>
      <c r="W774" s="107"/>
    </row>
    <row r="775" spans="2:23">
      <c r="B775" s="107"/>
      <c r="C775" s="107"/>
      <c r="D775" s="107"/>
      <c r="E775" s="107"/>
      <c r="F775" s="107"/>
      <c r="G775" s="107"/>
      <c r="H775" s="107"/>
      <c r="I775" s="107"/>
      <c r="J775" s="107"/>
      <c r="K775" s="107"/>
      <c r="L775" s="107"/>
      <c r="M775" s="107"/>
      <c r="N775" s="107"/>
      <c r="O775" s="107"/>
      <c r="P775" s="107"/>
      <c r="Q775" s="107"/>
      <c r="R775" s="107"/>
      <c r="S775" s="107"/>
      <c r="T775" s="107"/>
      <c r="U775" s="107"/>
      <c r="V775" s="107"/>
      <c r="W775" s="107"/>
    </row>
    <row r="776" spans="2:23">
      <c r="B776" s="107"/>
      <c r="C776" s="107"/>
      <c r="D776" s="107"/>
      <c r="E776" s="107"/>
      <c r="F776" s="107"/>
      <c r="G776" s="107"/>
      <c r="H776" s="107"/>
      <c r="I776" s="107"/>
      <c r="J776" s="107"/>
      <c r="K776" s="107"/>
      <c r="L776" s="107"/>
      <c r="M776" s="107"/>
      <c r="N776" s="107"/>
      <c r="O776" s="107"/>
      <c r="P776" s="107"/>
      <c r="Q776" s="107"/>
      <c r="R776" s="107"/>
      <c r="S776" s="107"/>
      <c r="T776" s="107"/>
      <c r="U776" s="107"/>
      <c r="V776" s="107"/>
      <c r="W776" s="107"/>
    </row>
    <row r="777" spans="2:23">
      <c r="B777" s="107"/>
      <c r="C777" s="107"/>
      <c r="D777" s="107"/>
      <c r="E777" s="107"/>
      <c r="F777" s="107"/>
      <c r="G777" s="107"/>
      <c r="H777" s="107"/>
      <c r="I777" s="107"/>
      <c r="J777" s="107"/>
      <c r="K777" s="107"/>
      <c r="L777" s="107"/>
      <c r="M777" s="107"/>
      <c r="N777" s="107"/>
      <c r="O777" s="107"/>
      <c r="P777" s="107"/>
      <c r="Q777" s="107"/>
      <c r="R777" s="107"/>
      <c r="S777" s="107"/>
      <c r="T777" s="107"/>
      <c r="U777" s="107"/>
      <c r="V777" s="107"/>
      <c r="W777" s="107"/>
    </row>
    <row r="778" spans="2:23">
      <c r="B778" s="107"/>
      <c r="C778" s="107"/>
      <c r="D778" s="107"/>
      <c r="E778" s="107"/>
      <c r="F778" s="107"/>
      <c r="G778" s="107"/>
      <c r="H778" s="107"/>
      <c r="I778" s="107"/>
      <c r="J778" s="107"/>
      <c r="K778" s="107"/>
      <c r="L778" s="107"/>
      <c r="M778" s="107"/>
      <c r="N778" s="107"/>
      <c r="O778" s="107"/>
      <c r="P778" s="107"/>
      <c r="Q778" s="107"/>
      <c r="R778" s="107"/>
      <c r="S778" s="107"/>
      <c r="T778" s="107"/>
      <c r="U778" s="107"/>
      <c r="V778" s="107"/>
      <c r="W778" s="107"/>
    </row>
    <row r="779" spans="2:23">
      <c r="B779" s="107"/>
      <c r="C779" s="107"/>
      <c r="D779" s="107"/>
      <c r="E779" s="107"/>
      <c r="F779" s="107"/>
      <c r="G779" s="107"/>
      <c r="H779" s="107"/>
      <c r="I779" s="107"/>
      <c r="J779" s="107"/>
      <c r="K779" s="107"/>
      <c r="L779" s="107"/>
      <c r="M779" s="107"/>
      <c r="N779" s="107"/>
      <c r="O779" s="107"/>
      <c r="P779" s="107"/>
      <c r="Q779" s="107"/>
      <c r="R779" s="107"/>
      <c r="S779" s="107"/>
      <c r="T779" s="107"/>
      <c r="U779" s="107"/>
      <c r="V779" s="107"/>
      <c r="W779" s="107"/>
    </row>
    <row r="780" spans="2:23">
      <c r="B780" s="107"/>
      <c r="C780" s="107"/>
      <c r="D780" s="107"/>
      <c r="E780" s="107"/>
      <c r="F780" s="107"/>
      <c r="G780" s="107"/>
      <c r="H780" s="107"/>
      <c r="I780" s="107"/>
      <c r="J780" s="107"/>
      <c r="K780" s="107"/>
      <c r="L780" s="107"/>
      <c r="M780" s="107"/>
      <c r="N780" s="107"/>
      <c r="O780" s="107"/>
      <c r="P780" s="107"/>
      <c r="Q780" s="107"/>
      <c r="R780" s="107"/>
      <c r="S780" s="107"/>
      <c r="T780" s="107"/>
      <c r="U780" s="107"/>
      <c r="V780" s="107"/>
      <c r="W780" s="107"/>
    </row>
    <row r="781" spans="2:23">
      <c r="B781" s="107"/>
      <c r="C781" s="107"/>
      <c r="D781" s="107"/>
      <c r="E781" s="107"/>
      <c r="F781" s="107"/>
      <c r="G781" s="107"/>
      <c r="H781" s="107"/>
      <c r="I781" s="107"/>
      <c r="J781" s="107"/>
      <c r="K781" s="107"/>
      <c r="L781" s="107"/>
      <c r="M781" s="107"/>
      <c r="N781" s="107"/>
      <c r="O781" s="107"/>
      <c r="P781" s="107"/>
      <c r="Q781" s="107"/>
      <c r="R781" s="107"/>
      <c r="S781" s="107"/>
      <c r="T781" s="107"/>
      <c r="U781" s="107"/>
      <c r="V781" s="107"/>
      <c r="W781" s="107"/>
    </row>
    <row r="782" spans="2:23">
      <c r="B782" s="107"/>
      <c r="C782" s="107"/>
      <c r="D782" s="107"/>
      <c r="E782" s="107"/>
      <c r="F782" s="107"/>
      <c r="G782" s="107"/>
      <c r="H782" s="107"/>
      <c r="I782" s="107"/>
      <c r="J782" s="107"/>
      <c r="K782" s="107"/>
      <c r="L782" s="107"/>
      <c r="M782" s="107"/>
      <c r="N782" s="107"/>
      <c r="O782" s="107"/>
      <c r="P782" s="107"/>
      <c r="Q782" s="107"/>
      <c r="R782" s="107"/>
      <c r="S782" s="107"/>
      <c r="T782" s="107"/>
      <c r="U782" s="107"/>
      <c r="V782" s="107"/>
      <c r="W782" s="107"/>
    </row>
    <row r="783" spans="2:23">
      <c r="B783" s="107"/>
      <c r="C783" s="107"/>
      <c r="D783" s="107"/>
      <c r="E783" s="107"/>
      <c r="F783" s="107"/>
      <c r="G783" s="107"/>
      <c r="H783" s="107"/>
      <c r="I783" s="107"/>
      <c r="J783" s="107"/>
      <c r="K783" s="107"/>
      <c r="L783" s="107"/>
      <c r="M783" s="107"/>
      <c r="N783" s="107"/>
      <c r="O783" s="107"/>
      <c r="P783" s="107"/>
      <c r="Q783" s="107"/>
      <c r="R783" s="107"/>
      <c r="S783" s="107"/>
      <c r="T783" s="107"/>
      <c r="U783" s="107"/>
      <c r="V783" s="107"/>
      <c r="W783" s="107"/>
    </row>
    <row r="784" spans="2:23">
      <c r="B784" s="107"/>
      <c r="C784" s="107"/>
      <c r="D784" s="107"/>
      <c r="E784" s="107"/>
      <c r="F784" s="107"/>
      <c r="G784" s="107"/>
      <c r="H784" s="107"/>
      <c r="I784" s="107"/>
      <c r="J784" s="107"/>
      <c r="K784" s="107"/>
      <c r="L784" s="107"/>
      <c r="M784" s="107"/>
      <c r="N784" s="107"/>
      <c r="O784" s="107"/>
      <c r="P784" s="107"/>
      <c r="Q784" s="107"/>
      <c r="R784" s="107"/>
      <c r="S784" s="107"/>
      <c r="T784" s="107"/>
      <c r="U784" s="107"/>
      <c r="V784" s="107"/>
      <c r="W784" s="107"/>
    </row>
    <row r="785" spans="2:23">
      <c r="B785" s="107"/>
      <c r="C785" s="107"/>
      <c r="D785" s="107"/>
      <c r="E785" s="107"/>
      <c r="F785" s="107"/>
      <c r="G785" s="107"/>
      <c r="H785" s="107"/>
      <c r="I785" s="107"/>
      <c r="J785" s="107"/>
      <c r="K785" s="107"/>
      <c r="L785" s="107"/>
      <c r="M785" s="107"/>
      <c r="N785" s="107"/>
      <c r="O785" s="107"/>
      <c r="P785" s="107"/>
      <c r="Q785" s="107"/>
      <c r="R785" s="107"/>
      <c r="S785" s="107"/>
      <c r="T785" s="107"/>
      <c r="U785" s="107"/>
      <c r="V785" s="107"/>
      <c r="W785" s="107"/>
    </row>
    <row r="786" spans="2:23">
      <c r="B786" s="107"/>
      <c r="C786" s="107"/>
      <c r="D786" s="107"/>
      <c r="E786" s="107"/>
      <c r="F786" s="107"/>
      <c r="G786" s="107"/>
      <c r="H786" s="107"/>
      <c r="I786" s="107"/>
      <c r="J786" s="107"/>
      <c r="K786" s="107"/>
      <c r="L786" s="107"/>
      <c r="M786" s="107"/>
      <c r="N786" s="107"/>
      <c r="O786" s="107"/>
      <c r="P786" s="107"/>
      <c r="Q786" s="107"/>
      <c r="R786" s="107"/>
      <c r="S786" s="107"/>
      <c r="T786" s="107"/>
      <c r="U786" s="107"/>
      <c r="V786" s="107"/>
      <c r="W786" s="107"/>
    </row>
    <row r="787" spans="2:23">
      <c r="B787" s="107"/>
      <c r="C787" s="107"/>
      <c r="D787" s="107"/>
      <c r="E787" s="107"/>
      <c r="F787" s="107"/>
      <c r="G787" s="107"/>
      <c r="H787" s="107"/>
      <c r="I787" s="107"/>
      <c r="J787" s="107"/>
      <c r="K787" s="107"/>
      <c r="L787" s="107"/>
      <c r="M787" s="107"/>
      <c r="N787" s="107"/>
      <c r="O787" s="107"/>
      <c r="P787" s="107"/>
      <c r="Q787" s="107"/>
      <c r="R787" s="107"/>
      <c r="S787" s="107"/>
      <c r="T787" s="107"/>
      <c r="U787" s="107"/>
      <c r="V787" s="107"/>
      <c r="W787" s="107"/>
    </row>
    <row r="788" spans="2:23">
      <c r="B788" s="107"/>
      <c r="C788" s="107"/>
      <c r="D788" s="107"/>
      <c r="E788" s="107"/>
      <c r="F788" s="107"/>
      <c r="G788" s="107"/>
      <c r="H788" s="107"/>
      <c r="I788" s="107"/>
      <c r="J788" s="107"/>
      <c r="K788" s="107"/>
      <c r="L788" s="107"/>
      <c r="M788" s="107"/>
      <c r="N788" s="107"/>
      <c r="O788" s="107"/>
      <c r="P788" s="107"/>
      <c r="Q788" s="107"/>
      <c r="R788" s="107"/>
      <c r="S788" s="107"/>
      <c r="T788" s="107"/>
      <c r="U788" s="107"/>
      <c r="V788" s="107"/>
      <c r="W788" s="107"/>
    </row>
    <row r="789" spans="2:23">
      <c r="B789" s="107"/>
      <c r="C789" s="107"/>
      <c r="D789" s="107"/>
      <c r="E789" s="107"/>
      <c r="F789" s="107"/>
      <c r="G789" s="107"/>
      <c r="H789" s="107"/>
      <c r="I789" s="107"/>
      <c r="J789" s="107"/>
      <c r="K789" s="107"/>
      <c r="L789" s="107"/>
      <c r="M789" s="107"/>
      <c r="N789" s="107"/>
      <c r="O789" s="107"/>
      <c r="P789" s="107"/>
      <c r="Q789" s="107"/>
      <c r="R789" s="107"/>
      <c r="S789" s="107"/>
      <c r="T789" s="107"/>
      <c r="U789" s="107"/>
      <c r="V789" s="107"/>
      <c r="W789" s="107"/>
    </row>
    <row r="790" spans="2:23">
      <c r="B790" s="107"/>
      <c r="C790" s="107"/>
      <c r="D790" s="107"/>
      <c r="E790" s="107"/>
      <c r="F790" s="107"/>
      <c r="G790" s="107"/>
      <c r="H790" s="107"/>
      <c r="I790" s="107"/>
      <c r="J790" s="107"/>
      <c r="K790" s="107"/>
      <c r="L790" s="107"/>
      <c r="M790" s="107"/>
      <c r="N790" s="107"/>
      <c r="O790" s="107"/>
      <c r="P790" s="107"/>
      <c r="Q790" s="107"/>
      <c r="R790" s="107"/>
      <c r="S790" s="107"/>
      <c r="T790" s="107"/>
      <c r="U790" s="107"/>
      <c r="V790" s="107"/>
      <c r="W790" s="107"/>
    </row>
    <row r="791" spans="2:23">
      <c r="B791" s="107"/>
      <c r="C791" s="107"/>
      <c r="D791" s="107"/>
      <c r="E791" s="107"/>
      <c r="F791" s="107"/>
      <c r="G791" s="107"/>
      <c r="H791" s="107"/>
      <c r="I791" s="107"/>
      <c r="J791" s="107"/>
      <c r="K791" s="107"/>
      <c r="L791" s="107"/>
      <c r="M791" s="107"/>
      <c r="N791" s="107"/>
      <c r="O791" s="107"/>
      <c r="P791" s="107"/>
      <c r="Q791" s="107"/>
      <c r="R791" s="107"/>
      <c r="S791" s="107"/>
      <c r="T791" s="107"/>
      <c r="U791" s="107"/>
      <c r="V791" s="107"/>
      <c r="W791" s="107"/>
    </row>
    <row r="792" spans="2:23">
      <c r="B792" s="107"/>
      <c r="C792" s="107"/>
      <c r="D792" s="107"/>
      <c r="E792" s="107"/>
      <c r="F792" s="107"/>
      <c r="G792" s="107"/>
      <c r="H792" s="107"/>
      <c r="I792" s="107"/>
      <c r="J792" s="107"/>
      <c r="K792" s="107"/>
      <c r="L792" s="107"/>
      <c r="M792" s="107"/>
      <c r="N792" s="107"/>
      <c r="O792" s="107"/>
      <c r="P792" s="107"/>
      <c r="Q792" s="107"/>
      <c r="R792" s="107"/>
      <c r="S792" s="107"/>
      <c r="T792" s="107"/>
      <c r="U792" s="107"/>
      <c r="V792" s="107"/>
      <c r="W792" s="107"/>
    </row>
    <row r="793" spans="2:23">
      <c r="B793" s="107"/>
      <c r="C793" s="107"/>
      <c r="D793" s="107"/>
      <c r="E793" s="107"/>
      <c r="F793" s="107"/>
      <c r="G793" s="107"/>
      <c r="H793" s="107"/>
      <c r="I793" s="107"/>
      <c r="J793" s="107"/>
      <c r="K793" s="107"/>
      <c r="L793" s="107"/>
      <c r="M793" s="107"/>
      <c r="N793" s="107"/>
      <c r="O793" s="107"/>
      <c r="P793" s="107"/>
      <c r="Q793" s="107"/>
      <c r="R793" s="107"/>
      <c r="S793" s="107"/>
      <c r="T793" s="107"/>
      <c r="U793" s="107"/>
      <c r="V793" s="107"/>
      <c r="W793" s="107"/>
    </row>
    <row r="794" spans="2:23">
      <c r="B794" s="107"/>
      <c r="C794" s="107"/>
      <c r="D794" s="107"/>
      <c r="E794" s="107"/>
      <c r="F794" s="107"/>
      <c r="G794" s="107"/>
      <c r="H794" s="107"/>
      <c r="I794" s="107"/>
      <c r="J794" s="107"/>
      <c r="K794" s="107"/>
      <c r="L794" s="107"/>
      <c r="M794" s="107"/>
      <c r="N794" s="107"/>
      <c r="O794" s="107"/>
      <c r="P794" s="107"/>
      <c r="Q794" s="107"/>
      <c r="R794" s="107"/>
      <c r="S794" s="107"/>
      <c r="T794" s="107"/>
      <c r="U794" s="107"/>
      <c r="V794" s="107"/>
      <c r="W794" s="107"/>
    </row>
    <row r="795" spans="2:23">
      <c r="B795" s="107"/>
      <c r="C795" s="107"/>
      <c r="D795" s="107"/>
      <c r="E795" s="107"/>
      <c r="F795" s="107"/>
      <c r="G795" s="107"/>
      <c r="H795" s="107"/>
      <c r="I795" s="107"/>
      <c r="J795" s="107"/>
      <c r="K795" s="107"/>
      <c r="L795" s="107"/>
      <c r="M795" s="107"/>
      <c r="N795" s="107"/>
      <c r="O795" s="107"/>
      <c r="P795" s="107"/>
      <c r="Q795" s="107"/>
      <c r="R795" s="107"/>
      <c r="S795" s="107"/>
      <c r="T795" s="107"/>
      <c r="U795" s="107"/>
      <c r="V795" s="107"/>
      <c r="W795" s="107"/>
    </row>
    <row r="796" spans="2:23">
      <c r="B796" s="107"/>
      <c r="C796" s="107"/>
      <c r="D796" s="107"/>
      <c r="E796" s="107"/>
      <c r="F796" s="107"/>
      <c r="G796" s="107"/>
      <c r="H796" s="107"/>
      <c r="I796" s="107"/>
      <c r="J796" s="107"/>
      <c r="K796" s="107"/>
      <c r="L796" s="107"/>
      <c r="M796" s="107"/>
      <c r="N796" s="107"/>
      <c r="O796" s="107"/>
      <c r="P796" s="107"/>
      <c r="Q796" s="107"/>
      <c r="R796" s="107"/>
      <c r="S796" s="107"/>
      <c r="T796" s="107"/>
      <c r="U796" s="107"/>
      <c r="V796" s="107"/>
      <c r="W796" s="107"/>
    </row>
    <row r="797" spans="2:23">
      <c r="B797" s="107"/>
      <c r="C797" s="107"/>
      <c r="D797" s="107"/>
      <c r="E797" s="107"/>
      <c r="F797" s="107"/>
      <c r="G797" s="107"/>
      <c r="H797" s="107"/>
      <c r="I797" s="107"/>
      <c r="J797" s="107"/>
      <c r="K797" s="107"/>
      <c r="L797" s="107"/>
      <c r="M797" s="107"/>
      <c r="N797" s="107"/>
      <c r="O797" s="107"/>
      <c r="P797" s="107"/>
      <c r="Q797" s="107"/>
      <c r="R797" s="107"/>
      <c r="S797" s="107"/>
      <c r="T797" s="107"/>
      <c r="U797" s="107"/>
      <c r="V797" s="107"/>
      <c r="W797" s="107"/>
    </row>
    <row r="798" spans="2:23">
      <c r="B798" s="107"/>
      <c r="C798" s="107"/>
      <c r="D798" s="107"/>
      <c r="E798" s="107"/>
      <c r="F798" s="107"/>
      <c r="G798" s="107"/>
      <c r="H798" s="107"/>
      <c r="I798" s="107"/>
      <c r="J798" s="107"/>
      <c r="K798" s="107"/>
      <c r="L798" s="107"/>
      <c r="M798" s="107"/>
      <c r="N798" s="107"/>
      <c r="O798" s="107"/>
      <c r="P798" s="107"/>
      <c r="Q798" s="107"/>
      <c r="R798" s="107"/>
      <c r="S798" s="107"/>
      <c r="T798" s="107"/>
      <c r="U798" s="107"/>
      <c r="V798" s="107"/>
      <c r="W798" s="107"/>
    </row>
    <row r="799" spans="2:23">
      <c r="B799" s="107"/>
      <c r="C799" s="107"/>
      <c r="D799" s="107"/>
      <c r="E799" s="107"/>
      <c r="F799" s="107"/>
      <c r="G799" s="107"/>
      <c r="H799" s="107"/>
      <c r="I799" s="107"/>
      <c r="J799" s="107"/>
      <c r="K799" s="107"/>
      <c r="L799" s="107"/>
      <c r="M799" s="107"/>
      <c r="N799" s="107"/>
      <c r="O799" s="107"/>
      <c r="P799" s="107"/>
      <c r="Q799" s="107"/>
      <c r="R799" s="107"/>
      <c r="S799" s="107"/>
      <c r="T799" s="107"/>
      <c r="U799" s="107"/>
      <c r="V799" s="107"/>
      <c r="W799" s="107"/>
    </row>
    <row r="800" spans="2:23">
      <c r="B800" s="107"/>
      <c r="C800" s="107"/>
      <c r="D800" s="107"/>
      <c r="E800" s="107"/>
      <c r="F800" s="107"/>
      <c r="G800" s="107"/>
      <c r="H800" s="107"/>
      <c r="I800" s="107"/>
      <c r="J800" s="107"/>
      <c r="K800" s="107"/>
      <c r="L800" s="107"/>
      <c r="M800" s="107"/>
      <c r="N800" s="107"/>
      <c r="O800" s="107"/>
      <c r="P800" s="107"/>
      <c r="Q800" s="107"/>
      <c r="R800" s="107"/>
      <c r="S800" s="107"/>
      <c r="T800" s="107"/>
      <c r="U800" s="107"/>
      <c r="V800" s="107"/>
      <c r="W800" s="107"/>
    </row>
    <row r="801" spans="2:23">
      <c r="B801" s="107"/>
      <c r="C801" s="107"/>
      <c r="D801" s="107"/>
      <c r="E801" s="107"/>
      <c r="F801" s="107"/>
      <c r="G801" s="107"/>
      <c r="H801" s="107"/>
      <c r="I801" s="107"/>
      <c r="J801" s="107"/>
      <c r="K801" s="107"/>
      <c r="L801" s="107"/>
      <c r="M801" s="107"/>
      <c r="N801" s="107"/>
      <c r="O801" s="107"/>
      <c r="P801" s="107"/>
      <c r="Q801" s="107"/>
      <c r="R801" s="107"/>
      <c r="S801" s="107"/>
      <c r="T801" s="107"/>
      <c r="U801" s="107"/>
      <c r="V801" s="107"/>
      <c r="W801" s="107"/>
    </row>
    <row r="802" spans="2:23">
      <c r="B802" s="107"/>
      <c r="C802" s="107"/>
      <c r="D802" s="107"/>
      <c r="E802" s="107"/>
      <c r="F802" s="107"/>
      <c r="G802" s="107"/>
      <c r="H802" s="107"/>
      <c r="I802" s="107"/>
      <c r="J802" s="107"/>
      <c r="K802" s="107"/>
      <c r="L802" s="107"/>
      <c r="M802" s="107"/>
      <c r="N802" s="107"/>
      <c r="O802" s="107"/>
      <c r="P802" s="107"/>
      <c r="Q802" s="107"/>
      <c r="R802" s="107"/>
      <c r="S802" s="107"/>
      <c r="T802" s="107"/>
      <c r="U802" s="107"/>
      <c r="V802" s="107"/>
      <c r="W802" s="107"/>
    </row>
    <row r="803" spans="2:23">
      <c r="B803" s="107"/>
      <c r="C803" s="107"/>
      <c r="D803" s="107"/>
      <c r="E803" s="107"/>
      <c r="F803" s="107"/>
      <c r="G803" s="107"/>
      <c r="H803" s="107"/>
      <c r="I803" s="107"/>
      <c r="J803" s="107"/>
      <c r="K803" s="107"/>
      <c r="L803" s="107"/>
      <c r="M803" s="107"/>
      <c r="N803" s="107"/>
      <c r="O803" s="107"/>
      <c r="P803" s="107"/>
      <c r="Q803" s="107"/>
      <c r="R803" s="107"/>
      <c r="S803" s="107"/>
      <c r="T803" s="107"/>
      <c r="U803" s="107"/>
      <c r="V803" s="107"/>
      <c r="W803" s="107"/>
    </row>
    <row r="804" spans="2:23">
      <c r="B804" s="107"/>
      <c r="C804" s="107"/>
      <c r="D804" s="107"/>
      <c r="E804" s="107"/>
      <c r="F804" s="107"/>
      <c r="G804" s="107"/>
      <c r="H804" s="107"/>
      <c r="I804" s="107"/>
      <c r="J804" s="107"/>
      <c r="K804" s="107"/>
      <c r="L804" s="107"/>
      <c r="M804" s="107"/>
      <c r="N804" s="107"/>
      <c r="O804" s="107"/>
      <c r="P804" s="107"/>
      <c r="Q804" s="107"/>
      <c r="R804" s="107"/>
      <c r="S804" s="107"/>
      <c r="T804" s="107"/>
      <c r="U804" s="107"/>
      <c r="V804" s="107"/>
      <c r="W804" s="107"/>
    </row>
    <row r="805" spans="2:23">
      <c r="B805" s="107"/>
      <c r="C805" s="107"/>
      <c r="D805" s="107"/>
      <c r="E805" s="107"/>
      <c r="F805" s="107"/>
      <c r="G805" s="107"/>
      <c r="H805" s="107"/>
      <c r="I805" s="107"/>
      <c r="J805" s="107"/>
      <c r="K805" s="107"/>
      <c r="L805" s="107"/>
      <c r="M805" s="107"/>
      <c r="N805" s="107"/>
      <c r="O805" s="107"/>
      <c r="P805" s="107"/>
      <c r="Q805" s="107"/>
      <c r="R805" s="107"/>
      <c r="S805" s="107"/>
      <c r="T805" s="107"/>
      <c r="U805" s="107"/>
      <c r="V805" s="107"/>
      <c r="W805" s="107"/>
    </row>
    <row r="806" spans="2:23">
      <c r="B806" s="107"/>
      <c r="C806" s="107"/>
      <c r="D806" s="107"/>
      <c r="E806" s="107"/>
      <c r="F806" s="107"/>
      <c r="G806" s="107"/>
      <c r="H806" s="107"/>
      <c r="I806" s="107"/>
      <c r="J806" s="107"/>
      <c r="K806" s="107"/>
      <c r="L806" s="107"/>
      <c r="M806" s="107"/>
      <c r="N806" s="107"/>
      <c r="O806" s="107"/>
      <c r="P806" s="107"/>
      <c r="Q806" s="107"/>
      <c r="R806" s="107"/>
      <c r="S806" s="107"/>
      <c r="T806" s="107"/>
      <c r="U806" s="107"/>
      <c r="V806" s="107"/>
      <c r="W806" s="107"/>
    </row>
    <row r="807" spans="2:23">
      <c r="B807" s="107"/>
      <c r="C807" s="107"/>
      <c r="D807" s="107"/>
      <c r="E807" s="107"/>
      <c r="F807" s="107"/>
      <c r="G807" s="107"/>
      <c r="H807" s="107"/>
      <c r="I807" s="107"/>
      <c r="J807" s="107"/>
      <c r="K807" s="107"/>
      <c r="L807" s="107"/>
      <c r="M807" s="107"/>
      <c r="N807" s="107"/>
      <c r="O807" s="107"/>
      <c r="P807" s="107"/>
      <c r="Q807" s="107"/>
      <c r="R807" s="107"/>
      <c r="S807" s="107"/>
      <c r="T807" s="107"/>
      <c r="U807" s="107"/>
      <c r="V807" s="107"/>
      <c r="W807" s="107"/>
    </row>
    <row r="808" spans="2:23">
      <c r="B808" s="107"/>
      <c r="C808" s="107"/>
      <c r="D808" s="107"/>
      <c r="E808" s="107"/>
      <c r="F808" s="107"/>
      <c r="G808" s="107"/>
      <c r="H808" s="107"/>
      <c r="I808" s="107"/>
      <c r="J808" s="107"/>
      <c r="K808" s="107"/>
      <c r="L808" s="107"/>
      <c r="M808" s="107"/>
      <c r="N808" s="107"/>
      <c r="O808" s="107"/>
      <c r="P808" s="107"/>
      <c r="Q808" s="107"/>
      <c r="R808" s="107"/>
      <c r="S808" s="107"/>
      <c r="T808" s="107"/>
      <c r="U808" s="107"/>
      <c r="V808" s="107"/>
      <c r="W808" s="107"/>
    </row>
    <row r="809" spans="2:23">
      <c r="B809" s="107"/>
      <c r="C809" s="107"/>
      <c r="D809" s="107"/>
      <c r="E809" s="107"/>
      <c r="F809" s="107"/>
      <c r="G809" s="107"/>
      <c r="H809" s="107"/>
      <c r="I809" s="107"/>
      <c r="J809" s="107"/>
      <c r="K809" s="107"/>
      <c r="L809" s="107"/>
      <c r="M809" s="107"/>
      <c r="N809" s="107"/>
      <c r="O809" s="107"/>
      <c r="P809" s="107"/>
      <c r="Q809" s="107"/>
      <c r="R809" s="107"/>
      <c r="S809" s="107"/>
      <c r="T809" s="107"/>
      <c r="U809" s="107"/>
      <c r="V809" s="107"/>
      <c r="W809" s="107"/>
    </row>
    <row r="810" spans="2:23">
      <c r="B810" s="107"/>
      <c r="C810" s="107"/>
      <c r="D810" s="107"/>
      <c r="E810" s="107"/>
      <c r="F810" s="107"/>
      <c r="G810" s="107"/>
      <c r="H810" s="107"/>
      <c r="I810" s="107"/>
      <c r="J810" s="107"/>
      <c r="K810" s="107"/>
      <c r="L810" s="107"/>
      <c r="M810" s="107"/>
      <c r="N810" s="107"/>
      <c r="O810" s="107"/>
      <c r="P810" s="107"/>
      <c r="Q810" s="107"/>
      <c r="R810" s="107"/>
      <c r="S810" s="107"/>
      <c r="T810" s="107"/>
      <c r="U810" s="107"/>
      <c r="V810" s="107"/>
      <c r="W810" s="107"/>
    </row>
    <row r="811" spans="2:23">
      <c r="B811" s="107"/>
      <c r="C811" s="107"/>
      <c r="D811" s="107"/>
      <c r="E811" s="107"/>
      <c r="F811" s="107"/>
      <c r="G811" s="107"/>
      <c r="H811" s="107"/>
      <c r="I811" s="107"/>
      <c r="J811" s="107"/>
      <c r="K811" s="107"/>
      <c r="L811" s="107"/>
      <c r="M811" s="107"/>
      <c r="N811" s="107"/>
      <c r="O811" s="107"/>
      <c r="P811" s="107"/>
      <c r="Q811" s="107"/>
      <c r="R811" s="107"/>
      <c r="S811" s="107"/>
      <c r="T811" s="107"/>
      <c r="U811" s="107"/>
      <c r="V811" s="107"/>
      <c r="W811" s="107"/>
    </row>
    <row r="812" spans="2:23">
      <c r="B812" s="107"/>
      <c r="C812" s="107"/>
      <c r="D812" s="107"/>
      <c r="E812" s="107"/>
      <c r="F812" s="107"/>
      <c r="G812" s="107"/>
      <c r="H812" s="107"/>
      <c r="I812" s="107"/>
      <c r="J812" s="107"/>
      <c r="K812" s="107"/>
      <c r="L812" s="107"/>
      <c r="M812" s="107"/>
      <c r="N812" s="107"/>
      <c r="O812" s="107"/>
      <c r="P812" s="107"/>
      <c r="Q812" s="107"/>
      <c r="R812" s="107"/>
      <c r="S812" s="107"/>
      <c r="T812" s="107"/>
      <c r="U812" s="107"/>
      <c r="V812" s="107"/>
      <c r="W812" s="107"/>
    </row>
    <row r="813" spans="2:23">
      <c r="B813" s="107"/>
      <c r="C813" s="107"/>
      <c r="D813" s="107"/>
      <c r="E813" s="107"/>
      <c r="F813" s="107"/>
      <c r="G813" s="107"/>
      <c r="H813" s="107"/>
      <c r="I813" s="107"/>
      <c r="J813" s="107"/>
      <c r="K813" s="107"/>
      <c r="L813" s="107"/>
      <c r="M813" s="107"/>
      <c r="N813" s="107"/>
      <c r="O813" s="107"/>
      <c r="P813" s="107"/>
      <c r="Q813" s="107"/>
      <c r="R813" s="107"/>
      <c r="S813" s="107"/>
      <c r="T813" s="107"/>
      <c r="U813" s="107"/>
      <c r="V813" s="107"/>
      <c r="W813" s="107"/>
    </row>
    <row r="814" spans="2:23">
      <c r="B814" s="107"/>
      <c r="C814" s="107"/>
      <c r="D814" s="107"/>
      <c r="E814" s="107"/>
      <c r="F814" s="107"/>
      <c r="G814" s="107"/>
      <c r="H814" s="107"/>
      <c r="I814" s="107"/>
      <c r="J814" s="107"/>
      <c r="K814" s="107"/>
      <c r="L814" s="107"/>
      <c r="M814" s="107"/>
      <c r="N814" s="107"/>
      <c r="O814" s="107"/>
      <c r="P814" s="107"/>
      <c r="Q814" s="107"/>
      <c r="R814" s="107"/>
      <c r="S814" s="107"/>
      <c r="T814" s="107"/>
      <c r="U814" s="107"/>
      <c r="V814" s="107"/>
      <c r="W814" s="107"/>
    </row>
    <row r="815" spans="2:23">
      <c r="B815" s="107"/>
      <c r="C815" s="107"/>
      <c r="D815" s="107"/>
      <c r="E815" s="107"/>
      <c r="F815" s="107"/>
      <c r="G815" s="107"/>
      <c r="H815" s="107"/>
      <c r="I815" s="107"/>
      <c r="J815" s="107"/>
      <c r="K815" s="107"/>
      <c r="L815" s="107"/>
      <c r="M815" s="107"/>
      <c r="N815" s="107"/>
      <c r="O815" s="107"/>
      <c r="P815" s="107"/>
      <c r="Q815" s="107"/>
      <c r="R815" s="107"/>
      <c r="S815" s="107"/>
      <c r="T815" s="107"/>
      <c r="U815" s="107"/>
      <c r="V815" s="107"/>
      <c r="W815" s="107"/>
    </row>
    <row r="816" spans="2:23">
      <c r="B816" s="107"/>
      <c r="C816" s="107"/>
      <c r="D816" s="107"/>
      <c r="E816" s="107"/>
      <c r="F816" s="107"/>
      <c r="G816" s="107"/>
      <c r="H816" s="107"/>
      <c r="I816" s="107"/>
      <c r="J816" s="107"/>
      <c r="K816" s="107"/>
      <c r="L816" s="107"/>
      <c r="M816" s="107"/>
      <c r="N816" s="107"/>
      <c r="O816" s="107"/>
      <c r="P816" s="107"/>
      <c r="Q816" s="107"/>
      <c r="R816" s="107"/>
      <c r="S816" s="107"/>
      <c r="T816" s="107"/>
      <c r="U816" s="107"/>
      <c r="V816" s="107"/>
      <c r="W816" s="107"/>
    </row>
    <row r="817" spans="2:23">
      <c r="B817" s="107"/>
      <c r="C817" s="107"/>
      <c r="D817" s="107"/>
      <c r="E817" s="107"/>
      <c r="F817" s="107"/>
      <c r="G817" s="107"/>
      <c r="H817" s="107"/>
      <c r="I817" s="107"/>
      <c r="J817" s="107"/>
      <c r="K817" s="107"/>
      <c r="L817" s="107"/>
      <c r="M817" s="107"/>
      <c r="N817" s="107"/>
      <c r="O817" s="107"/>
      <c r="P817" s="107"/>
      <c r="Q817" s="107"/>
      <c r="R817" s="107"/>
      <c r="S817" s="107"/>
      <c r="T817" s="107"/>
      <c r="U817" s="107"/>
      <c r="V817" s="107"/>
      <c r="W817" s="107"/>
    </row>
    <row r="818" spans="2:23">
      <c r="B818" s="107"/>
      <c r="C818" s="107"/>
      <c r="D818" s="107"/>
      <c r="E818" s="107"/>
      <c r="F818" s="107"/>
      <c r="G818" s="107"/>
      <c r="H818" s="107"/>
      <c r="I818" s="107"/>
      <c r="J818" s="107"/>
      <c r="K818" s="107"/>
      <c r="L818" s="107"/>
      <c r="M818" s="107"/>
      <c r="N818" s="107"/>
      <c r="O818" s="107"/>
      <c r="P818" s="107"/>
      <c r="Q818" s="107"/>
      <c r="R818" s="107"/>
      <c r="S818" s="107"/>
      <c r="T818" s="107"/>
      <c r="U818" s="107"/>
      <c r="V818" s="107"/>
      <c r="W818" s="107"/>
    </row>
    <row r="819" spans="2:23">
      <c r="B819" s="107"/>
      <c r="C819" s="107"/>
      <c r="D819" s="107"/>
      <c r="E819" s="107"/>
      <c r="F819" s="107"/>
      <c r="G819" s="107"/>
      <c r="H819" s="107"/>
      <c r="I819" s="107"/>
      <c r="J819" s="107"/>
      <c r="K819" s="107"/>
      <c r="L819" s="107"/>
      <c r="M819" s="107"/>
      <c r="N819" s="107"/>
      <c r="O819" s="107"/>
      <c r="P819" s="107"/>
      <c r="Q819" s="107"/>
      <c r="R819" s="107"/>
      <c r="S819" s="107"/>
      <c r="T819" s="107"/>
      <c r="U819" s="107"/>
      <c r="V819" s="107"/>
      <c r="W819" s="107"/>
    </row>
    <row r="820" spans="2:23">
      <c r="B820" s="107"/>
      <c r="C820" s="107"/>
      <c r="D820" s="107"/>
      <c r="E820" s="107"/>
      <c r="F820" s="107"/>
      <c r="G820" s="107"/>
      <c r="H820" s="107"/>
      <c r="I820" s="107"/>
      <c r="J820" s="107"/>
      <c r="K820" s="107"/>
      <c r="L820" s="107"/>
      <c r="M820" s="107"/>
      <c r="N820" s="107"/>
      <c r="O820" s="107"/>
      <c r="P820" s="107"/>
      <c r="Q820" s="107"/>
      <c r="R820" s="107"/>
      <c r="S820" s="107"/>
      <c r="T820" s="107"/>
      <c r="U820" s="107"/>
      <c r="V820" s="107"/>
      <c r="W820" s="107"/>
    </row>
    <row r="821" spans="2:23">
      <c r="B821" s="107"/>
      <c r="C821" s="107"/>
      <c r="D821" s="107"/>
      <c r="E821" s="107"/>
      <c r="F821" s="107"/>
      <c r="G821" s="107"/>
      <c r="H821" s="107"/>
      <c r="I821" s="107"/>
      <c r="J821" s="107"/>
      <c r="K821" s="107"/>
      <c r="L821" s="107"/>
      <c r="M821" s="107"/>
      <c r="N821" s="107"/>
      <c r="O821" s="107"/>
      <c r="P821" s="107"/>
      <c r="Q821" s="107"/>
      <c r="R821" s="107"/>
      <c r="S821" s="107"/>
      <c r="T821" s="107"/>
      <c r="U821" s="107"/>
      <c r="V821" s="107"/>
      <c r="W821" s="107"/>
    </row>
    <row r="822" spans="2:23">
      <c r="B822" s="107"/>
      <c r="C822" s="107"/>
      <c r="D822" s="107"/>
      <c r="E822" s="107"/>
      <c r="F822" s="107"/>
      <c r="G822" s="107"/>
      <c r="H822" s="107"/>
      <c r="I822" s="107"/>
      <c r="J822" s="107"/>
      <c r="K822" s="107"/>
      <c r="L822" s="107"/>
      <c r="M822" s="107"/>
      <c r="N822" s="107"/>
      <c r="O822" s="107"/>
      <c r="P822" s="107"/>
      <c r="Q822" s="107"/>
      <c r="R822" s="107"/>
      <c r="S822" s="107"/>
      <c r="T822" s="107"/>
      <c r="U822" s="107"/>
      <c r="V822" s="107"/>
      <c r="W822" s="107"/>
    </row>
    <row r="823" spans="2:23">
      <c r="B823" s="107"/>
      <c r="C823" s="107"/>
      <c r="D823" s="107"/>
      <c r="E823" s="107"/>
      <c r="F823" s="107"/>
      <c r="G823" s="107"/>
      <c r="H823" s="107"/>
      <c r="I823" s="107"/>
      <c r="J823" s="107"/>
      <c r="K823" s="107"/>
      <c r="L823" s="107"/>
      <c r="M823" s="107"/>
      <c r="N823" s="107"/>
      <c r="O823" s="107"/>
      <c r="P823" s="107"/>
      <c r="Q823" s="107"/>
      <c r="R823" s="107"/>
      <c r="S823" s="107"/>
      <c r="T823" s="107"/>
      <c r="U823" s="107"/>
      <c r="V823" s="107"/>
      <c r="W823" s="107"/>
    </row>
    <row r="824" spans="2:23">
      <c r="B824" s="107"/>
      <c r="C824" s="107"/>
      <c r="D824" s="107"/>
      <c r="E824" s="107"/>
      <c r="F824" s="107"/>
      <c r="G824" s="107"/>
      <c r="H824" s="107"/>
      <c r="I824" s="107"/>
      <c r="J824" s="107"/>
      <c r="K824" s="107"/>
      <c r="L824" s="107"/>
      <c r="M824" s="107"/>
      <c r="N824" s="107"/>
      <c r="O824" s="107"/>
      <c r="P824" s="107"/>
      <c r="Q824" s="107"/>
      <c r="R824" s="107"/>
      <c r="S824" s="107"/>
      <c r="T824" s="107"/>
      <c r="U824" s="107"/>
      <c r="V824" s="107"/>
      <c r="W824" s="107"/>
    </row>
    <row r="825" spans="2:23">
      <c r="B825" s="107"/>
      <c r="C825" s="107"/>
      <c r="D825" s="107"/>
      <c r="E825" s="107"/>
      <c r="F825" s="107"/>
      <c r="G825" s="107"/>
      <c r="H825" s="107"/>
      <c r="I825" s="107"/>
      <c r="J825" s="107"/>
      <c r="K825" s="107"/>
      <c r="L825" s="107"/>
      <c r="M825" s="107"/>
      <c r="N825" s="107"/>
      <c r="O825" s="107"/>
      <c r="P825" s="107"/>
      <c r="Q825" s="107"/>
      <c r="R825" s="107"/>
      <c r="S825" s="107"/>
      <c r="T825" s="107"/>
      <c r="U825" s="107"/>
      <c r="V825" s="107"/>
      <c r="W825" s="107"/>
    </row>
    <row r="826" spans="2:23">
      <c r="B826" s="107"/>
      <c r="C826" s="107"/>
      <c r="D826" s="107"/>
      <c r="E826" s="107"/>
      <c r="F826" s="107"/>
      <c r="G826" s="107"/>
      <c r="H826" s="107"/>
      <c r="I826" s="107"/>
      <c r="J826" s="107"/>
      <c r="K826" s="107"/>
      <c r="L826" s="107"/>
      <c r="M826" s="107"/>
      <c r="N826" s="107"/>
      <c r="O826" s="107"/>
      <c r="P826" s="107"/>
      <c r="Q826" s="107"/>
      <c r="R826" s="107"/>
      <c r="S826" s="107"/>
      <c r="T826" s="107"/>
      <c r="U826" s="107"/>
      <c r="V826" s="107"/>
      <c r="W826" s="107"/>
    </row>
    <row r="827" spans="2:23">
      <c r="B827" s="107"/>
      <c r="C827" s="107"/>
      <c r="D827" s="107"/>
      <c r="E827" s="107"/>
      <c r="F827" s="107"/>
      <c r="G827" s="107"/>
      <c r="H827" s="107"/>
      <c r="I827" s="107"/>
      <c r="J827" s="107"/>
      <c r="K827" s="107"/>
      <c r="L827" s="107"/>
      <c r="M827" s="107"/>
      <c r="N827" s="107"/>
      <c r="O827" s="107"/>
      <c r="P827" s="107"/>
      <c r="Q827" s="107"/>
      <c r="R827" s="107"/>
      <c r="S827" s="107"/>
      <c r="T827" s="107"/>
      <c r="U827" s="107"/>
      <c r="V827" s="107"/>
      <c r="W827" s="107"/>
    </row>
    <row r="828" spans="2:23">
      <c r="B828" s="107"/>
      <c r="C828" s="107"/>
      <c r="D828" s="107"/>
      <c r="E828" s="107"/>
      <c r="F828" s="107"/>
      <c r="G828" s="107"/>
      <c r="H828" s="107"/>
      <c r="I828" s="107"/>
      <c r="J828" s="107"/>
      <c r="K828" s="107"/>
      <c r="L828" s="107"/>
      <c r="M828" s="107"/>
      <c r="N828" s="107"/>
      <c r="O828" s="107"/>
      <c r="P828" s="107"/>
      <c r="Q828" s="107"/>
      <c r="R828" s="107"/>
      <c r="S828" s="107"/>
      <c r="T828" s="107"/>
      <c r="U828" s="107"/>
      <c r="V828" s="107"/>
      <c r="W828" s="107"/>
    </row>
    <row r="829" spans="2:23">
      <c r="B829" s="107"/>
      <c r="C829" s="107"/>
      <c r="D829" s="107"/>
      <c r="E829" s="107"/>
      <c r="F829" s="107"/>
      <c r="G829" s="107"/>
      <c r="H829" s="107"/>
      <c r="I829" s="107"/>
      <c r="J829" s="107"/>
      <c r="K829" s="107"/>
      <c r="L829" s="107"/>
      <c r="M829" s="107"/>
      <c r="N829" s="107"/>
      <c r="O829" s="107"/>
      <c r="P829" s="107"/>
      <c r="Q829" s="107"/>
      <c r="R829" s="107"/>
      <c r="S829" s="107"/>
      <c r="T829" s="107"/>
      <c r="U829" s="107"/>
      <c r="V829" s="107"/>
      <c r="W829" s="107"/>
    </row>
    <row r="830" spans="2:23">
      <c r="B830" s="107"/>
      <c r="C830" s="107"/>
      <c r="D830" s="107"/>
      <c r="E830" s="107"/>
      <c r="F830" s="107"/>
      <c r="G830" s="107"/>
      <c r="H830" s="107"/>
      <c r="I830" s="107"/>
      <c r="J830" s="107"/>
      <c r="K830" s="107"/>
      <c r="L830" s="107"/>
      <c r="M830" s="107"/>
      <c r="N830" s="107"/>
      <c r="O830" s="107"/>
      <c r="P830" s="107"/>
      <c r="Q830" s="107"/>
      <c r="R830" s="107"/>
      <c r="S830" s="107"/>
      <c r="T830" s="107"/>
      <c r="U830" s="107"/>
      <c r="V830" s="107"/>
      <c r="W830" s="107"/>
    </row>
    <row r="831" spans="2:23">
      <c r="B831" s="107"/>
      <c r="C831" s="107"/>
      <c r="D831" s="107"/>
      <c r="E831" s="107"/>
      <c r="F831" s="107"/>
      <c r="G831" s="107"/>
      <c r="H831" s="107"/>
      <c r="I831" s="107"/>
      <c r="J831" s="107"/>
      <c r="K831" s="107"/>
      <c r="L831" s="107"/>
      <c r="M831" s="107"/>
      <c r="N831" s="107"/>
      <c r="O831" s="107"/>
      <c r="P831" s="107"/>
      <c r="Q831" s="107"/>
      <c r="R831" s="107"/>
      <c r="S831" s="107"/>
      <c r="T831" s="107"/>
      <c r="U831" s="107"/>
      <c r="V831" s="107"/>
      <c r="W831" s="107"/>
    </row>
    <row r="832" spans="2:23">
      <c r="B832" s="107"/>
      <c r="C832" s="107"/>
      <c r="D832" s="107"/>
      <c r="E832" s="107"/>
      <c r="F832" s="107"/>
      <c r="G832" s="107"/>
      <c r="H832" s="107"/>
      <c r="I832" s="107"/>
      <c r="J832" s="107"/>
      <c r="K832" s="107"/>
      <c r="L832" s="107"/>
      <c r="M832" s="107"/>
      <c r="N832" s="107"/>
      <c r="O832" s="107"/>
      <c r="P832" s="107"/>
      <c r="Q832" s="107"/>
      <c r="R832" s="107"/>
      <c r="S832" s="107"/>
      <c r="T832" s="107"/>
      <c r="U832" s="107"/>
      <c r="V832" s="107"/>
      <c r="W832" s="107"/>
    </row>
    <row r="833" spans="2:23">
      <c r="B833" s="107"/>
      <c r="C833" s="107"/>
      <c r="D833" s="107"/>
      <c r="E833" s="107"/>
      <c r="F833" s="107"/>
      <c r="G833" s="107"/>
      <c r="H833" s="107"/>
      <c r="I833" s="107"/>
      <c r="J833" s="107"/>
      <c r="K833" s="107"/>
      <c r="L833" s="107"/>
      <c r="M833" s="107"/>
      <c r="N833" s="107"/>
      <c r="O833" s="107"/>
      <c r="P833" s="107"/>
      <c r="Q833" s="107"/>
      <c r="R833" s="107"/>
      <c r="S833" s="107"/>
      <c r="T833" s="107"/>
      <c r="U833" s="107"/>
      <c r="V833" s="107"/>
      <c r="W833" s="107"/>
    </row>
    <row r="834" spans="2:23">
      <c r="B834" s="107"/>
      <c r="C834" s="107"/>
      <c r="D834" s="107"/>
      <c r="E834" s="107"/>
      <c r="F834" s="107"/>
      <c r="G834" s="107"/>
      <c r="H834" s="107"/>
      <c r="I834" s="107"/>
      <c r="J834" s="107"/>
      <c r="K834" s="107"/>
      <c r="L834" s="107"/>
      <c r="M834" s="107"/>
      <c r="N834" s="107"/>
      <c r="O834" s="107"/>
      <c r="P834" s="107"/>
      <c r="Q834" s="107"/>
      <c r="R834" s="107"/>
      <c r="S834" s="107"/>
      <c r="T834" s="107"/>
      <c r="U834" s="107"/>
      <c r="V834" s="107"/>
      <c r="W834" s="107"/>
    </row>
    <row r="835" spans="2:23">
      <c r="B835" s="107"/>
      <c r="C835" s="107"/>
      <c r="D835" s="107"/>
      <c r="E835" s="107"/>
      <c r="F835" s="107"/>
      <c r="G835" s="107"/>
      <c r="H835" s="107"/>
      <c r="I835" s="107"/>
      <c r="J835" s="107"/>
      <c r="K835" s="107"/>
      <c r="L835" s="107"/>
      <c r="M835" s="107"/>
      <c r="N835" s="107"/>
      <c r="O835" s="107"/>
      <c r="P835" s="107"/>
      <c r="Q835" s="107"/>
      <c r="R835" s="107"/>
      <c r="S835" s="107"/>
      <c r="T835" s="107"/>
      <c r="U835" s="107"/>
      <c r="V835" s="107"/>
      <c r="W835" s="107"/>
    </row>
    <row r="836" spans="2:23">
      <c r="B836" s="107"/>
      <c r="C836" s="107"/>
      <c r="D836" s="107"/>
      <c r="E836" s="107"/>
      <c r="F836" s="107"/>
      <c r="G836" s="107"/>
      <c r="H836" s="107"/>
      <c r="I836" s="107"/>
      <c r="J836" s="107"/>
      <c r="K836" s="107"/>
      <c r="L836" s="107"/>
      <c r="M836" s="107"/>
      <c r="N836" s="107"/>
      <c r="O836" s="107"/>
      <c r="P836" s="107"/>
      <c r="Q836" s="107"/>
      <c r="R836" s="107"/>
      <c r="S836" s="107"/>
      <c r="T836" s="107"/>
      <c r="U836" s="107"/>
      <c r="V836" s="107"/>
      <c r="W836" s="107"/>
    </row>
    <row r="837" spans="2:23">
      <c r="B837" s="107"/>
      <c r="C837" s="107"/>
      <c r="D837" s="107"/>
      <c r="E837" s="107"/>
      <c r="F837" s="107"/>
      <c r="G837" s="107"/>
      <c r="H837" s="107"/>
      <c r="I837" s="107"/>
      <c r="J837" s="107"/>
      <c r="K837" s="107"/>
      <c r="L837" s="107"/>
      <c r="M837" s="107"/>
      <c r="N837" s="107"/>
      <c r="O837" s="107"/>
      <c r="P837" s="107"/>
      <c r="Q837" s="107"/>
      <c r="R837" s="107"/>
      <c r="S837" s="107"/>
      <c r="T837" s="107"/>
      <c r="U837" s="107"/>
      <c r="V837" s="107"/>
      <c r="W837" s="107"/>
    </row>
    <row r="838" spans="2:23">
      <c r="B838" s="107"/>
      <c r="C838" s="107"/>
      <c r="D838" s="107"/>
      <c r="E838" s="107"/>
      <c r="F838" s="107"/>
      <c r="G838" s="107"/>
      <c r="H838" s="107"/>
      <c r="I838" s="107"/>
      <c r="J838" s="107"/>
      <c r="K838" s="107"/>
      <c r="L838" s="107"/>
      <c r="M838" s="107"/>
      <c r="N838" s="107"/>
      <c r="O838" s="107"/>
      <c r="P838" s="107"/>
      <c r="Q838" s="107"/>
      <c r="R838" s="107"/>
      <c r="S838" s="107"/>
      <c r="T838" s="107"/>
      <c r="U838" s="107"/>
      <c r="V838" s="107"/>
      <c r="W838" s="107"/>
    </row>
    <row r="839" spans="2:23">
      <c r="B839" s="107"/>
      <c r="C839" s="107"/>
      <c r="D839" s="107"/>
      <c r="E839" s="107"/>
      <c r="F839" s="107"/>
      <c r="G839" s="107"/>
      <c r="H839" s="107"/>
      <c r="I839" s="107"/>
      <c r="J839" s="107"/>
      <c r="K839" s="107"/>
      <c r="L839" s="107"/>
      <c r="M839" s="107"/>
      <c r="N839" s="107"/>
      <c r="O839" s="107"/>
      <c r="P839" s="107"/>
      <c r="Q839" s="107"/>
      <c r="R839" s="107"/>
      <c r="S839" s="107"/>
      <c r="T839" s="107"/>
      <c r="U839" s="107"/>
      <c r="V839" s="107"/>
      <c r="W839" s="107"/>
    </row>
    <row r="840" spans="2:23">
      <c r="B840" s="107"/>
      <c r="C840" s="107"/>
      <c r="D840" s="107"/>
      <c r="E840" s="107"/>
      <c r="F840" s="107"/>
      <c r="G840" s="107"/>
      <c r="H840" s="107"/>
      <c r="I840" s="107"/>
      <c r="J840" s="107"/>
      <c r="K840" s="107"/>
      <c r="L840" s="107"/>
      <c r="M840" s="107"/>
      <c r="N840" s="107"/>
      <c r="O840" s="107"/>
      <c r="P840" s="107"/>
      <c r="Q840" s="107"/>
      <c r="R840" s="107"/>
      <c r="S840" s="107"/>
      <c r="T840" s="107"/>
      <c r="U840" s="107"/>
      <c r="V840" s="107"/>
      <c r="W840" s="107"/>
    </row>
    <row r="841" spans="2:23">
      <c r="B841" s="107"/>
      <c r="C841" s="107"/>
      <c r="D841" s="107"/>
      <c r="E841" s="107"/>
      <c r="F841" s="107"/>
      <c r="G841" s="107"/>
      <c r="H841" s="107"/>
      <c r="I841" s="107"/>
      <c r="J841" s="107"/>
      <c r="K841" s="107"/>
      <c r="L841" s="107"/>
      <c r="M841" s="107"/>
      <c r="N841" s="107"/>
      <c r="O841" s="107"/>
      <c r="P841" s="107"/>
      <c r="Q841" s="107"/>
      <c r="R841" s="107"/>
      <c r="S841" s="107"/>
      <c r="T841" s="107"/>
      <c r="U841" s="107"/>
      <c r="V841" s="107"/>
      <c r="W841" s="107"/>
    </row>
    <row r="842" spans="2:23">
      <c r="B842" s="107"/>
      <c r="C842" s="107"/>
      <c r="D842" s="107"/>
      <c r="E842" s="107"/>
      <c r="F842" s="107"/>
      <c r="G842" s="107"/>
      <c r="H842" s="107"/>
      <c r="I842" s="107"/>
      <c r="J842" s="107"/>
      <c r="K842" s="107"/>
      <c r="L842" s="107"/>
      <c r="M842" s="107"/>
      <c r="N842" s="107"/>
      <c r="O842" s="107"/>
      <c r="P842" s="107"/>
      <c r="Q842" s="107"/>
      <c r="R842" s="107"/>
      <c r="S842" s="107"/>
      <c r="T842" s="107"/>
      <c r="U842" s="107"/>
      <c r="V842" s="107"/>
      <c r="W842" s="107"/>
    </row>
    <row r="843" spans="2:23">
      <c r="B843" s="107"/>
      <c r="C843" s="107"/>
      <c r="D843" s="107"/>
      <c r="E843" s="107"/>
      <c r="F843" s="107"/>
      <c r="G843" s="107"/>
      <c r="H843" s="107"/>
      <c r="I843" s="107"/>
      <c r="J843" s="107"/>
      <c r="K843" s="107"/>
      <c r="L843" s="107"/>
      <c r="M843" s="107"/>
      <c r="N843" s="107"/>
      <c r="O843" s="107"/>
      <c r="P843" s="107"/>
      <c r="Q843" s="107"/>
      <c r="R843" s="107"/>
      <c r="S843" s="107"/>
      <c r="T843" s="107"/>
      <c r="U843" s="107"/>
      <c r="V843" s="107"/>
      <c r="W843" s="107"/>
    </row>
    <row r="844" spans="2:23">
      <c r="B844" s="107"/>
      <c r="C844" s="107"/>
      <c r="D844" s="107"/>
      <c r="E844" s="107"/>
      <c r="F844" s="107"/>
      <c r="G844" s="107"/>
      <c r="H844" s="107"/>
      <c r="I844" s="107"/>
      <c r="J844" s="107"/>
      <c r="K844" s="107"/>
      <c r="L844" s="107"/>
      <c r="M844" s="107"/>
      <c r="N844" s="107"/>
      <c r="O844" s="107"/>
      <c r="P844" s="107"/>
      <c r="Q844" s="107"/>
      <c r="R844" s="107"/>
      <c r="S844" s="107"/>
      <c r="T844" s="107"/>
      <c r="U844" s="107"/>
      <c r="V844" s="107"/>
      <c r="W844" s="107"/>
    </row>
    <row r="845" spans="2:23">
      <c r="B845" s="107"/>
      <c r="C845" s="107"/>
      <c r="D845" s="107"/>
      <c r="E845" s="107"/>
      <c r="F845" s="107"/>
      <c r="G845" s="107"/>
      <c r="H845" s="107"/>
      <c r="I845" s="107"/>
      <c r="J845" s="107"/>
      <c r="K845" s="107"/>
      <c r="L845" s="107"/>
      <c r="M845" s="107"/>
      <c r="N845" s="107"/>
      <c r="O845" s="107"/>
      <c r="P845" s="107"/>
      <c r="Q845" s="107"/>
      <c r="R845" s="107"/>
      <c r="S845" s="107"/>
      <c r="T845" s="107"/>
      <c r="U845" s="107"/>
      <c r="V845" s="107"/>
      <c r="W845" s="107"/>
    </row>
    <row r="846" spans="2:23">
      <c r="B846" s="107"/>
      <c r="C846" s="107"/>
      <c r="D846" s="107"/>
      <c r="E846" s="107"/>
      <c r="F846" s="107"/>
      <c r="G846" s="107"/>
      <c r="H846" s="107"/>
      <c r="I846" s="107"/>
      <c r="J846" s="107"/>
      <c r="K846" s="107"/>
      <c r="L846" s="107"/>
      <c r="M846" s="107"/>
      <c r="N846" s="107"/>
      <c r="O846" s="107"/>
      <c r="P846" s="107"/>
      <c r="Q846" s="107"/>
      <c r="R846" s="107"/>
      <c r="S846" s="107"/>
      <c r="T846" s="107"/>
      <c r="U846" s="107"/>
      <c r="V846" s="107"/>
      <c r="W846" s="107"/>
    </row>
    <row r="847" spans="2:23">
      <c r="B847" s="107"/>
      <c r="C847" s="107"/>
      <c r="D847" s="107"/>
      <c r="E847" s="107"/>
      <c r="F847" s="107"/>
      <c r="G847" s="107"/>
      <c r="H847" s="107"/>
      <c r="I847" s="107"/>
      <c r="J847" s="107"/>
      <c r="K847" s="107"/>
      <c r="L847" s="107"/>
      <c r="M847" s="107"/>
      <c r="N847" s="107"/>
      <c r="O847" s="107"/>
      <c r="P847" s="107"/>
      <c r="Q847" s="107"/>
      <c r="R847" s="107"/>
      <c r="S847" s="107"/>
      <c r="T847" s="107"/>
      <c r="U847" s="107"/>
      <c r="V847" s="107"/>
      <c r="W847" s="107"/>
    </row>
    <row r="848" spans="2:23">
      <c r="B848" s="107"/>
      <c r="C848" s="107"/>
      <c r="D848" s="107"/>
      <c r="E848" s="107"/>
      <c r="F848" s="107"/>
      <c r="G848" s="107"/>
      <c r="H848" s="107"/>
      <c r="I848" s="107"/>
      <c r="J848" s="107"/>
      <c r="K848" s="107"/>
      <c r="L848" s="107"/>
      <c r="M848" s="107"/>
      <c r="N848" s="107"/>
      <c r="O848" s="107"/>
      <c r="P848" s="107"/>
      <c r="Q848" s="107"/>
      <c r="R848" s="107"/>
      <c r="S848" s="107"/>
      <c r="T848" s="107"/>
      <c r="U848" s="107"/>
      <c r="V848" s="107"/>
      <c r="W848" s="107"/>
    </row>
    <row r="849" spans="2:23">
      <c r="B849" s="107"/>
      <c r="C849" s="107"/>
      <c r="D849" s="107"/>
      <c r="E849" s="107"/>
      <c r="F849" s="107"/>
      <c r="G849" s="107"/>
      <c r="H849" s="107"/>
      <c r="I849" s="107"/>
      <c r="J849" s="107"/>
      <c r="K849" s="107"/>
      <c r="L849" s="107"/>
      <c r="M849" s="107"/>
      <c r="N849" s="107"/>
      <c r="O849" s="107"/>
      <c r="P849" s="107"/>
      <c r="Q849" s="107"/>
      <c r="R849" s="107"/>
      <c r="S849" s="107"/>
      <c r="T849" s="107"/>
      <c r="U849" s="107"/>
      <c r="V849" s="107"/>
      <c r="W849" s="107"/>
    </row>
    <row r="850" spans="2:23">
      <c r="B850" s="107"/>
      <c r="C850" s="107"/>
      <c r="D850" s="107"/>
      <c r="E850" s="107"/>
      <c r="F850" s="107"/>
      <c r="G850" s="107"/>
      <c r="H850" s="107"/>
      <c r="I850" s="107"/>
      <c r="J850" s="107"/>
      <c r="K850" s="107"/>
      <c r="L850" s="107"/>
      <c r="M850" s="107"/>
      <c r="N850" s="107"/>
      <c r="O850" s="107"/>
      <c r="P850" s="107"/>
      <c r="Q850" s="107"/>
      <c r="R850" s="107"/>
      <c r="S850" s="107"/>
      <c r="T850" s="107"/>
      <c r="U850" s="107"/>
      <c r="V850" s="107"/>
      <c r="W850" s="107"/>
    </row>
    <row r="851" spans="2:23">
      <c r="B851" s="107"/>
      <c r="C851" s="107"/>
      <c r="D851" s="107"/>
      <c r="E851" s="107"/>
      <c r="F851" s="107"/>
      <c r="G851" s="107"/>
      <c r="H851" s="107"/>
      <c r="I851" s="107"/>
      <c r="J851" s="107"/>
      <c r="K851" s="107"/>
      <c r="L851" s="107"/>
      <c r="M851" s="107"/>
      <c r="N851" s="107"/>
      <c r="O851" s="107"/>
      <c r="P851" s="107"/>
      <c r="Q851" s="107"/>
      <c r="R851" s="107"/>
      <c r="S851" s="107"/>
      <c r="T851" s="107"/>
      <c r="U851" s="107"/>
      <c r="V851" s="107"/>
      <c r="W851" s="107"/>
    </row>
    <row r="852" spans="2:23">
      <c r="B852" s="107"/>
      <c r="C852" s="107"/>
      <c r="D852" s="107"/>
      <c r="E852" s="107"/>
      <c r="F852" s="107"/>
      <c r="G852" s="107"/>
      <c r="H852" s="107"/>
      <c r="I852" s="107"/>
      <c r="J852" s="107"/>
      <c r="K852" s="107"/>
      <c r="L852" s="107"/>
      <c r="M852" s="107"/>
      <c r="N852" s="107"/>
      <c r="O852" s="107"/>
      <c r="P852" s="107"/>
      <c r="Q852" s="107"/>
      <c r="R852" s="107"/>
      <c r="S852" s="107"/>
      <c r="T852" s="107"/>
      <c r="U852" s="107"/>
      <c r="V852" s="107"/>
      <c r="W852" s="107"/>
    </row>
    <row r="853" spans="2:23">
      <c r="B853" s="107"/>
      <c r="C853" s="107"/>
      <c r="D853" s="107"/>
      <c r="E853" s="107"/>
      <c r="F853" s="107"/>
      <c r="G853" s="107"/>
      <c r="H853" s="107"/>
      <c r="I853" s="107"/>
      <c r="J853" s="107"/>
      <c r="K853" s="107"/>
      <c r="L853" s="107"/>
      <c r="M853" s="107"/>
      <c r="N853" s="107"/>
      <c r="O853" s="107"/>
      <c r="P853" s="107"/>
      <c r="Q853" s="107"/>
      <c r="R853" s="107"/>
      <c r="S853" s="107"/>
      <c r="T853" s="107"/>
      <c r="U853" s="107"/>
      <c r="V853" s="107"/>
      <c r="W853" s="107"/>
    </row>
    <row r="854" spans="2:23">
      <c r="B854" s="107"/>
      <c r="C854" s="107"/>
      <c r="D854" s="107"/>
      <c r="E854" s="107"/>
      <c r="F854" s="107"/>
      <c r="G854" s="107"/>
      <c r="H854" s="107"/>
      <c r="I854" s="107"/>
      <c r="J854" s="107"/>
      <c r="K854" s="107"/>
      <c r="L854" s="107"/>
      <c r="M854" s="107"/>
      <c r="N854" s="107"/>
      <c r="O854" s="107"/>
      <c r="P854" s="107"/>
      <c r="Q854" s="107"/>
      <c r="R854" s="107"/>
      <c r="S854" s="107"/>
      <c r="T854" s="107"/>
      <c r="U854" s="107"/>
      <c r="V854" s="107"/>
      <c r="W854" s="107"/>
    </row>
    <row r="855" spans="2:23">
      <c r="B855" s="107"/>
      <c r="C855" s="107"/>
      <c r="D855" s="107"/>
      <c r="E855" s="107"/>
      <c r="F855" s="107"/>
      <c r="G855" s="107"/>
      <c r="H855" s="107"/>
      <c r="I855" s="107"/>
      <c r="J855" s="107"/>
      <c r="K855" s="107"/>
      <c r="L855" s="107"/>
      <c r="M855" s="107"/>
      <c r="N855" s="107"/>
      <c r="O855" s="107"/>
      <c r="P855" s="107"/>
      <c r="Q855" s="107"/>
      <c r="R855" s="107"/>
      <c r="S855" s="107"/>
      <c r="T855" s="107"/>
      <c r="U855" s="107"/>
      <c r="V855" s="107"/>
      <c r="W855" s="107"/>
    </row>
    <row r="856" spans="2:23">
      <c r="B856" s="107"/>
      <c r="C856" s="107"/>
      <c r="D856" s="107"/>
      <c r="E856" s="107"/>
      <c r="F856" s="107"/>
      <c r="G856" s="107"/>
      <c r="H856" s="107"/>
      <c r="I856" s="107"/>
      <c r="J856" s="107"/>
      <c r="K856" s="107"/>
      <c r="L856" s="107"/>
      <c r="M856" s="107"/>
      <c r="N856" s="107"/>
      <c r="O856" s="107"/>
      <c r="P856" s="107"/>
      <c r="Q856" s="107"/>
      <c r="R856" s="107"/>
      <c r="S856" s="107"/>
      <c r="T856" s="107"/>
      <c r="U856" s="107"/>
      <c r="V856" s="107"/>
      <c r="W856" s="107"/>
    </row>
    <row r="857" spans="2:23">
      <c r="B857" s="107"/>
      <c r="C857" s="107"/>
      <c r="D857" s="107"/>
      <c r="E857" s="107"/>
      <c r="F857" s="107"/>
      <c r="G857" s="107"/>
      <c r="H857" s="107"/>
      <c r="I857" s="107"/>
      <c r="J857" s="107"/>
      <c r="K857" s="107"/>
      <c r="L857" s="107"/>
      <c r="M857" s="107"/>
      <c r="N857" s="107"/>
      <c r="O857" s="107"/>
      <c r="P857" s="107"/>
      <c r="Q857" s="107"/>
      <c r="R857" s="107"/>
      <c r="S857" s="107"/>
      <c r="T857" s="107"/>
      <c r="U857" s="107"/>
      <c r="V857" s="107"/>
      <c r="W857" s="107"/>
    </row>
    <row r="858" spans="2:23">
      <c r="B858" s="107"/>
      <c r="C858" s="107"/>
      <c r="D858" s="107"/>
      <c r="E858" s="107"/>
      <c r="F858" s="107"/>
      <c r="G858" s="107"/>
      <c r="H858" s="107"/>
      <c r="I858" s="107"/>
      <c r="J858" s="107"/>
      <c r="K858" s="107"/>
      <c r="L858" s="107"/>
      <c r="M858" s="107"/>
      <c r="N858" s="107"/>
      <c r="O858" s="107"/>
      <c r="P858" s="107"/>
      <c r="Q858" s="107"/>
      <c r="R858" s="107"/>
      <c r="S858" s="107"/>
      <c r="T858" s="107"/>
      <c r="U858" s="107"/>
      <c r="V858" s="107"/>
      <c r="W858" s="107"/>
    </row>
    <row r="859" spans="2:23">
      <c r="B859" s="107"/>
      <c r="C859" s="107"/>
      <c r="D859" s="107"/>
      <c r="E859" s="107"/>
      <c r="F859" s="107"/>
      <c r="G859" s="107"/>
      <c r="H859" s="107"/>
      <c r="I859" s="107"/>
      <c r="J859" s="107"/>
      <c r="K859" s="107"/>
      <c r="L859" s="107"/>
      <c r="M859" s="107"/>
      <c r="N859" s="107"/>
      <c r="O859" s="107"/>
      <c r="P859" s="107"/>
      <c r="Q859" s="107"/>
      <c r="R859" s="107"/>
      <c r="S859" s="107"/>
      <c r="T859" s="107"/>
      <c r="U859" s="107"/>
      <c r="V859" s="107"/>
      <c r="W859" s="107"/>
    </row>
    <row r="860" spans="2:23">
      <c r="B860" s="107"/>
      <c r="C860" s="107"/>
      <c r="D860" s="107"/>
      <c r="E860" s="107"/>
      <c r="F860" s="107"/>
      <c r="G860" s="107"/>
      <c r="H860" s="107"/>
      <c r="I860" s="107"/>
      <c r="J860" s="107"/>
      <c r="K860" s="107"/>
      <c r="L860" s="107"/>
      <c r="M860" s="107"/>
      <c r="N860" s="107"/>
      <c r="O860" s="107"/>
      <c r="P860" s="107"/>
      <c r="Q860" s="107"/>
      <c r="R860" s="107"/>
      <c r="S860" s="107"/>
      <c r="T860" s="107"/>
      <c r="U860" s="107"/>
      <c r="V860" s="107"/>
      <c r="W860" s="107"/>
    </row>
    <row r="861" spans="2:23">
      <c r="B861" s="107"/>
      <c r="C861" s="107"/>
      <c r="D861" s="107"/>
      <c r="E861" s="107"/>
      <c r="F861" s="107"/>
      <c r="G861" s="107"/>
      <c r="H861" s="107"/>
      <c r="I861" s="107"/>
      <c r="J861" s="107"/>
      <c r="K861" s="107"/>
      <c r="L861" s="107"/>
      <c r="M861" s="107"/>
      <c r="N861" s="107"/>
      <c r="O861" s="107"/>
      <c r="P861" s="107"/>
      <c r="Q861" s="107"/>
      <c r="R861" s="107"/>
      <c r="S861" s="107"/>
      <c r="T861" s="107"/>
      <c r="U861" s="107"/>
      <c r="V861" s="107"/>
      <c r="W861" s="107"/>
    </row>
    <row r="862" spans="2:23">
      <c r="B862" s="107"/>
      <c r="C862" s="107"/>
      <c r="D862" s="107"/>
      <c r="E862" s="107"/>
      <c r="F862" s="107"/>
      <c r="G862" s="107"/>
      <c r="H862" s="107"/>
      <c r="I862" s="107"/>
      <c r="J862" s="107"/>
      <c r="K862" s="107"/>
      <c r="L862" s="107"/>
      <c r="M862" s="107"/>
      <c r="N862" s="107"/>
      <c r="O862" s="107"/>
      <c r="P862" s="107"/>
      <c r="Q862" s="107"/>
      <c r="R862" s="107"/>
      <c r="S862" s="107"/>
      <c r="T862" s="107"/>
      <c r="U862" s="107"/>
      <c r="V862" s="107"/>
      <c r="W862" s="107"/>
    </row>
    <row r="863" spans="2:23">
      <c r="B863" s="107"/>
      <c r="C863" s="107"/>
      <c r="D863" s="107"/>
      <c r="E863" s="107"/>
      <c r="F863" s="107"/>
      <c r="G863" s="107"/>
      <c r="H863" s="107"/>
      <c r="I863" s="107"/>
      <c r="J863" s="107"/>
      <c r="K863" s="107"/>
      <c r="L863" s="107"/>
      <c r="M863" s="107"/>
      <c r="N863" s="107"/>
      <c r="O863" s="107"/>
      <c r="P863" s="107"/>
      <c r="Q863" s="107"/>
      <c r="R863" s="107"/>
      <c r="S863" s="107"/>
      <c r="T863" s="107"/>
      <c r="U863" s="107"/>
      <c r="V863" s="107"/>
      <c r="W863" s="107"/>
    </row>
    <row r="864" spans="2:23">
      <c r="B864" s="107"/>
      <c r="C864" s="107"/>
      <c r="D864" s="107"/>
      <c r="E864" s="107"/>
      <c r="F864" s="107"/>
      <c r="G864" s="107"/>
      <c r="H864" s="107"/>
      <c r="I864" s="107"/>
      <c r="J864" s="107"/>
      <c r="K864" s="107"/>
      <c r="L864" s="107"/>
      <c r="M864" s="107"/>
      <c r="N864" s="107"/>
      <c r="O864" s="107"/>
      <c r="P864" s="107"/>
      <c r="Q864" s="107"/>
      <c r="R864" s="107"/>
      <c r="S864" s="107"/>
      <c r="T864" s="107"/>
      <c r="U864" s="107"/>
      <c r="V864" s="107"/>
      <c r="W864" s="107"/>
    </row>
    <row r="865" spans="2:23">
      <c r="B865" s="107"/>
      <c r="C865" s="107"/>
      <c r="D865" s="107"/>
      <c r="E865" s="107"/>
      <c r="F865" s="107"/>
      <c r="G865" s="107"/>
      <c r="H865" s="107"/>
      <c r="I865" s="107"/>
      <c r="J865" s="107"/>
      <c r="K865" s="107"/>
      <c r="L865" s="107"/>
      <c r="M865" s="107"/>
      <c r="N865" s="107"/>
      <c r="O865" s="107"/>
      <c r="P865" s="107"/>
      <c r="Q865" s="107"/>
      <c r="R865" s="107"/>
      <c r="S865" s="107"/>
      <c r="T865" s="107"/>
      <c r="U865" s="107"/>
      <c r="V865" s="107"/>
      <c r="W865" s="107"/>
    </row>
    <row r="866" spans="2:23">
      <c r="B866" s="107"/>
      <c r="C866" s="107"/>
      <c r="D866" s="107"/>
      <c r="E866" s="107"/>
      <c r="F866" s="107"/>
      <c r="G866" s="107"/>
      <c r="H866" s="107"/>
      <c r="I866" s="107"/>
      <c r="J866" s="107"/>
      <c r="K866" s="107"/>
      <c r="L866" s="107"/>
      <c r="M866" s="107"/>
      <c r="N866" s="107"/>
      <c r="O866" s="107"/>
      <c r="P866" s="107"/>
      <c r="Q866" s="107"/>
      <c r="R866" s="107"/>
      <c r="S866" s="107"/>
      <c r="T866" s="107"/>
      <c r="U866" s="107"/>
      <c r="V866" s="107"/>
      <c r="W866" s="107"/>
    </row>
    <row r="867" spans="2:23">
      <c r="B867" s="107"/>
      <c r="C867" s="107"/>
      <c r="D867" s="107"/>
      <c r="E867" s="107"/>
      <c r="F867" s="107"/>
      <c r="G867" s="107"/>
      <c r="H867" s="107"/>
      <c r="I867" s="107"/>
      <c r="J867" s="107"/>
      <c r="K867" s="107"/>
      <c r="L867" s="107"/>
      <c r="M867" s="107"/>
      <c r="N867" s="107"/>
      <c r="O867" s="107"/>
      <c r="P867" s="107"/>
      <c r="Q867" s="107"/>
      <c r="R867" s="107"/>
      <c r="S867" s="107"/>
      <c r="T867" s="107"/>
      <c r="U867" s="107"/>
      <c r="V867" s="107"/>
      <c r="W867" s="107"/>
    </row>
    <row r="868" spans="2:23">
      <c r="B868" s="107"/>
      <c r="C868" s="107"/>
      <c r="D868" s="107"/>
      <c r="E868" s="107"/>
      <c r="F868" s="107"/>
      <c r="G868" s="107"/>
      <c r="H868" s="107"/>
      <c r="I868" s="107"/>
      <c r="J868" s="107"/>
      <c r="K868" s="107"/>
      <c r="L868" s="107"/>
      <c r="M868" s="107"/>
      <c r="N868" s="107"/>
      <c r="O868" s="107"/>
      <c r="P868" s="107"/>
      <c r="Q868" s="107"/>
      <c r="R868" s="107"/>
      <c r="S868" s="107"/>
      <c r="T868" s="107"/>
      <c r="U868" s="107"/>
      <c r="V868" s="107"/>
      <c r="W868" s="107"/>
    </row>
    <row r="869" spans="2:23">
      <c r="B869" s="107"/>
      <c r="C869" s="107"/>
      <c r="D869" s="107"/>
      <c r="E869" s="107"/>
      <c r="F869" s="107"/>
      <c r="G869" s="107"/>
      <c r="H869" s="107"/>
      <c r="I869" s="107"/>
      <c r="J869" s="107"/>
      <c r="K869" s="107"/>
      <c r="L869" s="107"/>
      <c r="M869" s="107"/>
      <c r="N869" s="107"/>
      <c r="O869" s="107"/>
      <c r="P869" s="107"/>
      <c r="Q869" s="107"/>
      <c r="R869" s="107"/>
      <c r="S869" s="107"/>
      <c r="T869" s="107"/>
      <c r="U869" s="107"/>
      <c r="V869" s="107"/>
      <c r="W869" s="107"/>
    </row>
    <row r="870" spans="2:23">
      <c r="B870" s="107"/>
      <c r="C870" s="107"/>
      <c r="D870" s="107"/>
      <c r="E870" s="107"/>
      <c r="F870" s="107"/>
      <c r="G870" s="107"/>
      <c r="H870" s="107"/>
      <c r="I870" s="107"/>
      <c r="J870" s="107"/>
      <c r="K870" s="107"/>
      <c r="L870" s="107"/>
      <c r="M870" s="107"/>
      <c r="N870" s="107"/>
      <c r="O870" s="107"/>
      <c r="P870" s="107"/>
      <c r="Q870" s="107"/>
      <c r="R870" s="107"/>
      <c r="S870" s="107"/>
      <c r="T870" s="107"/>
      <c r="U870" s="107"/>
      <c r="V870" s="107"/>
      <c r="W870" s="107"/>
    </row>
    <row r="871" spans="2:23">
      <c r="B871" s="107"/>
      <c r="C871" s="107"/>
      <c r="D871" s="107"/>
      <c r="E871" s="107"/>
      <c r="F871" s="107"/>
      <c r="G871" s="107"/>
      <c r="H871" s="107"/>
      <c r="I871" s="107"/>
      <c r="J871" s="107"/>
      <c r="K871" s="107"/>
      <c r="L871" s="107"/>
      <c r="M871" s="107"/>
      <c r="N871" s="107"/>
      <c r="O871" s="107"/>
      <c r="P871" s="107"/>
      <c r="Q871" s="107"/>
      <c r="R871" s="107"/>
      <c r="S871" s="107"/>
      <c r="T871" s="107"/>
      <c r="U871" s="107"/>
      <c r="V871" s="107"/>
      <c r="W871" s="107"/>
    </row>
    <row r="872" spans="2:23">
      <c r="B872" s="107"/>
      <c r="C872" s="107"/>
      <c r="D872" s="107"/>
      <c r="E872" s="107"/>
      <c r="F872" s="107"/>
      <c r="G872" s="107"/>
      <c r="H872" s="107"/>
      <c r="I872" s="107"/>
      <c r="J872" s="107"/>
      <c r="K872" s="107"/>
      <c r="L872" s="107"/>
      <c r="M872" s="107"/>
      <c r="N872" s="107"/>
      <c r="O872" s="107"/>
      <c r="P872" s="107"/>
      <c r="Q872" s="107"/>
      <c r="R872" s="107"/>
      <c r="S872" s="107"/>
      <c r="T872" s="107"/>
      <c r="U872" s="107"/>
      <c r="V872" s="107"/>
      <c r="W872" s="107"/>
    </row>
    <row r="873" spans="2:23">
      <c r="B873" s="107"/>
      <c r="C873" s="107"/>
      <c r="D873" s="107"/>
      <c r="E873" s="107"/>
      <c r="F873" s="107"/>
      <c r="G873" s="107"/>
      <c r="H873" s="107"/>
      <c r="I873" s="107"/>
      <c r="J873" s="107"/>
      <c r="K873" s="107"/>
      <c r="L873" s="107"/>
      <c r="M873" s="107"/>
      <c r="N873" s="107"/>
      <c r="O873" s="107"/>
      <c r="P873" s="107"/>
      <c r="Q873" s="107"/>
      <c r="R873" s="107"/>
      <c r="S873" s="107"/>
      <c r="T873" s="107"/>
      <c r="U873" s="107"/>
      <c r="V873" s="107"/>
      <c r="W873" s="107"/>
    </row>
    <row r="874" spans="2:23">
      <c r="B874" s="107"/>
      <c r="C874" s="107"/>
      <c r="D874" s="107"/>
      <c r="E874" s="107"/>
      <c r="F874" s="107"/>
      <c r="G874" s="107"/>
      <c r="H874" s="107"/>
      <c r="I874" s="107"/>
      <c r="J874" s="107"/>
      <c r="K874" s="107"/>
      <c r="L874" s="107"/>
      <c r="M874" s="107"/>
      <c r="N874" s="107"/>
      <c r="O874" s="107"/>
      <c r="P874" s="107"/>
      <c r="Q874" s="107"/>
      <c r="R874" s="107"/>
      <c r="S874" s="107"/>
      <c r="T874" s="107"/>
      <c r="U874" s="107"/>
      <c r="V874" s="107"/>
      <c r="W874" s="107"/>
    </row>
    <row r="875" spans="2:23">
      <c r="B875" s="107"/>
      <c r="C875" s="107"/>
      <c r="D875" s="107"/>
      <c r="E875" s="107"/>
      <c r="F875" s="107"/>
      <c r="G875" s="107"/>
      <c r="H875" s="107"/>
      <c r="I875" s="107"/>
      <c r="J875" s="107"/>
      <c r="K875" s="107"/>
      <c r="L875" s="107"/>
      <c r="M875" s="107"/>
      <c r="N875" s="107"/>
      <c r="O875" s="107"/>
      <c r="P875" s="107"/>
      <c r="Q875" s="107"/>
      <c r="R875" s="107"/>
      <c r="S875" s="107"/>
      <c r="T875" s="107"/>
      <c r="U875" s="107"/>
      <c r="V875" s="107"/>
      <c r="W875" s="107"/>
    </row>
    <row r="876" spans="2:23">
      <c r="B876" s="107"/>
      <c r="C876" s="107"/>
      <c r="D876" s="107"/>
      <c r="E876" s="107"/>
      <c r="F876" s="107"/>
      <c r="G876" s="107"/>
      <c r="H876" s="107"/>
      <c r="I876" s="107"/>
      <c r="J876" s="107"/>
      <c r="K876" s="107"/>
      <c r="L876" s="107"/>
      <c r="M876" s="107"/>
      <c r="N876" s="107"/>
      <c r="O876" s="107"/>
      <c r="P876" s="107"/>
      <c r="Q876" s="107"/>
      <c r="R876" s="107"/>
      <c r="S876" s="107"/>
      <c r="T876" s="107"/>
      <c r="U876" s="107"/>
      <c r="V876" s="107"/>
      <c r="W876" s="107"/>
    </row>
    <row r="877" spans="2:23">
      <c r="B877" s="107"/>
      <c r="C877" s="107"/>
      <c r="D877" s="107"/>
      <c r="E877" s="107"/>
      <c r="F877" s="107"/>
      <c r="G877" s="107"/>
      <c r="H877" s="107"/>
      <c r="I877" s="107"/>
      <c r="J877" s="107"/>
      <c r="K877" s="107"/>
      <c r="L877" s="107"/>
      <c r="M877" s="107"/>
      <c r="N877" s="107"/>
      <c r="O877" s="107"/>
      <c r="P877" s="107"/>
      <c r="Q877" s="107"/>
      <c r="R877" s="107"/>
      <c r="S877" s="107"/>
      <c r="T877" s="107"/>
      <c r="U877" s="107"/>
      <c r="V877" s="107"/>
      <c r="W877" s="107"/>
    </row>
    <row r="878" spans="2:23">
      <c r="B878" s="107"/>
      <c r="C878" s="107"/>
      <c r="D878" s="107"/>
      <c r="E878" s="107"/>
      <c r="F878" s="107"/>
      <c r="G878" s="107"/>
      <c r="H878" s="107"/>
      <c r="I878" s="107"/>
      <c r="J878" s="107"/>
      <c r="K878" s="107"/>
      <c r="L878" s="107"/>
      <c r="M878" s="107"/>
      <c r="N878" s="107"/>
      <c r="O878" s="107"/>
      <c r="P878" s="107"/>
      <c r="Q878" s="107"/>
      <c r="R878" s="107"/>
      <c r="S878" s="107"/>
      <c r="T878" s="107"/>
      <c r="U878" s="107"/>
      <c r="V878" s="107"/>
      <c r="W878" s="107"/>
    </row>
    <row r="879" spans="2:23">
      <c r="B879" s="107"/>
      <c r="C879" s="107"/>
      <c r="D879" s="107"/>
      <c r="E879" s="107"/>
      <c r="F879" s="107"/>
      <c r="G879" s="107"/>
      <c r="H879" s="107"/>
      <c r="I879" s="107"/>
      <c r="J879" s="107"/>
      <c r="K879" s="107"/>
      <c r="L879" s="107"/>
      <c r="M879" s="107"/>
      <c r="N879" s="107"/>
      <c r="O879" s="107"/>
      <c r="P879" s="107"/>
      <c r="Q879" s="107"/>
      <c r="R879" s="107"/>
      <c r="S879" s="107"/>
      <c r="T879" s="107"/>
      <c r="U879" s="107"/>
      <c r="V879" s="107"/>
      <c r="W879" s="107"/>
    </row>
    <row r="880" spans="2:23">
      <c r="B880" s="107"/>
      <c r="C880" s="107"/>
      <c r="D880" s="107"/>
      <c r="E880" s="107"/>
      <c r="F880" s="107"/>
      <c r="G880" s="107"/>
      <c r="H880" s="107"/>
      <c r="I880" s="107"/>
      <c r="J880" s="107"/>
      <c r="K880" s="107"/>
      <c r="L880" s="107"/>
      <c r="M880" s="107"/>
      <c r="N880" s="107"/>
      <c r="O880" s="107"/>
      <c r="P880" s="107"/>
      <c r="Q880" s="107"/>
      <c r="R880" s="107"/>
      <c r="S880" s="107"/>
      <c r="T880" s="107"/>
      <c r="U880" s="107"/>
      <c r="V880" s="107"/>
      <c r="W880" s="107"/>
    </row>
    <row r="881" spans="2:23">
      <c r="B881" s="107"/>
      <c r="C881" s="107"/>
      <c r="D881" s="107"/>
      <c r="E881" s="107"/>
      <c r="F881" s="107"/>
      <c r="G881" s="107"/>
      <c r="H881" s="107"/>
      <c r="I881" s="107"/>
      <c r="J881" s="107"/>
      <c r="K881" s="107"/>
      <c r="L881" s="107"/>
      <c r="M881" s="107"/>
      <c r="N881" s="107"/>
      <c r="O881" s="107"/>
      <c r="P881" s="107"/>
      <c r="Q881" s="107"/>
      <c r="R881" s="107"/>
      <c r="S881" s="107"/>
      <c r="T881" s="107"/>
      <c r="U881" s="107"/>
      <c r="V881" s="107"/>
      <c r="W881" s="107"/>
    </row>
    <row r="882" spans="2:23">
      <c r="B882" s="107"/>
      <c r="C882" s="107"/>
      <c r="D882" s="107"/>
      <c r="E882" s="107"/>
      <c r="F882" s="107"/>
      <c r="G882" s="107"/>
      <c r="H882" s="107"/>
      <c r="I882" s="107"/>
      <c r="J882" s="107"/>
      <c r="K882" s="107"/>
      <c r="L882" s="107"/>
      <c r="M882" s="107"/>
      <c r="N882" s="107"/>
      <c r="O882" s="107"/>
      <c r="P882" s="107"/>
      <c r="Q882" s="107"/>
      <c r="R882" s="107"/>
      <c r="S882" s="107"/>
      <c r="T882" s="107"/>
      <c r="U882" s="107"/>
      <c r="V882" s="107"/>
      <c r="W882" s="107"/>
    </row>
    <row r="883" spans="2:23">
      <c r="B883" s="107"/>
      <c r="C883" s="107"/>
      <c r="D883" s="107"/>
      <c r="E883" s="107"/>
      <c r="F883" s="107"/>
      <c r="G883" s="107"/>
      <c r="H883" s="107"/>
      <c r="I883" s="107"/>
      <c r="J883" s="107"/>
      <c r="K883" s="107"/>
      <c r="L883" s="107"/>
      <c r="M883" s="107"/>
      <c r="N883" s="107"/>
      <c r="O883" s="107"/>
      <c r="P883" s="107"/>
      <c r="Q883" s="107"/>
      <c r="R883" s="107"/>
      <c r="S883" s="107"/>
      <c r="T883" s="107"/>
      <c r="U883" s="107"/>
      <c r="V883" s="107"/>
      <c r="W883" s="107"/>
    </row>
    <row r="884" spans="2:23">
      <c r="B884" s="107"/>
      <c r="C884" s="107"/>
      <c r="D884" s="107"/>
      <c r="E884" s="107"/>
      <c r="F884" s="107"/>
      <c r="G884" s="107"/>
      <c r="H884" s="107"/>
      <c r="I884" s="107"/>
      <c r="J884" s="107"/>
      <c r="K884" s="107"/>
      <c r="L884" s="107"/>
      <c r="M884" s="107"/>
      <c r="N884" s="107"/>
      <c r="O884" s="107"/>
      <c r="P884" s="107"/>
      <c r="Q884" s="107"/>
      <c r="R884" s="107"/>
      <c r="S884" s="107"/>
      <c r="T884" s="107"/>
      <c r="U884" s="107"/>
      <c r="V884" s="107"/>
      <c r="W884" s="107"/>
    </row>
    <row r="885" spans="2:23">
      <c r="B885" s="107"/>
      <c r="C885" s="107"/>
      <c r="D885" s="107"/>
      <c r="E885" s="107"/>
      <c r="F885" s="107"/>
      <c r="G885" s="107"/>
      <c r="H885" s="107"/>
      <c r="I885" s="107"/>
      <c r="J885" s="107"/>
      <c r="K885" s="107"/>
      <c r="L885" s="107"/>
      <c r="M885" s="107"/>
      <c r="N885" s="107"/>
      <c r="O885" s="107"/>
      <c r="P885" s="107"/>
      <c r="Q885" s="107"/>
      <c r="R885" s="107"/>
      <c r="S885" s="107"/>
      <c r="T885" s="107"/>
      <c r="U885" s="107"/>
      <c r="V885" s="107"/>
      <c r="W885" s="107"/>
    </row>
    <row r="886" spans="2:23">
      <c r="B886" s="107"/>
      <c r="C886" s="107"/>
      <c r="D886" s="107"/>
      <c r="E886" s="107"/>
      <c r="F886" s="107"/>
      <c r="G886" s="107"/>
      <c r="H886" s="107"/>
      <c r="I886" s="107"/>
      <c r="J886" s="107"/>
      <c r="K886" s="107"/>
      <c r="L886" s="107"/>
      <c r="M886" s="107"/>
      <c r="N886" s="107"/>
      <c r="O886" s="107"/>
      <c r="P886" s="107"/>
      <c r="Q886" s="107"/>
      <c r="R886" s="107"/>
      <c r="S886" s="107"/>
      <c r="T886" s="107"/>
      <c r="U886" s="107"/>
      <c r="V886" s="107"/>
      <c r="W886" s="107"/>
    </row>
    <row r="887" spans="2:23">
      <c r="B887" s="107"/>
      <c r="C887" s="107"/>
      <c r="D887" s="107"/>
      <c r="E887" s="107"/>
      <c r="F887" s="107"/>
      <c r="G887" s="107"/>
      <c r="H887" s="107"/>
      <c r="I887" s="107"/>
      <c r="J887" s="107"/>
      <c r="K887" s="107"/>
      <c r="L887" s="107"/>
      <c r="M887" s="107"/>
      <c r="N887" s="107"/>
      <c r="O887" s="107"/>
      <c r="P887" s="107"/>
      <c r="Q887" s="107"/>
      <c r="R887" s="107"/>
      <c r="S887" s="107"/>
      <c r="T887" s="107"/>
      <c r="U887" s="107"/>
      <c r="V887" s="107"/>
      <c r="W887" s="107"/>
    </row>
    <row r="888" spans="2:23">
      <c r="B888" s="107"/>
      <c r="C888" s="107"/>
      <c r="D888" s="107"/>
      <c r="E888" s="107"/>
      <c r="F888" s="107"/>
      <c r="G888" s="107"/>
      <c r="H888" s="107"/>
      <c r="I888" s="107"/>
      <c r="J888" s="107"/>
      <c r="K888" s="107"/>
      <c r="L888" s="107"/>
      <c r="M888" s="107"/>
      <c r="N888" s="107"/>
      <c r="O888" s="107"/>
      <c r="P888" s="107"/>
      <c r="Q888" s="107"/>
      <c r="R888" s="107"/>
      <c r="S888" s="107"/>
      <c r="T888" s="107"/>
      <c r="U888" s="107"/>
      <c r="V888" s="107"/>
      <c r="W888" s="107"/>
    </row>
    <row r="889" spans="2:23">
      <c r="B889" s="107"/>
      <c r="C889" s="107"/>
      <c r="D889" s="107"/>
      <c r="E889" s="107"/>
      <c r="F889" s="107"/>
      <c r="G889" s="107"/>
      <c r="H889" s="107"/>
      <c r="I889" s="107"/>
      <c r="J889" s="107"/>
      <c r="K889" s="107"/>
      <c r="L889" s="107"/>
      <c r="M889" s="107"/>
      <c r="N889" s="107"/>
      <c r="O889" s="107"/>
      <c r="P889" s="107"/>
      <c r="Q889" s="107"/>
      <c r="R889" s="107"/>
      <c r="S889" s="107"/>
      <c r="T889" s="107"/>
      <c r="U889" s="107"/>
      <c r="V889" s="107"/>
      <c r="W889" s="107"/>
    </row>
    <row r="890" spans="2:23">
      <c r="B890" s="107"/>
      <c r="C890" s="107"/>
      <c r="D890" s="107"/>
      <c r="E890" s="107"/>
      <c r="F890" s="107"/>
      <c r="G890" s="107"/>
      <c r="H890" s="107"/>
      <c r="I890" s="107"/>
      <c r="J890" s="107"/>
      <c r="K890" s="107"/>
      <c r="L890" s="107"/>
      <c r="M890" s="107"/>
      <c r="N890" s="107"/>
      <c r="O890" s="107"/>
      <c r="P890" s="107"/>
      <c r="Q890" s="107"/>
      <c r="R890" s="107"/>
      <c r="S890" s="107"/>
      <c r="T890" s="107"/>
      <c r="U890" s="107"/>
      <c r="V890" s="107"/>
      <c r="W890" s="107"/>
    </row>
    <row r="891" spans="2:23">
      <c r="B891" s="107"/>
      <c r="C891" s="107"/>
      <c r="D891" s="107"/>
      <c r="E891" s="107"/>
      <c r="F891" s="107"/>
      <c r="G891" s="107"/>
      <c r="H891" s="107"/>
      <c r="I891" s="107"/>
      <c r="J891" s="107"/>
      <c r="K891" s="107"/>
      <c r="L891" s="107"/>
      <c r="M891" s="107"/>
      <c r="N891" s="107"/>
      <c r="O891" s="107"/>
      <c r="P891" s="107"/>
      <c r="Q891" s="107"/>
      <c r="R891" s="107"/>
      <c r="S891" s="107"/>
      <c r="T891" s="107"/>
      <c r="U891" s="107"/>
      <c r="V891" s="107"/>
      <c r="W891" s="107"/>
    </row>
    <row r="892" spans="2:23">
      <c r="B892" s="107"/>
      <c r="C892" s="107"/>
      <c r="D892" s="107"/>
      <c r="E892" s="107"/>
      <c r="F892" s="107"/>
      <c r="G892" s="107"/>
      <c r="H892" s="107"/>
      <c r="I892" s="107"/>
      <c r="J892" s="107"/>
      <c r="K892" s="107"/>
      <c r="L892" s="107"/>
      <c r="M892" s="107"/>
      <c r="N892" s="107"/>
      <c r="O892" s="107"/>
      <c r="P892" s="107"/>
      <c r="Q892" s="107"/>
      <c r="R892" s="107"/>
      <c r="S892" s="107"/>
      <c r="T892" s="107"/>
      <c r="U892" s="107"/>
      <c r="V892" s="107"/>
      <c r="W892" s="107"/>
    </row>
    <row r="893" spans="2:23">
      <c r="B893" s="107"/>
      <c r="C893" s="107"/>
      <c r="D893" s="107"/>
      <c r="E893" s="107"/>
      <c r="F893" s="107"/>
      <c r="G893" s="107"/>
      <c r="H893" s="107"/>
      <c r="I893" s="107"/>
      <c r="J893" s="107"/>
      <c r="K893" s="107"/>
      <c r="L893" s="107"/>
      <c r="M893" s="107"/>
      <c r="N893" s="107"/>
      <c r="O893" s="107"/>
      <c r="P893" s="107"/>
      <c r="Q893" s="107"/>
      <c r="R893" s="107"/>
      <c r="S893" s="107"/>
      <c r="T893" s="107"/>
      <c r="U893" s="107"/>
      <c r="V893" s="107"/>
      <c r="W893" s="107"/>
    </row>
    <row r="894" spans="2:23">
      <c r="B894" s="107"/>
      <c r="C894" s="107"/>
      <c r="D894" s="107"/>
      <c r="E894" s="107"/>
      <c r="F894" s="107"/>
      <c r="G894" s="107"/>
      <c r="H894" s="107"/>
      <c r="I894" s="107"/>
      <c r="J894" s="107"/>
      <c r="K894" s="107"/>
      <c r="L894" s="107"/>
      <c r="M894" s="107"/>
      <c r="N894" s="107"/>
      <c r="O894" s="107"/>
      <c r="P894" s="107"/>
      <c r="Q894" s="107"/>
      <c r="R894" s="107"/>
      <c r="S894" s="107"/>
      <c r="T894" s="107"/>
      <c r="U894" s="107"/>
      <c r="V894" s="107"/>
      <c r="W894" s="107"/>
    </row>
    <row r="895" spans="2:23">
      <c r="B895" s="107"/>
      <c r="C895" s="107"/>
      <c r="D895" s="107"/>
      <c r="E895" s="107"/>
      <c r="F895" s="107"/>
      <c r="G895" s="107"/>
      <c r="H895" s="107"/>
      <c r="I895" s="107"/>
      <c r="J895" s="107"/>
      <c r="K895" s="107"/>
      <c r="L895" s="107"/>
      <c r="M895" s="107"/>
      <c r="N895" s="107"/>
      <c r="O895" s="107"/>
      <c r="P895" s="107"/>
      <c r="Q895" s="107"/>
      <c r="R895" s="107"/>
      <c r="S895" s="107"/>
      <c r="T895" s="107"/>
      <c r="U895" s="107"/>
      <c r="V895" s="107"/>
      <c r="W895" s="107"/>
    </row>
    <row r="896" spans="2:23">
      <c r="B896" s="107"/>
      <c r="C896" s="107"/>
      <c r="D896" s="107"/>
      <c r="E896" s="107"/>
      <c r="F896" s="107"/>
      <c r="G896" s="107"/>
      <c r="H896" s="107"/>
      <c r="I896" s="107"/>
      <c r="J896" s="107"/>
      <c r="K896" s="107"/>
      <c r="L896" s="107"/>
      <c r="M896" s="107"/>
      <c r="N896" s="107"/>
      <c r="O896" s="107"/>
      <c r="P896" s="107"/>
      <c r="Q896" s="107"/>
      <c r="R896" s="107"/>
      <c r="S896" s="107"/>
      <c r="T896" s="107"/>
      <c r="U896" s="107"/>
      <c r="V896" s="107"/>
      <c r="W896" s="107"/>
    </row>
    <row r="897" spans="2:23">
      <c r="B897" s="107"/>
      <c r="C897" s="107"/>
      <c r="D897" s="107"/>
      <c r="E897" s="107"/>
      <c r="F897" s="107"/>
      <c r="G897" s="107"/>
      <c r="H897" s="107"/>
      <c r="I897" s="107"/>
      <c r="J897" s="107"/>
      <c r="K897" s="107"/>
      <c r="L897" s="107"/>
      <c r="M897" s="107"/>
      <c r="N897" s="107"/>
      <c r="O897" s="107"/>
      <c r="P897" s="107"/>
      <c r="Q897" s="107"/>
      <c r="R897" s="107"/>
      <c r="S897" s="107"/>
      <c r="T897" s="107"/>
      <c r="U897" s="107"/>
      <c r="V897" s="107"/>
      <c r="W897" s="107"/>
    </row>
    <row r="898" spans="2:23">
      <c r="B898" s="107"/>
      <c r="C898" s="107"/>
      <c r="D898" s="107"/>
      <c r="E898" s="107"/>
      <c r="F898" s="107"/>
      <c r="G898" s="107"/>
      <c r="H898" s="107"/>
      <c r="I898" s="107"/>
      <c r="J898" s="107"/>
      <c r="K898" s="107"/>
      <c r="L898" s="107"/>
      <c r="M898" s="107"/>
      <c r="N898" s="107"/>
      <c r="O898" s="107"/>
      <c r="P898" s="107"/>
      <c r="Q898" s="107"/>
      <c r="R898" s="107"/>
      <c r="S898" s="107"/>
      <c r="T898" s="107"/>
      <c r="U898" s="107"/>
      <c r="V898" s="107"/>
      <c r="W898" s="107"/>
    </row>
    <row r="899" spans="2:23">
      <c r="B899" s="107"/>
      <c r="C899" s="107"/>
      <c r="D899" s="107"/>
      <c r="E899" s="107"/>
      <c r="F899" s="107"/>
      <c r="G899" s="107"/>
      <c r="H899" s="107"/>
      <c r="I899" s="107"/>
      <c r="J899" s="107"/>
      <c r="K899" s="107"/>
      <c r="L899" s="107"/>
      <c r="M899" s="107"/>
      <c r="N899" s="107"/>
      <c r="O899" s="107"/>
      <c r="P899" s="107"/>
      <c r="Q899" s="107"/>
      <c r="R899" s="107"/>
      <c r="S899" s="107"/>
      <c r="T899" s="107"/>
      <c r="U899" s="107"/>
      <c r="V899" s="107"/>
      <c r="W899" s="107"/>
    </row>
    <row r="900" spans="2:23">
      <c r="B900" s="107"/>
      <c r="C900" s="107"/>
      <c r="D900" s="107"/>
      <c r="E900" s="107"/>
      <c r="F900" s="107"/>
      <c r="G900" s="107"/>
      <c r="H900" s="107"/>
      <c r="I900" s="107"/>
      <c r="J900" s="107"/>
      <c r="K900" s="107"/>
      <c r="L900" s="107"/>
      <c r="M900" s="107"/>
      <c r="N900" s="107"/>
      <c r="O900" s="107"/>
      <c r="P900" s="107"/>
      <c r="Q900" s="107"/>
      <c r="R900" s="107"/>
      <c r="S900" s="107"/>
      <c r="T900" s="107"/>
      <c r="U900" s="107"/>
      <c r="V900" s="107"/>
      <c r="W900" s="107"/>
    </row>
    <row r="901" spans="2:23">
      <c r="B901" s="107"/>
      <c r="C901" s="107"/>
      <c r="D901" s="107"/>
      <c r="E901" s="107"/>
      <c r="F901" s="107"/>
      <c r="G901" s="107"/>
      <c r="H901" s="107"/>
      <c r="I901" s="107"/>
      <c r="J901" s="107"/>
      <c r="K901" s="107"/>
      <c r="L901" s="107"/>
      <c r="M901" s="107"/>
      <c r="N901" s="107"/>
      <c r="O901" s="107"/>
      <c r="P901" s="107"/>
      <c r="Q901" s="107"/>
      <c r="R901" s="107"/>
      <c r="S901" s="107"/>
      <c r="T901" s="107"/>
      <c r="U901" s="107"/>
      <c r="V901" s="107"/>
      <c r="W901" s="107"/>
    </row>
    <row r="902" spans="2:23">
      <c r="B902" s="107"/>
      <c r="C902" s="107"/>
      <c r="D902" s="107"/>
      <c r="E902" s="107"/>
      <c r="F902" s="107"/>
      <c r="G902" s="107"/>
      <c r="H902" s="107"/>
      <c r="I902" s="107"/>
      <c r="J902" s="107"/>
      <c r="K902" s="107"/>
      <c r="L902" s="107"/>
      <c r="M902" s="107"/>
      <c r="N902" s="107"/>
      <c r="O902" s="107"/>
      <c r="P902" s="107"/>
      <c r="Q902" s="107"/>
      <c r="R902" s="107"/>
      <c r="S902" s="107"/>
      <c r="T902" s="107"/>
      <c r="U902" s="107"/>
      <c r="V902" s="107"/>
      <c r="W902" s="107"/>
    </row>
    <row r="903" spans="2:23">
      <c r="B903" s="107"/>
      <c r="C903" s="107"/>
      <c r="D903" s="107"/>
      <c r="E903" s="107"/>
      <c r="F903" s="107"/>
      <c r="G903" s="107"/>
      <c r="H903" s="107"/>
      <c r="I903" s="107"/>
      <c r="J903" s="107"/>
      <c r="K903" s="107"/>
      <c r="L903" s="107"/>
      <c r="M903" s="107"/>
      <c r="N903" s="107"/>
      <c r="O903" s="107"/>
      <c r="P903" s="107"/>
      <c r="Q903" s="107"/>
      <c r="R903" s="107"/>
      <c r="S903" s="107"/>
      <c r="T903" s="107"/>
      <c r="U903" s="107"/>
      <c r="V903" s="107"/>
      <c r="W903" s="107"/>
    </row>
    <row r="904" spans="2:23">
      <c r="B904" s="107"/>
      <c r="C904" s="107"/>
      <c r="D904" s="107"/>
      <c r="E904" s="107"/>
      <c r="F904" s="107"/>
      <c r="G904" s="107"/>
      <c r="H904" s="107"/>
      <c r="I904" s="107"/>
      <c r="J904" s="107"/>
      <c r="K904" s="107"/>
      <c r="L904" s="107"/>
      <c r="M904" s="107"/>
      <c r="N904" s="107"/>
      <c r="O904" s="107"/>
      <c r="P904" s="107"/>
      <c r="Q904" s="107"/>
      <c r="R904" s="107"/>
      <c r="S904" s="107"/>
      <c r="T904" s="107"/>
      <c r="U904" s="107"/>
      <c r="V904" s="107"/>
      <c r="W904" s="107"/>
    </row>
    <row r="905" spans="2:23">
      <c r="B905" s="107"/>
      <c r="C905" s="107"/>
      <c r="D905" s="107"/>
      <c r="E905" s="107"/>
      <c r="F905" s="107"/>
      <c r="G905" s="107"/>
      <c r="H905" s="107"/>
      <c r="I905" s="107"/>
      <c r="J905" s="107"/>
      <c r="K905" s="107"/>
      <c r="L905" s="107"/>
      <c r="M905" s="107"/>
      <c r="N905" s="107"/>
      <c r="O905" s="107"/>
      <c r="P905" s="107"/>
      <c r="Q905" s="107"/>
      <c r="R905" s="107"/>
      <c r="S905" s="107"/>
      <c r="T905" s="107"/>
      <c r="U905" s="107"/>
      <c r="V905" s="107"/>
      <c r="W905" s="107"/>
    </row>
    <row r="906" spans="2:23">
      <c r="B906" s="107"/>
      <c r="C906" s="107"/>
      <c r="D906" s="107"/>
      <c r="E906" s="107"/>
      <c r="F906" s="107"/>
      <c r="G906" s="107"/>
      <c r="H906" s="107"/>
      <c r="I906" s="107"/>
      <c r="J906" s="107"/>
      <c r="K906" s="107"/>
      <c r="L906" s="107"/>
      <c r="M906" s="107"/>
      <c r="N906" s="107"/>
      <c r="O906" s="107"/>
      <c r="P906" s="107"/>
      <c r="Q906" s="107"/>
      <c r="R906" s="107"/>
      <c r="S906" s="107"/>
      <c r="T906" s="107"/>
      <c r="U906" s="107"/>
      <c r="V906" s="107"/>
      <c r="W906" s="107"/>
    </row>
    <row r="907" spans="2:23">
      <c r="B907" s="107"/>
      <c r="C907" s="107"/>
      <c r="D907" s="107"/>
      <c r="E907" s="107"/>
      <c r="F907" s="107"/>
      <c r="G907" s="107"/>
      <c r="H907" s="107"/>
      <c r="I907" s="107"/>
      <c r="J907" s="107"/>
      <c r="K907" s="107"/>
      <c r="L907" s="107"/>
      <c r="M907" s="107"/>
      <c r="N907" s="107"/>
      <c r="O907" s="107"/>
      <c r="P907" s="107"/>
      <c r="Q907" s="107"/>
      <c r="R907" s="107"/>
      <c r="S907" s="107"/>
      <c r="T907" s="107"/>
      <c r="U907" s="107"/>
      <c r="V907" s="107"/>
      <c r="W907" s="107"/>
    </row>
    <row r="908" spans="2:23">
      <c r="B908" s="107"/>
      <c r="C908" s="107"/>
      <c r="D908" s="107"/>
      <c r="E908" s="107"/>
      <c r="F908" s="107"/>
      <c r="G908" s="107"/>
      <c r="H908" s="107"/>
      <c r="I908" s="107"/>
      <c r="J908" s="107"/>
      <c r="K908" s="107"/>
      <c r="L908" s="107"/>
      <c r="M908" s="107"/>
      <c r="N908" s="107"/>
      <c r="O908" s="107"/>
      <c r="P908" s="107"/>
      <c r="Q908" s="107"/>
      <c r="R908" s="107"/>
      <c r="S908" s="107"/>
      <c r="T908" s="107"/>
      <c r="U908" s="107"/>
      <c r="V908" s="107"/>
      <c r="W908" s="107"/>
    </row>
    <row r="909" spans="2:23">
      <c r="B909" s="107"/>
      <c r="C909" s="107"/>
      <c r="D909" s="107"/>
      <c r="E909" s="107"/>
      <c r="F909" s="107"/>
      <c r="G909" s="107"/>
      <c r="H909" s="107"/>
      <c r="I909" s="107"/>
      <c r="J909" s="107"/>
      <c r="K909" s="107"/>
      <c r="L909" s="107"/>
      <c r="M909" s="107"/>
      <c r="N909" s="107"/>
      <c r="O909" s="107"/>
      <c r="P909" s="107"/>
      <c r="Q909" s="107"/>
      <c r="R909" s="107"/>
      <c r="S909" s="107"/>
      <c r="T909" s="107"/>
      <c r="U909" s="107"/>
      <c r="V909" s="107"/>
      <c r="W909" s="107"/>
    </row>
    <row r="910" spans="2:23">
      <c r="B910" s="107"/>
      <c r="C910" s="107"/>
      <c r="D910" s="107"/>
      <c r="E910" s="107"/>
      <c r="F910" s="107"/>
      <c r="G910" s="107"/>
      <c r="H910" s="107"/>
      <c r="I910" s="107"/>
      <c r="J910" s="107"/>
      <c r="K910" s="107"/>
      <c r="L910" s="107"/>
      <c r="M910" s="107"/>
      <c r="N910" s="107"/>
      <c r="O910" s="107"/>
      <c r="P910" s="107"/>
      <c r="Q910" s="107"/>
      <c r="R910" s="107"/>
      <c r="S910" s="107"/>
      <c r="T910" s="107"/>
      <c r="U910" s="107"/>
      <c r="V910" s="107"/>
      <c r="W910" s="107"/>
    </row>
    <row r="911" spans="2:23">
      <c r="B911" s="107"/>
      <c r="C911" s="107"/>
      <c r="D911" s="107"/>
      <c r="E911" s="107"/>
      <c r="F911" s="107"/>
      <c r="G911" s="107"/>
      <c r="H911" s="107"/>
      <c r="I911" s="107"/>
      <c r="J911" s="107"/>
      <c r="K911" s="107"/>
      <c r="L911" s="107"/>
      <c r="M911" s="107"/>
      <c r="N911" s="107"/>
      <c r="O911" s="107"/>
      <c r="P911" s="107"/>
      <c r="Q911" s="107"/>
      <c r="R911" s="107"/>
      <c r="S911" s="107"/>
      <c r="T911" s="107"/>
      <c r="U911" s="107"/>
      <c r="V911" s="107"/>
      <c r="W911" s="107"/>
    </row>
    <row r="912" spans="2:23">
      <c r="B912" s="107"/>
      <c r="C912" s="107"/>
      <c r="D912" s="107"/>
      <c r="E912" s="107"/>
      <c r="F912" s="107"/>
      <c r="G912" s="107"/>
      <c r="H912" s="107"/>
      <c r="I912" s="107"/>
      <c r="J912" s="107"/>
      <c r="K912" s="107"/>
      <c r="L912" s="107"/>
      <c r="M912" s="107"/>
      <c r="N912" s="107"/>
      <c r="O912" s="107"/>
      <c r="P912" s="107"/>
      <c r="Q912" s="107"/>
      <c r="R912" s="107"/>
      <c r="S912" s="107"/>
      <c r="T912" s="107"/>
      <c r="U912" s="107"/>
      <c r="V912" s="107"/>
      <c r="W912" s="107"/>
    </row>
    <row r="913" spans="2:23">
      <c r="B913" s="107"/>
      <c r="C913" s="107"/>
      <c r="D913" s="107"/>
      <c r="E913" s="107"/>
      <c r="F913" s="107"/>
      <c r="G913" s="107"/>
      <c r="H913" s="107"/>
      <c r="I913" s="107"/>
      <c r="J913" s="107"/>
      <c r="K913" s="107"/>
      <c r="L913" s="107"/>
      <c r="M913" s="107"/>
      <c r="N913" s="107"/>
      <c r="O913" s="107"/>
      <c r="P913" s="107"/>
      <c r="Q913" s="107"/>
      <c r="R913" s="107"/>
      <c r="S913" s="107"/>
      <c r="T913" s="107"/>
      <c r="U913" s="107"/>
      <c r="V913" s="107"/>
      <c r="W913" s="107"/>
    </row>
    <row r="914" spans="2:23">
      <c r="B914" s="107"/>
      <c r="C914" s="107"/>
      <c r="D914" s="107"/>
      <c r="E914" s="107"/>
      <c r="F914" s="107"/>
      <c r="G914" s="107"/>
      <c r="H914" s="107"/>
      <c r="I914" s="107"/>
      <c r="J914" s="107"/>
      <c r="K914" s="107"/>
      <c r="L914" s="107"/>
      <c r="M914" s="107"/>
      <c r="N914" s="107"/>
      <c r="O914" s="107"/>
      <c r="P914" s="107"/>
      <c r="Q914" s="107"/>
      <c r="R914" s="107"/>
      <c r="S914" s="107"/>
      <c r="T914" s="107"/>
      <c r="U914" s="107"/>
      <c r="V914" s="107"/>
      <c r="W914" s="107"/>
    </row>
    <row r="915" spans="2:23">
      <c r="B915" s="107"/>
      <c r="C915" s="107"/>
      <c r="D915" s="107"/>
      <c r="E915" s="107"/>
      <c r="F915" s="107"/>
      <c r="G915" s="107"/>
      <c r="H915" s="107"/>
      <c r="I915" s="107"/>
      <c r="J915" s="107"/>
      <c r="K915" s="107"/>
      <c r="L915" s="107"/>
      <c r="M915" s="107"/>
      <c r="N915" s="107"/>
      <c r="O915" s="107"/>
      <c r="P915" s="107"/>
      <c r="Q915" s="107"/>
      <c r="R915" s="107"/>
      <c r="S915" s="107"/>
      <c r="T915" s="107"/>
      <c r="U915" s="107"/>
      <c r="V915" s="107"/>
      <c r="W915" s="107"/>
    </row>
    <row r="916" spans="2:23">
      <c r="B916" s="107"/>
      <c r="C916" s="107"/>
      <c r="D916" s="107"/>
      <c r="E916" s="107"/>
      <c r="F916" s="107"/>
      <c r="G916" s="107"/>
      <c r="H916" s="107"/>
      <c r="I916" s="107"/>
      <c r="J916" s="107"/>
      <c r="K916" s="107"/>
      <c r="L916" s="107"/>
      <c r="M916" s="107"/>
      <c r="N916" s="107"/>
      <c r="O916" s="107"/>
      <c r="P916" s="107"/>
      <c r="Q916" s="107"/>
      <c r="R916" s="107"/>
      <c r="S916" s="107"/>
      <c r="T916" s="107"/>
      <c r="U916" s="107"/>
      <c r="V916" s="107"/>
      <c r="W916" s="107"/>
    </row>
    <row r="917" spans="2:23">
      <c r="B917" s="107"/>
      <c r="C917" s="107"/>
      <c r="D917" s="107"/>
      <c r="E917" s="107"/>
      <c r="F917" s="107"/>
      <c r="G917" s="107"/>
      <c r="H917" s="107"/>
      <c r="I917" s="107"/>
      <c r="J917" s="107"/>
      <c r="K917" s="107"/>
      <c r="L917" s="107"/>
      <c r="M917" s="107"/>
      <c r="N917" s="107"/>
      <c r="O917" s="107"/>
      <c r="P917" s="107"/>
      <c r="Q917" s="107"/>
      <c r="R917" s="107"/>
      <c r="S917" s="107"/>
      <c r="T917" s="107"/>
      <c r="U917" s="107"/>
      <c r="V917" s="107"/>
      <c r="W917" s="107"/>
    </row>
    <row r="918" spans="2:23">
      <c r="B918" s="107"/>
      <c r="C918" s="107"/>
      <c r="D918" s="107"/>
      <c r="E918" s="107"/>
      <c r="F918" s="107"/>
      <c r="G918" s="107"/>
      <c r="H918" s="107"/>
      <c r="I918" s="107"/>
      <c r="J918" s="107"/>
      <c r="K918" s="107"/>
      <c r="L918" s="107"/>
      <c r="M918" s="107"/>
      <c r="N918" s="107"/>
      <c r="O918" s="107"/>
      <c r="P918" s="107"/>
      <c r="Q918" s="107"/>
      <c r="R918" s="107"/>
      <c r="S918" s="107"/>
      <c r="T918" s="107"/>
      <c r="U918" s="107"/>
      <c r="V918" s="107"/>
      <c r="W918" s="107"/>
    </row>
    <row r="919" spans="2:23">
      <c r="B919" s="107"/>
      <c r="C919" s="107"/>
      <c r="D919" s="107"/>
      <c r="E919" s="107"/>
      <c r="F919" s="107"/>
      <c r="G919" s="107"/>
      <c r="H919" s="107"/>
      <c r="I919" s="107"/>
      <c r="J919" s="107"/>
      <c r="K919" s="107"/>
      <c r="L919" s="107"/>
      <c r="M919" s="107"/>
      <c r="N919" s="107"/>
      <c r="O919" s="107"/>
      <c r="P919" s="107"/>
      <c r="Q919" s="107"/>
      <c r="R919" s="107"/>
      <c r="S919" s="107"/>
      <c r="T919" s="107"/>
      <c r="U919" s="107"/>
      <c r="V919" s="107"/>
      <c r="W919" s="107"/>
    </row>
    <row r="920" spans="2:23">
      <c r="B920" s="107"/>
      <c r="C920" s="107"/>
      <c r="D920" s="107"/>
      <c r="E920" s="107"/>
      <c r="F920" s="107"/>
      <c r="G920" s="107"/>
      <c r="H920" s="107"/>
      <c r="I920" s="107"/>
      <c r="J920" s="107"/>
      <c r="K920" s="107"/>
      <c r="L920" s="107"/>
      <c r="M920" s="107"/>
      <c r="N920" s="107"/>
      <c r="O920" s="107"/>
      <c r="P920" s="107"/>
      <c r="Q920" s="107"/>
      <c r="R920" s="107"/>
      <c r="S920" s="107"/>
      <c r="T920" s="107"/>
      <c r="U920" s="107"/>
      <c r="V920" s="107"/>
      <c r="W920" s="107"/>
    </row>
    <row r="921" spans="2:23">
      <c r="B921" s="107"/>
      <c r="C921" s="107"/>
      <c r="D921" s="107"/>
      <c r="E921" s="107"/>
      <c r="F921" s="107"/>
      <c r="G921" s="107"/>
      <c r="H921" s="107"/>
      <c r="I921" s="107"/>
      <c r="J921" s="107"/>
      <c r="K921" s="107"/>
      <c r="L921" s="107"/>
      <c r="M921" s="107"/>
      <c r="N921" s="107"/>
      <c r="O921" s="107"/>
      <c r="P921" s="107"/>
      <c r="Q921" s="107"/>
      <c r="R921" s="107"/>
      <c r="S921" s="107"/>
      <c r="T921" s="107"/>
      <c r="U921" s="107"/>
      <c r="V921" s="107"/>
      <c r="W921" s="107"/>
    </row>
    <row r="922" spans="2:23">
      <c r="B922" s="107"/>
      <c r="C922" s="107"/>
      <c r="D922" s="107"/>
      <c r="E922" s="107"/>
      <c r="F922" s="107"/>
      <c r="G922" s="107"/>
      <c r="H922" s="107"/>
      <c r="I922" s="107"/>
      <c r="J922" s="107"/>
      <c r="K922" s="107"/>
      <c r="L922" s="107"/>
      <c r="M922" s="107"/>
      <c r="N922" s="107"/>
      <c r="O922" s="107"/>
      <c r="P922" s="107"/>
      <c r="Q922" s="107"/>
      <c r="R922" s="107"/>
      <c r="S922" s="107"/>
      <c r="T922" s="107"/>
      <c r="U922" s="107"/>
      <c r="V922" s="107"/>
      <c r="W922" s="107"/>
    </row>
    <row r="923" spans="2:23">
      <c r="B923" s="107"/>
      <c r="C923" s="107"/>
      <c r="D923" s="107"/>
      <c r="E923" s="107"/>
      <c r="F923" s="107"/>
      <c r="G923" s="107"/>
      <c r="H923" s="107"/>
      <c r="I923" s="107"/>
      <c r="J923" s="107"/>
      <c r="K923" s="107"/>
      <c r="L923" s="107"/>
      <c r="M923" s="107"/>
      <c r="N923" s="107"/>
      <c r="O923" s="107"/>
      <c r="P923" s="107"/>
      <c r="Q923" s="107"/>
      <c r="R923" s="107"/>
      <c r="S923" s="107"/>
      <c r="T923" s="107"/>
      <c r="U923" s="107"/>
      <c r="V923" s="107"/>
      <c r="W923" s="107"/>
    </row>
    <row r="924" spans="2:23">
      <c r="B924" s="107"/>
      <c r="C924" s="107"/>
      <c r="D924" s="107"/>
      <c r="E924" s="107"/>
      <c r="F924" s="107"/>
      <c r="G924" s="107"/>
      <c r="H924" s="107"/>
      <c r="I924" s="107"/>
      <c r="J924" s="107"/>
      <c r="K924" s="107"/>
      <c r="L924" s="107"/>
      <c r="M924" s="107"/>
      <c r="N924" s="107"/>
      <c r="O924" s="107"/>
      <c r="P924" s="107"/>
      <c r="Q924" s="107"/>
      <c r="R924" s="107"/>
      <c r="S924" s="107"/>
      <c r="T924" s="107"/>
      <c r="U924" s="107"/>
      <c r="V924" s="107"/>
      <c r="W924" s="107"/>
    </row>
    <row r="925" spans="2:23">
      <c r="B925" s="107"/>
      <c r="C925" s="107"/>
      <c r="D925" s="107"/>
      <c r="E925" s="107"/>
      <c r="F925" s="107"/>
      <c r="G925" s="107"/>
      <c r="H925" s="107"/>
      <c r="I925" s="107"/>
      <c r="J925" s="107"/>
      <c r="K925" s="107"/>
      <c r="L925" s="107"/>
      <c r="M925" s="107"/>
      <c r="N925" s="107"/>
      <c r="O925" s="107"/>
      <c r="P925" s="107"/>
      <c r="Q925" s="107"/>
      <c r="R925" s="107"/>
      <c r="S925" s="107"/>
      <c r="T925" s="107"/>
      <c r="U925" s="107"/>
      <c r="V925" s="107"/>
      <c r="W925" s="107"/>
    </row>
    <row r="926" spans="2:23">
      <c r="B926" s="107"/>
      <c r="C926" s="107"/>
      <c r="D926" s="107"/>
      <c r="E926" s="107"/>
      <c r="F926" s="107"/>
      <c r="G926" s="107"/>
      <c r="H926" s="107"/>
      <c r="I926" s="107"/>
      <c r="J926" s="107"/>
      <c r="K926" s="107"/>
      <c r="L926" s="107"/>
      <c r="M926" s="107"/>
      <c r="N926" s="107"/>
      <c r="O926" s="107"/>
      <c r="P926" s="107"/>
      <c r="Q926" s="107"/>
      <c r="R926" s="107"/>
      <c r="S926" s="107"/>
      <c r="T926" s="107"/>
      <c r="U926" s="107"/>
      <c r="V926" s="107"/>
      <c r="W926" s="107"/>
    </row>
    <row r="927" spans="2:23">
      <c r="B927" s="107"/>
      <c r="C927" s="107"/>
      <c r="D927" s="107"/>
      <c r="E927" s="107"/>
      <c r="F927" s="107"/>
      <c r="G927" s="107"/>
      <c r="H927" s="107"/>
      <c r="I927" s="107"/>
      <c r="J927" s="107"/>
      <c r="K927" s="107"/>
      <c r="L927" s="107"/>
      <c r="M927" s="107"/>
      <c r="N927" s="107"/>
      <c r="O927" s="107"/>
      <c r="P927" s="107"/>
      <c r="Q927" s="107"/>
      <c r="R927" s="107"/>
      <c r="S927" s="107"/>
      <c r="T927" s="107"/>
      <c r="U927" s="107"/>
      <c r="V927" s="107"/>
      <c r="W927" s="107"/>
    </row>
    <row r="928" spans="2:23">
      <c r="B928" s="107"/>
      <c r="C928" s="107"/>
      <c r="D928" s="107"/>
      <c r="E928" s="107"/>
      <c r="F928" s="107"/>
      <c r="G928" s="107"/>
      <c r="H928" s="107"/>
      <c r="I928" s="107"/>
      <c r="J928" s="107"/>
      <c r="K928" s="107"/>
      <c r="L928" s="107"/>
      <c r="M928" s="107"/>
      <c r="N928" s="107"/>
      <c r="O928" s="107"/>
      <c r="P928" s="107"/>
      <c r="Q928" s="107"/>
      <c r="R928" s="107"/>
      <c r="S928" s="107"/>
      <c r="T928" s="107"/>
      <c r="U928" s="107"/>
      <c r="V928" s="107"/>
      <c r="W928" s="107"/>
    </row>
    <row r="929" spans="2:23">
      <c r="B929" s="107"/>
      <c r="C929" s="107"/>
      <c r="D929" s="107"/>
      <c r="E929" s="107"/>
      <c r="F929" s="107"/>
      <c r="G929" s="107"/>
      <c r="H929" s="107"/>
      <c r="I929" s="107"/>
      <c r="J929" s="107"/>
      <c r="K929" s="107"/>
      <c r="L929" s="107"/>
      <c r="M929" s="107"/>
      <c r="N929" s="107"/>
      <c r="O929" s="107"/>
      <c r="P929" s="107"/>
      <c r="Q929" s="107"/>
      <c r="R929" s="107"/>
      <c r="S929" s="107"/>
      <c r="T929" s="107"/>
      <c r="U929" s="107"/>
      <c r="V929" s="107"/>
      <c r="W929" s="107"/>
    </row>
    <row r="930" spans="2:23">
      <c r="B930" s="107"/>
      <c r="C930" s="107"/>
      <c r="D930" s="107"/>
      <c r="E930" s="107"/>
      <c r="F930" s="107"/>
      <c r="G930" s="107"/>
      <c r="H930" s="107"/>
      <c r="I930" s="107"/>
      <c r="J930" s="107"/>
      <c r="K930" s="107"/>
      <c r="L930" s="107"/>
      <c r="M930" s="107"/>
      <c r="N930" s="107"/>
      <c r="O930" s="107"/>
      <c r="P930" s="107"/>
      <c r="Q930" s="107"/>
      <c r="R930" s="107"/>
      <c r="S930" s="107"/>
      <c r="T930" s="107"/>
      <c r="U930" s="107"/>
      <c r="V930" s="107"/>
      <c r="W930" s="107"/>
    </row>
    <row r="931" spans="2:23">
      <c r="B931" s="107"/>
      <c r="C931" s="107"/>
      <c r="D931" s="107"/>
      <c r="E931" s="107"/>
      <c r="F931" s="107"/>
      <c r="G931" s="107"/>
      <c r="H931" s="107"/>
      <c r="I931" s="107"/>
      <c r="J931" s="107"/>
      <c r="K931" s="107"/>
      <c r="L931" s="107"/>
      <c r="M931" s="107"/>
      <c r="N931" s="107"/>
      <c r="O931" s="107"/>
      <c r="P931" s="107"/>
      <c r="Q931" s="107"/>
      <c r="R931" s="107"/>
      <c r="S931" s="107"/>
      <c r="T931" s="107"/>
      <c r="U931" s="107"/>
      <c r="V931" s="107"/>
      <c r="W931" s="107"/>
    </row>
    <row r="932" spans="2:23">
      <c r="B932" s="107"/>
      <c r="C932" s="107"/>
      <c r="D932" s="107"/>
      <c r="E932" s="107"/>
      <c r="F932" s="107"/>
      <c r="G932" s="107"/>
      <c r="H932" s="107"/>
      <c r="I932" s="107"/>
      <c r="J932" s="107"/>
      <c r="K932" s="107"/>
      <c r="L932" s="107"/>
      <c r="M932" s="107"/>
      <c r="N932" s="107"/>
      <c r="O932" s="107"/>
      <c r="P932" s="107"/>
      <c r="Q932" s="107"/>
      <c r="R932" s="107"/>
      <c r="S932" s="107"/>
      <c r="T932" s="107"/>
      <c r="U932" s="107"/>
      <c r="V932" s="107"/>
      <c r="W932" s="107"/>
    </row>
    <row r="933" spans="2:23">
      <c r="B933" s="107"/>
      <c r="C933" s="107"/>
      <c r="D933" s="107"/>
      <c r="E933" s="107"/>
      <c r="F933" s="107"/>
      <c r="G933" s="107"/>
      <c r="H933" s="107"/>
      <c r="I933" s="107"/>
      <c r="J933" s="107"/>
      <c r="K933" s="107"/>
      <c r="L933" s="107"/>
      <c r="M933" s="107"/>
      <c r="N933" s="107"/>
      <c r="O933" s="107"/>
      <c r="P933" s="107"/>
      <c r="Q933" s="107"/>
      <c r="R933" s="107"/>
      <c r="S933" s="107"/>
      <c r="T933" s="107"/>
      <c r="U933" s="107"/>
      <c r="V933" s="107"/>
      <c r="W933" s="107"/>
    </row>
    <row r="934" spans="2:23">
      <c r="B934" s="107"/>
      <c r="C934" s="107"/>
      <c r="D934" s="107"/>
      <c r="E934" s="107"/>
      <c r="F934" s="107"/>
      <c r="G934" s="107"/>
      <c r="H934" s="107"/>
      <c r="I934" s="107"/>
      <c r="J934" s="107"/>
      <c r="K934" s="107"/>
      <c r="L934" s="107"/>
      <c r="M934" s="107"/>
      <c r="N934" s="107"/>
      <c r="O934" s="107"/>
      <c r="P934" s="107"/>
      <c r="Q934" s="107"/>
      <c r="R934" s="107"/>
      <c r="S934" s="107"/>
      <c r="T934" s="107"/>
      <c r="U934" s="107"/>
      <c r="V934" s="107"/>
      <c r="W934" s="107"/>
    </row>
    <row r="935" spans="2:23">
      <c r="B935" s="107"/>
      <c r="C935" s="107"/>
      <c r="D935" s="107"/>
      <c r="E935" s="107"/>
      <c r="F935" s="107"/>
      <c r="G935" s="107"/>
      <c r="H935" s="107"/>
      <c r="I935" s="107"/>
      <c r="J935" s="107"/>
      <c r="K935" s="107"/>
      <c r="L935" s="107"/>
      <c r="M935" s="107"/>
      <c r="N935" s="107"/>
      <c r="O935" s="107"/>
      <c r="P935" s="107"/>
      <c r="Q935" s="107"/>
      <c r="R935" s="107"/>
      <c r="S935" s="107"/>
      <c r="T935" s="107"/>
      <c r="U935" s="107"/>
      <c r="V935" s="107"/>
      <c r="W935" s="107"/>
    </row>
    <row r="936" spans="2:23">
      <c r="B936" s="107"/>
      <c r="C936" s="107"/>
      <c r="D936" s="107"/>
      <c r="E936" s="107"/>
      <c r="F936" s="107"/>
      <c r="G936" s="107"/>
      <c r="H936" s="107"/>
      <c r="I936" s="107"/>
      <c r="J936" s="107"/>
      <c r="K936" s="107"/>
      <c r="L936" s="107"/>
      <c r="M936" s="107"/>
      <c r="N936" s="107"/>
      <c r="O936" s="107"/>
      <c r="P936" s="107"/>
      <c r="Q936" s="107"/>
      <c r="R936" s="107"/>
      <c r="S936" s="107"/>
      <c r="T936" s="107"/>
      <c r="U936" s="107"/>
      <c r="V936" s="107"/>
      <c r="W936" s="107"/>
    </row>
    <row r="937" spans="2:23">
      <c r="B937" s="107"/>
      <c r="C937" s="107"/>
      <c r="D937" s="107"/>
      <c r="E937" s="107"/>
      <c r="F937" s="107"/>
      <c r="G937" s="107"/>
      <c r="H937" s="107"/>
      <c r="I937" s="107"/>
      <c r="J937" s="107"/>
      <c r="K937" s="107"/>
      <c r="L937" s="107"/>
      <c r="M937" s="107"/>
      <c r="N937" s="107"/>
      <c r="O937" s="107"/>
      <c r="P937" s="107"/>
      <c r="Q937" s="107"/>
      <c r="R937" s="107"/>
      <c r="S937" s="107"/>
      <c r="T937" s="107"/>
      <c r="U937" s="107"/>
      <c r="V937" s="107"/>
      <c r="W937" s="107"/>
    </row>
    <row r="938" spans="2:23">
      <c r="B938" s="107"/>
      <c r="C938" s="107"/>
      <c r="D938" s="107"/>
      <c r="E938" s="107"/>
      <c r="F938" s="107"/>
      <c r="G938" s="107"/>
      <c r="H938" s="107"/>
      <c r="I938" s="107"/>
      <c r="J938" s="107"/>
      <c r="K938" s="107"/>
      <c r="L938" s="107"/>
      <c r="M938" s="107"/>
      <c r="N938" s="107"/>
      <c r="O938" s="107"/>
      <c r="P938" s="107"/>
      <c r="Q938" s="107"/>
      <c r="R938" s="107"/>
      <c r="S938" s="107"/>
      <c r="T938" s="107"/>
      <c r="U938" s="107"/>
      <c r="V938" s="107"/>
      <c r="W938" s="107"/>
    </row>
    <row r="939" spans="2:23">
      <c r="B939" s="107"/>
      <c r="C939" s="107"/>
      <c r="D939" s="107"/>
      <c r="E939" s="107"/>
      <c r="F939" s="107"/>
      <c r="G939" s="107"/>
      <c r="H939" s="107"/>
      <c r="I939" s="107"/>
      <c r="J939" s="107"/>
      <c r="K939" s="107"/>
      <c r="L939" s="107"/>
      <c r="M939" s="107"/>
      <c r="N939" s="107"/>
      <c r="O939" s="107"/>
      <c r="P939" s="107"/>
      <c r="Q939" s="107"/>
      <c r="R939" s="107"/>
      <c r="S939" s="107"/>
      <c r="T939" s="107"/>
      <c r="U939" s="107"/>
      <c r="V939" s="107"/>
      <c r="W939" s="107"/>
    </row>
    <row r="940" spans="2:23">
      <c r="B940" s="107"/>
      <c r="C940" s="107"/>
      <c r="D940" s="107"/>
      <c r="E940" s="107"/>
      <c r="F940" s="107"/>
      <c r="G940" s="107"/>
      <c r="H940" s="107"/>
      <c r="I940" s="107"/>
      <c r="J940" s="107"/>
      <c r="K940" s="107"/>
      <c r="L940" s="107"/>
      <c r="M940" s="107"/>
      <c r="N940" s="107"/>
      <c r="O940" s="107"/>
      <c r="P940" s="107"/>
      <c r="Q940" s="107"/>
      <c r="R940" s="107"/>
      <c r="S940" s="107"/>
      <c r="T940" s="107"/>
      <c r="U940" s="107"/>
      <c r="V940" s="107"/>
      <c r="W940" s="107"/>
    </row>
    <row r="941" spans="2:23">
      <c r="B941" s="107"/>
      <c r="C941" s="107"/>
      <c r="D941" s="107"/>
      <c r="E941" s="107"/>
      <c r="F941" s="107"/>
      <c r="G941" s="107"/>
      <c r="H941" s="107"/>
      <c r="I941" s="107"/>
      <c r="J941" s="107"/>
      <c r="K941" s="107"/>
      <c r="L941" s="107"/>
      <c r="M941" s="107"/>
      <c r="N941" s="107"/>
      <c r="O941" s="107"/>
      <c r="P941" s="107"/>
      <c r="Q941" s="107"/>
      <c r="R941" s="107"/>
      <c r="S941" s="107"/>
      <c r="T941" s="107"/>
      <c r="U941" s="107"/>
      <c r="V941" s="107"/>
      <c r="W941" s="107"/>
    </row>
    <row r="942" spans="2:23">
      <c r="B942" s="107"/>
      <c r="C942" s="107"/>
      <c r="D942" s="107"/>
      <c r="E942" s="107"/>
      <c r="F942" s="107"/>
      <c r="G942" s="107"/>
      <c r="H942" s="107"/>
      <c r="I942" s="107"/>
      <c r="J942" s="107"/>
      <c r="K942" s="107"/>
      <c r="L942" s="107"/>
      <c r="M942" s="107"/>
      <c r="N942" s="107"/>
      <c r="O942" s="107"/>
      <c r="P942" s="107"/>
      <c r="Q942" s="107"/>
      <c r="R942" s="107"/>
      <c r="S942" s="107"/>
      <c r="T942" s="107"/>
      <c r="U942" s="107"/>
      <c r="V942" s="107"/>
      <c r="W942" s="107"/>
    </row>
    <row r="943" spans="2:23">
      <c r="B943" s="107"/>
      <c r="C943" s="107"/>
      <c r="D943" s="107"/>
      <c r="E943" s="107"/>
      <c r="F943" s="107"/>
      <c r="G943" s="107"/>
      <c r="H943" s="107"/>
      <c r="I943" s="107"/>
      <c r="J943" s="107"/>
      <c r="K943" s="107"/>
      <c r="L943" s="107"/>
      <c r="M943" s="107"/>
      <c r="N943" s="107"/>
      <c r="O943" s="107"/>
      <c r="P943" s="107"/>
      <c r="Q943" s="107"/>
      <c r="R943" s="107"/>
      <c r="S943" s="107"/>
      <c r="T943" s="107"/>
      <c r="U943" s="107"/>
      <c r="V943" s="107"/>
      <c r="W943" s="107"/>
    </row>
    <row r="944" spans="2:23">
      <c r="B944" s="107"/>
      <c r="C944" s="107"/>
      <c r="D944" s="107"/>
      <c r="E944" s="107"/>
      <c r="F944" s="107"/>
      <c r="G944" s="107"/>
      <c r="H944" s="107"/>
      <c r="I944" s="107"/>
      <c r="J944" s="107"/>
      <c r="K944" s="107"/>
      <c r="L944" s="107"/>
      <c r="M944" s="107"/>
      <c r="N944" s="107"/>
      <c r="O944" s="107"/>
      <c r="P944" s="107"/>
      <c r="Q944" s="107"/>
      <c r="R944" s="107"/>
      <c r="S944" s="107"/>
      <c r="T944" s="107"/>
      <c r="U944" s="107"/>
      <c r="V944" s="107"/>
      <c r="W944" s="107"/>
    </row>
    <row r="945" spans="2:23">
      <c r="B945" s="107"/>
      <c r="C945" s="107"/>
      <c r="D945" s="107"/>
      <c r="E945" s="107"/>
      <c r="F945" s="107"/>
      <c r="G945" s="107"/>
      <c r="H945" s="107"/>
      <c r="I945" s="107"/>
      <c r="J945" s="107"/>
      <c r="K945" s="107"/>
      <c r="L945" s="107"/>
      <c r="M945" s="107"/>
      <c r="N945" s="107"/>
      <c r="O945" s="107"/>
      <c r="P945" s="107"/>
      <c r="Q945" s="107"/>
      <c r="R945" s="107"/>
      <c r="S945" s="107"/>
      <c r="T945" s="107"/>
      <c r="U945" s="107"/>
      <c r="V945" s="107"/>
      <c r="W945" s="107"/>
    </row>
    <row r="946" spans="2:23">
      <c r="B946" s="107"/>
      <c r="C946" s="107"/>
      <c r="D946" s="107"/>
      <c r="E946" s="107"/>
      <c r="F946" s="107"/>
      <c r="G946" s="107"/>
      <c r="H946" s="107"/>
      <c r="I946" s="107"/>
      <c r="J946" s="107"/>
      <c r="K946" s="107"/>
      <c r="L946" s="107"/>
      <c r="M946" s="107"/>
      <c r="N946" s="107"/>
      <c r="O946" s="107"/>
      <c r="P946" s="107"/>
      <c r="Q946" s="107"/>
      <c r="R946" s="107"/>
      <c r="S946" s="107"/>
      <c r="T946" s="107"/>
      <c r="U946" s="107"/>
      <c r="V946" s="107"/>
      <c r="W946" s="107"/>
    </row>
    <row r="947" spans="2:23">
      <c r="B947" s="107"/>
      <c r="C947" s="107"/>
      <c r="D947" s="107"/>
      <c r="E947" s="107"/>
      <c r="F947" s="107"/>
      <c r="G947" s="107"/>
      <c r="H947" s="107"/>
      <c r="I947" s="107"/>
      <c r="J947" s="107"/>
      <c r="K947" s="107"/>
      <c r="L947" s="107"/>
      <c r="M947" s="107"/>
      <c r="N947" s="107"/>
      <c r="O947" s="107"/>
      <c r="P947" s="107"/>
      <c r="Q947" s="107"/>
      <c r="R947" s="107"/>
      <c r="S947" s="107"/>
      <c r="T947" s="107"/>
      <c r="U947" s="107"/>
      <c r="V947" s="107"/>
      <c r="W947" s="107"/>
    </row>
    <row r="948" spans="2:23">
      <c r="B948" s="107"/>
      <c r="C948" s="107"/>
      <c r="D948" s="107"/>
      <c r="E948" s="107"/>
      <c r="F948" s="107"/>
      <c r="G948" s="107"/>
      <c r="H948" s="107"/>
      <c r="I948" s="107"/>
      <c r="J948" s="107"/>
      <c r="K948" s="107"/>
      <c r="L948" s="107"/>
      <c r="M948" s="107"/>
      <c r="N948" s="107"/>
      <c r="O948" s="107"/>
      <c r="P948" s="107"/>
      <c r="Q948" s="107"/>
      <c r="R948" s="107"/>
      <c r="S948" s="107"/>
      <c r="T948" s="107"/>
      <c r="U948" s="107"/>
      <c r="V948" s="107"/>
      <c r="W948" s="107"/>
    </row>
    <row r="949" spans="2:23">
      <c r="B949" s="107"/>
      <c r="C949" s="107"/>
      <c r="D949" s="107"/>
      <c r="E949" s="107"/>
      <c r="F949" s="107"/>
      <c r="G949" s="107"/>
      <c r="H949" s="107"/>
      <c r="I949" s="107"/>
      <c r="J949" s="107"/>
      <c r="K949" s="107"/>
      <c r="L949" s="107"/>
      <c r="M949" s="107"/>
      <c r="N949" s="107"/>
      <c r="O949" s="107"/>
      <c r="P949" s="107"/>
      <c r="Q949" s="107"/>
      <c r="R949" s="107"/>
      <c r="S949" s="107"/>
      <c r="T949" s="107"/>
      <c r="U949" s="107"/>
      <c r="V949" s="107"/>
      <c r="W949" s="107"/>
    </row>
    <row r="950" spans="2:23">
      <c r="B950" s="107"/>
      <c r="C950" s="107"/>
      <c r="D950" s="107"/>
      <c r="E950" s="107"/>
      <c r="F950" s="107"/>
      <c r="G950" s="107"/>
      <c r="H950" s="107"/>
      <c r="I950" s="107"/>
      <c r="J950" s="107"/>
      <c r="K950" s="107"/>
      <c r="L950" s="107"/>
      <c r="M950" s="107"/>
      <c r="N950" s="107"/>
      <c r="O950" s="107"/>
      <c r="P950" s="107"/>
      <c r="Q950" s="107"/>
      <c r="R950" s="107"/>
      <c r="S950" s="107"/>
      <c r="T950" s="107"/>
      <c r="U950" s="107"/>
      <c r="V950" s="107"/>
      <c r="W950" s="107"/>
    </row>
    <row r="951" spans="2:23">
      <c r="B951" s="107"/>
      <c r="C951" s="107"/>
      <c r="D951" s="107"/>
      <c r="E951" s="107"/>
      <c r="F951" s="107"/>
      <c r="G951" s="107"/>
      <c r="H951" s="107"/>
      <c r="I951" s="107"/>
      <c r="J951" s="107"/>
      <c r="K951" s="107"/>
      <c r="L951" s="107"/>
      <c r="M951" s="107"/>
      <c r="N951" s="107"/>
      <c r="O951" s="107"/>
      <c r="P951" s="107"/>
      <c r="Q951" s="107"/>
      <c r="R951" s="107"/>
      <c r="S951" s="107"/>
      <c r="T951" s="107"/>
      <c r="U951" s="107"/>
      <c r="V951" s="107"/>
      <c r="W951" s="107"/>
    </row>
    <row r="952" spans="2:23">
      <c r="B952" s="107"/>
      <c r="C952" s="107"/>
      <c r="D952" s="107"/>
      <c r="E952" s="107"/>
      <c r="F952" s="107"/>
      <c r="G952" s="107"/>
      <c r="H952" s="107"/>
      <c r="I952" s="107"/>
      <c r="J952" s="107"/>
      <c r="K952" s="107"/>
      <c r="L952" s="107"/>
      <c r="M952" s="107"/>
      <c r="N952" s="107"/>
      <c r="O952" s="107"/>
      <c r="P952" s="107"/>
      <c r="Q952" s="107"/>
      <c r="R952" s="107"/>
      <c r="S952" s="107"/>
      <c r="T952" s="107"/>
      <c r="U952" s="107"/>
      <c r="V952" s="107"/>
      <c r="W952" s="107"/>
    </row>
    <row r="953" spans="2:23">
      <c r="B953" s="107"/>
      <c r="C953" s="107"/>
      <c r="D953" s="107"/>
      <c r="E953" s="107"/>
      <c r="F953" s="107"/>
      <c r="G953" s="107"/>
      <c r="H953" s="107"/>
      <c r="I953" s="107"/>
      <c r="J953" s="107"/>
      <c r="K953" s="107"/>
      <c r="L953" s="107"/>
      <c r="M953" s="107"/>
      <c r="N953" s="107"/>
      <c r="O953" s="107"/>
      <c r="P953" s="107"/>
      <c r="Q953" s="107"/>
      <c r="R953" s="107"/>
      <c r="S953" s="107"/>
      <c r="T953" s="107"/>
      <c r="U953" s="107"/>
      <c r="V953" s="107"/>
      <c r="W953" s="107"/>
    </row>
    <row r="954" spans="2:23">
      <c r="B954" s="107"/>
      <c r="C954" s="107"/>
      <c r="D954" s="107"/>
      <c r="E954" s="107"/>
      <c r="F954" s="107"/>
      <c r="G954" s="107"/>
      <c r="H954" s="107"/>
      <c r="I954" s="107"/>
      <c r="J954" s="107"/>
      <c r="K954" s="107"/>
      <c r="L954" s="107"/>
      <c r="M954" s="107"/>
      <c r="N954" s="107"/>
      <c r="O954" s="107"/>
      <c r="P954" s="107"/>
      <c r="Q954" s="107"/>
      <c r="R954" s="107"/>
      <c r="S954" s="107"/>
      <c r="T954" s="107"/>
      <c r="U954" s="107"/>
      <c r="V954" s="107"/>
      <c r="W954" s="107"/>
    </row>
    <row r="955" spans="2:23">
      <c r="B955" s="107"/>
      <c r="C955" s="107"/>
      <c r="D955" s="107"/>
      <c r="E955" s="107"/>
      <c r="F955" s="107"/>
      <c r="G955" s="107"/>
      <c r="H955" s="107"/>
      <c r="I955" s="107"/>
      <c r="J955" s="107"/>
      <c r="K955" s="107"/>
      <c r="L955" s="107"/>
      <c r="M955" s="107"/>
      <c r="N955" s="107"/>
      <c r="O955" s="107"/>
      <c r="P955" s="107"/>
      <c r="Q955" s="107"/>
      <c r="R955" s="107"/>
      <c r="S955" s="107"/>
      <c r="T955" s="107"/>
      <c r="U955" s="107"/>
      <c r="V955" s="107"/>
      <c r="W955" s="107"/>
    </row>
    <row r="956" spans="2:23">
      <c r="B956" s="107"/>
      <c r="C956" s="107"/>
      <c r="D956" s="107"/>
      <c r="E956" s="107"/>
      <c r="F956" s="107"/>
      <c r="G956" s="107"/>
      <c r="H956" s="107"/>
      <c r="I956" s="107"/>
      <c r="J956" s="107"/>
      <c r="K956" s="107"/>
      <c r="L956" s="107"/>
      <c r="M956" s="107"/>
      <c r="N956" s="107"/>
      <c r="O956" s="107"/>
      <c r="P956" s="107"/>
      <c r="Q956" s="107"/>
      <c r="R956" s="107"/>
      <c r="S956" s="107"/>
      <c r="T956" s="107"/>
      <c r="U956" s="107"/>
      <c r="V956" s="107"/>
      <c r="W956" s="107"/>
    </row>
    <row r="957" spans="2:23">
      <c r="B957" s="107"/>
      <c r="C957" s="107"/>
      <c r="D957" s="107"/>
      <c r="E957" s="107"/>
      <c r="F957" s="107"/>
      <c r="G957" s="107"/>
      <c r="H957" s="107"/>
      <c r="I957" s="107"/>
      <c r="J957" s="107"/>
      <c r="K957" s="107"/>
      <c r="L957" s="107"/>
      <c r="M957" s="107"/>
      <c r="N957" s="107"/>
      <c r="O957" s="107"/>
      <c r="P957" s="107"/>
      <c r="Q957" s="107"/>
      <c r="R957" s="107"/>
      <c r="S957" s="107"/>
      <c r="T957" s="107"/>
      <c r="U957" s="107"/>
      <c r="V957" s="107"/>
      <c r="W957" s="107"/>
    </row>
    <row r="958" spans="2:23">
      <c r="B958" s="107"/>
      <c r="C958" s="107"/>
      <c r="D958" s="107"/>
      <c r="E958" s="107"/>
      <c r="F958" s="107"/>
      <c r="G958" s="107"/>
      <c r="H958" s="107"/>
      <c r="I958" s="107"/>
      <c r="J958" s="107"/>
      <c r="K958" s="107"/>
      <c r="L958" s="107"/>
      <c r="M958" s="107"/>
      <c r="N958" s="107"/>
      <c r="O958" s="107"/>
      <c r="P958" s="107"/>
      <c r="Q958" s="107"/>
      <c r="R958" s="107"/>
      <c r="S958" s="107"/>
      <c r="T958" s="107"/>
      <c r="U958" s="107"/>
      <c r="V958" s="107"/>
      <c r="W958" s="107"/>
    </row>
    <row r="959" spans="2:23">
      <c r="B959" s="107"/>
      <c r="C959" s="107"/>
      <c r="D959" s="107"/>
      <c r="E959" s="107"/>
      <c r="F959" s="107"/>
      <c r="G959" s="107"/>
      <c r="H959" s="107"/>
      <c r="I959" s="107"/>
      <c r="J959" s="107"/>
      <c r="K959" s="107"/>
      <c r="L959" s="107"/>
      <c r="M959" s="107"/>
      <c r="N959" s="107"/>
      <c r="O959" s="107"/>
      <c r="P959" s="107"/>
      <c r="Q959" s="107"/>
      <c r="R959" s="107"/>
      <c r="S959" s="107"/>
      <c r="T959" s="107"/>
      <c r="U959" s="107"/>
      <c r="V959" s="107"/>
      <c r="W959" s="107"/>
    </row>
    <row r="960" spans="2:23">
      <c r="B960" s="107"/>
      <c r="C960" s="107"/>
      <c r="D960" s="107"/>
      <c r="E960" s="107"/>
      <c r="F960" s="107"/>
      <c r="G960" s="107"/>
      <c r="H960" s="107"/>
      <c r="I960" s="107"/>
      <c r="J960" s="107"/>
      <c r="K960" s="107"/>
      <c r="L960" s="107"/>
      <c r="M960" s="107"/>
      <c r="N960" s="107"/>
      <c r="O960" s="107"/>
      <c r="P960" s="107"/>
      <c r="Q960" s="107"/>
      <c r="R960" s="107"/>
      <c r="S960" s="107"/>
      <c r="T960" s="107"/>
      <c r="U960" s="107"/>
      <c r="V960" s="107"/>
      <c r="W960" s="107"/>
    </row>
    <row r="961" spans="2:23">
      <c r="B961" s="107"/>
      <c r="C961" s="107"/>
      <c r="D961" s="107"/>
      <c r="E961" s="107"/>
      <c r="F961" s="107"/>
      <c r="G961" s="107"/>
      <c r="H961" s="107"/>
      <c r="I961" s="107"/>
      <c r="J961" s="107"/>
      <c r="K961" s="107"/>
      <c r="L961" s="107"/>
      <c r="M961" s="107"/>
      <c r="N961" s="107"/>
      <c r="O961" s="107"/>
      <c r="P961" s="107"/>
      <c r="Q961" s="107"/>
      <c r="R961" s="107"/>
      <c r="S961" s="107"/>
      <c r="T961" s="107"/>
      <c r="U961" s="107"/>
      <c r="V961" s="107"/>
      <c r="W961" s="107"/>
    </row>
    <row r="962" spans="2:23">
      <c r="B962" s="107"/>
      <c r="C962" s="107"/>
      <c r="D962" s="107"/>
      <c r="E962" s="107"/>
      <c r="F962" s="107"/>
      <c r="G962" s="107"/>
      <c r="H962" s="107"/>
      <c r="I962" s="107"/>
      <c r="J962" s="107"/>
      <c r="K962" s="107"/>
      <c r="L962" s="107"/>
      <c r="M962" s="107"/>
      <c r="N962" s="107"/>
      <c r="O962" s="107"/>
      <c r="P962" s="107"/>
      <c r="Q962" s="107"/>
      <c r="R962" s="107"/>
      <c r="S962" s="107"/>
      <c r="T962" s="107"/>
      <c r="U962" s="107"/>
      <c r="V962" s="107"/>
      <c r="W962" s="107"/>
    </row>
    <row r="963" spans="2:23">
      <c r="B963" s="107"/>
      <c r="C963" s="107"/>
      <c r="D963" s="107"/>
      <c r="E963" s="107"/>
      <c r="F963" s="107"/>
      <c r="G963" s="107"/>
      <c r="H963" s="107"/>
      <c r="I963" s="107"/>
      <c r="J963" s="107"/>
      <c r="K963" s="107"/>
      <c r="L963" s="107"/>
      <c r="M963" s="107"/>
      <c r="N963" s="107"/>
      <c r="O963" s="107"/>
      <c r="P963" s="107"/>
      <c r="Q963" s="107"/>
      <c r="R963" s="107"/>
      <c r="S963" s="107"/>
      <c r="T963" s="107"/>
      <c r="U963" s="107"/>
      <c r="V963" s="107"/>
      <c r="W963" s="107"/>
    </row>
    <row r="964" spans="2:23">
      <c r="B964" s="107"/>
      <c r="C964" s="107"/>
      <c r="D964" s="107"/>
      <c r="E964" s="107"/>
      <c r="F964" s="107"/>
      <c r="G964" s="107"/>
      <c r="H964" s="107"/>
      <c r="I964" s="107"/>
      <c r="J964" s="107"/>
      <c r="K964" s="107"/>
      <c r="L964" s="107"/>
      <c r="M964" s="107"/>
      <c r="N964" s="107"/>
      <c r="O964" s="107"/>
      <c r="P964" s="107"/>
      <c r="Q964" s="107"/>
      <c r="R964" s="107"/>
      <c r="S964" s="107"/>
      <c r="T964" s="107"/>
      <c r="U964" s="107"/>
      <c r="V964" s="107"/>
      <c r="W964" s="107"/>
    </row>
    <row r="965" spans="2:23">
      <c r="B965" s="107"/>
      <c r="C965" s="107"/>
      <c r="D965" s="107"/>
      <c r="E965" s="107"/>
      <c r="F965" s="107"/>
      <c r="G965" s="107"/>
      <c r="H965" s="107"/>
      <c r="I965" s="107"/>
      <c r="J965" s="107"/>
      <c r="K965" s="107"/>
      <c r="L965" s="107"/>
      <c r="M965" s="107"/>
      <c r="N965" s="107"/>
      <c r="O965" s="107"/>
      <c r="P965" s="107"/>
      <c r="Q965" s="107"/>
      <c r="R965" s="107"/>
      <c r="S965" s="107"/>
      <c r="T965" s="107"/>
      <c r="U965" s="107"/>
      <c r="V965" s="107"/>
      <c r="W965" s="107"/>
    </row>
    <row r="966" spans="2:23">
      <c r="B966" s="107"/>
      <c r="C966" s="107"/>
      <c r="D966" s="107"/>
      <c r="E966" s="107"/>
      <c r="F966" s="107"/>
      <c r="G966" s="107"/>
      <c r="H966" s="107"/>
      <c r="I966" s="107"/>
      <c r="J966" s="107"/>
      <c r="K966" s="107"/>
      <c r="L966" s="107"/>
      <c r="M966" s="107"/>
      <c r="N966" s="107"/>
      <c r="O966" s="107"/>
      <c r="P966" s="107"/>
      <c r="Q966" s="107"/>
      <c r="R966" s="107"/>
      <c r="S966" s="107"/>
      <c r="T966" s="107"/>
      <c r="U966" s="107"/>
      <c r="V966" s="107"/>
      <c r="W966" s="107"/>
    </row>
    <row r="967" spans="2:23">
      <c r="B967" s="107"/>
      <c r="C967" s="107"/>
      <c r="D967" s="107"/>
      <c r="E967" s="107"/>
      <c r="F967" s="107"/>
      <c r="G967" s="107"/>
      <c r="H967" s="107"/>
      <c r="I967" s="107"/>
      <c r="J967" s="107"/>
      <c r="K967" s="107"/>
      <c r="L967" s="107"/>
      <c r="M967" s="107"/>
      <c r="N967" s="107"/>
      <c r="O967" s="107"/>
      <c r="P967" s="107"/>
      <c r="Q967" s="107"/>
      <c r="R967" s="107"/>
      <c r="S967" s="107"/>
      <c r="T967" s="107"/>
      <c r="U967" s="107"/>
      <c r="V967" s="107"/>
      <c r="W967" s="107"/>
    </row>
    <row r="968" spans="2:23">
      <c r="B968" s="107"/>
      <c r="C968" s="107"/>
      <c r="D968" s="107"/>
      <c r="E968" s="107"/>
      <c r="F968" s="107"/>
      <c r="G968" s="107"/>
      <c r="H968" s="107"/>
      <c r="I968" s="107"/>
      <c r="J968" s="107"/>
      <c r="K968" s="107"/>
      <c r="L968" s="107"/>
      <c r="M968" s="107"/>
      <c r="N968" s="107"/>
      <c r="O968" s="107"/>
      <c r="P968" s="107"/>
      <c r="Q968" s="107"/>
      <c r="R968" s="107"/>
      <c r="S968" s="107"/>
      <c r="T968" s="107"/>
      <c r="U968" s="107"/>
      <c r="V968" s="107"/>
      <c r="W968" s="107"/>
    </row>
    <row r="969" spans="2:23">
      <c r="B969" s="107"/>
      <c r="C969" s="107"/>
      <c r="D969" s="107"/>
      <c r="E969" s="107"/>
      <c r="F969" s="107"/>
      <c r="G969" s="107"/>
      <c r="H969" s="107"/>
      <c r="I969" s="107"/>
      <c r="J969" s="107"/>
      <c r="K969" s="107"/>
      <c r="L969" s="107"/>
      <c r="M969" s="107"/>
      <c r="N969" s="107"/>
      <c r="O969" s="107"/>
      <c r="P969" s="107"/>
      <c r="Q969" s="107"/>
      <c r="R969" s="107"/>
      <c r="S969" s="107"/>
      <c r="T969" s="107"/>
      <c r="U969" s="107"/>
      <c r="V969" s="107"/>
      <c r="W969" s="107"/>
    </row>
    <row r="970" spans="2:23">
      <c r="B970" s="107"/>
      <c r="C970" s="107"/>
      <c r="D970" s="107"/>
      <c r="E970" s="107"/>
      <c r="F970" s="107"/>
      <c r="G970" s="107"/>
      <c r="H970" s="107"/>
      <c r="I970" s="107"/>
      <c r="J970" s="107"/>
      <c r="K970" s="107"/>
      <c r="L970" s="107"/>
      <c r="M970" s="107"/>
      <c r="N970" s="107"/>
      <c r="O970" s="107"/>
      <c r="P970" s="107"/>
      <c r="Q970" s="107"/>
      <c r="R970" s="107"/>
      <c r="S970" s="107"/>
      <c r="T970" s="107"/>
      <c r="U970" s="107"/>
      <c r="V970" s="107"/>
      <c r="W970" s="107"/>
    </row>
    <row r="971" spans="2:23">
      <c r="B971" s="107"/>
      <c r="C971" s="107"/>
      <c r="D971" s="107"/>
      <c r="E971" s="107"/>
      <c r="F971" s="107"/>
      <c r="G971" s="107"/>
      <c r="H971" s="107"/>
      <c r="I971" s="107"/>
      <c r="J971" s="107"/>
      <c r="K971" s="107"/>
      <c r="L971" s="107"/>
      <c r="M971" s="107"/>
      <c r="N971" s="107"/>
      <c r="O971" s="107"/>
      <c r="P971" s="107"/>
      <c r="Q971" s="107"/>
      <c r="R971" s="107"/>
      <c r="S971" s="107"/>
      <c r="T971" s="107"/>
      <c r="U971" s="107"/>
      <c r="V971" s="107"/>
      <c r="W971" s="107"/>
    </row>
    <row r="972" spans="2:23">
      <c r="B972" s="107"/>
      <c r="C972" s="107"/>
      <c r="D972" s="107"/>
      <c r="E972" s="107"/>
      <c r="F972" s="107"/>
      <c r="G972" s="107"/>
      <c r="H972" s="107"/>
      <c r="I972" s="107"/>
      <c r="J972" s="107"/>
      <c r="K972" s="107"/>
      <c r="L972" s="107"/>
      <c r="M972" s="107"/>
      <c r="N972" s="107"/>
      <c r="O972" s="107"/>
      <c r="P972" s="107"/>
      <c r="Q972" s="107"/>
      <c r="R972" s="107"/>
      <c r="S972" s="107"/>
      <c r="T972" s="107"/>
      <c r="U972" s="107"/>
      <c r="V972" s="107"/>
      <c r="W972" s="107"/>
    </row>
    <row r="973" spans="2:23">
      <c r="B973" s="107"/>
      <c r="C973" s="107"/>
      <c r="D973" s="107"/>
      <c r="E973" s="107"/>
      <c r="F973" s="107"/>
      <c r="G973" s="107"/>
      <c r="H973" s="107"/>
      <c r="I973" s="107"/>
      <c r="J973" s="107"/>
      <c r="K973" s="107"/>
      <c r="L973" s="107"/>
      <c r="M973" s="107"/>
      <c r="N973" s="107"/>
      <c r="O973" s="107"/>
      <c r="P973" s="107"/>
      <c r="Q973" s="107"/>
      <c r="R973" s="107"/>
      <c r="S973" s="107"/>
      <c r="T973" s="107"/>
      <c r="U973" s="107"/>
      <c r="V973" s="107"/>
      <c r="W973" s="107"/>
    </row>
    <row r="974" spans="2:23">
      <c r="B974" s="107"/>
      <c r="C974" s="107"/>
      <c r="D974" s="107"/>
      <c r="E974" s="107"/>
      <c r="F974" s="107"/>
      <c r="G974" s="107"/>
      <c r="H974" s="107"/>
      <c r="I974" s="107"/>
      <c r="J974" s="107"/>
      <c r="K974" s="107"/>
      <c r="L974" s="107"/>
      <c r="M974" s="107"/>
      <c r="N974" s="107"/>
      <c r="O974" s="107"/>
      <c r="P974" s="107"/>
      <c r="Q974" s="107"/>
      <c r="R974" s="107"/>
      <c r="S974" s="107"/>
      <c r="T974" s="107"/>
      <c r="U974" s="107"/>
      <c r="V974" s="107"/>
      <c r="W974" s="107"/>
    </row>
    <row r="975" spans="2:23">
      <c r="B975" s="107"/>
      <c r="C975" s="107"/>
      <c r="D975" s="107"/>
      <c r="E975" s="107"/>
      <c r="F975" s="107"/>
      <c r="G975" s="107"/>
      <c r="H975" s="107"/>
      <c r="I975" s="107"/>
      <c r="J975" s="107"/>
      <c r="K975" s="107"/>
      <c r="L975" s="107"/>
      <c r="M975" s="107"/>
      <c r="N975" s="107"/>
      <c r="O975" s="107"/>
      <c r="P975" s="107"/>
      <c r="Q975" s="107"/>
      <c r="R975" s="107"/>
      <c r="S975" s="107"/>
      <c r="T975" s="107"/>
      <c r="U975" s="107"/>
      <c r="V975" s="107"/>
      <c r="W975" s="107"/>
    </row>
    <row r="976" spans="2:23">
      <c r="B976" s="107"/>
      <c r="C976" s="107"/>
      <c r="D976" s="107"/>
      <c r="E976" s="107"/>
      <c r="F976" s="107"/>
      <c r="G976" s="107"/>
      <c r="H976" s="107"/>
      <c r="I976" s="107"/>
      <c r="J976" s="107"/>
      <c r="K976" s="107"/>
      <c r="L976" s="107"/>
      <c r="M976" s="107"/>
      <c r="N976" s="107"/>
      <c r="O976" s="107"/>
      <c r="P976" s="107"/>
      <c r="Q976" s="107"/>
      <c r="R976" s="107"/>
      <c r="S976" s="107"/>
      <c r="T976" s="107"/>
      <c r="U976" s="107"/>
      <c r="V976" s="107"/>
      <c r="W976" s="107"/>
    </row>
    <row r="977" spans="2:23">
      <c r="B977" s="107"/>
      <c r="C977" s="107"/>
      <c r="D977" s="107"/>
      <c r="E977" s="107"/>
      <c r="F977" s="107"/>
      <c r="G977" s="107"/>
      <c r="H977" s="107"/>
      <c r="I977" s="107"/>
      <c r="J977" s="107"/>
      <c r="K977" s="107"/>
      <c r="L977" s="107"/>
      <c r="M977" s="107"/>
      <c r="N977" s="107"/>
      <c r="O977" s="107"/>
      <c r="P977" s="107"/>
      <c r="Q977" s="107"/>
      <c r="R977" s="107"/>
      <c r="S977" s="107"/>
      <c r="T977" s="107"/>
      <c r="U977" s="107"/>
      <c r="V977" s="107"/>
      <c r="W977" s="107"/>
    </row>
    <row r="978" spans="2:23">
      <c r="B978" s="107"/>
      <c r="C978" s="107"/>
      <c r="D978" s="107"/>
      <c r="E978" s="107"/>
      <c r="F978" s="107"/>
      <c r="G978" s="107"/>
      <c r="H978" s="107"/>
      <c r="I978" s="107"/>
      <c r="J978" s="107"/>
      <c r="K978" s="107"/>
      <c r="L978" s="107"/>
      <c r="M978" s="107"/>
      <c r="N978" s="107"/>
      <c r="O978" s="107"/>
      <c r="P978" s="107"/>
      <c r="Q978" s="107"/>
      <c r="R978" s="107"/>
      <c r="S978" s="107"/>
      <c r="T978" s="107"/>
      <c r="U978" s="107"/>
      <c r="V978" s="107"/>
      <c r="W978" s="107"/>
    </row>
    <row r="979" spans="2:23">
      <c r="B979" s="107"/>
      <c r="C979" s="107"/>
      <c r="D979" s="107"/>
      <c r="E979" s="107"/>
      <c r="F979" s="107"/>
      <c r="G979" s="107"/>
      <c r="H979" s="107"/>
      <c r="I979" s="107"/>
      <c r="J979" s="107"/>
      <c r="K979" s="107"/>
      <c r="L979" s="107"/>
      <c r="M979" s="107"/>
      <c r="N979" s="107"/>
      <c r="O979" s="107"/>
      <c r="P979" s="107"/>
      <c r="Q979" s="107"/>
      <c r="R979" s="107"/>
      <c r="S979" s="107"/>
      <c r="T979" s="107"/>
      <c r="U979" s="107"/>
      <c r="V979" s="107"/>
      <c r="W979" s="107"/>
    </row>
    <row r="980" spans="2:23">
      <c r="B980" s="107"/>
      <c r="C980" s="107"/>
      <c r="D980" s="107"/>
      <c r="E980" s="107"/>
      <c r="F980" s="107"/>
      <c r="G980" s="107"/>
      <c r="H980" s="107"/>
      <c r="I980" s="107"/>
      <c r="J980" s="107"/>
      <c r="K980" s="107"/>
      <c r="L980" s="107"/>
      <c r="M980" s="107"/>
      <c r="N980" s="107"/>
      <c r="O980" s="107"/>
      <c r="P980" s="107"/>
      <c r="Q980" s="107"/>
      <c r="R980" s="107"/>
      <c r="S980" s="107"/>
      <c r="T980" s="107"/>
      <c r="U980" s="107"/>
      <c r="V980" s="107"/>
      <c r="W980" s="107"/>
    </row>
    <row r="981" spans="2:23">
      <c r="B981" s="107"/>
      <c r="C981" s="107"/>
      <c r="D981" s="107"/>
      <c r="E981" s="107"/>
      <c r="F981" s="107"/>
      <c r="G981" s="107"/>
      <c r="H981" s="107"/>
      <c r="I981" s="107"/>
      <c r="J981" s="107"/>
      <c r="K981" s="107"/>
      <c r="L981" s="107"/>
      <c r="M981" s="107"/>
      <c r="N981" s="107"/>
      <c r="O981" s="107"/>
      <c r="P981" s="107"/>
      <c r="Q981" s="107"/>
      <c r="R981" s="107"/>
      <c r="S981" s="107"/>
      <c r="T981" s="107"/>
      <c r="U981" s="107"/>
      <c r="V981" s="107"/>
      <c r="W981" s="107"/>
    </row>
    <row r="982" spans="2:23">
      <c r="B982" s="107"/>
      <c r="C982" s="107"/>
      <c r="D982" s="107"/>
      <c r="E982" s="107"/>
      <c r="F982" s="107"/>
      <c r="G982" s="107"/>
      <c r="H982" s="107"/>
      <c r="I982" s="107"/>
      <c r="J982" s="107"/>
      <c r="K982" s="107"/>
      <c r="L982" s="107"/>
      <c r="M982" s="107"/>
      <c r="N982" s="107"/>
      <c r="O982" s="107"/>
      <c r="P982" s="107"/>
      <c r="Q982" s="107"/>
      <c r="R982" s="107"/>
      <c r="S982" s="107"/>
      <c r="T982" s="107"/>
      <c r="U982" s="107"/>
      <c r="V982" s="107"/>
      <c r="W982" s="107"/>
    </row>
    <row r="983" spans="2:23">
      <c r="B983" s="107"/>
      <c r="C983" s="107"/>
      <c r="D983" s="107"/>
      <c r="E983" s="107"/>
      <c r="F983" s="107"/>
      <c r="G983" s="107"/>
      <c r="H983" s="107"/>
      <c r="I983" s="107"/>
      <c r="J983" s="107"/>
      <c r="K983" s="107"/>
      <c r="L983" s="107"/>
      <c r="M983" s="107"/>
      <c r="N983" s="107"/>
      <c r="O983" s="107"/>
      <c r="P983" s="107"/>
      <c r="Q983" s="107"/>
      <c r="R983" s="107"/>
      <c r="S983" s="107"/>
      <c r="T983" s="107"/>
      <c r="U983" s="107"/>
      <c r="V983" s="107"/>
      <c r="W983" s="107"/>
    </row>
    <row r="984" spans="2:23">
      <c r="B984" s="107"/>
      <c r="C984" s="107"/>
      <c r="D984" s="107"/>
      <c r="E984" s="107"/>
      <c r="F984" s="107"/>
      <c r="G984" s="107"/>
      <c r="H984" s="107"/>
      <c r="I984" s="107"/>
      <c r="J984" s="107"/>
      <c r="K984" s="107"/>
      <c r="L984" s="107"/>
      <c r="M984" s="107"/>
      <c r="N984" s="107"/>
      <c r="O984" s="107"/>
      <c r="P984" s="107"/>
      <c r="Q984" s="107"/>
      <c r="R984" s="107"/>
      <c r="S984" s="107"/>
      <c r="T984" s="107"/>
      <c r="U984" s="107"/>
      <c r="V984" s="107"/>
      <c r="W984" s="107"/>
    </row>
    <row r="985" spans="2:23">
      <c r="B985" s="107"/>
      <c r="C985" s="107"/>
      <c r="D985" s="107"/>
      <c r="E985" s="107"/>
      <c r="F985" s="107"/>
      <c r="G985" s="107"/>
      <c r="H985" s="107"/>
      <c r="I985" s="107"/>
      <c r="J985" s="107"/>
      <c r="K985" s="107"/>
      <c r="L985" s="107"/>
      <c r="M985" s="107"/>
      <c r="N985" s="107"/>
      <c r="O985" s="107"/>
      <c r="P985" s="107"/>
      <c r="Q985" s="107"/>
      <c r="R985" s="107"/>
      <c r="S985" s="107"/>
      <c r="T985" s="107"/>
      <c r="U985" s="107"/>
      <c r="V985" s="107"/>
      <c r="W985" s="107"/>
    </row>
    <row r="986" spans="2:23">
      <c r="B986" s="107"/>
      <c r="C986" s="107"/>
      <c r="D986" s="107"/>
      <c r="E986" s="107"/>
      <c r="F986" s="107"/>
      <c r="G986" s="107"/>
      <c r="H986" s="107"/>
      <c r="I986" s="107"/>
      <c r="J986" s="107"/>
      <c r="K986" s="107"/>
      <c r="L986" s="107"/>
      <c r="M986" s="107"/>
      <c r="N986" s="107"/>
      <c r="O986" s="107"/>
      <c r="P986" s="107"/>
      <c r="Q986" s="107"/>
      <c r="R986" s="107"/>
      <c r="S986" s="107"/>
      <c r="T986" s="107"/>
      <c r="U986" s="107"/>
      <c r="V986" s="107"/>
      <c r="W986" s="107"/>
    </row>
    <row r="987" spans="2:23">
      <c r="B987" s="107"/>
      <c r="C987" s="107"/>
      <c r="D987" s="107"/>
      <c r="E987" s="107"/>
      <c r="F987" s="107"/>
      <c r="G987" s="107"/>
      <c r="H987" s="107"/>
      <c r="I987" s="107"/>
      <c r="J987" s="107"/>
      <c r="K987" s="107"/>
      <c r="L987" s="107"/>
      <c r="M987" s="107"/>
      <c r="N987" s="107"/>
      <c r="O987" s="107"/>
      <c r="P987" s="107"/>
      <c r="Q987" s="107"/>
      <c r="R987" s="107"/>
      <c r="S987" s="107"/>
      <c r="T987" s="107"/>
      <c r="U987" s="107"/>
      <c r="V987" s="107"/>
      <c r="W987" s="107"/>
    </row>
    <row r="988" spans="2:23">
      <c r="B988" s="107"/>
      <c r="C988" s="107"/>
      <c r="D988" s="107"/>
      <c r="E988" s="107"/>
      <c r="F988" s="107"/>
      <c r="G988" s="107"/>
      <c r="H988" s="107"/>
      <c r="I988" s="107"/>
      <c r="J988" s="107"/>
      <c r="K988" s="107"/>
      <c r="L988" s="107"/>
      <c r="M988" s="107"/>
      <c r="N988" s="107"/>
      <c r="O988" s="107"/>
      <c r="P988" s="107"/>
      <c r="Q988" s="107"/>
      <c r="R988" s="107"/>
      <c r="S988" s="107"/>
      <c r="T988" s="107"/>
      <c r="U988" s="107"/>
      <c r="V988" s="107"/>
      <c r="W988" s="107"/>
    </row>
  </sheetData>
  <sortState xmlns:xlrd2="http://schemas.microsoft.com/office/spreadsheetml/2017/richdata2" ref="U39:U52">
    <sortCondition ref="U39:U52"/>
  </sortState>
  <dataValidations count="1">
    <dataValidation type="list" allowBlank="1" showInputMessage="1" showErrorMessage="1" sqref="X3:AD3 B2:W2" xr:uid="{68A69808-D644-4222-B701-DB2C9344143C}">
      <formula1>ddLocation</formula1>
    </dataValidation>
  </dataValidations>
  <pageMargins left="0.7" right="0.7" top="0.78740157499999996" bottom="0.78740157499999996" header="0.3" footer="0.3"/>
  <pageSetup paperSize="9" orientation="portrait" r:id="rId1"/>
  <headerFooter>
    <oddFooter>&amp;C_x000D_&amp;1#&amp;"Calibri"&amp;10&amp;K000000 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tabColor theme="9" tint="0.39997558519241921"/>
  </sheetPr>
  <dimension ref="B2:R42"/>
  <sheetViews>
    <sheetView showGridLines="0" topLeftCell="D1" zoomScaleNormal="100" workbookViewId="0">
      <selection activeCell="L24" sqref="L24"/>
    </sheetView>
  </sheetViews>
  <sheetFormatPr defaultColWidth="11.42578125" defaultRowHeight="12.75"/>
  <cols>
    <col min="1" max="1" width="2.42578125" customWidth="1"/>
    <col min="2" max="2" width="21" customWidth="1"/>
    <col min="3" max="3" width="41" bestFit="1" customWidth="1"/>
    <col min="4" max="4" width="24.28515625" customWidth="1"/>
    <col min="5" max="5" width="2.7109375" customWidth="1"/>
    <col min="6" max="6" width="23.42578125" bestFit="1" customWidth="1"/>
    <col min="7" max="7" width="3.42578125" customWidth="1"/>
    <col min="8" max="8" width="2.7109375" customWidth="1"/>
    <col min="10" max="10" width="21.5703125" bestFit="1" customWidth="1"/>
    <col min="12" max="12" width="34.42578125" bestFit="1" customWidth="1"/>
    <col min="14" max="14" width="35.85546875" customWidth="1"/>
    <col min="15" max="15" width="22.5703125" customWidth="1"/>
    <col min="16" max="16" width="23.42578125" customWidth="1"/>
    <col min="17" max="17" width="34.5703125" bestFit="1" customWidth="1"/>
    <col min="19" max="19" width="17.5703125" customWidth="1"/>
  </cols>
  <sheetData>
    <row r="2" spans="2:18">
      <c r="B2" s="6" cm="1">
        <f t="array" ref="B2">SUMPRODUCT(1*($C$3:$C$19&lt;&gt;""))</f>
        <v>2</v>
      </c>
      <c r="C2" s="5" t="s">
        <v>30</v>
      </c>
      <c r="D2" s="5" t="s">
        <v>33</v>
      </c>
      <c r="F2" s="5" t="s">
        <v>39</v>
      </c>
      <c r="I2" s="7" t="s">
        <v>66</v>
      </c>
      <c r="J2" t="s">
        <v>57</v>
      </c>
      <c r="L2" s="101" t="s">
        <v>3</v>
      </c>
      <c r="N2" s="120" t="s">
        <v>136</v>
      </c>
      <c r="O2" s="120" t="s">
        <v>170</v>
      </c>
      <c r="P2" s="120" t="s">
        <v>171</v>
      </c>
      <c r="Q2" s="120" t="s">
        <v>172</v>
      </c>
      <c r="R2" s="120"/>
    </row>
    <row r="3" spans="2:18">
      <c r="B3" s="152" t="s">
        <v>31</v>
      </c>
      <c r="C3" s="3" t="s">
        <v>101</v>
      </c>
      <c r="D3" s="3" t="s">
        <v>36</v>
      </c>
      <c r="F3" s="3">
        <v>0.5</v>
      </c>
      <c r="I3" s="7" t="s">
        <v>67</v>
      </c>
      <c r="J3" t="s">
        <v>43</v>
      </c>
      <c r="L3" s="7" t="s">
        <v>88</v>
      </c>
      <c r="N3" s="120" t="s">
        <v>155</v>
      </c>
      <c r="O3" s="120" t="s">
        <v>155</v>
      </c>
      <c r="P3" s="120" t="s">
        <v>158</v>
      </c>
      <c r="Q3" s="120" t="s">
        <v>167</v>
      </c>
      <c r="R3" s="120"/>
    </row>
    <row r="4" spans="2:18">
      <c r="B4" s="154"/>
      <c r="C4" s="3" t="s">
        <v>34</v>
      </c>
      <c r="D4" s="3" t="s">
        <v>35</v>
      </c>
      <c r="F4" s="3">
        <v>1</v>
      </c>
      <c r="I4" s="7" t="s">
        <v>6</v>
      </c>
      <c r="J4" t="s">
        <v>42</v>
      </c>
      <c r="L4" s="7" t="s">
        <v>91</v>
      </c>
      <c r="N4" s="120" t="s">
        <v>156</v>
      </c>
      <c r="O4" s="120" t="s">
        <v>156</v>
      </c>
      <c r="P4" s="120" t="s">
        <v>159</v>
      </c>
      <c r="Q4" s="120" t="s">
        <v>168</v>
      </c>
      <c r="R4" s="120"/>
    </row>
    <row r="5" spans="2:18">
      <c r="B5" s="152" t="s">
        <v>32</v>
      </c>
      <c r="C5" s="4"/>
      <c r="D5" s="4"/>
      <c r="I5" s="7" t="s">
        <v>6</v>
      </c>
      <c r="J5" t="s">
        <v>58</v>
      </c>
      <c r="L5" s="7" t="s">
        <v>89</v>
      </c>
      <c r="N5" s="120" t="s">
        <v>157</v>
      </c>
      <c r="O5" s="120" t="s">
        <v>157</v>
      </c>
      <c r="P5" s="120" t="s">
        <v>160</v>
      </c>
      <c r="Q5" s="120" t="s">
        <v>169</v>
      </c>
      <c r="R5" s="120"/>
    </row>
    <row r="6" spans="2:18" ht="12.6" customHeight="1">
      <c r="B6" s="153"/>
      <c r="C6" s="4" t="str">
        <f>IF(Tracker!R9="","",Tracker!R9)</f>
        <v/>
      </c>
      <c r="D6" s="4"/>
      <c r="I6" s="7" t="s">
        <v>8</v>
      </c>
      <c r="J6" t="s">
        <v>59</v>
      </c>
      <c r="L6" s="7" t="s">
        <v>92</v>
      </c>
      <c r="N6" s="120" t="s">
        <v>146</v>
      </c>
      <c r="O6" s="120" t="s">
        <v>146</v>
      </c>
      <c r="P6" s="120" t="s">
        <v>162</v>
      </c>
      <c r="Q6" s="120" t="s">
        <v>4466</v>
      </c>
      <c r="R6" s="120"/>
    </row>
    <row r="7" spans="2:18">
      <c r="B7" s="153"/>
      <c r="C7" s="4" t="str">
        <f>IF(Tracker!R10="","",Tracker!R10)</f>
        <v/>
      </c>
      <c r="D7" s="4"/>
      <c r="J7" t="s">
        <v>60</v>
      </c>
      <c r="L7" s="7" t="s">
        <v>124</v>
      </c>
      <c r="N7" s="120" t="s">
        <v>3729</v>
      </c>
      <c r="O7" s="120" t="s">
        <v>3729</v>
      </c>
      <c r="P7" s="120" t="s">
        <v>163</v>
      </c>
      <c r="Q7" s="120" t="s">
        <v>4467</v>
      </c>
      <c r="R7" s="120"/>
    </row>
    <row r="8" spans="2:18">
      <c r="B8" s="153"/>
      <c r="C8" s="4" t="str">
        <f>IF(Tracker!R11="","",Tracker!R11)</f>
        <v/>
      </c>
      <c r="D8" s="4"/>
      <c r="I8" s="7" t="s">
        <v>9</v>
      </c>
      <c r="J8" t="s">
        <v>61</v>
      </c>
      <c r="L8" s="7" t="s">
        <v>123</v>
      </c>
      <c r="N8" s="120" t="s">
        <v>147</v>
      </c>
      <c r="O8" s="120" t="s">
        <v>147</v>
      </c>
      <c r="P8" s="120" t="s">
        <v>164</v>
      </c>
      <c r="Q8" s="120" t="s">
        <v>4468</v>
      </c>
      <c r="R8" s="120"/>
    </row>
    <row r="9" spans="2:18">
      <c r="B9" s="153"/>
      <c r="C9" s="4" t="str">
        <f>IF(Tracker!R12="","",Tracker!R12)</f>
        <v/>
      </c>
      <c r="D9" s="4"/>
      <c r="I9" s="7" t="s">
        <v>10</v>
      </c>
      <c r="J9" t="s">
        <v>62</v>
      </c>
      <c r="L9" s="7" t="s">
        <v>118</v>
      </c>
      <c r="N9" s="120" t="s">
        <v>3730</v>
      </c>
      <c r="O9" s="120" t="s">
        <v>3730</v>
      </c>
      <c r="P9" s="120" t="s">
        <v>165</v>
      </c>
      <c r="Q9" s="120" t="s">
        <v>4469</v>
      </c>
      <c r="R9" s="120"/>
    </row>
    <row r="10" spans="2:18">
      <c r="B10" s="153"/>
      <c r="C10" s="4" t="str">
        <f>IF(Tracker!R13="","",Tracker!R13)</f>
        <v/>
      </c>
      <c r="D10" s="4"/>
      <c r="I10" s="7" t="s">
        <v>11</v>
      </c>
      <c r="J10" t="s">
        <v>63</v>
      </c>
      <c r="L10" s="7" t="s">
        <v>133</v>
      </c>
      <c r="N10" s="120" t="s">
        <v>149</v>
      </c>
      <c r="O10" s="120" t="s">
        <v>149</v>
      </c>
      <c r="P10" s="120" t="s">
        <v>166</v>
      </c>
      <c r="Q10" s="120" t="s">
        <v>4470</v>
      </c>
      <c r="R10" s="120"/>
    </row>
    <row r="11" spans="2:18">
      <c r="B11" s="153"/>
      <c r="C11" s="4" t="str">
        <f>IF(Tracker!R14="","",Tracker!R14)</f>
        <v/>
      </c>
      <c r="D11" s="4"/>
      <c r="I11" s="7" t="s">
        <v>16</v>
      </c>
      <c r="J11" t="s">
        <v>64</v>
      </c>
      <c r="L11" s="7" t="s">
        <v>90</v>
      </c>
      <c r="N11" s="120" t="s">
        <v>150</v>
      </c>
      <c r="O11" s="120" t="s">
        <v>150</v>
      </c>
      <c r="P11" s="120" t="s">
        <v>161</v>
      </c>
      <c r="Q11" s="120" t="s">
        <v>4471</v>
      </c>
      <c r="R11" s="120"/>
    </row>
    <row r="12" spans="2:18">
      <c r="B12" s="153"/>
      <c r="C12" s="4" t="str">
        <f>IF(Tracker!R15="","",Tracker!R15)</f>
        <v/>
      </c>
      <c r="D12" s="4"/>
      <c r="J12" t="s">
        <v>65</v>
      </c>
      <c r="L12" s="7" t="s">
        <v>94</v>
      </c>
      <c r="N12" s="120" t="s">
        <v>153</v>
      </c>
      <c r="O12" s="120" t="s">
        <v>153</v>
      </c>
      <c r="P12" s="120" t="s">
        <v>145</v>
      </c>
      <c r="Q12" s="120" t="s">
        <v>4472</v>
      </c>
      <c r="R12" s="120"/>
    </row>
    <row r="13" spans="2:18">
      <c r="B13" s="153"/>
      <c r="C13" s="4" t="str">
        <f>IF(Tracker!R16="","",Tracker!R16)</f>
        <v/>
      </c>
      <c r="D13" s="4"/>
      <c r="I13" t="s">
        <v>7</v>
      </c>
      <c r="J13" t="s">
        <v>58</v>
      </c>
      <c r="L13" s="7" t="s">
        <v>114</v>
      </c>
      <c r="N13" s="120" t="s">
        <v>154</v>
      </c>
      <c r="O13" s="120" t="s">
        <v>154</v>
      </c>
      <c r="P13" s="120"/>
      <c r="Q13" s="120" t="s">
        <v>4473</v>
      </c>
      <c r="R13" s="120"/>
    </row>
    <row r="14" spans="2:18">
      <c r="B14" s="153"/>
      <c r="C14" s="4" t="str">
        <f>IF(Tracker!R17="","",Tracker!R17)</f>
        <v/>
      </c>
      <c r="D14" s="4"/>
      <c r="I14" s="7" t="s">
        <v>107</v>
      </c>
      <c r="J14" s="7" t="s">
        <v>108</v>
      </c>
      <c r="L14" s="7" t="s">
        <v>128</v>
      </c>
      <c r="N14" s="120" t="s">
        <v>151</v>
      </c>
      <c r="O14" s="120" t="s">
        <v>151</v>
      </c>
      <c r="P14" s="120"/>
      <c r="Q14" s="120" t="s">
        <v>4474</v>
      </c>
      <c r="R14" s="120"/>
    </row>
    <row r="15" spans="2:18">
      <c r="B15" s="153"/>
      <c r="C15" s="4" t="str">
        <f>IF(Tracker!R18="","",Tracker!R18)</f>
        <v/>
      </c>
      <c r="D15" s="4"/>
      <c r="I15" s="7" t="s">
        <v>106</v>
      </c>
      <c r="J15" s="7" t="s">
        <v>109</v>
      </c>
      <c r="L15" s="7" t="s">
        <v>129</v>
      </c>
      <c r="N15" s="120" t="s">
        <v>3721</v>
      </c>
      <c r="O15" s="120" t="s">
        <v>145</v>
      </c>
      <c r="P15" s="120"/>
      <c r="Q15" s="120" t="s">
        <v>4475</v>
      </c>
      <c r="R15" s="120"/>
    </row>
    <row r="16" spans="2:18">
      <c r="B16" s="153"/>
      <c r="C16" s="4" t="str">
        <f>IF(Tracker!R19="","",Tracker!R19)</f>
        <v/>
      </c>
      <c r="D16" s="4"/>
      <c r="I16" s="7"/>
      <c r="J16" s="7" t="s">
        <v>111</v>
      </c>
      <c r="L16" s="7" t="s">
        <v>120</v>
      </c>
      <c r="N16" s="120" t="s">
        <v>167</v>
      </c>
      <c r="O16" s="120"/>
      <c r="P16" s="120"/>
      <c r="Q16" s="120" t="s">
        <v>4476</v>
      </c>
      <c r="R16" s="120"/>
    </row>
    <row r="17" spans="2:18">
      <c r="B17" s="153"/>
      <c r="C17" s="4" t="str">
        <f>IF(Tracker!R20="","",Tracker!R20)</f>
        <v/>
      </c>
      <c r="D17" s="4"/>
      <c r="I17" s="7" t="s">
        <v>112</v>
      </c>
      <c r="J17" s="7" t="s">
        <v>113</v>
      </c>
      <c r="L17" s="7" t="s">
        <v>93</v>
      </c>
      <c r="N17" s="120" t="s">
        <v>168</v>
      </c>
      <c r="O17" s="120"/>
      <c r="P17" s="120"/>
      <c r="Q17" s="120" t="s">
        <v>4477</v>
      </c>
      <c r="R17" s="120"/>
    </row>
    <row r="18" spans="2:18">
      <c r="B18" s="153"/>
      <c r="C18" s="4" t="str">
        <f>IF(Tracker!R21="","",Tracker!R21)</f>
        <v/>
      </c>
      <c r="D18" s="4"/>
      <c r="I18" s="7" t="s">
        <v>4677</v>
      </c>
      <c r="J18" s="7" t="s">
        <v>4678</v>
      </c>
      <c r="L18" s="7" t="s">
        <v>121</v>
      </c>
      <c r="N18" s="120" t="s">
        <v>169</v>
      </c>
      <c r="O18" s="120"/>
      <c r="P18" s="120"/>
      <c r="Q18" s="120"/>
      <c r="R18" s="120"/>
    </row>
    <row r="19" spans="2:18">
      <c r="B19" s="154"/>
      <c r="C19" s="4" t="str">
        <f>IF(Tracker!R22="","",Tracker!R22)</f>
        <v/>
      </c>
      <c r="D19" s="4"/>
      <c r="L19" s="7" t="s">
        <v>122</v>
      </c>
      <c r="N19" s="137" t="s">
        <v>4466</v>
      </c>
      <c r="O19" s="120"/>
      <c r="P19" s="120"/>
      <c r="Q19" s="120"/>
    </row>
    <row r="20" spans="2:18">
      <c r="L20" s="7" t="s">
        <v>130</v>
      </c>
      <c r="N20" s="137" t="s">
        <v>4467</v>
      </c>
      <c r="O20" s="120"/>
      <c r="P20" s="120"/>
      <c r="Q20" s="120"/>
    </row>
    <row r="21" spans="2:18">
      <c r="L21" s="7" t="s">
        <v>116</v>
      </c>
      <c r="N21" s="137" t="s">
        <v>4468</v>
      </c>
      <c r="O21" s="120"/>
      <c r="P21" s="120"/>
      <c r="Q21" s="120"/>
    </row>
    <row r="22" spans="2:18">
      <c r="L22" s="7" t="s">
        <v>117</v>
      </c>
      <c r="N22" s="137" t="s">
        <v>4469</v>
      </c>
      <c r="O22" s="120"/>
      <c r="P22" s="120"/>
      <c r="Q22" s="120"/>
    </row>
    <row r="23" spans="2:18">
      <c r="L23" s="7" t="s">
        <v>4427</v>
      </c>
      <c r="N23" s="137" t="s">
        <v>4470</v>
      </c>
      <c r="O23" s="120"/>
      <c r="P23" s="120"/>
      <c r="Q23" s="120"/>
    </row>
    <row r="24" spans="2:18">
      <c r="L24" s="7" t="s">
        <v>4679</v>
      </c>
      <c r="N24" s="137" t="s">
        <v>4471</v>
      </c>
      <c r="O24" s="120"/>
      <c r="P24" s="120"/>
      <c r="Q24" s="120"/>
    </row>
    <row r="25" spans="2:18">
      <c r="N25" s="137" t="s">
        <v>4472</v>
      </c>
      <c r="O25" s="120"/>
      <c r="P25" s="120"/>
      <c r="Q25" s="120"/>
    </row>
    <row r="26" spans="2:18">
      <c r="N26" s="137" t="s">
        <v>4473</v>
      </c>
      <c r="O26" s="120"/>
      <c r="P26" s="120"/>
      <c r="Q26" s="120"/>
    </row>
    <row r="27" spans="2:18">
      <c r="N27" s="137" t="s">
        <v>4474</v>
      </c>
      <c r="O27" s="120"/>
      <c r="P27" s="120"/>
      <c r="Q27" s="120"/>
    </row>
    <row r="28" spans="2:18">
      <c r="N28" s="137" t="s">
        <v>4475</v>
      </c>
      <c r="O28" s="120"/>
      <c r="P28" s="120"/>
      <c r="Q28" s="120"/>
    </row>
    <row r="29" spans="2:18">
      <c r="N29" s="137" t="s">
        <v>4476</v>
      </c>
      <c r="O29" s="120"/>
      <c r="P29" s="120"/>
      <c r="Q29" s="120"/>
    </row>
    <row r="30" spans="2:18">
      <c r="N30" s="137" t="s">
        <v>4477</v>
      </c>
      <c r="O30" s="120"/>
      <c r="P30" s="120"/>
      <c r="Q30" s="120"/>
    </row>
    <row r="31" spans="2:18">
      <c r="N31" s="137"/>
      <c r="O31" s="120"/>
      <c r="P31" s="120"/>
      <c r="Q31" s="120"/>
    </row>
    <row r="32" spans="2:18">
      <c r="N32" s="137"/>
      <c r="O32" s="120"/>
      <c r="P32" s="120"/>
      <c r="Q32" s="120"/>
    </row>
    <row r="33" spans="14:17">
      <c r="N33" s="137"/>
      <c r="O33" s="120"/>
      <c r="P33" s="120"/>
      <c r="Q33" s="120"/>
    </row>
    <row r="34" spans="14:17">
      <c r="N34" s="137"/>
      <c r="O34" s="120"/>
      <c r="P34" s="120"/>
      <c r="Q34" s="120"/>
    </row>
    <row r="35" spans="14:17">
      <c r="N35" s="137"/>
      <c r="O35" s="120"/>
      <c r="P35" s="120"/>
      <c r="Q35" s="120"/>
    </row>
    <row r="36" spans="14:17">
      <c r="N36" s="137"/>
      <c r="O36" s="120"/>
      <c r="P36" s="120"/>
      <c r="Q36" s="120"/>
    </row>
    <row r="37" spans="14:17">
      <c r="N37" s="137"/>
      <c r="O37" s="120"/>
      <c r="P37" s="120"/>
      <c r="Q37" s="120"/>
    </row>
    <row r="38" spans="14:17">
      <c r="N38" s="137"/>
      <c r="O38" s="120"/>
      <c r="P38" s="120"/>
      <c r="Q38" s="120"/>
    </row>
    <row r="39" spans="14:17">
      <c r="N39" s="120"/>
      <c r="O39" s="120"/>
      <c r="P39" s="120"/>
      <c r="Q39" s="120"/>
    </row>
    <row r="40" spans="14:17">
      <c r="N40" s="120"/>
      <c r="O40" s="120"/>
      <c r="P40" s="120"/>
      <c r="Q40" s="120"/>
    </row>
    <row r="41" spans="14:17">
      <c r="N41" s="120"/>
      <c r="O41" s="120"/>
      <c r="P41" s="120"/>
      <c r="Q41" s="120"/>
    </row>
    <row r="42" spans="14:17">
      <c r="N42" s="120"/>
      <c r="O42" s="120"/>
      <c r="P42" s="120"/>
      <c r="Q42" s="120"/>
    </row>
  </sheetData>
  <mergeCells count="2">
    <mergeCell ref="B5:B19"/>
    <mergeCell ref="B3:B4"/>
  </mergeCells>
  <pageMargins left="0.7" right="0.7" top="0.78740157499999996" bottom="0.78740157499999996" header="0.3" footer="0.3"/>
  <headerFooter>
    <oddFooter>&amp;C_x000D_&amp;1#&amp;"Calibri"&amp;10&amp;K000000 Internal</oddFooter>
  </headerFooter>
  <tableParts count="3">
    <tablePart r:id="rId1"/>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3DADCC58F746C43B2F17EBA88072DEB" ma:contentTypeVersion="15" ma:contentTypeDescription="Ein neues Dokument erstellen." ma:contentTypeScope="" ma:versionID="73e3f9a07055294c4700f1e7ba2ca0c1">
  <xsd:schema xmlns:xsd="http://www.w3.org/2001/XMLSchema" xmlns:xs="http://www.w3.org/2001/XMLSchema" xmlns:p="http://schemas.microsoft.com/office/2006/metadata/properties" xmlns:ns2="e8a4043a-b79f-4bd1-82cb-60e9ff6680f6" xmlns:ns3="5f94e7ac-406d-43f9-b9e9-cb6e80c86530" targetNamespace="http://schemas.microsoft.com/office/2006/metadata/properties" ma:root="true" ma:fieldsID="6f0ebf09919d88d016653148c1968de0" ns2:_="" ns3:_="">
    <xsd:import namespace="e8a4043a-b79f-4bd1-82cb-60e9ff6680f6"/>
    <xsd:import namespace="5f94e7ac-406d-43f9-b9e9-cb6e80c86530"/>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3:SharedWithUsers" minOccurs="0"/>
                <xsd:element ref="ns3:SharedWithDetails" minOccurs="0"/>
                <xsd:element ref="ns2:MediaServiceLocation"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a4043a-b79f-4bd1-82cb-60e9ff6680f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ildmarkierungen" ma:readOnly="false" ma:fieldId="{5cf76f15-5ced-4ddc-b409-7134ff3c332f}" ma:taxonomyMulti="true" ma:sspId="487f7a80-088e-4504-b7e3-5dc1a2e2faea"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MediaServiceLocation" ma:index="20" nillable="true" ma:displayName="Location" ma:indexed="true" ma:internalName="MediaServiceLocation" ma:readOnly="true">
      <xsd:simpleType>
        <xsd:restriction base="dms:Text"/>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5f94e7ac-406d-43f9-b9e9-cb6e80c86530"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096035c0-b64a-4070-b66f-bb997f119b5a}" ma:internalName="TaxCatchAll" ma:showField="CatchAllData" ma:web="5f94e7ac-406d-43f9-b9e9-cb6e80c86530">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Freigegeben für -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5f94e7ac-406d-43f9-b9e9-cb6e80c86530" xsi:nil="true"/>
    <lcf76f155ced4ddcb4097134ff3c332f xmlns="e8a4043a-b79f-4bd1-82cb-60e9ff6680f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F1E764CB-A889-4162-AA24-5718594A9E08}">
  <ds:schemaRefs>
    <ds:schemaRef ds:uri="http://schemas.microsoft.com/sharepoint/v3/contenttype/forms"/>
  </ds:schemaRefs>
</ds:datastoreItem>
</file>

<file path=customXml/itemProps2.xml><?xml version="1.0" encoding="utf-8"?>
<ds:datastoreItem xmlns:ds="http://schemas.openxmlformats.org/officeDocument/2006/customXml" ds:itemID="{CA47CC20-5A1C-4ADC-B03B-59726D8A2F7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a4043a-b79f-4bd1-82cb-60e9ff6680f6"/>
    <ds:schemaRef ds:uri="5f94e7ac-406d-43f9-b9e9-cb6e80c8653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79790BB-2546-4674-92C4-5AF429513259}">
  <ds:schemaRefs>
    <ds:schemaRef ds:uri="http://schemas.microsoft.com/office/2006/metadata/properties"/>
    <ds:schemaRef ds:uri="http://schemas.microsoft.com/office/infopath/2007/PartnerControls"/>
    <ds:schemaRef ds:uri="45f037f9-a8fe-4e9b-83eb-cc4ba2494d82"/>
    <ds:schemaRef ds:uri="abee6d29-a8d1-44d0-8dcb-f7702b32e83f"/>
    <ds:schemaRef ds:uri="5f94e7ac-406d-43f9-b9e9-cb6e80c86530"/>
    <ds:schemaRef ds:uri="e8a4043a-b79f-4bd1-82cb-60e9ff6680f6"/>
  </ds:schemaRefs>
</ds:datastoreItem>
</file>

<file path=docMetadata/LabelInfo.xml><?xml version="1.0" encoding="utf-8"?>
<clbl:labelList xmlns:clbl="http://schemas.microsoft.com/office/2020/mipLabelMetadata">
  <clbl:label id="{6e2a54e1-30cb-4366-bcab-093d10117735}" enabled="1" method="Standard" siteId="{5f362d22-608a-4e7a-b9d8-4992bf1981ef}" contentBits="2"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Tracker</vt:lpstr>
      <vt:lpstr>Projectlist</vt:lpstr>
      <vt:lpstr>internal cost center</vt:lpstr>
      <vt:lpstr>holidays</vt:lpstr>
      <vt:lpstr>parameters</vt:lpstr>
      <vt:lpstr>CombinedCostCenterIDs</vt:lpstr>
      <vt:lpstr>CombinedCostCenterIDsSummary</vt:lpstr>
      <vt:lpstr>Country</vt:lpstr>
      <vt:lpstr>ddCountry</vt:lpstr>
      <vt:lpstr>ddEntities</vt:lpstr>
      <vt:lpstr>ddLocation</vt:lpstr>
      <vt:lpstr>drp_cc</vt:lpstr>
      <vt:lpstr>export_mode</vt:lpstr>
      <vt:lpstr>export_range</vt:lpstr>
      <vt:lpstr>FirstName</vt:lpstr>
      <vt:lpstr>FROM_CALENDAR_WEEK</vt:lpstr>
      <vt:lpstr>Gesamt</vt:lpstr>
      <vt:lpstr>LastName</vt:lpstr>
      <vt:lpstr>Month</vt:lpstr>
      <vt:lpstr>NameEmployee</vt:lpstr>
      <vt:lpstr>NumerationOfProjectNumbers</vt:lpstr>
      <vt:lpstr>para_time</vt:lpstr>
      <vt:lpstr>Tracker!Print_Area</vt:lpstr>
      <vt:lpstr>ProjectInformation</vt:lpstr>
      <vt:lpstr>ProjectNumberList</vt:lpstr>
      <vt:lpstr>ProjectNumberSummary</vt:lpstr>
      <vt:lpstr>ProjectNumberSummary_prevMonth</vt:lpstr>
      <vt:lpstr>spec_4flow_na</vt:lpstr>
      <vt:lpstr>spec_consulting_cc</vt:lpstr>
      <vt:lpstr>spec_consulting_proj</vt:lpstr>
      <vt:lpstr>spec_management_cc</vt:lpstr>
      <vt:lpstr>spec_management_proj</vt:lpstr>
      <vt:lpstr>spec_overhead_na</vt:lpstr>
      <vt:lpstr>spec_research_cc</vt:lpstr>
      <vt:lpstr>spec_research_proj</vt:lpstr>
      <vt:lpstr>spec_software_cc</vt:lpstr>
      <vt:lpstr>spec_software_proj</vt:lpstr>
      <vt:lpstr>TO_CALENDAR_WEEK</vt:lpstr>
      <vt:lpstr>varAuswertung</vt:lpstr>
      <vt:lpstr>varErrorCC</vt:lpstr>
      <vt:lpstr>varProjectlistFile</vt:lpstr>
      <vt:lpstr>varProjectlistPath</vt:lpstr>
      <vt:lpstr>varTarget</vt:lpstr>
      <vt:lpstr>varWorkdays</vt:lpstr>
      <vt:lpstr>varWorkingDaysAdj</vt:lpstr>
      <vt:lpstr>Year</vt:lpstr>
    </vt:vector>
  </TitlesOfParts>
  <Company>4flow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Alexander Kennedy</cp:lastModifiedBy>
  <cp:lastPrinted>2017-12-22T01:48:26Z</cp:lastPrinted>
  <dcterms:created xsi:type="dcterms:W3CDTF">2004-06-28T14:40:58Z</dcterms:created>
  <dcterms:modified xsi:type="dcterms:W3CDTF">2026-05-12T07:44:19Z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Jive_LatestUserAccountName">
    <vt:lpwstr>b.jeney@4flow.com</vt:lpwstr>
  </property>
  <property fmtid="{D5CDD505-2E9C-101B-9397-08002B2CF9AE}" pid="3" name="Offisync_UpdateToken">
    <vt:lpwstr>1</vt:lpwstr>
  </property>
  <property fmtid="{D5CDD505-2E9C-101B-9397-08002B2CF9AE}" pid="4" name="Jive_VersionGuid">
    <vt:lpwstr>d31055b1-5f4a-402a-b700-7570261bd318</vt:lpwstr>
  </property>
  <property fmtid="{D5CDD505-2E9C-101B-9397-08002B2CF9AE}" pid="5" name="Offisync_UniqueId">
    <vt:lpwstr>35958</vt:lpwstr>
  </property>
  <property fmtid="{D5CDD505-2E9C-101B-9397-08002B2CF9AE}" pid="6" name="Offisync_ProviderInitializationData">
    <vt:lpwstr>https://www.4flow-spark.com</vt:lpwstr>
  </property>
  <property fmtid="{D5CDD505-2E9C-101B-9397-08002B2CF9AE}" pid="7" name="Offisync_ServerID">
    <vt:lpwstr>d7515e23-5028-4e17-8275-82f027a445b6</vt:lpwstr>
  </property>
  <property fmtid="{D5CDD505-2E9C-101B-9397-08002B2CF9AE}" pid="8" name="Jive_ModifiedButNotPublished">
    <vt:lpwstr>True</vt:lpwstr>
  </property>
  <property fmtid="{D5CDD505-2E9C-101B-9397-08002B2CF9AE}" pid="9" name="ContentTypeId">
    <vt:lpwstr>0x01010033DADCC58F746C43B2F17EBA88072DEB</vt:lpwstr>
  </property>
  <property fmtid="{D5CDD505-2E9C-101B-9397-08002B2CF9AE}" pid="10" name="MediaServiceImageTags">
    <vt:lpwstr/>
  </property>
  <property fmtid="{D5CDD505-2E9C-101B-9397-08002B2CF9AE}" pid="11" name="_x0034_flow_Producedby">
    <vt:lpwstr/>
  </property>
  <property fmtid="{D5CDD505-2E9C-101B-9397-08002B2CF9AE}" pid="12" name="ma4534acc76c4267b9fd7a65bce70bd9">
    <vt:lpwstr/>
  </property>
  <property fmtid="{D5CDD505-2E9C-101B-9397-08002B2CF9AE}" pid="13" name="k7590bd0824740e9b6ebe86fa3c6f6d1">
    <vt:lpwstr/>
  </property>
  <property fmtid="{D5CDD505-2E9C-101B-9397-08002B2CF9AE}" pid="14" name="leedd28d39d24096b3880870e3608efc">
    <vt:lpwstr/>
  </property>
  <property fmtid="{D5CDD505-2E9C-101B-9397-08002B2CF9AE}" pid="15" name="4flow_Topics">
    <vt:lpwstr/>
  </property>
  <property fmtid="{D5CDD505-2E9C-101B-9397-08002B2CF9AE}" pid="16" name="4flow_ProductsSolutionsServices">
    <vt:lpwstr/>
  </property>
  <property fmtid="{D5CDD505-2E9C-101B-9397-08002B2CF9AE}" pid="17" name="h96bec1d14054bf086dd1e6dcbff3e8f">
    <vt:lpwstr/>
  </property>
  <property fmtid="{D5CDD505-2E9C-101B-9397-08002B2CF9AE}" pid="18" name="4flow_MediaFormat">
    <vt:lpwstr/>
  </property>
  <property fmtid="{D5CDD505-2E9C-101B-9397-08002B2CF9AE}" pid="19" name="_x0034_flow_Regionsandcountries">
    <vt:lpwstr/>
  </property>
  <property fmtid="{D5CDD505-2E9C-101B-9397-08002B2CF9AE}" pid="20" name="_x0034_flow_ProductsSolutionsServices">
    <vt:lpwstr/>
  </property>
  <property fmtid="{D5CDD505-2E9C-101B-9397-08002B2CF9AE}" pid="21" name="4flow_Regionsandcountries">
    <vt:lpwstr/>
  </property>
  <property fmtid="{D5CDD505-2E9C-101B-9397-08002B2CF9AE}" pid="22" name="_x0034_flow_Topics">
    <vt:lpwstr/>
  </property>
  <property fmtid="{D5CDD505-2E9C-101B-9397-08002B2CF9AE}" pid="23" name="i294f575838443f1a6fd3676356bdfab">
    <vt:lpwstr/>
  </property>
  <property fmtid="{D5CDD505-2E9C-101B-9397-08002B2CF9AE}" pid="24" name="_x0034_flow_MediaFormat">
    <vt:lpwstr/>
  </property>
  <property fmtid="{D5CDD505-2E9C-101B-9397-08002B2CF9AE}" pid="25" name="4flow_Producedby">
    <vt:lpwstr/>
  </property>
</Properties>
</file>